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21abc15578332c4/Desktop/"/>
    </mc:Choice>
  </mc:AlternateContent>
  <xr:revisionPtr revIDLastSave="201" documentId="13_ncr:1_{EE0E7E63-582D-429F-815D-C8F63B987B18}" xr6:coauthVersionLast="47" xr6:coauthVersionMax="47" xr10:uidLastSave="{5713EB90-D63C-4674-9384-A61D0368906B}"/>
  <bookViews>
    <workbookView xWindow="-98" yWindow="-98" windowWidth="21795" windowHeight="12975" activeTab="3" xr2:uid="{00000000-000D-0000-FFFF-FFFF00000000}"/>
  </bookViews>
  <sheets>
    <sheet name="CPC prévisionnel" sheetId="63" r:id="rId1"/>
    <sheet name="Synthèse" sheetId="46" r:id="rId2"/>
    <sheet name="Feuil1" sheetId="77" r:id="rId3"/>
    <sheet name="104_Synthèse" sheetId="3" r:id="rId4"/>
    <sheet name="105_Synthèse" sheetId="44" r:id="rId5"/>
    <sheet name="106_Synthèse" sheetId="45" r:id="rId6"/>
    <sheet name="107_Synthèse" sheetId="68" r:id="rId7"/>
    <sheet name="114_Synthèse" sheetId="67" r:id="rId8"/>
    <sheet name="Plan de culture 104 " sheetId="24" r:id="rId9"/>
    <sheet name="Plan de culture 105" sheetId="25" r:id="rId10"/>
    <sheet name="Plan de culture 106" sheetId="26" r:id="rId11"/>
    <sheet name="Plan de culture 107" sheetId="64" r:id="rId12"/>
    <sheet name="Plan de culture 114" sheetId="65" r:id="rId13"/>
    <sheet name="Budget Volumes Export" sheetId="27" r:id="rId14"/>
    <sheet name="Budget Volumes ML" sheetId="76" r:id="rId15"/>
    <sheet name="Budget Commercial Export" sheetId="28" r:id="rId16"/>
    <sheet name="Budget Commercial ML" sheetId="75" r:id="rId17"/>
    <sheet name="Budget Semences" sheetId="29" r:id="rId18"/>
    <sheet name="Budget Plants" sheetId="31" r:id="rId19"/>
    <sheet name="Budget Engrais" sheetId="32" r:id="rId20"/>
    <sheet name="Budget Phytos" sheetId="33" r:id="rId21"/>
    <sheet name="Budget Insectes aux" sheetId="71" r:id="rId22"/>
    <sheet name="Budget Ruches" sheetId="35" r:id="rId23"/>
    <sheet name="Budget Fres Agri" sheetId="42" r:id="rId24"/>
    <sheet name="Budget Energie" sheetId="37" r:id="rId25"/>
    <sheet name="Budget Ent &amp; Analyses" sheetId="41" r:id="rId26"/>
    <sheet name="Budget Loyers Fermes" sheetId="36" r:id="rId27"/>
    <sheet name="Budget MOD" sheetId="38" r:id="rId28"/>
    <sheet name="Budget Transp Ventes" sheetId="40" r:id="rId29"/>
    <sheet name="Feuil3" sheetId="74" r:id="rId30"/>
    <sheet name="Budget Commun" sheetId="39" r:id="rId31"/>
    <sheet name="Budget Invest&amp; Amort" sheetId="57" r:id="rId32"/>
    <sheet name="Budget Constructions" sheetId="47" r:id="rId33"/>
    <sheet name="Budget Electrification" sheetId="49" r:id="rId34"/>
    <sheet name="Budget Serres" sheetId="50" r:id="rId35"/>
    <sheet name="Budget Irrigation" sheetId="51" r:id="rId36"/>
    <sheet name="Budget Plastique" sheetId="52" r:id="rId37"/>
    <sheet name="Budget Fibre de coco" sheetId="53" r:id="rId38"/>
    <sheet name="Budget Filet" sheetId="54" r:id="rId39"/>
    <sheet name="Budget Mel agricole" sheetId="55" r:id="rId40"/>
    <sheet name="Budget MMB" sheetId="56" r:id="rId41"/>
    <sheet name="TCD Amort initiaux" sheetId="62" r:id="rId42"/>
    <sheet name="Budget Amortissements" sheetId="61" r:id="rId43"/>
    <sheet name="TOM NATURE_ à l'ha" sheetId="16" state="hidden" r:id="rId44"/>
    <sheet name="TOM NATURE_au kg" sheetId="21" state="hidden" r:id="rId45"/>
    <sheet name="8036_à l'ha" sheetId="17" state="hidden" r:id="rId46"/>
    <sheet name="8036_au kg" sheetId="22" state="hidden" r:id="rId47"/>
    <sheet name="8038_à l'ha" sheetId="19" state="hidden" r:id="rId48"/>
    <sheet name="8038_au kg" sheetId="20" state="hidden" r:id="rId49"/>
    <sheet name="8039_à l'ha" sheetId="18" state="hidden" r:id="rId50"/>
    <sheet name="8039_au kg " sheetId="23" state="hidden" r:id="rId51"/>
  </sheets>
  <definedNames>
    <definedName name="___________________b70000" localSheetId="42">#REF!</definedName>
    <definedName name="___________________b70000" localSheetId="33">#REF!</definedName>
    <definedName name="___________________b70000" localSheetId="37">#REF!</definedName>
    <definedName name="___________________b70000" localSheetId="38">#REF!</definedName>
    <definedName name="___________________b70000" localSheetId="31">#REF!</definedName>
    <definedName name="___________________b70000" localSheetId="35">#REF!</definedName>
    <definedName name="___________________b70000" localSheetId="39">#REF!</definedName>
    <definedName name="___________________b70000" localSheetId="40">#REF!</definedName>
    <definedName name="___________________b70000" localSheetId="36">#REF!</definedName>
    <definedName name="___________________b70000" localSheetId="34">#REF!</definedName>
    <definedName name="___________________b70000">#REF!</definedName>
    <definedName name="___________________b70005" localSheetId="42">#REF!</definedName>
    <definedName name="___________________b70005" localSheetId="33">#REF!</definedName>
    <definedName name="___________________b70005" localSheetId="37">#REF!</definedName>
    <definedName name="___________________b70005" localSheetId="38">#REF!</definedName>
    <definedName name="___________________b70005" localSheetId="31">#REF!</definedName>
    <definedName name="___________________b70005" localSheetId="35">#REF!</definedName>
    <definedName name="___________________b70005" localSheetId="39">#REF!</definedName>
    <definedName name="___________________b70005" localSheetId="40">#REF!</definedName>
    <definedName name="___________________b70005" localSheetId="36">#REF!</definedName>
    <definedName name="___________________b70005" localSheetId="34">#REF!</definedName>
    <definedName name="___________________b70005">#REF!</definedName>
    <definedName name="__________________b70000" localSheetId="42">#REF!</definedName>
    <definedName name="__________________b70000" localSheetId="33">#REF!</definedName>
    <definedName name="__________________b70000" localSheetId="37">#REF!</definedName>
    <definedName name="__________________b70000" localSheetId="38">#REF!</definedName>
    <definedName name="__________________b70000" localSheetId="31">#REF!</definedName>
    <definedName name="__________________b70000" localSheetId="35">#REF!</definedName>
    <definedName name="__________________b70000" localSheetId="39">#REF!</definedName>
    <definedName name="__________________b70000" localSheetId="40">#REF!</definedName>
    <definedName name="__________________b70000" localSheetId="36">#REF!</definedName>
    <definedName name="__________________b70000" localSheetId="34">#REF!</definedName>
    <definedName name="__________________b70000">#REF!</definedName>
    <definedName name="__________________b70005" localSheetId="42">#REF!</definedName>
    <definedName name="__________________b70005" localSheetId="33">#REF!</definedName>
    <definedName name="__________________b70005" localSheetId="37">#REF!</definedName>
    <definedName name="__________________b70005" localSheetId="38">#REF!</definedName>
    <definedName name="__________________b70005" localSheetId="31">#REF!</definedName>
    <definedName name="__________________b70005" localSheetId="35">#REF!</definedName>
    <definedName name="__________________b70005" localSheetId="39">#REF!</definedName>
    <definedName name="__________________b70005" localSheetId="40">#REF!</definedName>
    <definedName name="__________________b70005" localSheetId="36">#REF!</definedName>
    <definedName name="__________________b70005" localSheetId="34">#REF!</definedName>
    <definedName name="__________________b70005">#REF!</definedName>
    <definedName name="_________________b70000" localSheetId="42">#REF!</definedName>
    <definedName name="_________________b70000" localSheetId="33">#REF!</definedName>
    <definedName name="_________________b70000" localSheetId="37">#REF!</definedName>
    <definedName name="_________________b70000" localSheetId="38">#REF!</definedName>
    <definedName name="_________________b70000" localSheetId="31">#REF!</definedName>
    <definedName name="_________________b70000" localSheetId="35">#REF!</definedName>
    <definedName name="_________________b70000" localSheetId="39">#REF!</definedName>
    <definedName name="_________________b70000" localSheetId="40">#REF!</definedName>
    <definedName name="_________________b70000" localSheetId="36">#REF!</definedName>
    <definedName name="_________________b70000" localSheetId="34">#REF!</definedName>
    <definedName name="_________________b70000">#REF!</definedName>
    <definedName name="_________________b70005" localSheetId="42">#REF!</definedName>
    <definedName name="_________________b70005" localSheetId="33">#REF!</definedName>
    <definedName name="_________________b70005" localSheetId="37">#REF!</definedName>
    <definedName name="_________________b70005" localSheetId="38">#REF!</definedName>
    <definedName name="_________________b70005" localSheetId="31">#REF!</definedName>
    <definedName name="_________________b70005" localSheetId="35">#REF!</definedName>
    <definedName name="_________________b70005" localSheetId="39">#REF!</definedName>
    <definedName name="_________________b70005" localSheetId="40">#REF!</definedName>
    <definedName name="_________________b70005" localSheetId="36">#REF!</definedName>
    <definedName name="_________________b70005" localSheetId="34">#REF!</definedName>
    <definedName name="_________________b70005">#REF!</definedName>
    <definedName name="________________b70000" localSheetId="42">#REF!</definedName>
    <definedName name="________________b70000" localSheetId="33">#REF!</definedName>
    <definedName name="________________b70000" localSheetId="37">#REF!</definedName>
    <definedName name="________________b70000" localSheetId="38">#REF!</definedName>
    <definedName name="________________b70000" localSheetId="31">#REF!</definedName>
    <definedName name="________________b70000" localSheetId="35">#REF!</definedName>
    <definedName name="________________b70000" localSheetId="39">#REF!</definedName>
    <definedName name="________________b70000" localSheetId="40">#REF!</definedName>
    <definedName name="________________b70000" localSheetId="36">#REF!</definedName>
    <definedName name="________________b70000" localSheetId="34">#REF!</definedName>
    <definedName name="________________b70000">#REF!</definedName>
    <definedName name="________________b70005" localSheetId="42">#REF!</definedName>
    <definedName name="________________b70005" localSheetId="33">#REF!</definedName>
    <definedName name="________________b70005" localSheetId="37">#REF!</definedName>
    <definedName name="________________b70005" localSheetId="38">#REF!</definedName>
    <definedName name="________________b70005" localSheetId="31">#REF!</definedName>
    <definedName name="________________b70005" localSheetId="35">#REF!</definedName>
    <definedName name="________________b70005" localSheetId="39">#REF!</definedName>
    <definedName name="________________b70005" localSheetId="40">#REF!</definedName>
    <definedName name="________________b70005" localSheetId="36">#REF!</definedName>
    <definedName name="________________b70005" localSheetId="34">#REF!</definedName>
    <definedName name="________________b70005">#REF!</definedName>
    <definedName name="_______________b70000" localSheetId="42">#REF!</definedName>
    <definedName name="_______________b70000" localSheetId="33">#REF!</definedName>
    <definedName name="_______________b70000" localSheetId="37">#REF!</definedName>
    <definedName name="_______________b70000" localSheetId="38">#REF!</definedName>
    <definedName name="_______________b70000" localSheetId="31">#REF!</definedName>
    <definedName name="_______________b70000" localSheetId="35">#REF!</definedName>
    <definedName name="_______________b70000" localSheetId="39">#REF!</definedName>
    <definedName name="_______________b70000" localSheetId="40">#REF!</definedName>
    <definedName name="_______________b70000" localSheetId="36">#REF!</definedName>
    <definedName name="_______________b70000" localSheetId="34">#REF!</definedName>
    <definedName name="_______________b70000">#REF!</definedName>
    <definedName name="_______________b70005" localSheetId="42">#REF!</definedName>
    <definedName name="_______________b70005" localSheetId="33">#REF!</definedName>
    <definedName name="_______________b70005" localSheetId="37">#REF!</definedName>
    <definedName name="_______________b70005" localSheetId="38">#REF!</definedName>
    <definedName name="_______________b70005" localSheetId="31">#REF!</definedName>
    <definedName name="_______________b70005" localSheetId="35">#REF!</definedName>
    <definedName name="_______________b70005" localSheetId="39">#REF!</definedName>
    <definedName name="_______________b70005" localSheetId="40">#REF!</definedName>
    <definedName name="_______________b70005" localSheetId="36">#REF!</definedName>
    <definedName name="_______________b70005" localSheetId="34">#REF!</definedName>
    <definedName name="_______________b70005">#REF!</definedName>
    <definedName name="______________b70000" localSheetId="42">#REF!</definedName>
    <definedName name="______________b70000" localSheetId="33">#REF!</definedName>
    <definedName name="______________b70000" localSheetId="37">#REF!</definedName>
    <definedName name="______________b70000" localSheetId="38">#REF!</definedName>
    <definedName name="______________b70000" localSheetId="31">#REF!</definedName>
    <definedName name="______________b70000" localSheetId="35">#REF!</definedName>
    <definedName name="______________b70000" localSheetId="39">#REF!</definedName>
    <definedName name="______________b70000" localSheetId="40">#REF!</definedName>
    <definedName name="______________b70000" localSheetId="36">#REF!</definedName>
    <definedName name="______________b70000" localSheetId="34">#REF!</definedName>
    <definedName name="______________b70000">#REF!</definedName>
    <definedName name="______________b70005" localSheetId="42">#REF!</definedName>
    <definedName name="______________b70005" localSheetId="33">#REF!</definedName>
    <definedName name="______________b70005" localSheetId="37">#REF!</definedName>
    <definedName name="______________b70005" localSheetId="38">#REF!</definedName>
    <definedName name="______________b70005" localSheetId="31">#REF!</definedName>
    <definedName name="______________b70005" localSheetId="35">#REF!</definedName>
    <definedName name="______________b70005" localSheetId="39">#REF!</definedName>
    <definedName name="______________b70005" localSheetId="40">#REF!</definedName>
    <definedName name="______________b70005" localSheetId="36">#REF!</definedName>
    <definedName name="______________b70005" localSheetId="34">#REF!</definedName>
    <definedName name="______________b70005">#REF!</definedName>
    <definedName name="_____________b70000" localSheetId="42">#REF!</definedName>
    <definedName name="_____________b70000" localSheetId="33">#REF!</definedName>
    <definedName name="_____________b70000" localSheetId="37">#REF!</definedName>
    <definedName name="_____________b70000" localSheetId="38">#REF!</definedName>
    <definedName name="_____________b70000" localSheetId="31">#REF!</definedName>
    <definedName name="_____________b70000" localSheetId="35">#REF!</definedName>
    <definedName name="_____________b70000" localSheetId="39">#REF!</definedName>
    <definedName name="_____________b70000" localSheetId="40">#REF!</definedName>
    <definedName name="_____________b70000" localSheetId="36">#REF!</definedName>
    <definedName name="_____________b70000" localSheetId="34">#REF!</definedName>
    <definedName name="_____________b70000">#REF!</definedName>
    <definedName name="_____________b70005" localSheetId="42">#REF!</definedName>
    <definedName name="_____________b70005" localSheetId="33">#REF!</definedName>
    <definedName name="_____________b70005" localSheetId="37">#REF!</definedName>
    <definedName name="_____________b70005" localSheetId="38">#REF!</definedName>
    <definedName name="_____________b70005" localSheetId="31">#REF!</definedName>
    <definedName name="_____________b70005" localSheetId="35">#REF!</definedName>
    <definedName name="_____________b70005" localSheetId="39">#REF!</definedName>
    <definedName name="_____________b70005" localSheetId="40">#REF!</definedName>
    <definedName name="_____________b70005" localSheetId="36">#REF!</definedName>
    <definedName name="_____________b70005" localSheetId="34">#REF!</definedName>
    <definedName name="_____________b70005">#REF!</definedName>
    <definedName name="____________b70000" localSheetId="42">#REF!</definedName>
    <definedName name="____________b70000" localSheetId="33">#REF!</definedName>
    <definedName name="____________b70000" localSheetId="37">#REF!</definedName>
    <definedName name="____________b70000" localSheetId="38">#REF!</definedName>
    <definedName name="____________b70000" localSheetId="31">#REF!</definedName>
    <definedName name="____________b70000" localSheetId="35">#REF!</definedName>
    <definedName name="____________b70000" localSheetId="39">#REF!</definedName>
    <definedName name="____________b70000" localSheetId="40">#REF!</definedName>
    <definedName name="____________b70000" localSheetId="36">#REF!</definedName>
    <definedName name="____________b70000" localSheetId="34">#REF!</definedName>
    <definedName name="____________b70000">#REF!</definedName>
    <definedName name="____________b70005" localSheetId="42">#REF!</definedName>
    <definedName name="____________b70005" localSheetId="33">#REF!</definedName>
    <definedName name="____________b70005" localSheetId="37">#REF!</definedName>
    <definedName name="____________b70005" localSheetId="38">#REF!</definedName>
    <definedName name="____________b70005" localSheetId="31">#REF!</definedName>
    <definedName name="____________b70005" localSheetId="35">#REF!</definedName>
    <definedName name="____________b70005" localSheetId="39">#REF!</definedName>
    <definedName name="____________b70005" localSheetId="40">#REF!</definedName>
    <definedName name="____________b70005" localSheetId="36">#REF!</definedName>
    <definedName name="____________b70005" localSheetId="34">#REF!</definedName>
    <definedName name="____________b70005">#REF!</definedName>
    <definedName name="___________b70000" localSheetId="42">#REF!</definedName>
    <definedName name="___________b70000" localSheetId="33">#REF!</definedName>
    <definedName name="___________b70000" localSheetId="37">#REF!</definedName>
    <definedName name="___________b70000" localSheetId="38">#REF!</definedName>
    <definedName name="___________b70000" localSheetId="31">#REF!</definedName>
    <definedName name="___________b70000" localSheetId="35">#REF!</definedName>
    <definedName name="___________b70000" localSheetId="39">#REF!</definedName>
    <definedName name="___________b70000" localSheetId="40">#REF!</definedName>
    <definedName name="___________b70000" localSheetId="36">#REF!</definedName>
    <definedName name="___________b70000" localSheetId="34">#REF!</definedName>
    <definedName name="___________b70000">#REF!</definedName>
    <definedName name="___________b70005" localSheetId="42">#REF!</definedName>
    <definedName name="___________b70005" localSheetId="33">#REF!</definedName>
    <definedName name="___________b70005" localSheetId="37">#REF!</definedName>
    <definedName name="___________b70005" localSheetId="38">#REF!</definedName>
    <definedName name="___________b70005" localSheetId="31">#REF!</definedName>
    <definedName name="___________b70005" localSheetId="35">#REF!</definedName>
    <definedName name="___________b70005" localSheetId="39">#REF!</definedName>
    <definedName name="___________b70005" localSheetId="40">#REF!</definedName>
    <definedName name="___________b70005" localSheetId="36">#REF!</definedName>
    <definedName name="___________b70005" localSheetId="34">#REF!</definedName>
    <definedName name="___________b70005">#REF!</definedName>
    <definedName name="__________b70000" localSheetId="42">#REF!</definedName>
    <definedName name="__________b70000" localSheetId="33">#REF!</definedName>
    <definedName name="__________b70000" localSheetId="37">#REF!</definedName>
    <definedName name="__________b70000" localSheetId="38">#REF!</definedName>
    <definedName name="__________b70000" localSheetId="31">#REF!</definedName>
    <definedName name="__________b70000" localSheetId="35">#REF!</definedName>
    <definedName name="__________b70000" localSheetId="39">#REF!</definedName>
    <definedName name="__________b70000" localSheetId="40">#REF!</definedName>
    <definedName name="__________b70000" localSheetId="36">#REF!</definedName>
    <definedName name="__________b70000" localSheetId="34">#REF!</definedName>
    <definedName name="__________b70000">#REF!</definedName>
    <definedName name="__________b70005" localSheetId="42">#REF!</definedName>
    <definedName name="__________b70005" localSheetId="33">#REF!</definedName>
    <definedName name="__________b70005" localSheetId="37">#REF!</definedName>
    <definedName name="__________b70005" localSheetId="38">#REF!</definedName>
    <definedName name="__________b70005" localSheetId="31">#REF!</definedName>
    <definedName name="__________b70005" localSheetId="35">#REF!</definedName>
    <definedName name="__________b70005" localSheetId="39">#REF!</definedName>
    <definedName name="__________b70005" localSheetId="40">#REF!</definedName>
    <definedName name="__________b70005" localSheetId="36">#REF!</definedName>
    <definedName name="__________b70005" localSheetId="34">#REF!</definedName>
    <definedName name="__________b70005">#REF!</definedName>
    <definedName name="_________b70000" localSheetId="42">#REF!</definedName>
    <definedName name="_________b70000" localSheetId="33">#REF!</definedName>
    <definedName name="_________b70000" localSheetId="37">#REF!</definedName>
    <definedName name="_________b70000" localSheetId="38">#REF!</definedName>
    <definedName name="_________b70000" localSheetId="31">#REF!</definedName>
    <definedName name="_________b70000" localSheetId="35">#REF!</definedName>
    <definedName name="_________b70000" localSheetId="39">#REF!</definedName>
    <definedName name="_________b70000" localSheetId="40">#REF!</definedName>
    <definedName name="_________b70000" localSheetId="36">#REF!</definedName>
    <definedName name="_________b70000" localSheetId="34">#REF!</definedName>
    <definedName name="_________b70000">#REF!</definedName>
    <definedName name="_________b70005" localSheetId="42">#REF!</definedName>
    <definedName name="_________b70005" localSheetId="33">#REF!</definedName>
    <definedName name="_________b70005" localSheetId="37">#REF!</definedName>
    <definedName name="_________b70005" localSheetId="38">#REF!</definedName>
    <definedName name="_________b70005" localSheetId="31">#REF!</definedName>
    <definedName name="_________b70005" localSheetId="35">#REF!</definedName>
    <definedName name="_________b70005" localSheetId="39">#REF!</definedName>
    <definedName name="_________b70005" localSheetId="40">#REF!</definedName>
    <definedName name="_________b70005" localSheetId="36">#REF!</definedName>
    <definedName name="_________b70005" localSheetId="34">#REF!</definedName>
    <definedName name="_________b70005">#REF!</definedName>
    <definedName name="________b70000" localSheetId="42">#REF!</definedName>
    <definedName name="________b70000" localSheetId="33">#REF!</definedName>
    <definedName name="________b70000" localSheetId="37">#REF!</definedName>
    <definedName name="________b70000" localSheetId="38">#REF!</definedName>
    <definedName name="________b70000" localSheetId="31">#REF!</definedName>
    <definedName name="________b70000" localSheetId="35">#REF!</definedName>
    <definedName name="________b70000" localSheetId="39">#REF!</definedName>
    <definedName name="________b70000" localSheetId="40">#REF!</definedName>
    <definedName name="________b70000" localSheetId="36">#REF!</definedName>
    <definedName name="________b70000" localSheetId="34">#REF!</definedName>
    <definedName name="________b70000">#REF!</definedName>
    <definedName name="________b70005" localSheetId="42">#REF!</definedName>
    <definedName name="________b70005" localSheetId="33">#REF!</definedName>
    <definedName name="________b70005" localSheetId="37">#REF!</definedName>
    <definedName name="________b70005" localSheetId="38">#REF!</definedName>
    <definedName name="________b70005" localSheetId="31">#REF!</definedName>
    <definedName name="________b70005" localSheetId="35">#REF!</definedName>
    <definedName name="________b70005" localSheetId="39">#REF!</definedName>
    <definedName name="________b70005" localSheetId="40">#REF!</definedName>
    <definedName name="________b70005" localSheetId="36">#REF!</definedName>
    <definedName name="________b70005" localSheetId="34">#REF!</definedName>
    <definedName name="________b70005">#REF!</definedName>
    <definedName name="_______b70000" localSheetId="42">#REF!</definedName>
    <definedName name="_______b70000" localSheetId="33">#REF!</definedName>
    <definedName name="_______b70000" localSheetId="37">#REF!</definedName>
    <definedName name="_______b70000" localSheetId="38">#REF!</definedName>
    <definedName name="_______b70000" localSheetId="31">#REF!</definedName>
    <definedName name="_______b70000" localSheetId="35">#REF!</definedName>
    <definedName name="_______b70000" localSheetId="39">#REF!</definedName>
    <definedName name="_______b70000" localSheetId="40">#REF!</definedName>
    <definedName name="_______b70000" localSheetId="36">#REF!</definedName>
    <definedName name="_______b70000" localSheetId="34">#REF!</definedName>
    <definedName name="_______b70000">#REF!</definedName>
    <definedName name="_______b70005" localSheetId="42">#REF!</definedName>
    <definedName name="_______b70005" localSheetId="33">#REF!</definedName>
    <definedName name="_______b70005" localSheetId="37">#REF!</definedName>
    <definedName name="_______b70005" localSheetId="38">#REF!</definedName>
    <definedName name="_______b70005" localSheetId="31">#REF!</definedName>
    <definedName name="_______b70005" localSheetId="35">#REF!</definedName>
    <definedName name="_______b70005" localSheetId="39">#REF!</definedName>
    <definedName name="_______b70005" localSheetId="40">#REF!</definedName>
    <definedName name="_______b70005" localSheetId="36">#REF!</definedName>
    <definedName name="_______b70005" localSheetId="34">#REF!</definedName>
    <definedName name="_______b70005">#REF!</definedName>
    <definedName name="______b70000" localSheetId="42">#REF!</definedName>
    <definedName name="______b70000" localSheetId="33">#REF!</definedName>
    <definedName name="______b70000" localSheetId="37">#REF!</definedName>
    <definedName name="______b70000" localSheetId="38">#REF!</definedName>
    <definedName name="______b70000" localSheetId="31">#REF!</definedName>
    <definedName name="______b70000" localSheetId="35">#REF!</definedName>
    <definedName name="______b70000" localSheetId="39">#REF!</definedName>
    <definedName name="______b70000" localSheetId="40">#REF!</definedName>
    <definedName name="______b70000" localSheetId="36">#REF!</definedName>
    <definedName name="______b70000" localSheetId="34">#REF!</definedName>
    <definedName name="______b70000">#REF!</definedName>
    <definedName name="______b70005" localSheetId="42">#REF!</definedName>
    <definedName name="______b70005" localSheetId="33">#REF!</definedName>
    <definedName name="______b70005" localSheetId="37">#REF!</definedName>
    <definedName name="______b70005" localSheetId="38">#REF!</definedName>
    <definedName name="______b70005" localSheetId="31">#REF!</definedName>
    <definedName name="______b70005" localSheetId="35">#REF!</definedName>
    <definedName name="______b70005" localSheetId="39">#REF!</definedName>
    <definedName name="______b70005" localSheetId="40">#REF!</definedName>
    <definedName name="______b70005" localSheetId="36">#REF!</definedName>
    <definedName name="______b70005" localSheetId="34">#REF!</definedName>
    <definedName name="______b70005">#REF!</definedName>
    <definedName name="_____b70000" localSheetId="42">#REF!</definedName>
    <definedName name="_____b70000" localSheetId="33">#REF!</definedName>
    <definedName name="_____b70000" localSheetId="37">#REF!</definedName>
    <definedName name="_____b70000" localSheetId="38">#REF!</definedName>
    <definedName name="_____b70000" localSheetId="31">#REF!</definedName>
    <definedName name="_____b70000" localSheetId="35">#REF!</definedName>
    <definedName name="_____b70000" localSheetId="39">#REF!</definedName>
    <definedName name="_____b70000" localSheetId="40">#REF!</definedName>
    <definedName name="_____b70000" localSheetId="36">#REF!</definedName>
    <definedName name="_____b70000" localSheetId="34">#REF!</definedName>
    <definedName name="_____b70000">#REF!</definedName>
    <definedName name="_____b70005" localSheetId="42">#REF!</definedName>
    <definedName name="_____b70005" localSheetId="33">#REF!</definedName>
    <definedName name="_____b70005" localSheetId="37">#REF!</definedName>
    <definedName name="_____b70005" localSheetId="38">#REF!</definedName>
    <definedName name="_____b70005" localSheetId="31">#REF!</definedName>
    <definedName name="_____b70005" localSheetId="35">#REF!</definedName>
    <definedName name="_____b70005" localSheetId="39">#REF!</definedName>
    <definedName name="_____b70005" localSheetId="40">#REF!</definedName>
    <definedName name="_____b70005" localSheetId="36">#REF!</definedName>
    <definedName name="_____b70005" localSheetId="34">#REF!</definedName>
    <definedName name="_____b70005">#REF!</definedName>
    <definedName name="____b70000" localSheetId="42">#REF!</definedName>
    <definedName name="____b70000" localSheetId="33">#REF!</definedName>
    <definedName name="____b70000" localSheetId="37">#REF!</definedName>
    <definedName name="____b70000" localSheetId="38">#REF!</definedName>
    <definedName name="____b70000" localSheetId="31">#REF!</definedName>
    <definedName name="____b70000" localSheetId="35">#REF!</definedName>
    <definedName name="____b70000" localSheetId="39">#REF!</definedName>
    <definedName name="____b70000" localSheetId="40">#REF!</definedName>
    <definedName name="____b70000" localSheetId="36">#REF!</definedName>
    <definedName name="____b70000" localSheetId="34">#REF!</definedName>
    <definedName name="____b70000">#REF!</definedName>
    <definedName name="____b70005" localSheetId="42">#REF!</definedName>
    <definedName name="____b70005" localSheetId="33">#REF!</definedName>
    <definedName name="____b70005" localSheetId="37">#REF!</definedName>
    <definedName name="____b70005" localSheetId="38">#REF!</definedName>
    <definedName name="____b70005" localSheetId="31">#REF!</definedName>
    <definedName name="____b70005" localSheetId="35">#REF!</definedName>
    <definedName name="____b70005" localSheetId="39">#REF!</definedName>
    <definedName name="____b70005" localSheetId="40">#REF!</definedName>
    <definedName name="____b70005" localSheetId="36">#REF!</definedName>
    <definedName name="____b70005" localSheetId="34">#REF!</definedName>
    <definedName name="____b70005">#REF!</definedName>
    <definedName name="___b70000" localSheetId="42">#REF!</definedName>
    <definedName name="___b70000" localSheetId="33">#REF!</definedName>
    <definedName name="___b70000" localSheetId="37">#REF!</definedName>
    <definedName name="___b70000" localSheetId="38">#REF!</definedName>
    <definedName name="___b70000" localSheetId="31">#REF!</definedName>
    <definedName name="___b70000" localSheetId="35">#REF!</definedName>
    <definedName name="___b70000" localSheetId="39">#REF!</definedName>
    <definedName name="___b70000" localSheetId="40">#REF!</definedName>
    <definedName name="___b70000" localSheetId="36">#REF!</definedName>
    <definedName name="___b70000" localSheetId="34">#REF!</definedName>
    <definedName name="___b70000">#REF!</definedName>
    <definedName name="___b70005" localSheetId="42">#REF!</definedName>
    <definedName name="___b70005" localSheetId="33">#REF!</definedName>
    <definedName name="___b70005" localSheetId="37">#REF!</definedName>
    <definedName name="___b70005" localSheetId="38">#REF!</definedName>
    <definedName name="___b70005" localSheetId="31">#REF!</definedName>
    <definedName name="___b70005" localSheetId="35">#REF!</definedName>
    <definedName name="___b70005" localSheetId="39">#REF!</definedName>
    <definedName name="___b70005" localSheetId="40">#REF!</definedName>
    <definedName name="___b70005" localSheetId="36">#REF!</definedName>
    <definedName name="___b70005" localSheetId="34">#REF!</definedName>
    <definedName name="___b70005">#REF!</definedName>
    <definedName name="__b70000" localSheetId="42">#REF!</definedName>
    <definedName name="__b70000" localSheetId="33">#REF!</definedName>
    <definedName name="__b70000" localSheetId="37">#REF!</definedName>
    <definedName name="__b70000" localSheetId="38">#REF!</definedName>
    <definedName name="__b70000" localSheetId="31">#REF!</definedName>
    <definedName name="__b70000" localSheetId="35">#REF!</definedName>
    <definedName name="__b70000" localSheetId="39">#REF!</definedName>
    <definedName name="__b70000" localSheetId="40">#REF!</definedName>
    <definedName name="__b70000" localSheetId="36">#REF!</definedName>
    <definedName name="__b70000" localSheetId="34">#REF!</definedName>
    <definedName name="__b70000">#REF!</definedName>
    <definedName name="__b70005" localSheetId="42">#REF!</definedName>
    <definedName name="__b70005" localSheetId="33">#REF!</definedName>
    <definedName name="__b70005" localSheetId="37">#REF!</definedName>
    <definedName name="__b70005" localSheetId="38">#REF!</definedName>
    <definedName name="__b70005" localSheetId="31">#REF!</definedName>
    <definedName name="__b70005" localSheetId="35">#REF!</definedName>
    <definedName name="__b70005" localSheetId="39">#REF!</definedName>
    <definedName name="__b70005" localSheetId="40">#REF!</definedName>
    <definedName name="__b70005" localSheetId="36">#REF!</definedName>
    <definedName name="__b70005" localSheetId="34">#REF!</definedName>
    <definedName name="__b70005">#REF!</definedName>
    <definedName name="_b70000" localSheetId="42">#REF!</definedName>
    <definedName name="_b70000" localSheetId="33">#REF!</definedName>
    <definedName name="_b70000" localSheetId="37">#REF!</definedName>
    <definedName name="_b70000" localSheetId="38">#REF!</definedName>
    <definedName name="_b70000" localSheetId="31">#REF!</definedName>
    <definedName name="_b70000" localSheetId="35">#REF!</definedName>
    <definedName name="_b70000" localSheetId="39">#REF!</definedName>
    <definedName name="_b70000" localSheetId="40">#REF!</definedName>
    <definedName name="_b70000" localSheetId="36">#REF!</definedName>
    <definedName name="_b70000" localSheetId="34">#REF!</definedName>
    <definedName name="_b70000">#REF!</definedName>
    <definedName name="_b70005" localSheetId="42">#REF!</definedName>
    <definedName name="_b70005" localSheetId="33">#REF!</definedName>
    <definedName name="_b70005" localSheetId="37">#REF!</definedName>
    <definedName name="_b70005" localSheetId="38">#REF!</definedName>
    <definedName name="_b70005" localSheetId="31">#REF!</definedName>
    <definedName name="_b70005" localSheetId="35">#REF!</definedName>
    <definedName name="_b70005" localSheetId="39">#REF!</definedName>
    <definedName name="_b70005" localSheetId="40">#REF!</definedName>
    <definedName name="_b70005" localSheetId="36">#REF!</definedName>
    <definedName name="_b70005" localSheetId="34">#REF!</definedName>
    <definedName name="_b70005">#REF!</definedName>
    <definedName name="_xlnm._FilterDatabase" localSheetId="42" hidden="1">'Budget Amortissements'!$A$1:$N$241</definedName>
    <definedName name="ABATTEMENTNET" localSheetId="42">#REF!</definedName>
    <definedName name="ABATTEMENTNET" localSheetId="33">#REF!</definedName>
    <definedName name="ABATTEMENTNET" localSheetId="37">#REF!</definedName>
    <definedName name="ABATTEMENTNET" localSheetId="38">#REF!</definedName>
    <definedName name="ABATTEMENTNET" localSheetId="31">#REF!</definedName>
    <definedName name="ABATTEMENTNET" localSheetId="35">#REF!</definedName>
    <definedName name="ABATTEMENTNET" localSheetId="39">#REF!</definedName>
    <definedName name="ABATTEMENTNET" localSheetId="40">#REF!</definedName>
    <definedName name="ABATTEMENTNET" localSheetId="36">#REF!</definedName>
    <definedName name="ABATTEMENTNET" localSheetId="34">#REF!</definedName>
    <definedName name="ABATTEMENTNET">#REF!</definedName>
    <definedName name="ETIC_NORMAL" localSheetId="42">#REF!</definedName>
    <definedName name="ETIC_NORMAL" localSheetId="33">#REF!</definedName>
    <definedName name="ETIC_NORMAL" localSheetId="37">#REF!</definedName>
    <definedName name="ETIC_NORMAL" localSheetId="38">#REF!</definedName>
    <definedName name="ETIC_NORMAL" localSheetId="31">#REF!</definedName>
    <definedName name="ETIC_NORMAL" localSheetId="35">#REF!</definedName>
    <definedName name="ETIC_NORMAL" localSheetId="39">#REF!</definedName>
    <definedName name="ETIC_NORMAL" localSheetId="40">#REF!</definedName>
    <definedName name="ETIC_NORMAL" localSheetId="36">#REF!</definedName>
    <definedName name="ETIC_NORMAL" localSheetId="34">#REF!</definedName>
    <definedName name="ETIC_NORMAL">#REF!</definedName>
    <definedName name="ETIC_SIMPLIFIE" localSheetId="42">#REF!</definedName>
    <definedName name="ETIC_SIMPLIFIE" localSheetId="33">#REF!</definedName>
    <definedName name="ETIC_SIMPLIFIE" localSheetId="37">#REF!</definedName>
    <definedName name="ETIC_SIMPLIFIE" localSheetId="38">#REF!</definedName>
    <definedName name="ETIC_SIMPLIFIE" localSheetId="31">#REF!</definedName>
    <definedName name="ETIC_SIMPLIFIE" localSheetId="35">#REF!</definedName>
    <definedName name="ETIC_SIMPLIFIE" localSheetId="39">#REF!</definedName>
    <definedName name="ETIC_SIMPLIFIE" localSheetId="40">#REF!</definedName>
    <definedName name="ETIC_SIMPLIFIE" localSheetId="36">#REF!</definedName>
    <definedName name="ETIC_SIMPLIFIE" localSheetId="34">#REF!</definedName>
    <definedName name="ETIC_SIMPLIFIE">#REF!</definedName>
    <definedName name="EXCEDENTAMORT" localSheetId="42">#REF!</definedName>
    <definedName name="EXCEDENTAMORT" localSheetId="33">#REF!</definedName>
    <definedName name="EXCEDENTAMORT" localSheetId="37">#REF!</definedName>
    <definedName name="EXCEDENTAMORT" localSheetId="38">#REF!</definedName>
    <definedName name="EXCEDENTAMORT" localSheetId="31">#REF!</definedName>
    <definedName name="EXCEDENTAMORT" localSheetId="35">#REF!</definedName>
    <definedName name="EXCEDENTAMORT" localSheetId="39">#REF!</definedName>
    <definedName name="EXCEDENTAMORT" localSheetId="40">#REF!</definedName>
    <definedName name="EXCEDENTAMORT" localSheetId="36">#REF!</definedName>
    <definedName name="EXCEDENTAMORT" localSheetId="34">#REF!</definedName>
    <definedName name="EXCEDENTAMORT">#REF!</definedName>
    <definedName name="IR_NORMAL" localSheetId="42">#REF!</definedName>
    <definedName name="IR_NORMAL" localSheetId="33">#REF!</definedName>
    <definedName name="IR_NORMAL" localSheetId="37">#REF!</definedName>
    <definedName name="IR_NORMAL" localSheetId="38">#REF!</definedName>
    <definedName name="IR_NORMAL" localSheetId="31">#REF!</definedName>
    <definedName name="IR_NORMAL" localSheetId="35">#REF!</definedName>
    <definedName name="IR_NORMAL" localSheetId="39">#REF!</definedName>
    <definedName name="IR_NORMAL" localSheetId="40">#REF!</definedName>
    <definedName name="IR_NORMAL" localSheetId="36">#REF!</definedName>
    <definedName name="IR_NORMAL" localSheetId="34">#REF!</definedName>
    <definedName name="IR_NORMAL">#REF!</definedName>
    <definedName name="IR_SIMPLIFIE" localSheetId="42">#REF!</definedName>
    <definedName name="IR_SIMPLIFIE" localSheetId="33">#REF!</definedName>
    <definedName name="IR_SIMPLIFIE" localSheetId="37">#REF!</definedName>
    <definedName name="IR_SIMPLIFIE" localSheetId="38">#REF!</definedName>
    <definedName name="IR_SIMPLIFIE" localSheetId="31">#REF!</definedName>
    <definedName name="IR_SIMPLIFIE" localSheetId="35">#REF!</definedName>
    <definedName name="IR_SIMPLIFIE" localSheetId="39">#REF!</definedName>
    <definedName name="IR_SIMPLIFIE" localSheetId="40">#REF!</definedName>
    <definedName name="IR_SIMPLIFIE" localSheetId="36">#REF!</definedName>
    <definedName name="IR_SIMPLIFIE" localSheetId="34">#REF!</definedName>
    <definedName name="IR_SIMPLIFIE">#REF!</definedName>
    <definedName name="IS_NORMAL" localSheetId="42">#REF!</definedName>
    <definedName name="IS_NORMAL" localSheetId="33">#REF!</definedName>
    <definedName name="IS_NORMAL" localSheetId="37">#REF!</definedName>
    <definedName name="IS_NORMAL" localSheetId="38">#REF!</definedName>
    <definedName name="IS_NORMAL" localSheetId="31">#REF!</definedName>
    <definedName name="IS_NORMAL" localSheetId="35">#REF!</definedName>
    <definedName name="IS_NORMAL" localSheetId="39">#REF!</definedName>
    <definedName name="IS_NORMAL" localSheetId="40">#REF!</definedName>
    <definedName name="IS_NORMAL" localSheetId="36">#REF!</definedName>
    <definedName name="IS_NORMAL" localSheetId="34">#REF!</definedName>
    <definedName name="IS_NORMAL">#REF!</definedName>
    <definedName name="IS_Simplifie" localSheetId="42">#REF!</definedName>
    <definedName name="IS_Simplifie" localSheetId="33">#REF!</definedName>
    <definedName name="IS_Simplifie" localSheetId="37">#REF!</definedName>
    <definedName name="IS_Simplifie" localSheetId="38">#REF!</definedName>
    <definedName name="IS_Simplifie" localSheetId="31">#REF!</definedName>
    <definedName name="IS_Simplifie" localSheetId="35">#REF!</definedName>
    <definedName name="IS_Simplifie" localSheetId="39">#REF!</definedName>
    <definedName name="IS_Simplifie" localSheetId="40">#REF!</definedName>
    <definedName name="IS_Simplifie" localSheetId="36">#REF!</definedName>
    <definedName name="IS_Simplifie" localSheetId="34">#REF!</definedName>
    <definedName name="IS_Simplifie">#REF!</definedName>
    <definedName name="MAQ" localSheetId="42">#REF!</definedName>
    <definedName name="MAQ" localSheetId="33">#REF!</definedName>
    <definedName name="MAQ" localSheetId="37">#REF!</definedName>
    <definedName name="MAQ" localSheetId="38">#REF!</definedName>
    <definedName name="MAQ" localSheetId="31">#REF!</definedName>
    <definedName name="MAQ" localSheetId="35">#REF!</definedName>
    <definedName name="MAQ" localSheetId="39">#REF!</definedName>
    <definedName name="MAQ" localSheetId="40">#REF!</definedName>
    <definedName name="MAQ" localSheetId="36">#REF!</definedName>
    <definedName name="MAQ" localSheetId="34">#REF!</definedName>
    <definedName name="MAQ">#REF!</definedName>
    <definedName name="NBTITRE" localSheetId="42">#REF!</definedName>
    <definedName name="NBTITRE" localSheetId="33">#REF!</definedName>
    <definedName name="NBTITRE" localSheetId="37">#REF!</definedName>
    <definedName name="NBTITRE" localSheetId="38">#REF!</definedName>
    <definedName name="NBTITRE" localSheetId="31">#REF!</definedName>
    <definedName name="NBTITRE" localSheetId="35">#REF!</definedName>
    <definedName name="NBTITRE" localSheetId="39">#REF!</definedName>
    <definedName name="NBTITRE" localSheetId="40">#REF!</definedName>
    <definedName name="NBTITRE" localSheetId="36">#REF!</definedName>
    <definedName name="NBTITRE" localSheetId="34">#REF!</definedName>
    <definedName name="NBTITRE">#REF!</definedName>
    <definedName name="NBTITREPREC" localSheetId="42">#REF!</definedName>
    <definedName name="NBTITREPREC" localSheetId="33">#REF!</definedName>
    <definedName name="NBTITREPREC" localSheetId="37">#REF!</definedName>
    <definedName name="NBTITREPREC" localSheetId="38">#REF!</definedName>
    <definedName name="NBTITREPREC" localSheetId="31">#REF!</definedName>
    <definedName name="NBTITREPREC" localSheetId="35">#REF!</definedName>
    <definedName name="NBTITREPREC" localSheetId="39">#REF!</definedName>
    <definedName name="NBTITREPREC" localSheetId="40">#REF!</definedName>
    <definedName name="NBTITREPREC" localSheetId="36">#REF!</definedName>
    <definedName name="NBTITREPREC" localSheetId="34">#REF!</definedName>
    <definedName name="NBTITREPREC">#REF!</definedName>
    <definedName name="TABMATRICE" localSheetId="42">#REF!</definedName>
    <definedName name="TABMATRICE" localSheetId="33">#REF!</definedName>
    <definedName name="TABMATRICE" localSheetId="37">#REF!</definedName>
    <definedName name="TABMATRICE" localSheetId="38">#REF!</definedName>
    <definedName name="TABMATRICE" localSheetId="31">#REF!</definedName>
    <definedName name="TABMATRICE" localSheetId="35">#REF!</definedName>
    <definedName name="TABMATRICE" localSheetId="39">#REF!</definedName>
    <definedName name="TABMATRICE" localSheetId="40">#REF!</definedName>
    <definedName name="TABMATRICE" localSheetId="36">#REF!</definedName>
    <definedName name="TABMATRICE" localSheetId="34">#REF!</definedName>
    <definedName name="TABMATRICE">#REF!</definedName>
    <definedName name="_xlnm.Print_Area" localSheetId="42">'Budget Amortissements'!$B$1:$K$271</definedName>
  </definedNames>
  <calcPr calcId="191029"/>
  <pivotCaches>
    <pivotCache cacheId="0" r:id="rId5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3" l="1"/>
  <c r="C92" i="27"/>
  <c r="D92" i="27"/>
  <c r="E92" i="27"/>
  <c r="F92" i="27"/>
  <c r="G92" i="27"/>
  <c r="H92" i="27"/>
  <c r="I92" i="27"/>
  <c r="J92" i="27"/>
  <c r="K92" i="27"/>
  <c r="L92" i="27"/>
  <c r="M92" i="27"/>
  <c r="N92" i="27"/>
  <c r="B92" i="27"/>
  <c r="C71" i="27"/>
  <c r="D71" i="27"/>
  <c r="E71" i="27"/>
  <c r="F71" i="27"/>
  <c r="G71" i="27"/>
  <c r="H71" i="27"/>
  <c r="I71" i="27"/>
  <c r="J71" i="27"/>
  <c r="K71" i="27"/>
  <c r="L71" i="27"/>
  <c r="M71" i="27"/>
  <c r="N71" i="27"/>
  <c r="B71" i="27"/>
  <c r="C50" i="27"/>
  <c r="D50" i="27"/>
  <c r="E50" i="27"/>
  <c r="F50" i="27"/>
  <c r="G50" i="27"/>
  <c r="H50" i="27"/>
  <c r="I50" i="27"/>
  <c r="J50" i="27"/>
  <c r="K50" i="27"/>
  <c r="L50" i="27"/>
  <c r="M50" i="27"/>
  <c r="N50" i="27"/>
  <c r="B50" i="27"/>
  <c r="C29" i="27"/>
  <c r="D29" i="27"/>
  <c r="E29" i="27"/>
  <c r="F29" i="27"/>
  <c r="G29" i="27"/>
  <c r="H29" i="27"/>
  <c r="I29" i="27"/>
  <c r="J29" i="27"/>
  <c r="K29" i="27"/>
  <c r="L29" i="27"/>
  <c r="M29" i="27"/>
  <c r="N29" i="27"/>
  <c r="B29" i="27"/>
  <c r="C3" i="25"/>
  <c r="C3" i="24"/>
  <c r="C8" i="27"/>
  <c r="D8" i="27"/>
  <c r="D9" i="27" s="1"/>
  <c r="D6" i="3" s="1"/>
  <c r="E8" i="27"/>
  <c r="E9" i="27" s="1"/>
  <c r="E6" i="3" s="1"/>
  <c r="F8" i="27"/>
  <c r="F9" i="27" s="1"/>
  <c r="F6" i="3" s="1"/>
  <c r="G8" i="27"/>
  <c r="G9" i="27" s="1"/>
  <c r="G6" i="3" s="1"/>
  <c r="H8" i="27"/>
  <c r="H9" i="27" s="1"/>
  <c r="H6" i="3" s="1"/>
  <c r="I8" i="27"/>
  <c r="I9" i="27" s="1"/>
  <c r="I6" i="3" s="1"/>
  <c r="J8" i="27"/>
  <c r="J9" i="27" s="1"/>
  <c r="J6" i="3" s="1"/>
  <c r="K8" i="27"/>
  <c r="K9" i="27" s="1"/>
  <c r="K6" i="3" s="1"/>
  <c r="L8" i="27"/>
  <c r="L9" i="27" s="1"/>
  <c r="L6" i="3" s="1"/>
  <c r="M8" i="27"/>
  <c r="M9" i="27" s="1"/>
  <c r="M6" i="3" s="1"/>
  <c r="N8" i="27"/>
  <c r="B8" i="27"/>
  <c r="B9" i="27" s="1"/>
  <c r="B6" i="3" s="1"/>
  <c r="B4" i="3"/>
  <c r="C9" i="27"/>
  <c r="C6" i="3" s="1"/>
  <c r="F9" i="76"/>
  <c r="G9" i="76"/>
  <c r="H9" i="76"/>
  <c r="I9" i="76"/>
  <c r="J9" i="76"/>
  <c r="N9" i="76" s="1"/>
  <c r="K9" i="76"/>
  <c r="L9" i="76"/>
  <c r="M9" i="76"/>
  <c r="E9" i="76"/>
  <c r="C4" i="3"/>
  <c r="D4" i="3"/>
  <c r="E4" i="3"/>
  <c r="F4" i="3"/>
  <c r="G4" i="3"/>
  <c r="H4" i="3"/>
  <c r="I4" i="3"/>
  <c r="J4" i="3"/>
  <c r="K4" i="3"/>
  <c r="L4" i="3"/>
  <c r="M4" i="3"/>
  <c r="N4" i="3"/>
  <c r="C5" i="3"/>
  <c r="D5" i="3"/>
  <c r="E5" i="3"/>
  <c r="F5" i="3"/>
  <c r="G5" i="3"/>
  <c r="H5" i="3"/>
  <c r="I5" i="3"/>
  <c r="J5" i="3"/>
  <c r="K5" i="3"/>
  <c r="L5" i="3"/>
  <c r="M5" i="3"/>
  <c r="B5" i="3"/>
  <c r="C110" i="76"/>
  <c r="D110" i="76"/>
  <c r="E110" i="76"/>
  <c r="F110" i="76"/>
  <c r="G110" i="76"/>
  <c r="H110" i="76"/>
  <c r="I110" i="76"/>
  <c r="J110" i="76"/>
  <c r="K110" i="76"/>
  <c r="L110" i="76"/>
  <c r="M110" i="76"/>
  <c r="C107" i="76"/>
  <c r="D107" i="76"/>
  <c r="E107" i="76"/>
  <c r="E106" i="76" s="1"/>
  <c r="E107" i="75" s="1"/>
  <c r="F107" i="76"/>
  <c r="G107" i="76"/>
  <c r="H107" i="76"/>
  <c r="I107" i="76"/>
  <c r="J107" i="76"/>
  <c r="K107" i="76"/>
  <c r="L107" i="76"/>
  <c r="M107" i="76"/>
  <c r="C104" i="76"/>
  <c r="D104" i="76"/>
  <c r="E104" i="76"/>
  <c r="F104" i="76"/>
  <c r="G104" i="76"/>
  <c r="G103" i="76" s="1"/>
  <c r="G104" i="75" s="1"/>
  <c r="G103" i="75" s="1"/>
  <c r="H104" i="76"/>
  <c r="I104" i="76"/>
  <c r="J104" i="76"/>
  <c r="K104" i="76"/>
  <c r="L104" i="76"/>
  <c r="M104" i="76"/>
  <c r="C101" i="76"/>
  <c r="D101" i="76"/>
  <c r="E101" i="76"/>
  <c r="F101" i="76"/>
  <c r="G101" i="76"/>
  <c r="H101" i="76"/>
  <c r="I101" i="76"/>
  <c r="J101" i="76"/>
  <c r="K101" i="76"/>
  <c r="L101" i="76"/>
  <c r="M101" i="76"/>
  <c r="C98" i="76"/>
  <c r="D98" i="76"/>
  <c r="E98" i="76"/>
  <c r="F98" i="76"/>
  <c r="G98" i="76"/>
  <c r="H98" i="76"/>
  <c r="I98" i="76"/>
  <c r="J98" i="76"/>
  <c r="K98" i="76"/>
  <c r="L98" i="76"/>
  <c r="M98" i="76"/>
  <c r="C95" i="76"/>
  <c r="D95" i="76"/>
  <c r="E95" i="76"/>
  <c r="F95" i="76"/>
  <c r="G95" i="76"/>
  <c r="H95" i="76"/>
  <c r="I95" i="76"/>
  <c r="J95" i="76"/>
  <c r="K95" i="76"/>
  <c r="L95" i="76"/>
  <c r="M95" i="76"/>
  <c r="C89" i="76"/>
  <c r="D89" i="76"/>
  <c r="E89" i="76"/>
  <c r="F89" i="76"/>
  <c r="G89" i="76"/>
  <c r="H89" i="76"/>
  <c r="I89" i="76"/>
  <c r="J89" i="76"/>
  <c r="K89" i="76"/>
  <c r="L89" i="76"/>
  <c r="M89" i="76"/>
  <c r="C86" i="76"/>
  <c r="D86" i="76"/>
  <c r="E86" i="76"/>
  <c r="E85" i="76" s="1"/>
  <c r="E86" i="75" s="1"/>
  <c r="E85" i="75" s="1"/>
  <c r="F86" i="76"/>
  <c r="G86" i="76"/>
  <c r="H86" i="76"/>
  <c r="I86" i="76"/>
  <c r="J86" i="76"/>
  <c r="K86" i="76"/>
  <c r="L86" i="76"/>
  <c r="M86" i="76"/>
  <c r="C83" i="76"/>
  <c r="D83" i="76"/>
  <c r="E83" i="76"/>
  <c r="F83" i="76"/>
  <c r="G83" i="76"/>
  <c r="H83" i="76"/>
  <c r="I83" i="76"/>
  <c r="J83" i="76"/>
  <c r="K83" i="76"/>
  <c r="L83" i="76"/>
  <c r="M83" i="76"/>
  <c r="C80" i="76"/>
  <c r="D80" i="76"/>
  <c r="E80" i="76"/>
  <c r="E79" i="76" s="1"/>
  <c r="E80" i="75" s="1"/>
  <c r="E79" i="75" s="1"/>
  <c r="F80" i="76"/>
  <c r="G80" i="76"/>
  <c r="H80" i="76"/>
  <c r="I80" i="76"/>
  <c r="J80" i="76"/>
  <c r="K80" i="76"/>
  <c r="L80" i="76"/>
  <c r="M80" i="76"/>
  <c r="C77" i="76"/>
  <c r="D77" i="76"/>
  <c r="E77" i="76"/>
  <c r="F77" i="76"/>
  <c r="G77" i="76"/>
  <c r="H77" i="76"/>
  <c r="I77" i="76"/>
  <c r="J77" i="76"/>
  <c r="K77" i="76"/>
  <c r="L77" i="76"/>
  <c r="M77" i="76"/>
  <c r="C74" i="76"/>
  <c r="C73" i="76" s="1"/>
  <c r="C74" i="75" s="1"/>
  <c r="C73" i="75" s="1"/>
  <c r="D74" i="76"/>
  <c r="E74" i="76"/>
  <c r="F74" i="76"/>
  <c r="G74" i="76"/>
  <c r="H74" i="76"/>
  <c r="I74" i="76"/>
  <c r="J74" i="76"/>
  <c r="K74" i="76"/>
  <c r="L74" i="76"/>
  <c r="M74" i="76"/>
  <c r="C68" i="76"/>
  <c r="D68" i="76"/>
  <c r="E68" i="76"/>
  <c r="F68" i="76"/>
  <c r="G68" i="76"/>
  <c r="H68" i="76"/>
  <c r="I68" i="76"/>
  <c r="J68" i="76"/>
  <c r="K68" i="76"/>
  <c r="L68" i="76"/>
  <c r="M68" i="76"/>
  <c r="C65" i="76"/>
  <c r="D65" i="76"/>
  <c r="E65" i="76"/>
  <c r="F65" i="76"/>
  <c r="G65" i="76"/>
  <c r="H65" i="76"/>
  <c r="I65" i="76"/>
  <c r="J65" i="76"/>
  <c r="K65" i="76"/>
  <c r="L65" i="76"/>
  <c r="M65" i="76"/>
  <c r="C62" i="76"/>
  <c r="D62" i="76"/>
  <c r="E62" i="76"/>
  <c r="E61" i="76" s="1"/>
  <c r="E62" i="75" s="1"/>
  <c r="F62" i="76"/>
  <c r="G62" i="76"/>
  <c r="H62" i="76"/>
  <c r="I62" i="76"/>
  <c r="J62" i="76"/>
  <c r="K62" i="76"/>
  <c r="L62" i="76"/>
  <c r="M62" i="76"/>
  <c r="C59" i="76"/>
  <c r="D59" i="76"/>
  <c r="E59" i="76"/>
  <c r="F59" i="76"/>
  <c r="G59" i="76"/>
  <c r="H59" i="76"/>
  <c r="I59" i="76"/>
  <c r="J59" i="76"/>
  <c r="K59" i="76"/>
  <c r="L59" i="76"/>
  <c r="M59" i="76"/>
  <c r="C56" i="76"/>
  <c r="C55" i="76" s="1"/>
  <c r="C56" i="75" s="1"/>
  <c r="C55" i="75" s="1"/>
  <c r="D56" i="76"/>
  <c r="E56" i="76"/>
  <c r="F56" i="76"/>
  <c r="G56" i="76"/>
  <c r="H56" i="76"/>
  <c r="I56" i="76"/>
  <c r="J56" i="76"/>
  <c r="K56" i="76"/>
  <c r="L56" i="76"/>
  <c r="M56" i="76"/>
  <c r="C53" i="76"/>
  <c r="D53" i="76"/>
  <c r="E53" i="76"/>
  <c r="F53" i="76"/>
  <c r="G53" i="76"/>
  <c r="H53" i="76"/>
  <c r="I53" i="76"/>
  <c r="J53" i="76"/>
  <c r="K53" i="76"/>
  <c r="L53" i="76"/>
  <c r="M53" i="76"/>
  <c r="C47" i="76"/>
  <c r="D47" i="76"/>
  <c r="E47" i="76"/>
  <c r="E46" i="76" s="1"/>
  <c r="E47" i="75" s="1"/>
  <c r="E46" i="75" s="1"/>
  <c r="F47" i="76"/>
  <c r="G47" i="76"/>
  <c r="H47" i="76"/>
  <c r="I47" i="76"/>
  <c r="J47" i="76"/>
  <c r="K47" i="76"/>
  <c r="L47" i="76"/>
  <c r="M47" i="76"/>
  <c r="C44" i="76"/>
  <c r="D44" i="76"/>
  <c r="E44" i="76"/>
  <c r="E43" i="76" s="1"/>
  <c r="E44" i="75" s="1"/>
  <c r="E43" i="75" s="1"/>
  <c r="F44" i="76"/>
  <c r="G44" i="76"/>
  <c r="H44" i="76"/>
  <c r="I44" i="76"/>
  <c r="J44" i="76"/>
  <c r="K44" i="76"/>
  <c r="L44" i="76"/>
  <c r="M44" i="76"/>
  <c r="C41" i="76"/>
  <c r="D41" i="76"/>
  <c r="E41" i="76"/>
  <c r="F41" i="76"/>
  <c r="G41" i="76"/>
  <c r="H41" i="76"/>
  <c r="I41" i="76"/>
  <c r="J41" i="76"/>
  <c r="K41" i="76"/>
  <c r="L41" i="76"/>
  <c r="M41" i="76"/>
  <c r="C38" i="76"/>
  <c r="D38" i="76"/>
  <c r="E38" i="76"/>
  <c r="F38" i="76"/>
  <c r="G38" i="76"/>
  <c r="H38" i="76"/>
  <c r="I38" i="76"/>
  <c r="J38" i="76"/>
  <c r="K38" i="76"/>
  <c r="L38" i="76"/>
  <c r="M38" i="76"/>
  <c r="C35" i="76"/>
  <c r="D35" i="76"/>
  <c r="E35" i="76"/>
  <c r="F35" i="76"/>
  <c r="G35" i="76"/>
  <c r="H35" i="76"/>
  <c r="I35" i="76"/>
  <c r="J35" i="76"/>
  <c r="K35" i="76"/>
  <c r="L35" i="76"/>
  <c r="M35" i="76"/>
  <c r="C32" i="76"/>
  <c r="D32" i="76"/>
  <c r="E32" i="76"/>
  <c r="F32" i="76"/>
  <c r="G32" i="76"/>
  <c r="H32" i="76"/>
  <c r="I32" i="76"/>
  <c r="J32" i="76"/>
  <c r="K32" i="76"/>
  <c r="L32" i="76"/>
  <c r="M32" i="76"/>
  <c r="C26" i="76"/>
  <c r="D26" i="76"/>
  <c r="E26" i="76"/>
  <c r="F26" i="76"/>
  <c r="G26" i="76"/>
  <c r="H26" i="76"/>
  <c r="I26" i="76"/>
  <c r="J26" i="76"/>
  <c r="K26" i="76"/>
  <c r="L26" i="76"/>
  <c r="M26" i="76"/>
  <c r="C23" i="76"/>
  <c r="D23" i="76"/>
  <c r="E23" i="76"/>
  <c r="F23" i="76"/>
  <c r="G23" i="76"/>
  <c r="H23" i="76"/>
  <c r="I23" i="76"/>
  <c r="J23" i="76"/>
  <c r="K23" i="76"/>
  <c r="L23" i="76"/>
  <c r="M23" i="76"/>
  <c r="C20" i="76"/>
  <c r="D20" i="76"/>
  <c r="E20" i="76"/>
  <c r="F20" i="76"/>
  <c r="G20" i="76"/>
  <c r="H20" i="76"/>
  <c r="I20" i="76"/>
  <c r="J20" i="76"/>
  <c r="K20" i="76"/>
  <c r="L20" i="76"/>
  <c r="M20" i="76"/>
  <c r="C17" i="76"/>
  <c r="D17" i="76"/>
  <c r="E17" i="76"/>
  <c r="F17" i="76"/>
  <c r="G17" i="76"/>
  <c r="G16" i="76" s="1"/>
  <c r="G17" i="75" s="1"/>
  <c r="G16" i="75" s="1"/>
  <c r="G8" i="44" s="1"/>
  <c r="H17" i="76"/>
  <c r="H16" i="76" s="1"/>
  <c r="H17" i="75" s="1"/>
  <c r="H16" i="75" s="1"/>
  <c r="H8" i="44" s="1"/>
  <c r="I17" i="76"/>
  <c r="J17" i="76"/>
  <c r="K17" i="76"/>
  <c r="L17" i="76"/>
  <c r="M17" i="76"/>
  <c r="B20" i="76"/>
  <c r="B19" i="76" s="1"/>
  <c r="B20" i="75" s="1"/>
  <c r="B22" i="76"/>
  <c r="B23" i="76"/>
  <c r="B26" i="76"/>
  <c r="D25" i="76" s="1"/>
  <c r="D26" i="75" s="1"/>
  <c r="B32" i="76"/>
  <c r="B29" i="76" s="1"/>
  <c r="B35" i="76"/>
  <c r="B34" i="76" s="1"/>
  <c r="B35" i="75" s="1"/>
  <c r="B34" i="75" s="1"/>
  <c r="B38" i="76"/>
  <c r="B37" i="76" s="1"/>
  <c r="B38" i="75" s="1"/>
  <c r="B37" i="75" s="1"/>
  <c r="B40" i="76"/>
  <c r="B41" i="75" s="1"/>
  <c r="B40" i="75" s="1"/>
  <c r="B41" i="76"/>
  <c r="B44" i="76"/>
  <c r="B43" i="76" s="1"/>
  <c r="B44" i="75" s="1"/>
  <c r="B43" i="75" s="1"/>
  <c r="B47" i="76"/>
  <c r="B46" i="76" s="1"/>
  <c r="B47" i="75" s="1"/>
  <c r="B46" i="75" s="1"/>
  <c r="B53" i="76"/>
  <c r="B56" i="76"/>
  <c r="B55" i="76" s="1"/>
  <c r="B56" i="75" s="1"/>
  <c r="B55" i="75" s="1"/>
  <c r="B58" i="76"/>
  <c r="B59" i="76"/>
  <c r="B62" i="76"/>
  <c r="B61" i="76" s="1"/>
  <c r="B62" i="75" s="1"/>
  <c r="B61" i="75" s="1"/>
  <c r="B64" i="76"/>
  <c r="B65" i="76"/>
  <c r="B67" i="76"/>
  <c r="B68" i="76"/>
  <c r="B74" i="76"/>
  <c r="B77" i="76"/>
  <c r="B76" i="76" s="1"/>
  <c r="B77" i="75" s="1"/>
  <c r="B76" i="75" s="1"/>
  <c r="B80" i="76"/>
  <c r="B79" i="76" s="1"/>
  <c r="B80" i="75" s="1"/>
  <c r="B79" i="75" s="1"/>
  <c r="B83" i="76"/>
  <c r="B86" i="76"/>
  <c r="B85" i="76" s="1"/>
  <c r="B86" i="75" s="1"/>
  <c r="B85" i="75" s="1"/>
  <c r="B89" i="76"/>
  <c r="B88" i="76" s="1"/>
  <c r="B89" i="75" s="1"/>
  <c r="B88" i="75" s="1"/>
  <c r="B95" i="76"/>
  <c r="B94" i="76" s="1"/>
  <c r="B98" i="76"/>
  <c r="B97" i="76" s="1"/>
  <c r="B98" i="75" s="1"/>
  <c r="B100" i="76"/>
  <c r="B101" i="75" s="1"/>
  <c r="B100" i="75" s="1"/>
  <c r="B101" i="76"/>
  <c r="B104" i="76"/>
  <c r="B103" i="76" s="1"/>
  <c r="B104" i="75" s="1"/>
  <c r="B103" i="75" s="1"/>
  <c r="B107" i="76"/>
  <c r="B110" i="76"/>
  <c r="B109" i="76" s="1"/>
  <c r="B110" i="75" s="1"/>
  <c r="B23" i="75"/>
  <c r="B22" i="75" s="1"/>
  <c r="B65" i="75"/>
  <c r="D88" i="76"/>
  <c r="D89" i="75" s="1"/>
  <c r="D88" i="75" s="1"/>
  <c r="C14" i="76"/>
  <c r="D14" i="76"/>
  <c r="E14" i="76"/>
  <c r="F14" i="76"/>
  <c r="G14" i="76"/>
  <c r="H14" i="76"/>
  <c r="I14" i="76"/>
  <c r="J14" i="76"/>
  <c r="K14" i="76"/>
  <c r="L14" i="76"/>
  <c r="M14" i="76"/>
  <c r="C11" i="76"/>
  <c r="D11" i="76"/>
  <c r="E11" i="76"/>
  <c r="F11" i="76"/>
  <c r="G11" i="76"/>
  <c r="H11" i="76"/>
  <c r="I11" i="76"/>
  <c r="J11" i="76"/>
  <c r="K11" i="76"/>
  <c r="L11" i="76"/>
  <c r="M11" i="76"/>
  <c r="C110" i="27"/>
  <c r="D110" i="27"/>
  <c r="E110" i="27"/>
  <c r="F110" i="27"/>
  <c r="G110" i="27"/>
  <c r="H110" i="27"/>
  <c r="I110" i="27"/>
  <c r="J110" i="27"/>
  <c r="K110" i="27"/>
  <c r="L110" i="27"/>
  <c r="M110" i="27"/>
  <c r="C107" i="27"/>
  <c r="D107" i="27"/>
  <c r="E107" i="27"/>
  <c r="F107" i="27"/>
  <c r="G107" i="27"/>
  <c r="H107" i="27"/>
  <c r="I107" i="27"/>
  <c r="J107" i="27"/>
  <c r="K107" i="27"/>
  <c r="L107" i="27"/>
  <c r="M107" i="27"/>
  <c r="C104" i="27"/>
  <c r="D104" i="27"/>
  <c r="E104" i="27"/>
  <c r="F104" i="27"/>
  <c r="G104" i="27"/>
  <c r="H104" i="27"/>
  <c r="I104" i="27"/>
  <c r="J104" i="27"/>
  <c r="K104" i="27"/>
  <c r="L104" i="27"/>
  <c r="M104" i="27"/>
  <c r="C101" i="27"/>
  <c r="D101" i="27"/>
  <c r="E101" i="27"/>
  <c r="F101" i="27"/>
  <c r="G101" i="27"/>
  <c r="H101" i="27"/>
  <c r="I101" i="27"/>
  <c r="J101" i="27"/>
  <c r="K101" i="27"/>
  <c r="L101" i="27"/>
  <c r="M101" i="27"/>
  <c r="C98" i="27"/>
  <c r="D98" i="27"/>
  <c r="E98" i="27"/>
  <c r="F98" i="27"/>
  <c r="G98" i="27"/>
  <c r="H98" i="27"/>
  <c r="I98" i="27"/>
  <c r="J98" i="27"/>
  <c r="K98" i="27"/>
  <c r="L98" i="27"/>
  <c r="M98" i="27"/>
  <c r="C95" i="27"/>
  <c r="D95" i="27"/>
  <c r="E95" i="27"/>
  <c r="F95" i="27"/>
  <c r="G95" i="27"/>
  <c r="H95" i="27"/>
  <c r="I95" i="27"/>
  <c r="J95" i="27"/>
  <c r="K95" i="27"/>
  <c r="L95" i="27"/>
  <c r="M95" i="27"/>
  <c r="C89" i="27"/>
  <c r="D89" i="27"/>
  <c r="E89" i="27"/>
  <c r="F89" i="27"/>
  <c r="G89" i="27"/>
  <c r="H89" i="27"/>
  <c r="I89" i="27"/>
  <c r="J89" i="27"/>
  <c r="K89" i="27"/>
  <c r="L89" i="27"/>
  <c r="M89" i="27"/>
  <c r="C86" i="27"/>
  <c r="D86" i="27"/>
  <c r="E86" i="27"/>
  <c r="F86" i="27"/>
  <c r="G86" i="27"/>
  <c r="H86" i="27"/>
  <c r="I86" i="27"/>
  <c r="J86" i="27"/>
  <c r="K86" i="27"/>
  <c r="L86" i="27"/>
  <c r="M86" i="27"/>
  <c r="C83" i="27"/>
  <c r="D83" i="27"/>
  <c r="E83" i="27"/>
  <c r="F83" i="27"/>
  <c r="G83" i="27"/>
  <c r="H83" i="27"/>
  <c r="I83" i="27"/>
  <c r="J83" i="27"/>
  <c r="K83" i="27"/>
  <c r="L83" i="27"/>
  <c r="M83" i="27"/>
  <c r="C80" i="27"/>
  <c r="D80" i="27"/>
  <c r="E80" i="27"/>
  <c r="F80" i="27"/>
  <c r="G80" i="27"/>
  <c r="H80" i="27"/>
  <c r="I80" i="27"/>
  <c r="J80" i="27"/>
  <c r="K80" i="27"/>
  <c r="L80" i="27"/>
  <c r="M80" i="27"/>
  <c r="C77" i="27"/>
  <c r="D77" i="27"/>
  <c r="E77" i="27"/>
  <c r="F77" i="27"/>
  <c r="G77" i="27"/>
  <c r="H77" i="27"/>
  <c r="I77" i="27"/>
  <c r="J77" i="27"/>
  <c r="K77" i="27"/>
  <c r="L77" i="27"/>
  <c r="M77" i="27"/>
  <c r="C74" i="27"/>
  <c r="D74" i="27"/>
  <c r="E74" i="27"/>
  <c r="F74" i="27"/>
  <c r="G74" i="27"/>
  <c r="H74" i="27"/>
  <c r="I74" i="27"/>
  <c r="J74" i="27"/>
  <c r="K74" i="27"/>
  <c r="L74" i="27"/>
  <c r="M74" i="27"/>
  <c r="C68" i="27"/>
  <c r="D68" i="27"/>
  <c r="E68" i="27"/>
  <c r="F68" i="27"/>
  <c r="G68" i="27"/>
  <c r="H68" i="27"/>
  <c r="I68" i="27"/>
  <c r="J68" i="27"/>
  <c r="K68" i="27"/>
  <c r="L68" i="27"/>
  <c r="M68" i="27"/>
  <c r="C65" i="27"/>
  <c r="D65" i="27"/>
  <c r="E65" i="27"/>
  <c r="F65" i="27"/>
  <c r="G65" i="27"/>
  <c r="H65" i="27"/>
  <c r="I65" i="27"/>
  <c r="J65" i="27"/>
  <c r="K65" i="27"/>
  <c r="L65" i="27"/>
  <c r="M65" i="27"/>
  <c r="C62" i="27"/>
  <c r="D62" i="27"/>
  <c r="E62" i="27"/>
  <c r="F62" i="27"/>
  <c r="G62" i="27"/>
  <c r="H62" i="27"/>
  <c r="I62" i="27"/>
  <c r="J62" i="27"/>
  <c r="K62" i="27"/>
  <c r="L62" i="27"/>
  <c r="M62" i="27"/>
  <c r="C59" i="27"/>
  <c r="D59" i="27"/>
  <c r="E59" i="27"/>
  <c r="F59" i="27"/>
  <c r="G59" i="27"/>
  <c r="H59" i="27"/>
  <c r="I59" i="27"/>
  <c r="J59" i="27"/>
  <c r="K59" i="27"/>
  <c r="L59" i="27"/>
  <c r="M59" i="27"/>
  <c r="C56" i="27"/>
  <c r="D56" i="27"/>
  <c r="E56" i="27"/>
  <c r="F56" i="27"/>
  <c r="G56" i="27"/>
  <c r="H56" i="27"/>
  <c r="I56" i="27"/>
  <c r="J56" i="27"/>
  <c r="K56" i="27"/>
  <c r="L56" i="27"/>
  <c r="M56" i="27"/>
  <c r="C53" i="27"/>
  <c r="D53" i="27"/>
  <c r="E53" i="27"/>
  <c r="F53" i="27"/>
  <c r="G53" i="27"/>
  <c r="H53" i="27"/>
  <c r="I53" i="27"/>
  <c r="J53" i="27"/>
  <c r="K53" i="27"/>
  <c r="L53" i="27"/>
  <c r="M53" i="27"/>
  <c r="C47" i="27"/>
  <c r="D47" i="27"/>
  <c r="E47" i="27"/>
  <c r="F47" i="27"/>
  <c r="G47" i="27"/>
  <c r="H47" i="27"/>
  <c r="I47" i="27"/>
  <c r="J47" i="27"/>
  <c r="K47" i="27"/>
  <c r="L47" i="27"/>
  <c r="M47" i="27"/>
  <c r="C44" i="27"/>
  <c r="D44" i="27"/>
  <c r="E44" i="27"/>
  <c r="F44" i="27"/>
  <c r="G44" i="27"/>
  <c r="H44" i="27"/>
  <c r="I44" i="27"/>
  <c r="J44" i="27"/>
  <c r="K44" i="27"/>
  <c r="L44" i="27"/>
  <c r="M44" i="27"/>
  <c r="C41" i="27"/>
  <c r="D41" i="27"/>
  <c r="E41" i="27"/>
  <c r="F41" i="27"/>
  <c r="G41" i="27"/>
  <c r="H41" i="27"/>
  <c r="H40" i="27" s="1"/>
  <c r="I41" i="27"/>
  <c r="I40" i="27" s="1"/>
  <c r="J41" i="27"/>
  <c r="J40" i="27" s="1"/>
  <c r="K41" i="27"/>
  <c r="K40" i="27" s="1"/>
  <c r="L41" i="27"/>
  <c r="L40" i="27" s="1"/>
  <c r="M41" i="27"/>
  <c r="M40" i="27" s="1"/>
  <c r="C38" i="27"/>
  <c r="D38" i="27"/>
  <c r="E38" i="27"/>
  <c r="F38" i="27"/>
  <c r="G38" i="27"/>
  <c r="H38" i="27"/>
  <c r="I38" i="27"/>
  <c r="I37" i="27" s="1"/>
  <c r="J38" i="27"/>
  <c r="J37" i="27" s="1"/>
  <c r="K38" i="27"/>
  <c r="L38" i="27"/>
  <c r="M38" i="27"/>
  <c r="C35" i="27"/>
  <c r="D35" i="27"/>
  <c r="E35" i="27"/>
  <c r="F35" i="27"/>
  <c r="G35" i="27"/>
  <c r="H35" i="27"/>
  <c r="I35" i="27"/>
  <c r="J35" i="27"/>
  <c r="K35" i="27"/>
  <c r="L35" i="27"/>
  <c r="M35" i="27"/>
  <c r="C32" i="27"/>
  <c r="D32" i="27"/>
  <c r="E32" i="27"/>
  <c r="F32" i="27"/>
  <c r="G32" i="27"/>
  <c r="H32" i="27"/>
  <c r="I32" i="27"/>
  <c r="J32" i="27"/>
  <c r="K32" i="27"/>
  <c r="L32" i="27"/>
  <c r="M32" i="27"/>
  <c r="N32" i="27"/>
  <c r="C26" i="27"/>
  <c r="D26" i="27"/>
  <c r="E26" i="27"/>
  <c r="F26" i="27"/>
  <c r="G26" i="27"/>
  <c r="H26" i="27"/>
  <c r="I26" i="27"/>
  <c r="J26" i="27"/>
  <c r="K26" i="27"/>
  <c r="L26" i="27"/>
  <c r="M26" i="27"/>
  <c r="N26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C20" i="27"/>
  <c r="D20" i="27"/>
  <c r="E20" i="27"/>
  <c r="F20" i="27"/>
  <c r="G20" i="27"/>
  <c r="H20" i="27"/>
  <c r="I20" i="27"/>
  <c r="J20" i="27"/>
  <c r="K20" i="27"/>
  <c r="L20" i="27"/>
  <c r="M20" i="27"/>
  <c r="N20" i="27"/>
  <c r="C17" i="27"/>
  <c r="D17" i="27"/>
  <c r="E17" i="27"/>
  <c r="F17" i="27"/>
  <c r="G17" i="27"/>
  <c r="H17" i="27"/>
  <c r="I17" i="27"/>
  <c r="J17" i="27"/>
  <c r="K17" i="27"/>
  <c r="L17" i="27"/>
  <c r="M17" i="27"/>
  <c r="N17" i="27"/>
  <c r="C14" i="27"/>
  <c r="D14" i="27"/>
  <c r="E14" i="27"/>
  <c r="F14" i="27"/>
  <c r="G14" i="27"/>
  <c r="H14" i="27"/>
  <c r="I14" i="27"/>
  <c r="J14" i="27"/>
  <c r="K14" i="27"/>
  <c r="L14" i="27"/>
  <c r="M14" i="27"/>
  <c r="N14" i="27"/>
  <c r="C11" i="27"/>
  <c r="D11" i="27"/>
  <c r="E11" i="27"/>
  <c r="F11" i="27"/>
  <c r="G11" i="27"/>
  <c r="H11" i="27"/>
  <c r="I11" i="27"/>
  <c r="J11" i="27"/>
  <c r="K11" i="27"/>
  <c r="L11" i="27"/>
  <c r="M11" i="27"/>
  <c r="N11" i="27"/>
  <c r="N9" i="67"/>
  <c r="P9" i="67" s="1"/>
  <c r="Q9" i="67" s="1"/>
  <c r="E38" i="75"/>
  <c r="E37" i="75" s="1"/>
  <c r="B68" i="75"/>
  <c r="B67" i="75" s="1"/>
  <c r="B59" i="75"/>
  <c r="B58" i="75" s="1"/>
  <c r="E41" i="75"/>
  <c r="B17" i="75"/>
  <c r="B16" i="75" s="1"/>
  <c r="B8" i="44" s="1"/>
  <c r="B14" i="75"/>
  <c r="B13" i="75" s="1"/>
  <c r="B11" i="75"/>
  <c r="N110" i="76"/>
  <c r="F109" i="76"/>
  <c r="F110" i="75" s="1"/>
  <c r="F109" i="75" s="1"/>
  <c r="E109" i="76"/>
  <c r="E110" i="75" s="1"/>
  <c r="E109" i="75" s="1"/>
  <c r="N107" i="76"/>
  <c r="N104" i="76"/>
  <c r="F103" i="76"/>
  <c r="F104" i="75" s="1"/>
  <c r="F103" i="75" s="1"/>
  <c r="E103" i="76"/>
  <c r="E104" i="75" s="1"/>
  <c r="E103" i="75" s="1"/>
  <c r="N101" i="76"/>
  <c r="N98" i="76"/>
  <c r="N95" i="76"/>
  <c r="N89" i="76"/>
  <c r="E88" i="76"/>
  <c r="E89" i="75" s="1"/>
  <c r="E88" i="75" s="1"/>
  <c r="N86" i="76"/>
  <c r="G85" i="76"/>
  <c r="G86" i="75" s="1"/>
  <c r="G85" i="75" s="1"/>
  <c r="F85" i="76"/>
  <c r="F86" i="75" s="1"/>
  <c r="F85" i="75" s="1"/>
  <c r="N83" i="76"/>
  <c r="N80" i="76"/>
  <c r="N77" i="76"/>
  <c r="N74" i="76"/>
  <c r="N71" i="76"/>
  <c r="N68" i="76"/>
  <c r="C67" i="76"/>
  <c r="C68" i="75" s="1"/>
  <c r="C67" i="75" s="1"/>
  <c r="N65" i="76"/>
  <c r="N62" i="76"/>
  <c r="N59" i="76"/>
  <c r="N56" i="76"/>
  <c r="D55" i="76"/>
  <c r="D56" i="75" s="1"/>
  <c r="D55" i="75" s="1"/>
  <c r="N53" i="76"/>
  <c r="N50" i="76"/>
  <c r="N47" i="76"/>
  <c r="N44" i="76"/>
  <c r="F43" i="76"/>
  <c r="F44" i="75" s="1"/>
  <c r="F43" i="75" s="1"/>
  <c r="N41" i="76"/>
  <c r="E40" i="76"/>
  <c r="N38" i="76"/>
  <c r="F37" i="76"/>
  <c r="F38" i="75" s="1"/>
  <c r="F37" i="75" s="1"/>
  <c r="E37" i="76"/>
  <c r="N35" i="76"/>
  <c r="N32" i="76"/>
  <c r="N29" i="76"/>
  <c r="N26" i="76"/>
  <c r="N23" i="76"/>
  <c r="E22" i="76"/>
  <c r="E23" i="75" s="1"/>
  <c r="E22" i="75" s="1"/>
  <c r="N20" i="76"/>
  <c r="F19" i="76"/>
  <c r="F20" i="75" s="1"/>
  <c r="F19" i="75" s="1"/>
  <c r="C19" i="76"/>
  <c r="C20" i="75" s="1"/>
  <c r="C19" i="75" s="1"/>
  <c r="E19" i="76"/>
  <c r="E20" i="75" s="1"/>
  <c r="E19" i="75" s="1"/>
  <c r="N17" i="76"/>
  <c r="E16" i="76"/>
  <c r="E17" i="75" s="1"/>
  <c r="E16" i="75" s="1"/>
  <c r="E8" i="44" s="1"/>
  <c r="B17" i="76"/>
  <c r="F16" i="76"/>
  <c r="F17" i="75" s="1"/>
  <c r="F16" i="75" s="1"/>
  <c r="F8" i="44" s="1"/>
  <c r="B16" i="76"/>
  <c r="N14" i="76"/>
  <c r="B14" i="76"/>
  <c r="B13" i="76"/>
  <c r="N11" i="76"/>
  <c r="B11" i="76"/>
  <c r="N8" i="76"/>
  <c r="B3" i="76"/>
  <c r="C3" i="76" s="1"/>
  <c r="D3" i="76" s="1"/>
  <c r="E3" i="76" s="1"/>
  <c r="F3" i="76" s="1"/>
  <c r="G3" i="76" s="1"/>
  <c r="H3" i="76" s="1"/>
  <c r="I3" i="76" s="1"/>
  <c r="J3" i="76" s="1"/>
  <c r="K3" i="76" s="1"/>
  <c r="L3" i="76" s="1"/>
  <c r="M3" i="76" s="1"/>
  <c r="N98" i="75"/>
  <c r="N77" i="75"/>
  <c r="N56" i="75"/>
  <c r="N35" i="75"/>
  <c r="N14" i="75"/>
  <c r="B10" i="75"/>
  <c r="B3" i="75"/>
  <c r="C3" i="75" s="1"/>
  <c r="D3" i="75" s="1"/>
  <c r="E3" i="75" s="1"/>
  <c r="F3" i="75" s="1"/>
  <c r="G3" i="75" s="1"/>
  <c r="H3" i="75" s="1"/>
  <c r="I3" i="75" s="1"/>
  <c r="J3" i="75" s="1"/>
  <c r="K3" i="75" s="1"/>
  <c r="L3" i="75" s="1"/>
  <c r="M3" i="75" s="1"/>
  <c r="B30" i="28"/>
  <c r="B34" i="28"/>
  <c r="B13" i="28"/>
  <c r="B10" i="28"/>
  <c r="E35" i="28"/>
  <c r="E34" i="28" s="1"/>
  <c r="B32" i="27"/>
  <c r="B31" i="27" s="1"/>
  <c r="B35" i="27"/>
  <c r="E34" i="27"/>
  <c r="N35" i="27"/>
  <c r="B38" i="27"/>
  <c r="B37" i="27" s="1"/>
  <c r="C37" i="27"/>
  <c r="D37" i="27"/>
  <c r="E37" i="27"/>
  <c r="F37" i="27"/>
  <c r="G37" i="27"/>
  <c r="H37" i="27"/>
  <c r="N38" i="27"/>
  <c r="B40" i="27"/>
  <c r="E40" i="27"/>
  <c r="F40" i="27"/>
  <c r="G40" i="27"/>
  <c r="B41" i="27"/>
  <c r="D40" i="27"/>
  <c r="N41" i="27"/>
  <c r="B44" i="27"/>
  <c r="B43" i="27" s="1"/>
  <c r="C43" i="27"/>
  <c r="D43" i="27"/>
  <c r="N44" i="27"/>
  <c r="B47" i="27"/>
  <c r="B46" i="27" s="1"/>
  <c r="C46" i="27"/>
  <c r="D46" i="27"/>
  <c r="N47" i="27"/>
  <c r="N98" i="28"/>
  <c r="N77" i="28"/>
  <c r="N56" i="28"/>
  <c r="N35" i="28"/>
  <c r="B92" i="76" l="1"/>
  <c r="B71" i="76"/>
  <c r="B50" i="76"/>
  <c r="B51" i="76" s="1"/>
  <c r="B52" i="76"/>
  <c r="B49" i="76" s="1"/>
  <c r="B95" i="75"/>
  <c r="B94" i="75" s="1"/>
  <c r="B106" i="76"/>
  <c r="B107" i="75" s="1"/>
  <c r="B106" i="75" s="1"/>
  <c r="B53" i="75"/>
  <c r="B52" i="75" s="1"/>
  <c r="B82" i="76"/>
  <c r="B83" i="75" s="1"/>
  <c r="B82" i="75" s="1"/>
  <c r="B31" i="76"/>
  <c r="B73" i="76"/>
  <c r="E55" i="76"/>
  <c r="E56" i="75" s="1"/>
  <c r="E55" i="75" s="1"/>
  <c r="B25" i="76"/>
  <c r="B26" i="75" s="1"/>
  <c r="B25" i="75" s="1"/>
  <c r="C76" i="76"/>
  <c r="C77" i="75" s="1"/>
  <c r="C76" i="75" s="1"/>
  <c r="B64" i="75"/>
  <c r="B49" i="75" s="1"/>
  <c r="D85" i="76"/>
  <c r="D86" i="75" s="1"/>
  <c r="D85" i="75" s="1"/>
  <c r="C85" i="76"/>
  <c r="C86" i="75" s="1"/>
  <c r="C85" i="75" s="1"/>
  <c r="D73" i="76"/>
  <c r="D74" i="75" s="1"/>
  <c r="D19" i="76"/>
  <c r="D20" i="75" s="1"/>
  <c r="D19" i="75" s="1"/>
  <c r="C25" i="76"/>
  <c r="C26" i="75" s="1"/>
  <c r="C25" i="75" s="1"/>
  <c r="C58" i="76"/>
  <c r="C59" i="75" s="1"/>
  <c r="E46" i="27"/>
  <c r="E67" i="76"/>
  <c r="E68" i="75" s="1"/>
  <c r="E67" i="75" s="1"/>
  <c r="C82" i="76"/>
  <c r="C83" i="75" s="1"/>
  <c r="C82" i="75" s="1"/>
  <c r="F61" i="76"/>
  <c r="F62" i="75" s="1"/>
  <c r="F61" i="75" s="1"/>
  <c r="C52" i="76"/>
  <c r="C53" i="75" s="1"/>
  <c r="C52" i="75" s="1"/>
  <c r="E25" i="76"/>
  <c r="E26" i="75" s="1"/>
  <c r="E25" i="75" s="1"/>
  <c r="C13" i="76"/>
  <c r="C14" i="75" s="1"/>
  <c r="C13" i="75" s="1"/>
  <c r="G43" i="76"/>
  <c r="G44" i="75" s="1"/>
  <c r="G43" i="75" s="1"/>
  <c r="D67" i="76"/>
  <c r="D68" i="75" s="1"/>
  <c r="D67" i="75" s="1"/>
  <c r="C22" i="76"/>
  <c r="C23" i="75" s="1"/>
  <c r="C22" i="75" s="1"/>
  <c r="D22" i="76"/>
  <c r="D23" i="75" s="1"/>
  <c r="D22" i="75" s="1"/>
  <c r="E73" i="76"/>
  <c r="E74" i="75" s="1"/>
  <c r="E73" i="75" s="1"/>
  <c r="D58" i="76"/>
  <c r="D59" i="75" s="1"/>
  <c r="D58" i="75" s="1"/>
  <c r="F88" i="76"/>
  <c r="F89" i="75" s="1"/>
  <c r="F88" i="75" s="1"/>
  <c r="C94" i="76"/>
  <c r="C95" i="75" s="1"/>
  <c r="B10" i="76"/>
  <c r="B8" i="76"/>
  <c r="C64" i="76"/>
  <c r="C65" i="75" s="1"/>
  <c r="C64" i="75" s="1"/>
  <c r="D64" i="76"/>
  <c r="D65" i="75" s="1"/>
  <c r="D64" i="75" s="1"/>
  <c r="D37" i="76"/>
  <c r="D38" i="75" s="1"/>
  <c r="D37" i="75" s="1"/>
  <c r="C37" i="76"/>
  <c r="C38" i="75" s="1"/>
  <c r="E64" i="76"/>
  <c r="E65" i="75" s="1"/>
  <c r="E64" i="75" s="1"/>
  <c r="D109" i="76"/>
  <c r="D110" i="75" s="1"/>
  <c r="D109" i="75" s="1"/>
  <c r="C109" i="76"/>
  <c r="C110" i="75" s="1"/>
  <c r="C109" i="75" s="1"/>
  <c r="D16" i="76"/>
  <c r="D17" i="75" s="1"/>
  <c r="D16" i="75" s="1"/>
  <c r="D8" i="44" s="1"/>
  <c r="C16" i="76"/>
  <c r="C17" i="75" s="1"/>
  <c r="C16" i="75" s="1"/>
  <c r="C8" i="44" s="1"/>
  <c r="D103" i="76"/>
  <c r="D104" i="75" s="1"/>
  <c r="D103" i="75" s="1"/>
  <c r="C103" i="76"/>
  <c r="C104" i="75" s="1"/>
  <c r="C103" i="75" s="1"/>
  <c r="G37" i="76"/>
  <c r="G38" i="75" s="1"/>
  <c r="G37" i="75" s="1"/>
  <c r="F79" i="76"/>
  <c r="F80" i="75" s="1"/>
  <c r="F79" i="75" s="1"/>
  <c r="C43" i="76"/>
  <c r="C44" i="75" s="1"/>
  <c r="C43" i="75" s="1"/>
  <c r="D43" i="76"/>
  <c r="D44" i="75" s="1"/>
  <c r="D76" i="76"/>
  <c r="D77" i="75" s="1"/>
  <c r="D76" i="75" s="1"/>
  <c r="C88" i="76"/>
  <c r="C89" i="75" s="1"/>
  <c r="C88" i="75" s="1"/>
  <c r="E100" i="76"/>
  <c r="E101" i="75" s="1"/>
  <c r="E100" i="75" s="1"/>
  <c r="D46" i="76"/>
  <c r="D47" i="75" s="1"/>
  <c r="D46" i="75" s="1"/>
  <c r="C46" i="76"/>
  <c r="C47" i="75" s="1"/>
  <c r="C46" i="75" s="1"/>
  <c r="F106" i="76"/>
  <c r="F107" i="75" s="1"/>
  <c r="F106" i="75" s="1"/>
  <c r="C71" i="76"/>
  <c r="B19" i="75"/>
  <c r="B109" i="75"/>
  <c r="B97" i="75"/>
  <c r="E106" i="75"/>
  <c r="E40" i="75"/>
  <c r="B50" i="75"/>
  <c r="E61" i="75"/>
  <c r="D25" i="75"/>
  <c r="D31" i="27"/>
  <c r="C31" i="27"/>
  <c r="C40" i="27"/>
  <c r="N40" i="27"/>
  <c r="N42" i="27" s="1"/>
  <c r="E43" i="27"/>
  <c r="F34" i="27"/>
  <c r="F35" i="28" s="1"/>
  <c r="F34" i="28" s="1"/>
  <c r="D34" i="27"/>
  <c r="D35" i="28" s="1"/>
  <c r="D34" i="28" s="1"/>
  <c r="C34" i="27"/>
  <c r="C35" i="28" s="1"/>
  <c r="C34" i="28" s="1"/>
  <c r="B34" i="27"/>
  <c r="B91" i="76" l="1"/>
  <c r="B93" i="76" s="1"/>
  <c r="B70" i="76"/>
  <c r="B72" i="76" s="1"/>
  <c r="B74" i="75"/>
  <c r="B32" i="75"/>
  <c r="B28" i="76"/>
  <c r="B30" i="76" s="1"/>
  <c r="B92" i="75"/>
  <c r="B8" i="75"/>
  <c r="C58" i="75"/>
  <c r="D43" i="75"/>
  <c r="D73" i="75"/>
  <c r="C37" i="75"/>
  <c r="F46" i="27"/>
  <c r="D28" i="27"/>
  <c r="D5" i="44" s="1"/>
  <c r="C94" i="75"/>
  <c r="E58" i="76"/>
  <c r="E59" i="75" s="1"/>
  <c r="E58" i="75" s="1"/>
  <c r="D82" i="76"/>
  <c r="D83" i="75" s="1"/>
  <c r="F40" i="76"/>
  <c r="F41" i="75" s="1"/>
  <c r="F40" i="75" s="1"/>
  <c r="H43" i="76"/>
  <c r="H44" i="75" s="1"/>
  <c r="H43" i="75" s="1"/>
  <c r="F67" i="76"/>
  <c r="F68" i="75" s="1"/>
  <c r="F67" i="75" s="1"/>
  <c r="D94" i="76"/>
  <c r="D95" i="75" s="1"/>
  <c r="H103" i="76"/>
  <c r="H104" i="75" s="1"/>
  <c r="H103" i="75" s="1"/>
  <c r="C34" i="76"/>
  <c r="C35" i="75" s="1"/>
  <c r="C34" i="75" s="1"/>
  <c r="B5" i="76"/>
  <c r="D13" i="76"/>
  <c r="D14" i="75" s="1"/>
  <c r="D13" i="75" s="1"/>
  <c r="D100" i="76"/>
  <c r="D101" i="75" s="1"/>
  <c r="D100" i="75" s="1"/>
  <c r="C100" i="76"/>
  <c r="C101" i="75" s="1"/>
  <c r="B7" i="76"/>
  <c r="F25" i="76"/>
  <c r="F26" i="75" s="1"/>
  <c r="F25" i="75" s="1"/>
  <c r="C92" i="76"/>
  <c r="F22" i="76"/>
  <c r="F23" i="75" s="1"/>
  <c r="G79" i="76"/>
  <c r="G80" i="75" s="1"/>
  <c r="G79" i="75" s="1"/>
  <c r="C79" i="76"/>
  <c r="C80" i="75" s="1"/>
  <c r="C71" i="75" s="1"/>
  <c r="D61" i="76"/>
  <c r="D62" i="75" s="1"/>
  <c r="D61" i="75" s="1"/>
  <c r="C61" i="76"/>
  <c r="C62" i="75" s="1"/>
  <c r="F46" i="76"/>
  <c r="F47" i="75" s="1"/>
  <c r="F46" i="75" s="1"/>
  <c r="G88" i="76"/>
  <c r="G89" i="75" s="1"/>
  <c r="G88" i="75" s="1"/>
  <c r="C40" i="76"/>
  <c r="C41" i="75" s="1"/>
  <c r="D40" i="76"/>
  <c r="D41" i="75" s="1"/>
  <c r="D40" i="75" s="1"/>
  <c r="D52" i="76"/>
  <c r="D53" i="75" s="1"/>
  <c r="C97" i="76"/>
  <c r="C98" i="75" s="1"/>
  <c r="C97" i="75" s="1"/>
  <c r="C29" i="76"/>
  <c r="C31" i="76"/>
  <c r="C32" i="75" s="1"/>
  <c r="G19" i="76"/>
  <c r="G20" i="75" s="1"/>
  <c r="G19" i="75" s="1"/>
  <c r="H85" i="76"/>
  <c r="H86" i="75" s="1"/>
  <c r="H85" i="75" s="1"/>
  <c r="F64" i="76"/>
  <c r="F65" i="75" s="1"/>
  <c r="F64" i="75" s="1"/>
  <c r="C50" i="76"/>
  <c r="G109" i="76"/>
  <c r="G110" i="75" s="1"/>
  <c r="G109" i="75" s="1"/>
  <c r="G61" i="76"/>
  <c r="G62" i="75" s="1"/>
  <c r="G61" i="75" s="1"/>
  <c r="G106" i="76"/>
  <c r="G107" i="75" s="1"/>
  <c r="G106" i="75" s="1"/>
  <c r="E76" i="76"/>
  <c r="E77" i="75" s="1"/>
  <c r="E76" i="75" s="1"/>
  <c r="H37" i="76"/>
  <c r="H38" i="75" s="1"/>
  <c r="H37" i="75" s="1"/>
  <c r="F73" i="76"/>
  <c r="F74" i="75" s="1"/>
  <c r="F100" i="76"/>
  <c r="F101" i="75" s="1"/>
  <c r="F100" i="75" s="1"/>
  <c r="C10" i="76"/>
  <c r="C8" i="76"/>
  <c r="C106" i="76"/>
  <c r="C107" i="75" s="1"/>
  <c r="D106" i="76"/>
  <c r="D107" i="75" s="1"/>
  <c r="D106" i="75" s="1"/>
  <c r="I16" i="76"/>
  <c r="I17" i="75" s="1"/>
  <c r="I16" i="75" s="1"/>
  <c r="I8" i="44" s="1"/>
  <c r="B51" i="75"/>
  <c r="B7" i="75"/>
  <c r="B8" i="3" s="1"/>
  <c r="B91" i="75"/>
  <c r="C28" i="27"/>
  <c r="C5" i="44"/>
  <c r="C30" i="27"/>
  <c r="K37" i="27"/>
  <c r="E31" i="27"/>
  <c r="E28" i="27" s="1"/>
  <c r="G34" i="27"/>
  <c r="G35" i="28" s="1"/>
  <c r="G34" i="28" s="1"/>
  <c r="M37" i="27"/>
  <c r="L37" i="27"/>
  <c r="F43" i="27"/>
  <c r="B28" i="27"/>
  <c r="F22" i="75" l="1"/>
  <c r="F55" i="76"/>
  <c r="F56" i="75" s="1"/>
  <c r="F55" i="75" s="1"/>
  <c r="B29" i="75"/>
  <c r="B31" i="75"/>
  <c r="B28" i="75" s="1"/>
  <c r="B73" i="75"/>
  <c r="B70" i="75" s="1"/>
  <c r="B71" i="75"/>
  <c r="F73" i="75"/>
  <c r="D82" i="75"/>
  <c r="C49" i="76"/>
  <c r="C51" i="76" s="1"/>
  <c r="C61" i="75"/>
  <c r="C29" i="75"/>
  <c r="C31" i="75"/>
  <c r="C79" i="75"/>
  <c r="D92" i="76"/>
  <c r="D52" i="75"/>
  <c r="D50" i="75"/>
  <c r="C106" i="75"/>
  <c r="C40" i="75"/>
  <c r="C92" i="75"/>
  <c r="C100" i="75"/>
  <c r="C50" i="75"/>
  <c r="C7" i="76"/>
  <c r="C9" i="76" s="1"/>
  <c r="C11" i="75"/>
  <c r="G46" i="27"/>
  <c r="D30" i="27"/>
  <c r="D94" i="75"/>
  <c r="C5" i="76"/>
  <c r="D34" i="76"/>
  <c r="D35" i="75" s="1"/>
  <c r="D34" i="75" s="1"/>
  <c r="I37" i="76"/>
  <c r="I38" i="75" s="1"/>
  <c r="E52" i="76"/>
  <c r="E53" i="75" s="1"/>
  <c r="E50" i="76"/>
  <c r="I103" i="76"/>
  <c r="I104" i="75" s="1"/>
  <c r="I103" i="75" s="1"/>
  <c r="G40" i="76"/>
  <c r="G41" i="75" s="1"/>
  <c r="G40" i="75" s="1"/>
  <c r="I85" i="76"/>
  <c r="I86" i="75" s="1"/>
  <c r="G22" i="76"/>
  <c r="G23" i="75" s="1"/>
  <c r="G22" i="75" s="1"/>
  <c r="J16" i="76"/>
  <c r="J17" i="75" s="1"/>
  <c r="J16" i="75" s="1"/>
  <c r="J8" i="44" s="1"/>
  <c r="E82" i="76"/>
  <c r="E71" i="76"/>
  <c r="E94" i="76"/>
  <c r="E95" i="75" s="1"/>
  <c r="F58" i="76"/>
  <c r="F59" i="75" s="1"/>
  <c r="F58" i="75" s="1"/>
  <c r="G46" i="76"/>
  <c r="G47" i="75" s="1"/>
  <c r="G46" i="75" s="1"/>
  <c r="H61" i="76"/>
  <c r="H62" i="75" s="1"/>
  <c r="H61" i="75" s="1"/>
  <c r="D10" i="76"/>
  <c r="D11" i="75" s="1"/>
  <c r="D8" i="76"/>
  <c r="D79" i="76"/>
  <c r="D71" i="76"/>
  <c r="G100" i="76"/>
  <c r="G101" i="75" s="1"/>
  <c r="G100" i="75" s="1"/>
  <c r="D29" i="76"/>
  <c r="D31" i="76"/>
  <c r="C70" i="76"/>
  <c r="E13" i="76"/>
  <c r="E14" i="75" s="1"/>
  <c r="E13" i="75" s="1"/>
  <c r="I43" i="76"/>
  <c r="I44" i="75" s="1"/>
  <c r="I43" i="75" s="1"/>
  <c r="C91" i="76"/>
  <c r="C93" i="76" s="1"/>
  <c r="G73" i="76"/>
  <c r="G74" i="75" s="1"/>
  <c r="H109" i="76"/>
  <c r="H110" i="75" s="1"/>
  <c r="H109" i="75" s="1"/>
  <c r="D97" i="76"/>
  <c r="D98" i="75" s="1"/>
  <c r="D97" i="75" s="1"/>
  <c r="H79" i="76"/>
  <c r="H80" i="75" s="1"/>
  <c r="H79" i="75" s="1"/>
  <c r="F76" i="76"/>
  <c r="F77" i="75" s="1"/>
  <c r="F76" i="75" s="1"/>
  <c r="H106" i="76"/>
  <c r="H107" i="75" s="1"/>
  <c r="H106" i="75" s="1"/>
  <c r="H88" i="76"/>
  <c r="H89" i="75" s="1"/>
  <c r="H88" i="75" s="1"/>
  <c r="H19" i="76"/>
  <c r="H20" i="75" s="1"/>
  <c r="H19" i="75" s="1"/>
  <c r="G25" i="76"/>
  <c r="G26" i="75" s="1"/>
  <c r="B4" i="76"/>
  <c r="B6" i="76" s="1"/>
  <c r="B9" i="76"/>
  <c r="C28" i="76"/>
  <c r="C30" i="76" s="1"/>
  <c r="G67" i="76"/>
  <c r="G68" i="75" s="1"/>
  <c r="G67" i="75" s="1"/>
  <c r="D50" i="76"/>
  <c r="F71" i="76"/>
  <c r="G64" i="76"/>
  <c r="G65" i="75" s="1"/>
  <c r="G64" i="75" s="1"/>
  <c r="D49" i="76"/>
  <c r="B30" i="75"/>
  <c r="B72" i="75"/>
  <c r="B4" i="75"/>
  <c r="B9" i="75"/>
  <c r="B93" i="75"/>
  <c r="E5" i="44"/>
  <c r="E30" i="27"/>
  <c r="B5" i="44"/>
  <c r="B30" i="27"/>
  <c r="F31" i="27"/>
  <c r="F28" i="27" s="1"/>
  <c r="H34" i="27"/>
  <c r="H35" i="28" s="1"/>
  <c r="H34" i="28" s="1"/>
  <c r="G43" i="27"/>
  <c r="N37" i="27"/>
  <c r="N39" i="27" s="1"/>
  <c r="B5" i="75" l="1"/>
  <c r="I85" i="75"/>
  <c r="I37" i="75"/>
  <c r="G25" i="75"/>
  <c r="B6" i="75"/>
  <c r="G55" i="76"/>
  <c r="G56" i="75" s="1"/>
  <c r="G55" i="75" s="1"/>
  <c r="C28" i="75"/>
  <c r="E70" i="76"/>
  <c r="E72" i="76" s="1"/>
  <c r="E83" i="75"/>
  <c r="D70" i="76"/>
  <c r="D72" i="76" s="1"/>
  <c r="D80" i="75"/>
  <c r="C49" i="75"/>
  <c r="G73" i="75"/>
  <c r="D91" i="75"/>
  <c r="D92" i="75"/>
  <c r="D49" i="75"/>
  <c r="D51" i="75" s="1"/>
  <c r="D51" i="76"/>
  <c r="D28" i="76"/>
  <c r="D30" i="76" s="1"/>
  <c r="D32" i="75"/>
  <c r="E52" i="75"/>
  <c r="E49" i="75" s="1"/>
  <c r="E50" i="75"/>
  <c r="C70" i="75"/>
  <c r="C91" i="75"/>
  <c r="C93" i="75" s="1"/>
  <c r="D10" i="75"/>
  <c r="D7" i="75" s="1"/>
  <c r="D8" i="75"/>
  <c r="C10" i="75"/>
  <c r="C8" i="75"/>
  <c r="H46" i="27"/>
  <c r="E94" i="75"/>
  <c r="F13" i="76"/>
  <c r="F14" i="75" s="1"/>
  <c r="F13" i="75" s="1"/>
  <c r="H22" i="76"/>
  <c r="H23" i="75" s="1"/>
  <c r="H22" i="75" s="1"/>
  <c r="H46" i="76"/>
  <c r="H47" i="75" s="1"/>
  <c r="H46" i="75" s="1"/>
  <c r="I109" i="76"/>
  <c r="I110" i="75" s="1"/>
  <c r="I109" i="75" s="1"/>
  <c r="I88" i="76"/>
  <c r="I89" i="75" s="1"/>
  <c r="I88" i="75" s="1"/>
  <c r="H100" i="76"/>
  <c r="H101" i="75" s="1"/>
  <c r="F92" i="76"/>
  <c r="F94" i="76"/>
  <c r="F95" i="75" s="1"/>
  <c r="F82" i="76"/>
  <c r="F83" i="75" s="1"/>
  <c r="J37" i="76"/>
  <c r="J38" i="75" s="1"/>
  <c r="J37" i="75" s="1"/>
  <c r="E34" i="76"/>
  <c r="E35" i="75" s="1"/>
  <c r="E34" i="75" s="1"/>
  <c r="I79" i="76"/>
  <c r="I80" i="75" s="1"/>
  <c r="I79" i="75" s="1"/>
  <c r="I61" i="76"/>
  <c r="I62" i="75" s="1"/>
  <c r="J85" i="76"/>
  <c r="J86" i="75" s="1"/>
  <c r="J85" i="75" s="1"/>
  <c r="C72" i="76"/>
  <c r="H64" i="76"/>
  <c r="H65" i="75" s="1"/>
  <c r="H64" i="75" s="1"/>
  <c r="G58" i="76"/>
  <c r="G59" i="75" s="1"/>
  <c r="I19" i="76"/>
  <c r="I20" i="75" s="1"/>
  <c r="I19" i="75" s="1"/>
  <c r="E29" i="76"/>
  <c r="E31" i="76"/>
  <c r="E32" i="75" s="1"/>
  <c r="J103" i="76"/>
  <c r="J104" i="75" s="1"/>
  <c r="J103" i="75" s="1"/>
  <c r="F52" i="76"/>
  <c r="F50" i="76"/>
  <c r="I106" i="76"/>
  <c r="I107" i="75" s="1"/>
  <c r="I106" i="75" s="1"/>
  <c r="H67" i="76"/>
  <c r="H68" i="75" s="1"/>
  <c r="H67" i="75" s="1"/>
  <c r="D91" i="76"/>
  <c r="J43" i="76"/>
  <c r="J44" i="75" s="1"/>
  <c r="J43" i="75" s="1"/>
  <c r="D5" i="76"/>
  <c r="E10" i="76"/>
  <c r="E8" i="76"/>
  <c r="G76" i="76"/>
  <c r="G77" i="75" s="1"/>
  <c r="G76" i="75" s="1"/>
  <c r="D7" i="76"/>
  <c r="K16" i="76"/>
  <c r="K17" i="75" s="1"/>
  <c r="K16" i="75" s="1"/>
  <c r="K8" i="44" s="1"/>
  <c r="E97" i="76"/>
  <c r="H25" i="76"/>
  <c r="H26" i="75" s="1"/>
  <c r="H25" i="75" s="1"/>
  <c r="H40" i="76"/>
  <c r="H41" i="75" s="1"/>
  <c r="H40" i="75" s="1"/>
  <c r="H73" i="76"/>
  <c r="H74" i="75" s="1"/>
  <c r="E92" i="76"/>
  <c r="E49" i="76"/>
  <c r="E51" i="76" s="1"/>
  <c r="C4" i="76"/>
  <c r="C6" i="76" s="1"/>
  <c r="F5" i="44"/>
  <c r="F30" i="27"/>
  <c r="G31" i="27"/>
  <c r="G28" i="27" s="1"/>
  <c r="H43" i="27"/>
  <c r="I34" i="27"/>
  <c r="I35" i="28" s="1"/>
  <c r="I34" i="28" s="1"/>
  <c r="H100" i="75" l="1"/>
  <c r="I61" i="75"/>
  <c r="H55" i="76"/>
  <c r="H56" i="75" s="1"/>
  <c r="H55" i="75" s="1"/>
  <c r="D79" i="75"/>
  <c r="D71" i="75"/>
  <c r="E29" i="75"/>
  <c r="E31" i="75"/>
  <c r="E28" i="75" s="1"/>
  <c r="E51" i="75"/>
  <c r="D31" i="75"/>
  <c r="D29" i="75"/>
  <c r="D5" i="75" s="1"/>
  <c r="C51" i="75"/>
  <c r="H73" i="75"/>
  <c r="F82" i="75"/>
  <c r="F70" i="75" s="1"/>
  <c r="F71" i="75"/>
  <c r="G58" i="75"/>
  <c r="E71" i="75"/>
  <c r="E82" i="75"/>
  <c r="E91" i="76"/>
  <c r="E93" i="76" s="1"/>
  <c r="E98" i="75"/>
  <c r="D93" i="75"/>
  <c r="C30" i="75"/>
  <c r="F49" i="76"/>
  <c r="F51" i="76" s="1"/>
  <c r="F53" i="75"/>
  <c r="C72" i="75"/>
  <c r="E7" i="76"/>
  <c r="E11" i="75"/>
  <c r="C5" i="75"/>
  <c r="C7" i="75"/>
  <c r="D8" i="3"/>
  <c r="D9" i="75"/>
  <c r="I46" i="27"/>
  <c r="E5" i="76"/>
  <c r="F94" i="75"/>
  <c r="E28" i="76"/>
  <c r="E30" i="76" s="1"/>
  <c r="K37" i="76"/>
  <c r="K38" i="75" s="1"/>
  <c r="K37" i="75" s="1"/>
  <c r="M16" i="76"/>
  <c r="M17" i="75" s="1"/>
  <c r="M16" i="75" s="1"/>
  <c r="M8" i="44" s="1"/>
  <c r="L16" i="76"/>
  <c r="L17" i="75" s="1"/>
  <c r="L16" i="75" s="1"/>
  <c r="L8" i="44" s="1"/>
  <c r="D93" i="76"/>
  <c r="H58" i="76"/>
  <c r="H59" i="75" s="1"/>
  <c r="H58" i="75" s="1"/>
  <c r="I46" i="76"/>
  <c r="I47" i="75" s="1"/>
  <c r="I46" i="75" s="1"/>
  <c r="I67" i="76"/>
  <c r="I68" i="75" s="1"/>
  <c r="I67" i="75" s="1"/>
  <c r="G82" i="76"/>
  <c r="G71" i="76"/>
  <c r="D9" i="76"/>
  <c r="D4" i="76"/>
  <c r="D6" i="76" s="1"/>
  <c r="I64" i="76"/>
  <c r="I65" i="75" s="1"/>
  <c r="I64" i="75" s="1"/>
  <c r="I22" i="76"/>
  <c r="I23" i="75" s="1"/>
  <c r="I22" i="75" s="1"/>
  <c r="J106" i="76"/>
  <c r="J107" i="75" s="1"/>
  <c r="J106" i="75" s="1"/>
  <c r="G13" i="76"/>
  <c r="G14" i="75" s="1"/>
  <c r="G13" i="75" s="1"/>
  <c r="I40" i="76"/>
  <c r="I41" i="75" s="1"/>
  <c r="I40" i="75" s="1"/>
  <c r="K85" i="76"/>
  <c r="K86" i="75" s="1"/>
  <c r="G52" i="76"/>
  <c r="G53" i="75" s="1"/>
  <c r="G50" i="76"/>
  <c r="I100" i="76"/>
  <c r="I101" i="75" s="1"/>
  <c r="I100" i="75" s="1"/>
  <c r="F10" i="76"/>
  <c r="F11" i="75" s="1"/>
  <c r="F8" i="76"/>
  <c r="J88" i="76"/>
  <c r="J89" i="75" s="1"/>
  <c r="J88" i="75" s="1"/>
  <c r="I25" i="76"/>
  <c r="I26" i="75" s="1"/>
  <c r="I25" i="75" s="1"/>
  <c r="J61" i="76"/>
  <c r="J62" i="75" s="1"/>
  <c r="J61" i="75" s="1"/>
  <c r="J79" i="76"/>
  <c r="J80" i="75" s="1"/>
  <c r="J79" i="75" s="1"/>
  <c r="F34" i="76"/>
  <c r="F35" i="75" s="1"/>
  <c r="F34" i="75" s="1"/>
  <c r="I73" i="76"/>
  <c r="I74" i="75" s="1"/>
  <c r="G92" i="76"/>
  <c r="G94" i="76"/>
  <c r="G95" i="75" s="1"/>
  <c r="H76" i="76"/>
  <c r="H77" i="75" s="1"/>
  <c r="H76" i="75" s="1"/>
  <c r="K103" i="76"/>
  <c r="K104" i="75" s="1"/>
  <c r="K103" i="75" s="1"/>
  <c r="F31" i="76"/>
  <c r="F32" i="75" s="1"/>
  <c r="F29" i="76"/>
  <c r="F70" i="76"/>
  <c r="F97" i="76"/>
  <c r="K43" i="76"/>
  <c r="K44" i="75" s="1"/>
  <c r="K43" i="75" s="1"/>
  <c r="J19" i="76"/>
  <c r="J20" i="75" s="1"/>
  <c r="J19" i="75" s="1"/>
  <c r="J109" i="76"/>
  <c r="J110" i="75" s="1"/>
  <c r="J109" i="75" s="1"/>
  <c r="G5" i="44"/>
  <c r="G30" i="27"/>
  <c r="H31" i="27"/>
  <c r="H28" i="27" s="1"/>
  <c r="J34" i="27"/>
  <c r="J35" i="28" s="1"/>
  <c r="J34" i="28" s="1"/>
  <c r="I43" i="27"/>
  <c r="K85" i="75" l="1"/>
  <c r="E30" i="75"/>
  <c r="N8" i="44"/>
  <c r="P8" i="44" s="1"/>
  <c r="Q8" i="44" s="1"/>
  <c r="N16" i="75"/>
  <c r="N17" i="75"/>
  <c r="I55" i="76"/>
  <c r="I56" i="75" s="1"/>
  <c r="I55" i="75" s="1"/>
  <c r="E97" i="75"/>
  <c r="E92" i="75"/>
  <c r="G52" i="75"/>
  <c r="G49" i="75" s="1"/>
  <c r="G50" i="75"/>
  <c r="G70" i="76"/>
  <c r="G72" i="76" s="1"/>
  <c r="G83" i="75"/>
  <c r="F31" i="75"/>
  <c r="F28" i="75" s="1"/>
  <c r="F29" i="75"/>
  <c r="E70" i="75"/>
  <c r="E72" i="75" s="1"/>
  <c r="D28" i="75"/>
  <c r="F52" i="75"/>
  <c r="F50" i="75"/>
  <c r="F91" i="76"/>
  <c r="F93" i="76" s="1"/>
  <c r="F98" i="75"/>
  <c r="D70" i="75"/>
  <c r="I73" i="75"/>
  <c r="F72" i="75"/>
  <c r="C8" i="3"/>
  <c r="C9" i="75"/>
  <c r="C4" i="75"/>
  <c r="C6" i="75" s="1"/>
  <c r="F10" i="75"/>
  <c r="F7" i="75" s="1"/>
  <c r="F8" i="75"/>
  <c r="E10" i="75"/>
  <c r="E8" i="75"/>
  <c r="J46" i="27"/>
  <c r="G94" i="75"/>
  <c r="F28" i="76"/>
  <c r="F30" i="76" s="1"/>
  <c r="E4" i="76"/>
  <c r="E6" i="76" s="1"/>
  <c r="F72" i="76"/>
  <c r="K88" i="76"/>
  <c r="K89" i="75" s="1"/>
  <c r="K88" i="75" s="1"/>
  <c r="H13" i="76"/>
  <c r="H14" i="75" s="1"/>
  <c r="H13" i="75" s="1"/>
  <c r="J67" i="76"/>
  <c r="J68" i="75" s="1"/>
  <c r="J67" i="75" s="1"/>
  <c r="G31" i="76"/>
  <c r="G32" i="75" s="1"/>
  <c r="G29" i="76"/>
  <c r="F7" i="76"/>
  <c r="J73" i="76"/>
  <c r="J74" i="75" s="1"/>
  <c r="J46" i="76"/>
  <c r="J47" i="75" s="1"/>
  <c r="J46" i="75" s="1"/>
  <c r="F5" i="76"/>
  <c r="K106" i="76"/>
  <c r="K107" i="75" s="1"/>
  <c r="K106" i="75" s="1"/>
  <c r="I58" i="76"/>
  <c r="I59" i="75" s="1"/>
  <c r="I58" i="75" s="1"/>
  <c r="G34" i="76"/>
  <c r="G35" i="75" s="1"/>
  <c r="G34" i="75" s="1"/>
  <c r="G10" i="76"/>
  <c r="G8" i="76"/>
  <c r="J22" i="76"/>
  <c r="J23" i="75" s="1"/>
  <c r="J22" i="75" s="1"/>
  <c r="K109" i="76"/>
  <c r="K110" i="75" s="1"/>
  <c r="K109" i="75" s="1"/>
  <c r="L103" i="76"/>
  <c r="L104" i="75" s="1"/>
  <c r="M103" i="76"/>
  <c r="M104" i="75" s="1"/>
  <c r="M103" i="75" s="1"/>
  <c r="J100" i="76"/>
  <c r="J101" i="75" s="1"/>
  <c r="J100" i="75" s="1"/>
  <c r="K19" i="76"/>
  <c r="K20" i="75" s="1"/>
  <c r="K19" i="75" s="1"/>
  <c r="J64" i="76"/>
  <c r="J65" i="75" s="1"/>
  <c r="J64" i="75" s="1"/>
  <c r="K79" i="76"/>
  <c r="K80" i="75" s="1"/>
  <c r="K79" i="75" s="1"/>
  <c r="G49" i="76"/>
  <c r="N16" i="76"/>
  <c r="N18" i="76" s="1"/>
  <c r="H50" i="76"/>
  <c r="H52" i="76"/>
  <c r="M37" i="76"/>
  <c r="M38" i="75" s="1"/>
  <c r="M37" i="75" s="1"/>
  <c r="N37" i="75" s="1"/>
  <c r="L37" i="76"/>
  <c r="L38" i="75" s="1"/>
  <c r="L37" i="75" s="1"/>
  <c r="I76" i="76"/>
  <c r="I77" i="75" s="1"/>
  <c r="I76" i="75" s="1"/>
  <c r="N37" i="76"/>
  <c r="N39" i="76" s="1"/>
  <c r="L43" i="76"/>
  <c r="L44" i="75" s="1"/>
  <c r="L43" i="75" s="1"/>
  <c r="M43" i="76"/>
  <c r="K61" i="76"/>
  <c r="K62" i="75" s="1"/>
  <c r="K61" i="75" s="1"/>
  <c r="L85" i="76"/>
  <c r="L86" i="75" s="1"/>
  <c r="L85" i="75" s="1"/>
  <c r="M85" i="76"/>
  <c r="H82" i="76"/>
  <c r="H71" i="76"/>
  <c r="H94" i="76"/>
  <c r="H95" i="75" s="1"/>
  <c r="G97" i="76"/>
  <c r="G98" i="75" s="1"/>
  <c r="G97" i="75" s="1"/>
  <c r="H92" i="76"/>
  <c r="G91" i="76"/>
  <c r="G93" i="76" s="1"/>
  <c r="J25" i="76"/>
  <c r="J26" i="75" s="1"/>
  <c r="J25" i="75" s="1"/>
  <c r="J40" i="76"/>
  <c r="J41" i="75" s="1"/>
  <c r="J40" i="75" s="1"/>
  <c r="H5" i="44"/>
  <c r="H30" i="27"/>
  <c r="I31" i="27"/>
  <c r="I28" i="27" s="1"/>
  <c r="J43" i="27"/>
  <c r="K34" i="27"/>
  <c r="K35" i="28" s="1"/>
  <c r="K34" i="28" s="1"/>
  <c r="L103" i="75" l="1"/>
  <c r="N103" i="75" s="1"/>
  <c r="N104" i="75"/>
  <c r="N85" i="76"/>
  <c r="N87" i="76" s="1"/>
  <c r="M86" i="75"/>
  <c r="M85" i="75" s="1"/>
  <c r="N86" i="75"/>
  <c r="N85" i="75"/>
  <c r="N43" i="76"/>
  <c r="N45" i="76" s="1"/>
  <c r="M44" i="75"/>
  <c r="M43" i="75" s="1"/>
  <c r="N43" i="75" s="1"/>
  <c r="N44" i="75"/>
  <c r="N38" i="75"/>
  <c r="N39" i="75" s="1"/>
  <c r="N18" i="75"/>
  <c r="J55" i="76"/>
  <c r="J56" i="75" s="1"/>
  <c r="J55" i="75" s="1"/>
  <c r="D30" i="75"/>
  <c r="D4" i="75"/>
  <c r="D6" i="75" s="1"/>
  <c r="F97" i="75"/>
  <c r="F91" i="75" s="1"/>
  <c r="F92" i="75"/>
  <c r="F5" i="75" s="1"/>
  <c r="G92" i="75"/>
  <c r="J73" i="75"/>
  <c r="D72" i="75"/>
  <c r="F30" i="75"/>
  <c r="H49" i="76"/>
  <c r="H51" i="76" s="1"/>
  <c r="H53" i="75"/>
  <c r="G91" i="75"/>
  <c r="G82" i="75"/>
  <c r="G71" i="75"/>
  <c r="H70" i="76"/>
  <c r="H72" i="76" s="1"/>
  <c r="H83" i="75"/>
  <c r="F49" i="75"/>
  <c r="G51" i="75"/>
  <c r="G31" i="75"/>
  <c r="G28" i="75" s="1"/>
  <c r="G29" i="75"/>
  <c r="E91" i="75"/>
  <c r="E93" i="75" s="1"/>
  <c r="E5" i="75"/>
  <c r="G7" i="76"/>
  <c r="G11" i="75"/>
  <c r="E7" i="75"/>
  <c r="F8" i="3"/>
  <c r="F9" i="75"/>
  <c r="K46" i="27"/>
  <c r="H94" i="75"/>
  <c r="G28" i="76"/>
  <c r="K100" i="76"/>
  <c r="K101" i="75" s="1"/>
  <c r="K100" i="75" s="1"/>
  <c r="I94" i="76"/>
  <c r="I95" i="75" s="1"/>
  <c r="I50" i="76"/>
  <c r="I52" i="76"/>
  <c r="N103" i="76"/>
  <c r="N105" i="76" s="1"/>
  <c r="K67" i="76"/>
  <c r="K68" i="75" s="1"/>
  <c r="K67" i="75" s="1"/>
  <c r="L19" i="76"/>
  <c r="L20" i="75" s="1"/>
  <c r="L19" i="75" s="1"/>
  <c r="M19" i="76"/>
  <c r="J58" i="76"/>
  <c r="J59" i="75" s="1"/>
  <c r="H97" i="76"/>
  <c r="I92" i="76"/>
  <c r="J76" i="76"/>
  <c r="J77" i="75" s="1"/>
  <c r="J76" i="75" s="1"/>
  <c r="H29" i="76"/>
  <c r="H31" i="76"/>
  <c r="H32" i="75" s="1"/>
  <c r="M106" i="76"/>
  <c r="M107" i="75" s="1"/>
  <c r="M106" i="75" s="1"/>
  <c r="L106" i="76"/>
  <c r="L107" i="75" s="1"/>
  <c r="L106" i="75" s="1"/>
  <c r="L109" i="76"/>
  <c r="L110" i="75" s="1"/>
  <c r="L109" i="75" s="1"/>
  <c r="M109" i="76"/>
  <c r="K46" i="76"/>
  <c r="K47" i="75" s="1"/>
  <c r="K46" i="75" s="1"/>
  <c r="J71" i="76"/>
  <c r="I82" i="76"/>
  <c r="I71" i="76"/>
  <c r="I13" i="76"/>
  <c r="I14" i="75" s="1"/>
  <c r="I13" i="75" s="1"/>
  <c r="L88" i="76"/>
  <c r="L89" i="75" s="1"/>
  <c r="L88" i="75" s="1"/>
  <c r="M88" i="76"/>
  <c r="G51" i="76"/>
  <c r="K22" i="76"/>
  <c r="K23" i="75" s="1"/>
  <c r="K22" i="75" s="1"/>
  <c r="H10" i="76"/>
  <c r="H11" i="75" s="1"/>
  <c r="H8" i="76"/>
  <c r="K73" i="76"/>
  <c r="K74" i="75" s="1"/>
  <c r="K40" i="76"/>
  <c r="K41" i="75" s="1"/>
  <c r="K40" i="75" s="1"/>
  <c r="L61" i="76"/>
  <c r="L62" i="75" s="1"/>
  <c r="M61" i="76"/>
  <c r="M79" i="76"/>
  <c r="M80" i="75" s="1"/>
  <c r="M79" i="75" s="1"/>
  <c r="L79" i="76"/>
  <c r="L80" i="75" s="1"/>
  <c r="L79" i="75" s="1"/>
  <c r="N79" i="75" s="1"/>
  <c r="G5" i="76"/>
  <c r="F4" i="76"/>
  <c r="F6" i="76" s="1"/>
  <c r="K25" i="76"/>
  <c r="K26" i="75" s="1"/>
  <c r="H34" i="76"/>
  <c r="H35" i="75" s="1"/>
  <c r="H34" i="75" s="1"/>
  <c r="K64" i="76"/>
  <c r="K65" i="75" s="1"/>
  <c r="K64" i="75" s="1"/>
  <c r="I5" i="44"/>
  <c r="I30" i="27"/>
  <c r="J31" i="27"/>
  <c r="J28" i="27" s="1"/>
  <c r="K43" i="27"/>
  <c r="L34" i="27"/>
  <c r="L35" i="28" s="1"/>
  <c r="L34" i="28" s="1"/>
  <c r="N105" i="75" l="1"/>
  <c r="N109" i="76"/>
  <c r="N111" i="76" s="1"/>
  <c r="M110" i="75"/>
  <c r="N106" i="75"/>
  <c r="N107" i="75"/>
  <c r="F93" i="75"/>
  <c r="F4" i="75"/>
  <c r="G93" i="75"/>
  <c r="N88" i="76"/>
  <c r="N90" i="76" s="1"/>
  <c r="M89" i="75"/>
  <c r="N87" i="75"/>
  <c r="N80" i="75"/>
  <c r="N81" i="75" s="1"/>
  <c r="L61" i="75"/>
  <c r="N61" i="76"/>
  <c r="N63" i="76" s="1"/>
  <c r="M62" i="75"/>
  <c r="M61" i="75" s="1"/>
  <c r="N45" i="75"/>
  <c r="K25" i="75"/>
  <c r="N19" i="76"/>
  <c r="N21" i="76" s="1"/>
  <c r="M20" i="75"/>
  <c r="G30" i="75"/>
  <c r="K55" i="76"/>
  <c r="K56" i="75" s="1"/>
  <c r="K55" i="75" s="1"/>
  <c r="J58" i="75"/>
  <c r="K73" i="75"/>
  <c r="I70" i="76"/>
  <c r="I72" i="76" s="1"/>
  <c r="I83" i="75"/>
  <c r="F6" i="75"/>
  <c r="I49" i="76"/>
  <c r="I51" i="76" s="1"/>
  <c r="I53" i="75"/>
  <c r="H82" i="75"/>
  <c r="H70" i="75" s="1"/>
  <c r="H71" i="75"/>
  <c r="H31" i="75"/>
  <c r="H29" i="75"/>
  <c r="G70" i="75"/>
  <c r="H91" i="76"/>
  <c r="H93" i="76" s="1"/>
  <c r="H98" i="75"/>
  <c r="F51" i="75"/>
  <c r="H52" i="75"/>
  <c r="H49" i="75" s="1"/>
  <c r="H50" i="75"/>
  <c r="H10" i="75"/>
  <c r="H7" i="75" s="1"/>
  <c r="H8" i="75"/>
  <c r="E8" i="3"/>
  <c r="E9" i="75"/>
  <c r="E4" i="75"/>
  <c r="E6" i="75" s="1"/>
  <c r="G10" i="75"/>
  <c r="G8" i="75"/>
  <c r="G4" i="76"/>
  <c r="G6" i="76" s="1"/>
  <c r="M46" i="27"/>
  <c r="L46" i="27"/>
  <c r="N46" i="27" s="1"/>
  <c r="N48" i="27" s="1"/>
  <c r="I94" i="75"/>
  <c r="H28" i="76"/>
  <c r="H30" i="76" s="1"/>
  <c r="G30" i="76"/>
  <c r="I34" i="76"/>
  <c r="I35" i="75" s="1"/>
  <c r="I34" i="75" s="1"/>
  <c r="L22" i="76"/>
  <c r="L23" i="75" s="1"/>
  <c r="L22" i="75" s="1"/>
  <c r="M22" i="76"/>
  <c r="N106" i="76"/>
  <c r="N108" i="76" s="1"/>
  <c r="J50" i="76"/>
  <c r="J52" i="76"/>
  <c r="I29" i="76"/>
  <c r="I31" i="76"/>
  <c r="I32" i="75" s="1"/>
  <c r="N79" i="76"/>
  <c r="N81" i="76" s="1"/>
  <c r="J94" i="76"/>
  <c r="J95" i="75" s="1"/>
  <c r="L64" i="76"/>
  <c r="L65" i="75" s="1"/>
  <c r="L64" i="75" s="1"/>
  <c r="M64" i="76"/>
  <c r="K76" i="76"/>
  <c r="K77" i="75" s="1"/>
  <c r="K76" i="75" s="1"/>
  <c r="J13" i="76"/>
  <c r="J14" i="75" s="1"/>
  <c r="J13" i="75" s="1"/>
  <c r="I97" i="76"/>
  <c r="L100" i="76"/>
  <c r="L101" i="75" s="1"/>
  <c r="L100" i="75" s="1"/>
  <c r="M100" i="76"/>
  <c r="K58" i="76"/>
  <c r="K59" i="75" s="1"/>
  <c r="K58" i="75" s="1"/>
  <c r="M25" i="76"/>
  <c r="M26" i="75" s="1"/>
  <c r="M25" i="75" s="1"/>
  <c r="L25" i="76"/>
  <c r="L26" i="75" s="1"/>
  <c r="L25" i="75" s="1"/>
  <c r="L73" i="76"/>
  <c r="L74" i="75" s="1"/>
  <c r="H5" i="76"/>
  <c r="J82" i="76"/>
  <c r="H7" i="76"/>
  <c r="M40" i="76"/>
  <c r="M41" i="75" s="1"/>
  <c r="M40" i="75" s="1"/>
  <c r="L40" i="76"/>
  <c r="L41" i="75" s="1"/>
  <c r="L40" i="75" s="1"/>
  <c r="I8" i="76"/>
  <c r="I10" i="76"/>
  <c r="L46" i="76"/>
  <c r="L47" i="75" s="1"/>
  <c r="L46" i="75" s="1"/>
  <c r="M46" i="76"/>
  <c r="M67" i="76"/>
  <c r="M68" i="75" s="1"/>
  <c r="L67" i="76"/>
  <c r="L68" i="75" s="1"/>
  <c r="L67" i="75" s="1"/>
  <c r="J30" i="27"/>
  <c r="J5" i="44"/>
  <c r="K31" i="27"/>
  <c r="K28" i="27" s="1"/>
  <c r="M43" i="27"/>
  <c r="L43" i="27"/>
  <c r="M34" i="27"/>
  <c r="M109" i="75" l="1"/>
  <c r="N109" i="75" s="1"/>
  <c r="N110" i="75"/>
  <c r="N108" i="75"/>
  <c r="N100" i="76"/>
  <c r="N102" i="76" s="1"/>
  <c r="M101" i="75"/>
  <c r="M100" i="75" s="1"/>
  <c r="N100" i="75" s="1"/>
  <c r="N101" i="75"/>
  <c r="M88" i="75"/>
  <c r="N88" i="75" s="1"/>
  <c r="N89" i="75"/>
  <c r="N90" i="75" s="1"/>
  <c r="M67" i="75"/>
  <c r="N67" i="75" s="1"/>
  <c r="N68" i="75"/>
  <c r="N69" i="75" s="1"/>
  <c r="N64" i="76"/>
  <c r="N66" i="76" s="1"/>
  <c r="M65" i="75"/>
  <c r="N62" i="75"/>
  <c r="N61" i="75"/>
  <c r="N63" i="75" s="1"/>
  <c r="N46" i="76"/>
  <c r="N48" i="76" s="1"/>
  <c r="M47" i="75"/>
  <c r="N40" i="75"/>
  <c r="N42" i="75" s="1"/>
  <c r="N41" i="75"/>
  <c r="N26" i="75"/>
  <c r="N25" i="75"/>
  <c r="N22" i="76"/>
  <c r="N24" i="76" s="1"/>
  <c r="M23" i="75"/>
  <c r="M19" i="75"/>
  <c r="N19" i="75" s="1"/>
  <c r="N20" i="75"/>
  <c r="M55" i="76"/>
  <c r="M56" i="75" s="1"/>
  <c r="M55" i="75" s="1"/>
  <c r="L55" i="76"/>
  <c r="J70" i="76"/>
  <c r="J72" i="76" s="1"/>
  <c r="J83" i="75"/>
  <c r="H28" i="75"/>
  <c r="L73" i="75"/>
  <c r="H72" i="75"/>
  <c r="H51" i="75"/>
  <c r="I31" i="75"/>
  <c r="I28" i="75" s="1"/>
  <c r="I29" i="75"/>
  <c r="I82" i="75"/>
  <c r="I70" i="75" s="1"/>
  <c r="I71" i="75"/>
  <c r="J49" i="76"/>
  <c r="J51" i="76" s="1"/>
  <c r="J53" i="75"/>
  <c r="H97" i="75"/>
  <c r="H92" i="75"/>
  <c r="H5" i="75" s="1"/>
  <c r="I91" i="76"/>
  <c r="I93" i="76" s="1"/>
  <c r="I98" i="75"/>
  <c r="I52" i="75"/>
  <c r="I49" i="75" s="1"/>
  <c r="I50" i="75"/>
  <c r="G72" i="75"/>
  <c r="G5" i="75"/>
  <c r="I7" i="76"/>
  <c r="I11" i="75"/>
  <c r="G7" i="75"/>
  <c r="H8" i="3"/>
  <c r="H9" i="75"/>
  <c r="N34" i="27"/>
  <c r="N36" i="27" s="1"/>
  <c r="M35" i="28"/>
  <c r="M34" i="28" s="1"/>
  <c r="J94" i="75"/>
  <c r="I28" i="76"/>
  <c r="I30" i="76" s="1"/>
  <c r="H4" i="76"/>
  <c r="H6" i="76" s="1"/>
  <c r="K92" i="76"/>
  <c r="J97" i="76"/>
  <c r="K13" i="76"/>
  <c r="K14" i="75" s="1"/>
  <c r="K13" i="75" s="1"/>
  <c r="J29" i="76"/>
  <c r="J31" i="76"/>
  <c r="J32" i="75" s="1"/>
  <c r="K82" i="76"/>
  <c r="K50" i="76"/>
  <c r="K52" i="76"/>
  <c r="M73" i="76"/>
  <c r="M74" i="75" s="1"/>
  <c r="M76" i="76"/>
  <c r="L76" i="76"/>
  <c r="L77" i="75" s="1"/>
  <c r="L76" i="75" s="1"/>
  <c r="N67" i="76"/>
  <c r="N69" i="76" s="1"/>
  <c r="N25" i="76"/>
  <c r="N27" i="76" s="1"/>
  <c r="L58" i="76"/>
  <c r="L59" i="75" s="1"/>
  <c r="L58" i="75" s="1"/>
  <c r="M58" i="76"/>
  <c r="K94" i="76"/>
  <c r="K95" i="75" s="1"/>
  <c r="J34" i="76"/>
  <c r="J35" i="75" s="1"/>
  <c r="J34" i="75" s="1"/>
  <c r="I5" i="76"/>
  <c r="J8" i="76"/>
  <c r="J10" i="76"/>
  <c r="J11" i="75" s="1"/>
  <c r="K71" i="76"/>
  <c r="J92" i="76"/>
  <c r="N40" i="76"/>
  <c r="N42" i="76" s="1"/>
  <c r="K30" i="27"/>
  <c r="K5" i="44"/>
  <c r="M31" i="27"/>
  <c r="M28" i="27" s="1"/>
  <c r="L31" i="27"/>
  <c r="L28" i="27" s="1"/>
  <c r="N43" i="27"/>
  <c r="N45" i="27" s="1"/>
  <c r="N111" i="75" l="1"/>
  <c r="N102" i="75"/>
  <c r="M64" i="75"/>
  <c r="N64" i="75" s="1"/>
  <c r="N65" i="75"/>
  <c r="M46" i="75"/>
  <c r="N46" i="75" s="1"/>
  <c r="N48" i="75" s="1"/>
  <c r="N47" i="75"/>
  <c r="N27" i="75"/>
  <c r="M22" i="75"/>
  <c r="N22" i="75" s="1"/>
  <c r="N23" i="75"/>
  <c r="N21" i="75"/>
  <c r="L56" i="75"/>
  <c r="L55" i="75" s="1"/>
  <c r="N55" i="75" s="1"/>
  <c r="N57" i="75" s="1"/>
  <c r="N55" i="76"/>
  <c r="N57" i="76" s="1"/>
  <c r="H91" i="75"/>
  <c r="N58" i="76"/>
  <c r="N60" i="76" s="1"/>
  <c r="M59" i="75"/>
  <c r="N76" i="76"/>
  <c r="N78" i="76" s="1"/>
  <c r="M77" i="75"/>
  <c r="M76" i="75" s="1"/>
  <c r="M73" i="75"/>
  <c r="N73" i="75" s="1"/>
  <c r="N74" i="75"/>
  <c r="I51" i="75"/>
  <c r="K70" i="76"/>
  <c r="K72" i="76" s="1"/>
  <c r="K83" i="75"/>
  <c r="J31" i="75"/>
  <c r="J28" i="75" s="1"/>
  <c r="J29" i="75"/>
  <c r="H30" i="75"/>
  <c r="J82" i="75"/>
  <c r="J70" i="75" s="1"/>
  <c r="J71" i="75"/>
  <c r="J91" i="76"/>
  <c r="J98" i="75"/>
  <c r="J52" i="75"/>
  <c r="J49" i="75" s="1"/>
  <c r="J50" i="75"/>
  <c r="I72" i="75"/>
  <c r="I30" i="75"/>
  <c r="K49" i="76"/>
  <c r="K51" i="76" s="1"/>
  <c r="K53" i="75"/>
  <c r="I97" i="75"/>
  <c r="I91" i="75" s="1"/>
  <c r="I92" i="75"/>
  <c r="G8" i="3"/>
  <c r="G9" i="75"/>
  <c r="G4" i="75"/>
  <c r="G6" i="75" s="1"/>
  <c r="I10" i="75"/>
  <c r="I8" i="75"/>
  <c r="J10" i="75"/>
  <c r="J7" i="75" s="1"/>
  <c r="J8" i="75"/>
  <c r="K94" i="75"/>
  <c r="J93" i="76"/>
  <c r="I4" i="76"/>
  <c r="I6" i="76" s="1"/>
  <c r="N73" i="76"/>
  <c r="N75" i="76" s="1"/>
  <c r="L50" i="76"/>
  <c r="L52" i="76"/>
  <c r="J28" i="76"/>
  <c r="J30" i="76" s="1"/>
  <c r="K31" i="76"/>
  <c r="K32" i="75" s="1"/>
  <c r="K29" i="76"/>
  <c r="L13" i="76"/>
  <c r="L14" i="75" s="1"/>
  <c r="L13" i="75" s="1"/>
  <c r="M13" i="76"/>
  <c r="J7" i="76"/>
  <c r="K97" i="76"/>
  <c r="L92" i="76"/>
  <c r="J5" i="76"/>
  <c r="K34" i="76"/>
  <c r="K35" i="75" s="1"/>
  <c r="K34" i="75" s="1"/>
  <c r="L94" i="76"/>
  <c r="L95" i="75" s="1"/>
  <c r="L82" i="76"/>
  <c r="M82" i="76"/>
  <c r="L71" i="76"/>
  <c r="K8" i="76"/>
  <c r="K10" i="76"/>
  <c r="M71" i="76"/>
  <c r="L30" i="27"/>
  <c r="L5" i="44"/>
  <c r="M30" i="27"/>
  <c r="M5" i="44"/>
  <c r="N31" i="27"/>
  <c r="N33" i="27" s="1"/>
  <c r="N28" i="27"/>
  <c r="N30" i="27" s="1"/>
  <c r="N66" i="75" l="1"/>
  <c r="N24" i="75"/>
  <c r="J30" i="75"/>
  <c r="K91" i="76"/>
  <c r="K93" i="76" s="1"/>
  <c r="K98" i="75"/>
  <c r="N75" i="75"/>
  <c r="J97" i="75"/>
  <c r="J91" i="75" s="1"/>
  <c r="J92" i="75"/>
  <c r="J5" i="75" s="1"/>
  <c r="K5" i="76"/>
  <c r="M58" i="75"/>
  <c r="N58" i="75" s="1"/>
  <c r="N59" i="75"/>
  <c r="N82" i="76"/>
  <c r="N84" i="76" s="1"/>
  <c r="M83" i="75"/>
  <c r="L49" i="76"/>
  <c r="L51" i="76" s="1"/>
  <c r="L53" i="75"/>
  <c r="J72" i="75"/>
  <c r="H4" i="75"/>
  <c r="H6" i="75" s="1"/>
  <c r="H93" i="75"/>
  <c r="K52" i="75"/>
  <c r="K49" i="75" s="1"/>
  <c r="K50" i="75"/>
  <c r="K82" i="75"/>
  <c r="K70" i="75" s="1"/>
  <c r="K71" i="75"/>
  <c r="J51" i="75"/>
  <c r="N76" i="75"/>
  <c r="N78" i="75" s="1"/>
  <c r="K31" i="75"/>
  <c r="K28" i="75" s="1"/>
  <c r="K29" i="75"/>
  <c r="L70" i="76"/>
  <c r="L72" i="76" s="1"/>
  <c r="L83" i="75"/>
  <c r="I93" i="75"/>
  <c r="N13" i="76"/>
  <c r="N15" i="76" s="1"/>
  <c r="M14" i="75"/>
  <c r="M13" i="75" s="1"/>
  <c r="N13" i="75" s="1"/>
  <c r="N15" i="75" s="1"/>
  <c r="J8" i="3"/>
  <c r="J9" i="75"/>
  <c r="I5" i="75"/>
  <c r="K7" i="76"/>
  <c r="K11" i="75"/>
  <c r="I7" i="75"/>
  <c r="L94" i="75"/>
  <c r="K28" i="76"/>
  <c r="K30" i="76" s="1"/>
  <c r="L8" i="76"/>
  <c r="L10" i="76"/>
  <c r="L31" i="76"/>
  <c r="L32" i="75" s="1"/>
  <c r="L29" i="76"/>
  <c r="M94" i="76"/>
  <c r="M95" i="75" s="1"/>
  <c r="M50" i="76"/>
  <c r="M52" i="76"/>
  <c r="M53" i="75" s="1"/>
  <c r="M34" i="76"/>
  <c r="L34" i="76"/>
  <c r="L35" i="75" s="1"/>
  <c r="L34" i="75" s="1"/>
  <c r="J4" i="76"/>
  <c r="J6" i="76" s="1"/>
  <c r="L97" i="76"/>
  <c r="M97" i="76"/>
  <c r="M98" i="75" s="1"/>
  <c r="M97" i="75" s="1"/>
  <c r="M70" i="76"/>
  <c r="C111" i="74"/>
  <c r="C109" i="74" s="1"/>
  <c r="B111" i="74"/>
  <c r="M110" i="74"/>
  <c r="L110" i="74"/>
  <c r="K110" i="74"/>
  <c r="J110" i="74"/>
  <c r="I110" i="74"/>
  <c r="H110" i="74"/>
  <c r="G110" i="74"/>
  <c r="F110" i="74"/>
  <c r="E110" i="74"/>
  <c r="D110" i="74"/>
  <c r="C110" i="74"/>
  <c r="B110" i="74"/>
  <c r="C108" i="74"/>
  <c r="D108" i="74" s="1"/>
  <c r="E108" i="74" s="1"/>
  <c r="E111" i="74" s="1"/>
  <c r="B105" i="74"/>
  <c r="C102" i="74"/>
  <c r="D102" i="74" s="1"/>
  <c r="B99" i="74"/>
  <c r="C96" i="74"/>
  <c r="B90" i="74"/>
  <c r="C87" i="74"/>
  <c r="D87" i="74" s="1"/>
  <c r="E87" i="74" s="1"/>
  <c r="F87" i="74" s="1"/>
  <c r="F90" i="74" s="1"/>
  <c r="B84" i="74"/>
  <c r="C81" i="74"/>
  <c r="D81" i="74" s="1"/>
  <c r="B78" i="74"/>
  <c r="C75" i="74"/>
  <c r="B69" i="74"/>
  <c r="C66" i="74"/>
  <c r="D66" i="74" s="1"/>
  <c r="B63" i="74"/>
  <c r="C60" i="74"/>
  <c r="C63" i="74" s="1"/>
  <c r="B57" i="74"/>
  <c r="C54" i="74"/>
  <c r="C57" i="74" s="1"/>
  <c r="B48" i="74"/>
  <c r="C45" i="74"/>
  <c r="D45" i="74" s="1"/>
  <c r="B42" i="74"/>
  <c r="C39" i="74"/>
  <c r="B36" i="74"/>
  <c r="C33" i="74"/>
  <c r="C36" i="74" s="1"/>
  <c r="B27" i="74"/>
  <c r="C24" i="74"/>
  <c r="D24" i="74" s="1"/>
  <c r="B21" i="74"/>
  <c r="C18" i="74"/>
  <c r="D18" i="74" s="1"/>
  <c r="B15" i="74"/>
  <c r="C12" i="74"/>
  <c r="D12" i="74" s="1"/>
  <c r="E12" i="74" s="1"/>
  <c r="F12" i="74" s="1"/>
  <c r="G12" i="74" s="1"/>
  <c r="H12" i="74" s="1"/>
  <c r="I12" i="74" s="1"/>
  <c r="B3" i="74"/>
  <c r="C3" i="74" s="1"/>
  <c r="D3" i="74" s="1"/>
  <c r="E3" i="74" s="1"/>
  <c r="F3" i="74" s="1"/>
  <c r="G3" i="74" s="1"/>
  <c r="H3" i="74" s="1"/>
  <c r="I3" i="74" s="1"/>
  <c r="J3" i="74" s="1"/>
  <c r="K3" i="74" s="1"/>
  <c r="L3" i="74" s="1"/>
  <c r="M3" i="74" s="1"/>
  <c r="N255" i="38"/>
  <c r="E255" i="38"/>
  <c r="F255" i="38" s="1"/>
  <c r="G255" i="38" s="1"/>
  <c r="H255" i="38" s="1"/>
  <c r="I255" i="38" s="1"/>
  <c r="J255" i="38" s="1"/>
  <c r="K255" i="38" s="1"/>
  <c r="L255" i="38" s="1"/>
  <c r="M255" i="38" s="1"/>
  <c r="B255" i="38"/>
  <c r="C255" i="38" s="1"/>
  <c r="D255" i="38" s="1"/>
  <c r="N110" i="36"/>
  <c r="E110" i="36"/>
  <c r="F110" i="36" s="1"/>
  <c r="G110" i="36" s="1"/>
  <c r="H110" i="36" s="1"/>
  <c r="I110" i="36" s="1"/>
  <c r="J110" i="36" s="1"/>
  <c r="K110" i="36" s="1"/>
  <c r="L110" i="36" s="1"/>
  <c r="M110" i="36" s="1"/>
  <c r="B110" i="36"/>
  <c r="C110" i="36" s="1"/>
  <c r="D110" i="36" s="1"/>
  <c r="N255" i="41"/>
  <c r="E255" i="41"/>
  <c r="F255" i="41" s="1"/>
  <c r="G255" i="41" s="1"/>
  <c r="H255" i="41" s="1"/>
  <c r="I255" i="41" s="1"/>
  <c r="J255" i="41" s="1"/>
  <c r="K255" i="41" s="1"/>
  <c r="L255" i="41" s="1"/>
  <c r="M255" i="41" s="1"/>
  <c r="B255" i="41"/>
  <c r="C255" i="41" s="1"/>
  <c r="N226" i="37"/>
  <c r="E226" i="37"/>
  <c r="F226" i="37" s="1"/>
  <c r="G226" i="37" s="1"/>
  <c r="H226" i="37" s="1"/>
  <c r="I226" i="37" s="1"/>
  <c r="J226" i="37" s="1"/>
  <c r="K226" i="37" s="1"/>
  <c r="L226" i="37" s="1"/>
  <c r="M226" i="37" s="1"/>
  <c r="B226" i="37"/>
  <c r="C226" i="37" s="1"/>
  <c r="D226" i="37" s="1"/>
  <c r="N226" i="42"/>
  <c r="E226" i="42"/>
  <c r="F226" i="42" s="1"/>
  <c r="G226" i="42" s="1"/>
  <c r="H226" i="42" s="1"/>
  <c r="I226" i="42" s="1"/>
  <c r="J226" i="42" s="1"/>
  <c r="K226" i="42" s="1"/>
  <c r="L226" i="42" s="1"/>
  <c r="M226" i="42" s="1"/>
  <c r="B226" i="42"/>
  <c r="B229" i="42" s="1"/>
  <c r="C229" i="42" s="1"/>
  <c r="N168" i="35"/>
  <c r="E168" i="35"/>
  <c r="F168" i="35" s="1"/>
  <c r="G168" i="35" s="1"/>
  <c r="H168" i="35" s="1"/>
  <c r="I168" i="35" s="1"/>
  <c r="J168" i="35" s="1"/>
  <c r="K168" i="35" s="1"/>
  <c r="L168" i="35" s="1"/>
  <c r="M168" i="35" s="1"/>
  <c r="B168" i="35"/>
  <c r="C168" i="35" s="1"/>
  <c r="D168" i="35" s="1"/>
  <c r="N110" i="71"/>
  <c r="E110" i="71"/>
  <c r="F110" i="71" s="1"/>
  <c r="G110" i="71" s="1"/>
  <c r="H110" i="71" s="1"/>
  <c r="I110" i="71" s="1"/>
  <c r="J110" i="71" s="1"/>
  <c r="K110" i="71" s="1"/>
  <c r="L110" i="71" s="1"/>
  <c r="M110" i="71" s="1"/>
  <c r="B110" i="71"/>
  <c r="C110" i="71" s="1"/>
  <c r="D110" i="71" s="1"/>
  <c r="N110" i="33"/>
  <c r="E110" i="33"/>
  <c r="F110" i="33" s="1"/>
  <c r="G110" i="33" s="1"/>
  <c r="H110" i="33" s="1"/>
  <c r="I110" i="33" s="1"/>
  <c r="J110" i="33" s="1"/>
  <c r="K110" i="33" s="1"/>
  <c r="L110" i="33" s="1"/>
  <c r="M110" i="33" s="1"/>
  <c r="B110" i="33"/>
  <c r="C110" i="33" s="1"/>
  <c r="D110" i="33" s="1"/>
  <c r="N110" i="32"/>
  <c r="E110" i="32"/>
  <c r="F110" i="32" s="1"/>
  <c r="G110" i="32" s="1"/>
  <c r="H110" i="32" s="1"/>
  <c r="I110" i="32" s="1"/>
  <c r="J110" i="32" s="1"/>
  <c r="K110" i="32" s="1"/>
  <c r="L110" i="32" s="1"/>
  <c r="M110" i="32" s="1"/>
  <c r="B110" i="32"/>
  <c r="C110" i="32" s="1"/>
  <c r="D110" i="32" s="1"/>
  <c r="N168" i="31"/>
  <c r="E168" i="31"/>
  <c r="F168" i="31" s="1"/>
  <c r="G168" i="31" s="1"/>
  <c r="H168" i="31" s="1"/>
  <c r="I168" i="31" s="1"/>
  <c r="J168" i="31" s="1"/>
  <c r="K168" i="31" s="1"/>
  <c r="L168" i="31" s="1"/>
  <c r="M168" i="31" s="1"/>
  <c r="B168" i="31"/>
  <c r="C168" i="31" s="1"/>
  <c r="D168" i="31" s="1"/>
  <c r="N168" i="29"/>
  <c r="E168" i="29"/>
  <c r="F168" i="29" s="1"/>
  <c r="G168" i="29" s="1"/>
  <c r="H168" i="29" s="1"/>
  <c r="I168" i="29" s="1"/>
  <c r="J168" i="29" s="1"/>
  <c r="K168" i="29" s="1"/>
  <c r="L168" i="29" s="1"/>
  <c r="M168" i="29" s="1"/>
  <c r="B168" i="29"/>
  <c r="C168" i="29" s="1"/>
  <c r="D168" i="29" s="1"/>
  <c r="N247" i="38"/>
  <c r="E247" i="38"/>
  <c r="F247" i="38" s="1"/>
  <c r="G247" i="38" s="1"/>
  <c r="H247" i="38" s="1"/>
  <c r="I247" i="38" s="1"/>
  <c r="J247" i="38" s="1"/>
  <c r="K247" i="38" s="1"/>
  <c r="L247" i="38" s="1"/>
  <c r="M247" i="38" s="1"/>
  <c r="B247" i="38"/>
  <c r="C247" i="38" s="1"/>
  <c r="D247" i="38" s="1"/>
  <c r="N107" i="36"/>
  <c r="E107" i="36"/>
  <c r="F107" i="36" s="1"/>
  <c r="G107" i="36" s="1"/>
  <c r="H107" i="36" s="1"/>
  <c r="I107" i="36" s="1"/>
  <c r="J107" i="36" s="1"/>
  <c r="K107" i="36" s="1"/>
  <c r="L107" i="36" s="1"/>
  <c r="M107" i="36" s="1"/>
  <c r="B107" i="36"/>
  <c r="C107" i="36" s="1"/>
  <c r="D107" i="36" s="1"/>
  <c r="N247" i="41"/>
  <c r="E247" i="41"/>
  <c r="F247" i="41" s="1"/>
  <c r="G247" i="41" s="1"/>
  <c r="H247" i="41" s="1"/>
  <c r="I247" i="41" s="1"/>
  <c r="J247" i="41" s="1"/>
  <c r="K247" i="41" s="1"/>
  <c r="L247" i="41" s="1"/>
  <c r="M247" i="41" s="1"/>
  <c r="B247" i="41"/>
  <c r="C247" i="41" s="1"/>
  <c r="D247" i="41" s="1"/>
  <c r="N219" i="37"/>
  <c r="E219" i="37"/>
  <c r="F219" i="37" s="1"/>
  <c r="G219" i="37" s="1"/>
  <c r="H219" i="37" s="1"/>
  <c r="I219" i="37" s="1"/>
  <c r="J219" i="37" s="1"/>
  <c r="K219" i="37" s="1"/>
  <c r="L219" i="37" s="1"/>
  <c r="M219" i="37" s="1"/>
  <c r="B219" i="37"/>
  <c r="C219" i="37" s="1"/>
  <c r="D219" i="37" s="1"/>
  <c r="N219" i="42"/>
  <c r="E219" i="42"/>
  <c r="F219" i="42" s="1"/>
  <c r="G219" i="42" s="1"/>
  <c r="H219" i="42" s="1"/>
  <c r="I219" i="42" s="1"/>
  <c r="J219" i="42" s="1"/>
  <c r="K219" i="42" s="1"/>
  <c r="L219" i="42" s="1"/>
  <c r="M219" i="42" s="1"/>
  <c r="B219" i="42"/>
  <c r="N163" i="35"/>
  <c r="E163" i="35"/>
  <c r="F163" i="35" s="1"/>
  <c r="G163" i="35" s="1"/>
  <c r="H163" i="35" s="1"/>
  <c r="I163" i="35" s="1"/>
  <c r="J163" i="35" s="1"/>
  <c r="K163" i="35" s="1"/>
  <c r="L163" i="35" s="1"/>
  <c r="M163" i="35" s="1"/>
  <c r="B163" i="35"/>
  <c r="B164" i="35" s="1"/>
  <c r="B162" i="35" s="1"/>
  <c r="N107" i="71"/>
  <c r="E107" i="71"/>
  <c r="F107" i="71" s="1"/>
  <c r="G107" i="71" s="1"/>
  <c r="H107" i="71" s="1"/>
  <c r="I107" i="71" s="1"/>
  <c r="J107" i="71" s="1"/>
  <c r="K107" i="71" s="1"/>
  <c r="L107" i="71" s="1"/>
  <c r="M107" i="71" s="1"/>
  <c r="B107" i="71"/>
  <c r="C107" i="71" s="1"/>
  <c r="D107" i="71" s="1"/>
  <c r="N107" i="33"/>
  <c r="E107" i="33"/>
  <c r="F107" i="33" s="1"/>
  <c r="G107" i="33" s="1"/>
  <c r="H107" i="33" s="1"/>
  <c r="I107" i="33" s="1"/>
  <c r="J107" i="33" s="1"/>
  <c r="K107" i="33" s="1"/>
  <c r="L107" i="33" s="1"/>
  <c r="M107" i="33" s="1"/>
  <c r="B107" i="33"/>
  <c r="C107" i="33" s="1"/>
  <c r="D107" i="33" s="1"/>
  <c r="N107" i="32"/>
  <c r="E107" i="32"/>
  <c r="F107" i="32" s="1"/>
  <c r="G107" i="32" s="1"/>
  <c r="H107" i="32" s="1"/>
  <c r="I107" i="32" s="1"/>
  <c r="J107" i="32" s="1"/>
  <c r="K107" i="32" s="1"/>
  <c r="L107" i="32" s="1"/>
  <c r="M107" i="32" s="1"/>
  <c r="B107" i="32"/>
  <c r="C107" i="32" s="1"/>
  <c r="D107" i="32" s="1"/>
  <c r="N163" i="31"/>
  <c r="E163" i="31"/>
  <c r="F163" i="31" s="1"/>
  <c r="G163" i="31" s="1"/>
  <c r="H163" i="31" s="1"/>
  <c r="I163" i="31" s="1"/>
  <c r="J163" i="31" s="1"/>
  <c r="K163" i="31" s="1"/>
  <c r="L163" i="31" s="1"/>
  <c r="M163" i="31" s="1"/>
  <c r="B163" i="31"/>
  <c r="C163" i="31" s="1"/>
  <c r="D163" i="31" s="1"/>
  <c r="N163" i="29"/>
  <c r="E163" i="29"/>
  <c r="F163" i="29" s="1"/>
  <c r="G163" i="29" s="1"/>
  <c r="H163" i="29" s="1"/>
  <c r="I163" i="29" s="1"/>
  <c r="J163" i="29" s="1"/>
  <c r="K163" i="29" s="1"/>
  <c r="L163" i="29" s="1"/>
  <c r="M163" i="29" s="1"/>
  <c r="B163" i="29"/>
  <c r="C163" i="29" s="1"/>
  <c r="D163" i="29" s="1"/>
  <c r="N239" i="38"/>
  <c r="F239" i="38"/>
  <c r="G239" i="38" s="1"/>
  <c r="H239" i="38" s="1"/>
  <c r="I239" i="38" s="1"/>
  <c r="J239" i="38" s="1"/>
  <c r="K239" i="38" s="1"/>
  <c r="L239" i="38" s="1"/>
  <c r="M239" i="38" s="1"/>
  <c r="E239" i="38"/>
  <c r="B239" i="38"/>
  <c r="C239" i="38" s="1"/>
  <c r="D239" i="38" s="1"/>
  <c r="N104" i="36"/>
  <c r="E104" i="36"/>
  <c r="F104" i="36" s="1"/>
  <c r="G104" i="36" s="1"/>
  <c r="H104" i="36" s="1"/>
  <c r="I104" i="36" s="1"/>
  <c r="J104" i="36" s="1"/>
  <c r="K104" i="36" s="1"/>
  <c r="L104" i="36" s="1"/>
  <c r="M104" i="36" s="1"/>
  <c r="B104" i="36"/>
  <c r="C104" i="36" s="1"/>
  <c r="D104" i="36" s="1"/>
  <c r="N239" i="41"/>
  <c r="E239" i="41"/>
  <c r="F239" i="41" s="1"/>
  <c r="G239" i="41" s="1"/>
  <c r="H239" i="41" s="1"/>
  <c r="I239" i="41" s="1"/>
  <c r="J239" i="41" s="1"/>
  <c r="K239" i="41" s="1"/>
  <c r="L239" i="41" s="1"/>
  <c r="M239" i="41" s="1"/>
  <c r="B239" i="41"/>
  <c r="C239" i="41" s="1"/>
  <c r="D239" i="41" s="1"/>
  <c r="N212" i="37"/>
  <c r="E212" i="37"/>
  <c r="F212" i="37" s="1"/>
  <c r="G212" i="37" s="1"/>
  <c r="H212" i="37" s="1"/>
  <c r="I212" i="37" s="1"/>
  <c r="J212" i="37" s="1"/>
  <c r="K212" i="37" s="1"/>
  <c r="L212" i="37" s="1"/>
  <c r="M212" i="37" s="1"/>
  <c r="B212" i="37"/>
  <c r="C212" i="37" s="1"/>
  <c r="D212" i="37" s="1"/>
  <c r="N212" i="42"/>
  <c r="E212" i="42"/>
  <c r="F212" i="42" s="1"/>
  <c r="G212" i="42" s="1"/>
  <c r="H212" i="42" s="1"/>
  <c r="I212" i="42" s="1"/>
  <c r="J212" i="42" s="1"/>
  <c r="K212" i="42" s="1"/>
  <c r="L212" i="42" s="1"/>
  <c r="M212" i="42" s="1"/>
  <c r="B212" i="42"/>
  <c r="C212" i="42" s="1"/>
  <c r="D212" i="42" s="1"/>
  <c r="N158" i="35"/>
  <c r="E158" i="35"/>
  <c r="F158" i="35" s="1"/>
  <c r="G158" i="35" s="1"/>
  <c r="H158" i="35" s="1"/>
  <c r="I158" i="35" s="1"/>
  <c r="J158" i="35" s="1"/>
  <c r="K158" i="35" s="1"/>
  <c r="L158" i="35" s="1"/>
  <c r="M158" i="35" s="1"/>
  <c r="B158" i="35"/>
  <c r="C158" i="35" s="1"/>
  <c r="D158" i="35" s="1"/>
  <c r="N104" i="71"/>
  <c r="E104" i="71"/>
  <c r="F104" i="71" s="1"/>
  <c r="G104" i="71" s="1"/>
  <c r="H104" i="71" s="1"/>
  <c r="I104" i="71" s="1"/>
  <c r="J104" i="71" s="1"/>
  <c r="K104" i="71" s="1"/>
  <c r="L104" i="71" s="1"/>
  <c r="M104" i="71" s="1"/>
  <c r="B104" i="71"/>
  <c r="C104" i="71" s="1"/>
  <c r="D104" i="71" s="1"/>
  <c r="N104" i="33"/>
  <c r="E104" i="33"/>
  <c r="F104" i="33" s="1"/>
  <c r="G104" i="33" s="1"/>
  <c r="H104" i="33" s="1"/>
  <c r="I104" i="33" s="1"/>
  <c r="J104" i="33" s="1"/>
  <c r="K104" i="33" s="1"/>
  <c r="L104" i="33" s="1"/>
  <c r="M104" i="33" s="1"/>
  <c r="B104" i="33"/>
  <c r="C104" i="33" s="1"/>
  <c r="D104" i="33" s="1"/>
  <c r="N104" i="32"/>
  <c r="E104" i="32"/>
  <c r="F104" i="32" s="1"/>
  <c r="G104" i="32" s="1"/>
  <c r="H104" i="32" s="1"/>
  <c r="I104" i="32" s="1"/>
  <c r="J104" i="32" s="1"/>
  <c r="K104" i="32" s="1"/>
  <c r="L104" i="32" s="1"/>
  <c r="M104" i="32" s="1"/>
  <c r="B104" i="32"/>
  <c r="C104" i="32" s="1"/>
  <c r="D104" i="32" s="1"/>
  <c r="N158" i="31"/>
  <c r="E158" i="31"/>
  <c r="F158" i="31" s="1"/>
  <c r="G158" i="31" s="1"/>
  <c r="H158" i="31" s="1"/>
  <c r="I158" i="31" s="1"/>
  <c r="J158" i="31" s="1"/>
  <c r="K158" i="31" s="1"/>
  <c r="L158" i="31" s="1"/>
  <c r="M158" i="31" s="1"/>
  <c r="B158" i="31"/>
  <c r="C158" i="31" s="1"/>
  <c r="D158" i="31" s="1"/>
  <c r="N158" i="29"/>
  <c r="E158" i="29"/>
  <c r="F158" i="29" s="1"/>
  <c r="G158" i="29" s="1"/>
  <c r="H158" i="29" s="1"/>
  <c r="I158" i="29" s="1"/>
  <c r="J158" i="29" s="1"/>
  <c r="K158" i="29" s="1"/>
  <c r="L158" i="29" s="1"/>
  <c r="M158" i="29" s="1"/>
  <c r="B158" i="29"/>
  <c r="C158" i="29" s="1"/>
  <c r="D158" i="29" s="1"/>
  <c r="N231" i="38"/>
  <c r="E231" i="38"/>
  <c r="F231" i="38" s="1"/>
  <c r="G231" i="38" s="1"/>
  <c r="H231" i="38" s="1"/>
  <c r="I231" i="38" s="1"/>
  <c r="J231" i="38" s="1"/>
  <c r="K231" i="38" s="1"/>
  <c r="L231" i="38" s="1"/>
  <c r="M231" i="38" s="1"/>
  <c r="B231" i="38"/>
  <c r="C231" i="38" s="1"/>
  <c r="D231" i="38" s="1"/>
  <c r="N101" i="36"/>
  <c r="E101" i="36"/>
  <c r="F101" i="36" s="1"/>
  <c r="G101" i="36" s="1"/>
  <c r="H101" i="36" s="1"/>
  <c r="I101" i="36" s="1"/>
  <c r="J101" i="36" s="1"/>
  <c r="K101" i="36" s="1"/>
  <c r="L101" i="36" s="1"/>
  <c r="M101" i="36" s="1"/>
  <c r="B101" i="36"/>
  <c r="C101" i="36" s="1"/>
  <c r="D101" i="36" s="1"/>
  <c r="N231" i="41"/>
  <c r="E231" i="41"/>
  <c r="F231" i="41" s="1"/>
  <c r="G231" i="41" s="1"/>
  <c r="H231" i="41" s="1"/>
  <c r="I231" i="41" s="1"/>
  <c r="J231" i="41" s="1"/>
  <c r="K231" i="41" s="1"/>
  <c r="L231" i="41" s="1"/>
  <c r="M231" i="41" s="1"/>
  <c r="B231" i="41"/>
  <c r="C231" i="41" s="1"/>
  <c r="D231" i="41" s="1"/>
  <c r="N205" i="37"/>
  <c r="E205" i="37"/>
  <c r="F205" i="37" s="1"/>
  <c r="G205" i="37" s="1"/>
  <c r="H205" i="37" s="1"/>
  <c r="I205" i="37" s="1"/>
  <c r="J205" i="37" s="1"/>
  <c r="K205" i="37" s="1"/>
  <c r="L205" i="37" s="1"/>
  <c r="M205" i="37" s="1"/>
  <c r="B205" i="37"/>
  <c r="B209" i="37" s="1"/>
  <c r="N205" i="42"/>
  <c r="E205" i="42"/>
  <c r="F205" i="42" s="1"/>
  <c r="G205" i="42" s="1"/>
  <c r="H205" i="42" s="1"/>
  <c r="I205" i="42" s="1"/>
  <c r="J205" i="42" s="1"/>
  <c r="K205" i="42" s="1"/>
  <c r="L205" i="42" s="1"/>
  <c r="M205" i="42" s="1"/>
  <c r="B205" i="42"/>
  <c r="B208" i="42" s="1"/>
  <c r="C208" i="42" s="1"/>
  <c r="N153" i="35"/>
  <c r="E153" i="35"/>
  <c r="F153" i="35" s="1"/>
  <c r="G153" i="35" s="1"/>
  <c r="H153" i="35" s="1"/>
  <c r="I153" i="35" s="1"/>
  <c r="J153" i="35" s="1"/>
  <c r="K153" i="35" s="1"/>
  <c r="L153" i="35" s="1"/>
  <c r="M153" i="35" s="1"/>
  <c r="B153" i="35"/>
  <c r="C153" i="35" s="1"/>
  <c r="D153" i="35" s="1"/>
  <c r="N101" i="71"/>
  <c r="E101" i="71"/>
  <c r="F101" i="71" s="1"/>
  <c r="G101" i="71" s="1"/>
  <c r="H101" i="71" s="1"/>
  <c r="I101" i="71" s="1"/>
  <c r="J101" i="71" s="1"/>
  <c r="K101" i="71" s="1"/>
  <c r="L101" i="71" s="1"/>
  <c r="M101" i="71" s="1"/>
  <c r="B101" i="71"/>
  <c r="C101" i="71" s="1"/>
  <c r="D101" i="71" s="1"/>
  <c r="N101" i="33"/>
  <c r="E101" i="33"/>
  <c r="F101" i="33" s="1"/>
  <c r="G101" i="33" s="1"/>
  <c r="H101" i="33" s="1"/>
  <c r="I101" i="33" s="1"/>
  <c r="J101" i="33" s="1"/>
  <c r="K101" i="33" s="1"/>
  <c r="L101" i="33" s="1"/>
  <c r="M101" i="33" s="1"/>
  <c r="B101" i="33"/>
  <c r="C101" i="33" s="1"/>
  <c r="D101" i="33" s="1"/>
  <c r="N101" i="32"/>
  <c r="E101" i="32"/>
  <c r="F101" i="32" s="1"/>
  <c r="G101" i="32" s="1"/>
  <c r="H101" i="32" s="1"/>
  <c r="I101" i="32" s="1"/>
  <c r="J101" i="32" s="1"/>
  <c r="K101" i="32" s="1"/>
  <c r="L101" i="32" s="1"/>
  <c r="M101" i="32" s="1"/>
  <c r="B101" i="32"/>
  <c r="C101" i="32" s="1"/>
  <c r="D101" i="32" s="1"/>
  <c r="N153" i="31"/>
  <c r="E153" i="31"/>
  <c r="F153" i="31" s="1"/>
  <c r="G153" i="31" s="1"/>
  <c r="H153" i="31" s="1"/>
  <c r="I153" i="31" s="1"/>
  <c r="J153" i="31" s="1"/>
  <c r="K153" i="31" s="1"/>
  <c r="L153" i="31" s="1"/>
  <c r="M153" i="31" s="1"/>
  <c r="B153" i="31"/>
  <c r="C153" i="31" s="1"/>
  <c r="D153" i="31" s="1"/>
  <c r="N153" i="29"/>
  <c r="E153" i="29"/>
  <c r="F153" i="29" s="1"/>
  <c r="G153" i="29" s="1"/>
  <c r="H153" i="29" s="1"/>
  <c r="I153" i="29" s="1"/>
  <c r="J153" i="29" s="1"/>
  <c r="K153" i="29" s="1"/>
  <c r="L153" i="29" s="1"/>
  <c r="M153" i="29" s="1"/>
  <c r="B153" i="29"/>
  <c r="C153" i="29" s="1"/>
  <c r="D153" i="29" s="1"/>
  <c r="N223" i="38"/>
  <c r="B223" i="38"/>
  <c r="C223" i="38" s="1"/>
  <c r="D223" i="38" s="1"/>
  <c r="E223" i="38" s="1"/>
  <c r="F223" i="38" s="1"/>
  <c r="G223" i="38" s="1"/>
  <c r="H223" i="38" s="1"/>
  <c r="I223" i="38" s="1"/>
  <c r="J223" i="38" s="1"/>
  <c r="K223" i="38" s="1"/>
  <c r="L223" i="38" s="1"/>
  <c r="M223" i="38" s="1"/>
  <c r="N98" i="36"/>
  <c r="B98" i="36"/>
  <c r="C98" i="36" s="1"/>
  <c r="D98" i="36" s="1"/>
  <c r="E98" i="36" s="1"/>
  <c r="F98" i="36" s="1"/>
  <c r="G98" i="36" s="1"/>
  <c r="H98" i="36" s="1"/>
  <c r="I98" i="36" s="1"/>
  <c r="J98" i="36" s="1"/>
  <c r="K98" i="36" s="1"/>
  <c r="L98" i="36" s="1"/>
  <c r="M98" i="36" s="1"/>
  <c r="N223" i="41"/>
  <c r="B223" i="41"/>
  <c r="B224" i="41" s="1"/>
  <c r="N198" i="37"/>
  <c r="B198" i="37"/>
  <c r="C198" i="37" s="1"/>
  <c r="D198" i="37" s="1"/>
  <c r="E198" i="37" s="1"/>
  <c r="F198" i="37" s="1"/>
  <c r="G198" i="37" s="1"/>
  <c r="H198" i="37" s="1"/>
  <c r="I198" i="37" s="1"/>
  <c r="J198" i="37" s="1"/>
  <c r="K198" i="37" s="1"/>
  <c r="L198" i="37" s="1"/>
  <c r="M198" i="37" s="1"/>
  <c r="N198" i="42"/>
  <c r="B198" i="42"/>
  <c r="C198" i="42" s="1"/>
  <c r="D198" i="42" s="1"/>
  <c r="E198" i="42" s="1"/>
  <c r="F198" i="42" s="1"/>
  <c r="G198" i="42" s="1"/>
  <c r="H198" i="42" s="1"/>
  <c r="I198" i="42" s="1"/>
  <c r="J198" i="42" s="1"/>
  <c r="K198" i="42" s="1"/>
  <c r="L198" i="42" s="1"/>
  <c r="M198" i="42" s="1"/>
  <c r="N148" i="35"/>
  <c r="B148" i="35"/>
  <c r="C148" i="35" s="1"/>
  <c r="D148" i="35" s="1"/>
  <c r="E148" i="35" s="1"/>
  <c r="F148" i="35" s="1"/>
  <c r="G148" i="35" s="1"/>
  <c r="H148" i="35" s="1"/>
  <c r="I148" i="35" s="1"/>
  <c r="J148" i="35" s="1"/>
  <c r="K148" i="35" s="1"/>
  <c r="L148" i="35" s="1"/>
  <c r="M148" i="35" s="1"/>
  <c r="N98" i="71"/>
  <c r="B98" i="71"/>
  <c r="C98" i="71" s="1"/>
  <c r="D98" i="71" s="1"/>
  <c r="E98" i="71" s="1"/>
  <c r="F98" i="71" s="1"/>
  <c r="G98" i="71" s="1"/>
  <c r="H98" i="71" s="1"/>
  <c r="I98" i="71" s="1"/>
  <c r="J98" i="71" s="1"/>
  <c r="K98" i="71" s="1"/>
  <c r="L98" i="71" s="1"/>
  <c r="M98" i="71" s="1"/>
  <c r="N98" i="33"/>
  <c r="B98" i="33"/>
  <c r="C98" i="33" s="1"/>
  <c r="D98" i="33" s="1"/>
  <c r="E98" i="33" s="1"/>
  <c r="F98" i="33" s="1"/>
  <c r="G98" i="33" s="1"/>
  <c r="H98" i="33" s="1"/>
  <c r="I98" i="33" s="1"/>
  <c r="J98" i="33" s="1"/>
  <c r="K98" i="33" s="1"/>
  <c r="L98" i="33" s="1"/>
  <c r="M98" i="33" s="1"/>
  <c r="N98" i="32"/>
  <c r="B98" i="32"/>
  <c r="C98" i="32" s="1"/>
  <c r="D98" i="32" s="1"/>
  <c r="E98" i="32" s="1"/>
  <c r="F98" i="32" s="1"/>
  <c r="G98" i="32" s="1"/>
  <c r="H98" i="32" s="1"/>
  <c r="I98" i="32" s="1"/>
  <c r="J98" i="32" s="1"/>
  <c r="K98" i="32" s="1"/>
  <c r="L98" i="32" s="1"/>
  <c r="M98" i="32" s="1"/>
  <c r="N148" i="31"/>
  <c r="B148" i="31"/>
  <c r="C148" i="31" s="1"/>
  <c r="D148" i="31" s="1"/>
  <c r="E148" i="31" s="1"/>
  <c r="F148" i="31" s="1"/>
  <c r="G148" i="31" s="1"/>
  <c r="H148" i="31" s="1"/>
  <c r="I148" i="31" s="1"/>
  <c r="J148" i="31" s="1"/>
  <c r="K148" i="31" s="1"/>
  <c r="L148" i="31" s="1"/>
  <c r="M148" i="31" s="1"/>
  <c r="N148" i="29"/>
  <c r="B148" i="29"/>
  <c r="C148" i="29" s="1"/>
  <c r="D148" i="29" s="1"/>
  <c r="E148" i="29" s="1"/>
  <c r="F148" i="29" s="1"/>
  <c r="G148" i="29" s="1"/>
  <c r="H148" i="29" s="1"/>
  <c r="I148" i="29" s="1"/>
  <c r="J148" i="29" s="1"/>
  <c r="K148" i="29" s="1"/>
  <c r="L148" i="29" s="1"/>
  <c r="M148" i="29" s="1"/>
  <c r="N215" i="38"/>
  <c r="B215" i="38"/>
  <c r="C215" i="38" s="1"/>
  <c r="D215" i="38" s="1"/>
  <c r="E215" i="38" s="1"/>
  <c r="F215" i="38" s="1"/>
  <c r="G215" i="38" s="1"/>
  <c r="H215" i="38" s="1"/>
  <c r="I215" i="38" s="1"/>
  <c r="J215" i="38" s="1"/>
  <c r="K215" i="38" s="1"/>
  <c r="L215" i="38" s="1"/>
  <c r="N95" i="36"/>
  <c r="B95" i="36"/>
  <c r="C95" i="36" s="1"/>
  <c r="D95" i="36" s="1"/>
  <c r="E95" i="36" s="1"/>
  <c r="F95" i="36" s="1"/>
  <c r="G95" i="36" s="1"/>
  <c r="H95" i="36" s="1"/>
  <c r="I95" i="36" s="1"/>
  <c r="J95" i="36" s="1"/>
  <c r="K95" i="36" s="1"/>
  <c r="L95" i="36" s="1"/>
  <c r="M95" i="36" s="1"/>
  <c r="N215" i="41"/>
  <c r="B215" i="41"/>
  <c r="C215" i="41" s="1"/>
  <c r="D215" i="41" s="1"/>
  <c r="E215" i="41" s="1"/>
  <c r="F215" i="41" s="1"/>
  <c r="G215" i="41" s="1"/>
  <c r="H215" i="41" s="1"/>
  <c r="I215" i="41" s="1"/>
  <c r="J215" i="41" s="1"/>
  <c r="K215" i="41" s="1"/>
  <c r="L215" i="41" s="1"/>
  <c r="M215" i="41" s="1"/>
  <c r="N191" i="37"/>
  <c r="B191" i="37"/>
  <c r="C191" i="37" s="1"/>
  <c r="D191" i="37" s="1"/>
  <c r="E191" i="37" s="1"/>
  <c r="F191" i="37" s="1"/>
  <c r="G191" i="37" s="1"/>
  <c r="H191" i="37" s="1"/>
  <c r="I191" i="37" s="1"/>
  <c r="J191" i="37" s="1"/>
  <c r="K191" i="37" s="1"/>
  <c r="L191" i="37" s="1"/>
  <c r="M191" i="37" s="1"/>
  <c r="N191" i="42"/>
  <c r="B191" i="42"/>
  <c r="B192" i="42" s="1"/>
  <c r="N192" i="42" s="1"/>
  <c r="N143" i="35"/>
  <c r="B143" i="35"/>
  <c r="C143" i="35" s="1"/>
  <c r="D143" i="35" s="1"/>
  <c r="E143" i="35" s="1"/>
  <c r="F143" i="35" s="1"/>
  <c r="G143" i="35" s="1"/>
  <c r="H143" i="35" s="1"/>
  <c r="I143" i="35" s="1"/>
  <c r="J143" i="35" s="1"/>
  <c r="K143" i="35" s="1"/>
  <c r="L143" i="35" s="1"/>
  <c r="M143" i="35" s="1"/>
  <c r="N95" i="71"/>
  <c r="B95" i="71"/>
  <c r="C95" i="71" s="1"/>
  <c r="D95" i="71" s="1"/>
  <c r="E95" i="71" s="1"/>
  <c r="F95" i="71" s="1"/>
  <c r="G95" i="71" s="1"/>
  <c r="H95" i="71" s="1"/>
  <c r="I95" i="71" s="1"/>
  <c r="J95" i="71" s="1"/>
  <c r="K95" i="71" s="1"/>
  <c r="L95" i="71" s="1"/>
  <c r="M95" i="71" s="1"/>
  <c r="N95" i="33"/>
  <c r="B95" i="33"/>
  <c r="C95" i="33" s="1"/>
  <c r="D95" i="33" s="1"/>
  <c r="E95" i="33" s="1"/>
  <c r="F95" i="33" s="1"/>
  <c r="G95" i="33" s="1"/>
  <c r="H95" i="33" s="1"/>
  <c r="I95" i="33" s="1"/>
  <c r="J95" i="33" s="1"/>
  <c r="K95" i="33" s="1"/>
  <c r="L95" i="33" s="1"/>
  <c r="M95" i="33" s="1"/>
  <c r="N95" i="32"/>
  <c r="B95" i="32"/>
  <c r="C95" i="32" s="1"/>
  <c r="D95" i="32" s="1"/>
  <c r="E95" i="32" s="1"/>
  <c r="F95" i="32" s="1"/>
  <c r="G95" i="32" s="1"/>
  <c r="H95" i="32" s="1"/>
  <c r="I95" i="32" s="1"/>
  <c r="J95" i="32" s="1"/>
  <c r="K95" i="32" s="1"/>
  <c r="L95" i="32" s="1"/>
  <c r="M95" i="32" s="1"/>
  <c r="N143" i="31"/>
  <c r="B143" i="31"/>
  <c r="C143" i="31" s="1"/>
  <c r="D143" i="31" s="1"/>
  <c r="E143" i="31" s="1"/>
  <c r="F143" i="31" s="1"/>
  <c r="G143" i="31" s="1"/>
  <c r="H143" i="31" s="1"/>
  <c r="I143" i="31" s="1"/>
  <c r="J143" i="31" s="1"/>
  <c r="K143" i="31" s="1"/>
  <c r="L143" i="31" s="1"/>
  <c r="M143" i="31" s="1"/>
  <c r="N143" i="29"/>
  <c r="B143" i="29"/>
  <c r="C143" i="29" s="1"/>
  <c r="D143" i="29" s="1"/>
  <c r="E143" i="29" s="1"/>
  <c r="F143" i="29" s="1"/>
  <c r="G143" i="29" s="1"/>
  <c r="H143" i="29" s="1"/>
  <c r="I143" i="29" s="1"/>
  <c r="J143" i="29" s="1"/>
  <c r="K143" i="29" s="1"/>
  <c r="L143" i="29" s="1"/>
  <c r="M143" i="29" s="1"/>
  <c r="N204" i="38"/>
  <c r="E204" i="38"/>
  <c r="F204" i="38" s="1"/>
  <c r="G204" i="38" s="1"/>
  <c r="H204" i="38" s="1"/>
  <c r="I204" i="38" s="1"/>
  <c r="J204" i="38" s="1"/>
  <c r="K204" i="38" s="1"/>
  <c r="L204" i="38" s="1"/>
  <c r="M204" i="38" s="1"/>
  <c r="B204" i="38"/>
  <c r="C204" i="38" s="1"/>
  <c r="D204" i="38" s="1"/>
  <c r="N89" i="36"/>
  <c r="E89" i="36"/>
  <c r="F89" i="36" s="1"/>
  <c r="G89" i="36" s="1"/>
  <c r="H89" i="36" s="1"/>
  <c r="I89" i="36" s="1"/>
  <c r="J89" i="36" s="1"/>
  <c r="K89" i="36" s="1"/>
  <c r="L89" i="36" s="1"/>
  <c r="M89" i="36" s="1"/>
  <c r="B89" i="36"/>
  <c r="C89" i="36" s="1"/>
  <c r="D89" i="36" s="1"/>
  <c r="N204" i="41"/>
  <c r="E204" i="41"/>
  <c r="F204" i="41" s="1"/>
  <c r="G204" i="41" s="1"/>
  <c r="H204" i="41" s="1"/>
  <c r="I204" i="41" s="1"/>
  <c r="J204" i="41" s="1"/>
  <c r="K204" i="41" s="1"/>
  <c r="L204" i="41" s="1"/>
  <c r="M204" i="41" s="1"/>
  <c r="B204" i="41"/>
  <c r="C204" i="41" s="1"/>
  <c r="D204" i="41" s="1"/>
  <c r="N181" i="37"/>
  <c r="E181" i="37"/>
  <c r="F181" i="37" s="1"/>
  <c r="G181" i="37" s="1"/>
  <c r="H181" i="37" s="1"/>
  <c r="I181" i="37" s="1"/>
  <c r="J181" i="37" s="1"/>
  <c r="K181" i="37" s="1"/>
  <c r="L181" i="37" s="1"/>
  <c r="M181" i="37" s="1"/>
  <c r="B181" i="37"/>
  <c r="C181" i="37" s="1"/>
  <c r="D181" i="37" s="1"/>
  <c r="N181" i="42"/>
  <c r="E181" i="42"/>
  <c r="F181" i="42" s="1"/>
  <c r="G181" i="42" s="1"/>
  <c r="H181" i="42" s="1"/>
  <c r="I181" i="42" s="1"/>
  <c r="J181" i="42" s="1"/>
  <c r="K181" i="42" s="1"/>
  <c r="L181" i="42" s="1"/>
  <c r="M181" i="42" s="1"/>
  <c r="B181" i="42"/>
  <c r="N135" i="35"/>
  <c r="E135" i="35"/>
  <c r="F135" i="35" s="1"/>
  <c r="G135" i="35" s="1"/>
  <c r="H135" i="35" s="1"/>
  <c r="I135" i="35" s="1"/>
  <c r="J135" i="35" s="1"/>
  <c r="K135" i="35" s="1"/>
  <c r="L135" i="35" s="1"/>
  <c r="M135" i="35" s="1"/>
  <c r="B135" i="35"/>
  <c r="B136" i="35" s="1"/>
  <c r="B134" i="35" s="1"/>
  <c r="N89" i="71"/>
  <c r="E89" i="71"/>
  <c r="F89" i="71" s="1"/>
  <c r="G89" i="71" s="1"/>
  <c r="H89" i="71" s="1"/>
  <c r="I89" i="71" s="1"/>
  <c r="J89" i="71" s="1"/>
  <c r="K89" i="71" s="1"/>
  <c r="L89" i="71" s="1"/>
  <c r="M89" i="71" s="1"/>
  <c r="B89" i="71"/>
  <c r="C89" i="71" s="1"/>
  <c r="D89" i="71" s="1"/>
  <c r="N89" i="33"/>
  <c r="E89" i="33"/>
  <c r="F89" i="33" s="1"/>
  <c r="G89" i="33" s="1"/>
  <c r="H89" i="33" s="1"/>
  <c r="I89" i="33" s="1"/>
  <c r="J89" i="33" s="1"/>
  <c r="K89" i="33" s="1"/>
  <c r="L89" i="33" s="1"/>
  <c r="M89" i="33" s="1"/>
  <c r="B89" i="33"/>
  <c r="C89" i="33" s="1"/>
  <c r="D89" i="33" s="1"/>
  <c r="N89" i="32"/>
  <c r="E89" i="32"/>
  <c r="F89" i="32" s="1"/>
  <c r="G89" i="32" s="1"/>
  <c r="H89" i="32" s="1"/>
  <c r="I89" i="32" s="1"/>
  <c r="J89" i="32" s="1"/>
  <c r="K89" i="32" s="1"/>
  <c r="L89" i="32" s="1"/>
  <c r="M89" i="32" s="1"/>
  <c r="B89" i="32"/>
  <c r="C89" i="32" s="1"/>
  <c r="D89" i="32" s="1"/>
  <c r="N135" i="31"/>
  <c r="E135" i="31"/>
  <c r="F135" i="31" s="1"/>
  <c r="G135" i="31" s="1"/>
  <c r="H135" i="31" s="1"/>
  <c r="I135" i="31" s="1"/>
  <c r="J135" i="31" s="1"/>
  <c r="K135" i="31" s="1"/>
  <c r="L135" i="31" s="1"/>
  <c r="M135" i="31" s="1"/>
  <c r="B135" i="31"/>
  <c r="C135" i="31" s="1"/>
  <c r="D135" i="31" s="1"/>
  <c r="N135" i="29"/>
  <c r="E135" i="29"/>
  <c r="F135" i="29" s="1"/>
  <c r="G135" i="29" s="1"/>
  <c r="H135" i="29" s="1"/>
  <c r="I135" i="29" s="1"/>
  <c r="J135" i="29" s="1"/>
  <c r="K135" i="29" s="1"/>
  <c r="L135" i="29" s="1"/>
  <c r="M135" i="29" s="1"/>
  <c r="B135" i="29"/>
  <c r="N196" i="38"/>
  <c r="E196" i="38"/>
  <c r="F196" i="38" s="1"/>
  <c r="G196" i="38" s="1"/>
  <c r="H196" i="38" s="1"/>
  <c r="I196" i="38" s="1"/>
  <c r="J196" i="38" s="1"/>
  <c r="K196" i="38" s="1"/>
  <c r="L196" i="38" s="1"/>
  <c r="M196" i="38" s="1"/>
  <c r="B196" i="38"/>
  <c r="C196" i="38" s="1"/>
  <c r="D196" i="38" s="1"/>
  <c r="N86" i="36"/>
  <c r="E86" i="36"/>
  <c r="F86" i="36" s="1"/>
  <c r="G86" i="36" s="1"/>
  <c r="H86" i="36" s="1"/>
  <c r="I86" i="36" s="1"/>
  <c r="J86" i="36" s="1"/>
  <c r="K86" i="36" s="1"/>
  <c r="L86" i="36" s="1"/>
  <c r="M86" i="36" s="1"/>
  <c r="B86" i="36"/>
  <c r="C86" i="36" s="1"/>
  <c r="D86" i="36" s="1"/>
  <c r="N196" i="41"/>
  <c r="E196" i="41"/>
  <c r="F196" i="41" s="1"/>
  <c r="G196" i="41" s="1"/>
  <c r="H196" i="41" s="1"/>
  <c r="I196" i="41" s="1"/>
  <c r="J196" i="41" s="1"/>
  <c r="K196" i="41" s="1"/>
  <c r="L196" i="41" s="1"/>
  <c r="M196" i="41" s="1"/>
  <c r="B196" i="41"/>
  <c r="B197" i="41" s="1"/>
  <c r="N174" i="37"/>
  <c r="E174" i="37"/>
  <c r="F174" i="37" s="1"/>
  <c r="G174" i="37" s="1"/>
  <c r="H174" i="37" s="1"/>
  <c r="I174" i="37" s="1"/>
  <c r="J174" i="37" s="1"/>
  <c r="K174" i="37" s="1"/>
  <c r="L174" i="37" s="1"/>
  <c r="M174" i="37" s="1"/>
  <c r="B174" i="37"/>
  <c r="C174" i="37" s="1"/>
  <c r="D174" i="37" s="1"/>
  <c r="N174" i="42"/>
  <c r="E174" i="42"/>
  <c r="F174" i="42" s="1"/>
  <c r="G174" i="42" s="1"/>
  <c r="H174" i="42" s="1"/>
  <c r="I174" i="42" s="1"/>
  <c r="J174" i="42" s="1"/>
  <c r="K174" i="42" s="1"/>
  <c r="L174" i="42" s="1"/>
  <c r="M174" i="42" s="1"/>
  <c r="B174" i="42"/>
  <c r="N130" i="35"/>
  <c r="E130" i="35"/>
  <c r="F130" i="35" s="1"/>
  <c r="B130" i="35"/>
  <c r="B131" i="35" s="1"/>
  <c r="B129" i="35" s="1"/>
  <c r="N86" i="71"/>
  <c r="E86" i="71"/>
  <c r="F86" i="71" s="1"/>
  <c r="G86" i="71" s="1"/>
  <c r="H86" i="71" s="1"/>
  <c r="I86" i="71" s="1"/>
  <c r="J86" i="71" s="1"/>
  <c r="K86" i="71" s="1"/>
  <c r="L86" i="71" s="1"/>
  <c r="M86" i="71" s="1"/>
  <c r="B86" i="71"/>
  <c r="C86" i="71" s="1"/>
  <c r="D86" i="71" s="1"/>
  <c r="N86" i="33"/>
  <c r="E86" i="33"/>
  <c r="F86" i="33" s="1"/>
  <c r="G86" i="33" s="1"/>
  <c r="H86" i="33" s="1"/>
  <c r="I86" i="33" s="1"/>
  <c r="J86" i="33" s="1"/>
  <c r="K86" i="33" s="1"/>
  <c r="L86" i="33" s="1"/>
  <c r="M86" i="33" s="1"/>
  <c r="B86" i="33"/>
  <c r="C86" i="33" s="1"/>
  <c r="D86" i="33" s="1"/>
  <c r="N86" i="32"/>
  <c r="E86" i="32"/>
  <c r="F86" i="32" s="1"/>
  <c r="G86" i="32" s="1"/>
  <c r="H86" i="32" s="1"/>
  <c r="I86" i="32" s="1"/>
  <c r="J86" i="32" s="1"/>
  <c r="K86" i="32" s="1"/>
  <c r="L86" i="32" s="1"/>
  <c r="M86" i="32" s="1"/>
  <c r="B86" i="32"/>
  <c r="C86" i="32" s="1"/>
  <c r="D86" i="32" s="1"/>
  <c r="N130" i="31"/>
  <c r="E130" i="31"/>
  <c r="F130" i="31" s="1"/>
  <c r="G130" i="31" s="1"/>
  <c r="H130" i="31" s="1"/>
  <c r="I130" i="31" s="1"/>
  <c r="J130" i="31" s="1"/>
  <c r="K130" i="31" s="1"/>
  <c r="L130" i="31" s="1"/>
  <c r="M130" i="31" s="1"/>
  <c r="B130" i="31"/>
  <c r="C130" i="31" s="1"/>
  <c r="D130" i="31" s="1"/>
  <c r="N130" i="29"/>
  <c r="E130" i="29"/>
  <c r="F130" i="29" s="1"/>
  <c r="G130" i="29" s="1"/>
  <c r="H130" i="29" s="1"/>
  <c r="I130" i="29" s="1"/>
  <c r="J130" i="29" s="1"/>
  <c r="K130" i="29" s="1"/>
  <c r="L130" i="29" s="1"/>
  <c r="M130" i="29" s="1"/>
  <c r="B130" i="29"/>
  <c r="N188" i="38"/>
  <c r="B188" i="38"/>
  <c r="C188" i="38" s="1"/>
  <c r="D188" i="38" s="1"/>
  <c r="E188" i="38" s="1"/>
  <c r="F188" i="38" s="1"/>
  <c r="G188" i="38" s="1"/>
  <c r="H188" i="38" s="1"/>
  <c r="I188" i="38" s="1"/>
  <c r="J188" i="38" s="1"/>
  <c r="K188" i="38" s="1"/>
  <c r="L188" i="38" s="1"/>
  <c r="M188" i="38" s="1"/>
  <c r="N83" i="36"/>
  <c r="B83" i="36"/>
  <c r="C83" i="36" s="1"/>
  <c r="D83" i="36" s="1"/>
  <c r="E83" i="36" s="1"/>
  <c r="F83" i="36" s="1"/>
  <c r="G83" i="36" s="1"/>
  <c r="H83" i="36" s="1"/>
  <c r="I83" i="36" s="1"/>
  <c r="J83" i="36" s="1"/>
  <c r="K83" i="36" s="1"/>
  <c r="L83" i="36" s="1"/>
  <c r="M83" i="36" s="1"/>
  <c r="N188" i="41"/>
  <c r="B188" i="41"/>
  <c r="C188" i="41" s="1"/>
  <c r="N167" i="37"/>
  <c r="B167" i="37"/>
  <c r="C167" i="37" s="1"/>
  <c r="D167" i="37" s="1"/>
  <c r="E167" i="37" s="1"/>
  <c r="F167" i="37" s="1"/>
  <c r="G167" i="37" s="1"/>
  <c r="H167" i="37" s="1"/>
  <c r="I167" i="37" s="1"/>
  <c r="J167" i="37" s="1"/>
  <c r="K167" i="37" s="1"/>
  <c r="L167" i="37" s="1"/>
  <c r="M167" i="37" s="1"/>
  <c r="N167" i="42"/>
  <c r="B167" i="42"/>
  <c r="N125" i="35"/>
  <c r="B125" i="35"/>
  <c r="C125" i="35" s="1"/>
  <c r="D125" i="35" s="1"/>
  <c r="E125" i="35" s="1"/>
  <c r="F125" i="35" s="1"/>
  <c r="G125" i="35" s="1"/>
  <c r="H125" i="35" s="1"/>
  <c r="I125" i="35" s="1"/>
  <c r="J125" i="35" s="1"/>
  <c r="K125" i="35" s="1"/>
  <c r="L125" i="35" s="1"/>
  <c r="M125" i="35" s="1"/>
  <c r="N83" i="71"/>
  <c r="B83" i="71"/>
  <c r="C83" i="71" s="1"/>
  <c r="D83" i="71" s="1"/>
  <c r="E83" i="71" s="1"/>
  <c r="F83" i="71" s="1"/>
  <c r="G83" i="71" s="1"/>
  <c r="H83" i="71" s="1"/>
  <c r="I83" i="71" s="1"/>
  <c r="J83" i="71" s="1"/>
  <c r="K83" i="71" s="1"/>
  <c r="L83" i="71" s="1"/>
  <c r="M83" i="71" s="1"/>
  <c r="N83" i="33"/>
  <c r="B83" i="33"/>
  <c r="C83" i="33" s="1"/>
  <c r="D83" i="33" s="1"/>
  <c r="E83" i="33" s="1"/>
  <c r="F83" i="33" s="1"/>
  <c r="G83" i="33" s="1"/>
  <c r="H83" i="33" s="1"/>
  <c r="I83" i="33" s="1"/>
  <c r="J83" i="33" s="1"/>
  <c r="K83" i="33" s="1"/>
  <c r="L83" i="33" s="1"/>
  <c r="M83" i="33" s="1"/>
  <c r="N83" i="32"/>
  <c r="B83" i="32"/>
  <c r="C83" i="32" s="1"/>
  <c r="D83" i="32" s="1"/>
  <c r="E83" i="32" s="1"/>
  <c r="F83" i="32" s="1"/>
  <c r="G83" i="32" s="1"/>
  <c r="H83" i="32" s="1"/>
  <c r="I83" i="32" s="1"/>
  <c r="J83" i="32" s="1"/>
  <c r="K83" i="32" s="1"/>
  <c r="L83" i="32" s="1"/>
  <c r="M83" i="32" s="1"/>
  <c r="N125" i="31"/>
  <c r="B125" i="31"/>
  <c r="C125" i="31" s="1"/>
  <c r="D125" i="31" s="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29"/>
  <c r="B125" i="29"/>
  <c r="N180" i="38"/>
  <c r="E180" i="38"/>
  <c r="F180" i="38" s="1"/>
  <c r="G180" i="38" s="1"/>
  <c r="H180" i="38" s="1"/>
  <c r="I180" i="38" s="1"/>
  <c r="J180" i="38" s="1"/>
  <c r="K180" i="38" s="1"/>
  <c r="L180" i="38" s="1"/>
  <c r="M180" i="38" s="1"/>
  <c r="B180" i="38"/>
  <c r="C180" i="38" s="1"/>
  <c r="D180" i="38" s="1"/>
  <c r="N80" i="36"/>
  <c r="E80" i="36"/>
  <c r="F80" i="36" s="1"/>
  <c r="G80" i="36" s="1"/>
  <c r="H80" i="36" s="1"/>
  <c r="I80" i="36" s="1"/>
  <c r="J80" i="36" s="1"/>
  <c r="K80" i="36" s="1"/>
  <c r="L80" i="36" s="1"/>
  <c r="M80" i="36" s="1"/>
  <c r="B80" i="36"/>
  <c r="C80" i="36" s="1"/>
  <c r="D80" i="36" s="1"/>
  <c r="N180" i="41"/>
  <c r="E180" i="41"/>
  <c r="F180" i="41" s="1"/>
  <c r="G180" i="41" s="1"/>
  <c r="H180" i="41" s="1"/>
  <c r="I180" i="41" s="1"/>
  <c r="J180" i="41" s="1"/>
  <c r="K180" i="41" s="1"/>
  <c r="L180" i="41" s="1"/>
  <c r="M180" i="41" s="1"/>
  <c r="B180" i="41"/>
  <c r="C180" i="41" s="1"/>
  <c r="D180" i="41" s="1"/>
  <c r="N160" i="37"/>
  <c r="E160" i="37"/>
  <c r="F160" i="37" s="1"/>
  <c r="G160" i="37" s="1"/>
  <c r="H160" i="37" s="1"/>
  <c r="I160" i="37" s="1"/>
  <c r="J160" i="37" s="1"/>
  <c r="K160" i="37" s="1"/>
  <c r="L160" i="37" s="1"/>
  <c r="M160" i="37" s="1"/>
  <c r="B160" i="37"/>
  <c r="C160" i="37" s="1"/>
  <c r="D160" i="37" s="1"/>
  <c r="N160" i="42"/>
  <c r="E160" i="42"/>
  <c r="F160" i="42" s="1"/>
  <c r="G160" i="42" s="1"/>
  <c r="H160" i="42" s="1"/>
  <c r="I160" i="42" s="1"/>
  <c r="J160" i="42" s="1"/>
  <c r="K160" i="42" s="1"/>
  <c r="L160" i="42" s="1"/>
  <c r="M160" i="42" s="1"/>
  <c r="B160" i="42"/>
  <c r="N120" i="35"/>
  <c r="E120" i="35"/>
  <c r="F120" i="35" s="1"/>
  <c r="G120" i="35" s="1"/>
  <c r="H120" i="35" s="1"/>
  <c r="I120" i="35" s="1"/>
  <c r="J120" i="35" s="1"/>
  <c r="K120" i="35" s="1"/>
  <c r="L120" i="35" s="1"/>
  <c r="M120" i="35" s="1"/>
  <c r="B120" i="35"/>
  <c r="C120" i="35" s="1"/>
  <c r="D120" i="35" s="1"/>
  <c r="N80" i="71"/>
  <c r="E80" i="71"/>
  <c r="F80" i="71" s="1"/>
  <c r="G80" i="71" s="1"/>
  <c r="H80" i="71" s="1"/>
  <c r="I80" i="71" s="1"/>
  <c r="J80" i="71" s="1"/>
  <c r="K80" i="71" s="1"/>
  <c r="L80" i="71" s="1"/>
  <c r="M80" i="71" s="1"/>
  <c r="B80" i="71"/>
  <c r="C80" i="71" s="1"/>
  <c r="D80" i="71" s="1"/>
  <c r="N80" i="33"/>
  <c r="E80" i="33"/>
  <c r="F80" i="33" s="1"/>
  <c r="G80" i="33" s="1"/>
  <c r="H80" i="33" s="1"/>
  <c r="I80" i="33" s="1"/>
  <c r="J80" i="33" s="1"/>
  <c r="K80" i="33" s="1"/>
  <c r="L80" i="33" s="1"/>
  <c r="M80" i="33" s="1"/>
  <c r="B80" i="33"/>
  <c r="C80" i="33" s="1"/>
  <c r="D80" i="33" s="1"/>
  <c r="N80" i="32"/>
  <c r="E80" i="32"/>
  <c r="F80" i="32" s="1"/>
  <c r="G80" i="32" s="1"/>
  <c r="H80" i="32" s="1"/>
  <c r="I80" i="32" s="1"/>
  <c r="J80" i="32" s="1"/>
  <c r="K80" i="32" s="1"/>
  <c r="L80" i="32" s="1"/>
  <c r="M80" i="32" s="1"/>
  <c r="B80" i="32"/>
  <c r="C80" i="32" s="1"/>
  <c r="D80" i="32" s="1"/>
  <c r="N120" i="31"/>
  <c r="E120" i="31"/>
  <c r="F120" i="31" s="1"/>
  <c r="G120" i="31" s="1"/>
  <c r="H120" i="31" s="1"/>
  <c r="I120" i="31" s="1"/>
  <c r="J120" i="31" s="1"/>
  <c r="K120" i="31" s="1"/>
  <c r="L120" i="31" s="1"/>
  <c r="M120" i="31" s="1"/>
  <c r="B120" i="31"/>
  <c r="C120" i="31" s="1"/>
  <c r="D120" i="31" s="1"/>
  <c r="N120" i="29"/>
  <c r="E120" i="29"/>
  <c r="F120" i="29" s="1"/>
  <c r="G120" i="29" s="1"/>
  <c r="H120" i="29" s="1"/>
  <c r="I120" i="29" s="1"/>
  <c r="J120" i="29" s="1"/>
  <c r="K120" i="29" s="1"/>
  <c r="L120" i="29" s="1"/>
  <c r="M120" i="29" s="1"/>
  <c r="B120" i="29"/>
  <c r="N172" i="38"/>
  <c r="B172" i="38"/>
  <c r="B171" i="38" s="1"/>
  <c r="N77" i="36"/>
  <c r="B77" i="36"/>
  <c r="C77" i="36" s="1"/>
  <c r="D77" i="36" s="1"/>
  <c r="E77" i="36" s="1"/>
  <c r="F77" i="36" s="1"/>
  <c r="G77" i="36" s="1"/>
  <c r="H77" i="36" s="1"/>
  <c r="I77" i="36" s="1"/>
  <c r="J77" i="36" s="1"/>
  <c r="K77" i="36" s="1"/>
  <c r="L77" i="36" s="1"/>
  <c r="M77" i="36" s="1"/>
  <c r="N172" i="41"/>
  <c r="B172" i="41"/>
  <c r="C172" i="41" s="1"/>
  <c r="D172" i="41" s="1"/>
  <c r="E172" i="41" s="1"/>
  <c r="F172" i="41" s="1"/>
  <c r="G172" i="41" s="1"/>
  <c r="H172" i="41" s="1"/>
  <c r="I172" i="41" s="1"/>
  <c r="J172" i="41" s="1"/>
  <c r="K172" i="41" s="1"/>
  <c r="L172" i="41" s="1"/>
  <c r="M172" i="41" s="1"/>
  <c r="N153" i="37"/>
  <c r="B153" i="37"/>
  <c r="C153" i="37" s="1"/>
  <c r="D153" i="37" s="1"/>
  <c r="E153" i="37" s="1"/>
  <c r="F153" i="37" s="1"/>
  <c r="G153" i="37" s="1"/>
  <c r="H153" i="37" s="1"/>
  <c r="I153" i="37" s="1"/>
  <c r="J153" i="37" s="1"/>
  <c r="K153" i="37" s="1"/>
  <c r="L153" i="37" s="1"/>
  <c r="M153" i="37" s="1"/>
  <c r="N153" i="42"/>
  <c r="B153" i="42"/>
  <c r="C153" i="42" s="1"/>
  <c r="D153" i="42" s="1"/>
  <c r="E153" i="42" s="1"/>
  <c r="F153" i="42" s="1"/>
  <c r="G153" i="42" s="1"/>
  <c r="H153" i="42" s="1"/>
  <c r="I153" i="42" s="1"/>
  <c r="J153" i="42" s="1"/>
  <c r="K153" i="42" s="1"/>
  <c r="L153" i="42" s="1"/>
  <c r="M153" i="42" s="1"/>
  <c r="N115" i="35"/>
  <c r="B115" i="35"/>
  <c r="C115" i="35" s="1"/>
  <c r="D115" i="35" s="1"/>
  <c r="E115" i="35" s="1"/>
  <c r="F115" i="35" s="1"/>
  <c r="G115" i="35" s="1"/>
  <c r="H115" i="35" s="1"/>
  <c r="I115" i="35" s="1"/>
  <c r="J115" i="35" s="1"/>
  <c r="K115" i="35" s="1"/>
  <c r="L115" i="35" s="1"/>
  <c r="M115" i="35" s="1"/>
  <c r="N77" i="71"/>
  <c r="B77" i="71"/>
  <c r="C77" i="71" s="1"/>
  <c r="D77" i="71" s="1"/>
  <c r="E77" i="71" s="1"/>
  <c r="F77" i="71" s="1"/>
  <c r="G77" i="71" s="1"/>
  <c r="H77" i="71" s="1"/>
  <c r="I77" i="71" s="1"/>
  <c r="J77" i="71" s="1"/>
  <c r="K77" i="71" s="1"/>
  <c r="L77" i="71" s="1"/>
  <c r="M77" i="71" s="1"/>
  <c r="N77" i="33"/>
  <c r="B77" i="33"/>
  <c r="C77" i="33" s="1"/>
  <c r="N77" i="32"/>
  <c r="B77" i="32"/>
  <c r="C77" i="32" s="1"/>
  <c r="D77" i="32" s="1"/>
  <c r="E77" i="32" s="1"/>
  <c r="F77" i="32" s="1"/>
  <c r="G77" i="32" s="1"/>
  <c r="H77" i="32" s="1"/>
  <c r="I77" i="32" s="1"/>
  <c r="J77" i="32" s="1"/>
  <c r="K77" i="32" s="1"/>
  <c r="L77" i="32" s="1"/>
  <c r="M77" i="32" s="1"/>
  <c r="N115" i="31"/>
  <c r="B115" i="31"/>
  <c r="C115" i="31" s="1"/>
  <c r="D115" i="31" s="1"/>
  <c r="E115" i="31" s="1"/>
  <c r="F115" i="31" s="1"/>
  <c r="G115" i="31" s="1"/>
  <c r="H115" i="31" s="1"/>
  <c r="I115" i="31" s="1"/>
  <c r="J115" i="31" s="1"/>
  <c r="K115" i="31" s="1"/>
  <c r="L115" i="31" s="1"/>
  <c r="M115" i="31" s="1"/>
  <c r="N115" i="29"/>
  <c r="B115" i="29"/>
  <c r="N164" i="38"/>
  <c r="B164" i="38"/>
  <c r="N74" i="36"/>
  <c r="B74" i="36"/>
  <c r="C74" i="36" s="1"/>
  <c r="D74" i="36" s="1"/>
  <c r="E74" i="36" s="1"/>
  <c r="F74" i="36" s="1"/>
  <c r="G74" i="36" s="1"/>
  <c r="H74" i="36" s="1"/>
  <c r="I74" i="36" s="1"/>
  <c r="J74" i="36" s="1"/>
  <c r="K74" i="36" s="1"/>
  <c r="L74" i="36" s="1"/>
  <c r="M74" i="36" s="1"/>
  <c r="N164" i="41"/>
  <c r="B164" i="41"/>
  <c r="C164" i="41" s="1"/>
  <c r="N146" i="37"/>
  <c r="B146" i="37"/>
  <c r="C146" i="37" s="1"/>
  <c r="D146" i="37" s="1"/>
  <c r="E146" i="37" s="1"/>
  <c r="F146" i="37" s="1"/>
  <c r="G146" i="37" s="1"/>
  <c r="H146" i="37" s="1"/>
  <c r="I146" i="37" s="1"/>
  <c r="J146" i="37" s="1"/>
  <c r="K146" i="37" s="1"/>
  <c r="L146" i="37" s="1"/>
  <c r="M146" i="37" s="1"/>
  <c r="N146" i="42"/>
  <c r="B146" i="42"/>
  <c r="C146" i="42" s="1"/>
  <c r="D146" i="42" s="1"/>
  <c r="E146" i="42" s="1"/>
  <c r="F146" i="42" s="1"/>
  <c r="G146" i="42" s="1"/>
  <c r="H146" i="42" s="1"/>
  <c r="I146" i="42" s="1"/>
  <c r="J146" i="42" s="1"/>
  <c r="K146" i="42" s="1"/>
  <c r="L146" i="42" s="1"/>
  <c r="M146" i="42" s="1"/>
  <c r="N110" i="35"/>
  <c r="B110" i="35"/>
  <c r="C110" i="35" s="1"/>
  <c r="D110" i="35" s="1"/>
  <c r="E110" i="35" s="1"/>
  <c r="F110" i="35" s="1"/>
  <c r="G110" i="35" s="1"/>
  <c r="H110" i="35" s="1"/>
  <c r="I110" i="35" s="1"/>
  <c r="J110" i="35" s="1"/>
  <c r="K110" i="35" s="1"/>
  <c r="L110" i="35" s="1"/>
  <c r="M110" i="35" s="1"/>
  <c r="N74" i="71"/>
  <c r="B74" i="71"/>
  <c r="C74" i="71" s="1"/>
  <c r="D74" i="71" s="1"/>
  <c r="E74" i="71" s="1"/>
  <c r="F74" i="71" s="1"/>
  <c r="G74" i="71" s="1"/>
  <c r="H74" i="71" s="1"/>
  <c r="I74" i="71" s="1"/>
  <c r="J74" i="71" s="1"/>
  <c r="K74" i="71" s="1"/>
  <c r="L74" i="71" s="1"/>
  <c r="M74" i="71" s="1"/>
  <c r="N74" i="33"/>
  <c r="B74" i="33"/>
  <c r="C74" i="33" s="1"/>
  <c r="D74" i="33" s="1"/>
  <c r="E74" i="33" s="1"/>
  <c r="F74" i="33" s="1"/>
  <c r="G74" i="33" s="1"/>
  <c r="H74" i="33" s="1"/>
  <c r="I74" i="33" s="1"/>
  <c r="J74" i="33" s="1"/>
  <c r="K74" i="33" s="1"/>
  <c r="L74" i="33" s="1"/>
  <c r="M74" i="33" s="1"/>
  <c r="N74" i="32"/>
  <c r="B74" i="32"/>
  <c r="C74" i="32" s="1"/>
  <c r="D74" i="32" s="1"/>
  <c r="E74" i="32" s="1"/>
  <c r="F74" i="32" s="1"/>
  <c r="G74" i="32" s="1"/>
  <c r="H74" i="32" s="1"/>
  <c r="I74" i="32" s="1"/>
  <c r="J74" i="32" s="1"/>
  <c r="K74" i="32" s="1"/>
  <c r="L74" i="32" s="1"/>
  <c r="M74" i="32" s="1"/>
  <c r="N110" i="31"/>
  <c r="B110" i="31"/>
  <c r="C110" i="31" s="1"/>
  <c r="N110" i="29"/>
  <c r="B110" i="29"/>
  <c r="B73" i="33" s="1"/>
  <c r="N153" i="38"/>
  <c r="E153" i="38"/>
  <c r="F153" i="38" s="1"/>
  <c r="G153" i="38" s="1"/>
  <c r="H153" i="38" s="1"/>
  <c r="I153" i="38" s="1"/>
  <c r="J153" i="38" s="1"/>
  <c r="K153" i="38" s="1"/>
  <c r="L153" i="38" s="1"/>
  <c r="M153" i="38" s="1"/>
  <c r="B153" i="38"/>
  <c r="C153" i="38" s="1"/>
  <c r="D153" i="38" s="1"/>
  <c r="N68" i="36"/>
  <c r="E68" i="36"/>
  <c r="F68" i="36" s="1"/>
  <c r="G68" i="36" s="1"/>
  <c r="H68" i="36" s="1"/>
  <c r="I68" i="36" s="1"/>
  <c r="J68" i="36" s="1"/>
  <c r="K68" i="36" s="1"/>
  <c r="L68" i="36" s="1"/>
  <c r="M68" i="36" s="1"/>
  <c r="B68" i="36"/>
  <c r="C68" i="36" s="1"/>
  <c r="D68" i="36" s="1"/>
  <c r="N153" i="41"/>
  <c r="E153" i="41"/>
  <c r="F153" i="41" s="1"/>
  <c r="G153" i="41" s="1"/>
  <c r="H153" i="41" s="1"/>
  <c r="I153" i="41" s="1"/>
  <c r="J153" i="41" s="1"/>
  <c r="K153" i="41" s="1"/>
  <c r="L153" i="41" s="1"/>
  <c r="M153" i="41" s="1"/>
  <c r="B153" i="41"/>
  <c r="C153" i="41" s="1"/>
  <c r="D153" i="41" s="1"/>
  <c r="N136" i="37"/>
  <c r="E136" i="37"/>
  <c r="F136" i="37" s="1"/>
  <c r="G136" i="37" s="1"/>
  <c r="H136" i="37" s="1"/>
  <c r="I136" i="37" s="1"/>
  <c r="J136" i="37" s="1"/>
  <c r="K136" i="37" s="1"/>
  <c r="L136" i="37" s="1"/>
  <c r="M136" i="37" s="1"/>
  <c r="B136" i="37"/>
  <c r="C136" i="37" s="1"/>
  <c r="D136" i="37" s="1"/>
  <c r="N136" i="42"/>
  <c r="E136" i="42"/>
  <c r="F136" i="42" s="1"/>
  <c r="G136" i="42" s="1"/>
  <c r="H136" i="42" s="1"/>
  <c r="I136" i="42" s="1"/>
  <c r="J136" i="42" s="1"/>
  <c r="K136" i="42" s="1"/>
  <c r="L136" i="42" s="1"/>
  <c r="M136" i="42" s="1"/>
  <c r="B136" i="42"/>
  <c r="N102" i="35"/>
  <c r="E102" i="35"/>
  <c r="F102" i="35" s="1"/>
  <c r="G102" i="35" s="1"/>
  <c r="H102" i="35" s="1"/>
  <c r="I102" i="35" s="1"/>
  <c r="J102" i="35" s="1"/>
  <c r="K102" i="35" s="1"/>
  <c r="L102" i="35" s="1"/>
  <c r="M102" i="35" s="1"/>
  <c r="B102" i="35"/>
  <c r="C102" i="35" s="1"/>
  <c r="D102" i="35" s="1"/>
  <c r="N68" i="71"/>
  <c r="E68" i="71"/>
  <c r="F68" i="71" s="1"/>
  <c r="G68" i="71" s="1"/>
  <c r="H68" i="71" s="1"/>
  <c r="I68" i="71" s="1"/>
  <c r="J68" i="71" s="1"/>
  <c r="K68" i="71" s="1"/>
  <c r="L68" i="71" s="1"/>
  <c r="M68" i="71" s="1"/>
  <c r="B68" i="71"/>
  <c r="C68" i="71" s="1"/>
  <c r="D68" i="71" s="1"/>
  <c r="N68" i="33"/>
  <c r="E68" i="33"/>
  <c r="F68" i="33" s="1"/>
  <c r="G68" i="33" s="1"/>
  <c r="H68" i="33" s="1"/>
  <c r="I68" i="33" s="1"/>
  <c r="J68" i="33" s="1"/>
  <c r="K68" i="33" s="1"/>
  <c r="L68" i="33" s="1"/>
  <c r="M68" i="33" s="1"/>
  <c r="B68" i="33"/>
  <c r="C68" i="33" s="1"/>
  <c r="D68" i="33" s="1"/>
  <c r="N68" i="32"/>
  <c r="E68" i="32"/>
  <c r="F68" i="32" s="1"/>
  <c r="G68" i="32" s="1"/>
  <c r="H68" i="32" s="1"/>
  <c r="I68" i="32" s="1"/>
  <c r="J68" i="32" s="1"/>
  <c r="K68" i="32" s="1"/>
  <c r="L68" i="32" s="1"/>
  <c r="M68" i="32" s="1"/>
  <c r="B68" i="32"/>
  <c r="C68" i="32" s="1"/>
  <c r="D68" i="32" s="1"/>
  <c r="N102" i="31"/>
  <c r="E102" i="31"/>
  <c r="F102" i="31" s="1"/>
  <c r="G102" i="31" s="1"/>
  <c r="H102" i="31" s="1"/>
  <c r="I102" i="31" s="1"/>
  <c r="J102" i="31" s="1"/>
  <c r="K102" i="31" s="1"/>
  <c r="L102" i="31" s="1"/>
  <c r="M102" i="31" s="1"/>
  <c r="B102" i="31"/>
  <c r="C102" i="31" s="1"/>
  <c r="D102" i="31" s="1"/>
  <c r="N102" i="29"/>
  <c r="E102" i="29"/>
  <c r="F102" i="29" s="1"/>
  <c r="G102" i="29" s="1"/>
  <c r="H102" i="29" s="1"/>
  <c r="I102" i="29" s="1"/>
  <c r="J102" i="29" s="1"/>
  <c r="K102" i="29" s="1"/>
  <c r="L102" i="29" s="1"/>
  <c r="M102" i="29" s="1"/>
  <c r="B102" i="29"/>
  <c r="B103" i="31" s="1"/>
  <c r="B101" i="31" s="1"/>
  <c r="N145" i="38"/>
  <c r="E145" i="38"/>
  <c r="F145" i="38" s="1"/>
  <c r="G145" i="38" s="1"/>
  <c r="H145" i="38" s="1"/>
  <c r="I145" i="38" s="1"/>
  <c r="J145" i="38" s="1"/>
  <c r="K145" i="38" s="1"/>
  <c r="L145" i="38" s="1"/>
  <c r="M145" i="38" s="1"/>
  <c r="B145" i="38"/>
  <c r="C145" i="38" s="1"/>
  <c r="D145" i="38" s="1"/>
  <c r="N65" i="36"/>
  <c r="E65" i="36"/>
  <c r="F65" i="36" s="1"/>
  <c r="G65" i="36" s="1"/>
  <c r="H65" i="36" s="1"/>
  <c r="I65" i="36" s="1"/>
  <c r="J65" i="36" s="1"/>
  <c r="K65" i="36" s="1"/>
  <c r="L65" i="36" s="1"/>
  <c r="M65" i="36" s="1"/>
  <c r="B65" i="36"/>
  <c r="C65" i="36" s="1"/>
  <c r="D65" i="36" s="1"/>
  <c r="N145" i="41"/>
  <c r="E145" i="41"/>
  <c r="F145" i="41" s="1"/>
  <c r="G145" i="41" s="1"/>
  <c r="H145" i="41" s="1"/>
  <c r="I145" i="41" s="1"/>
  <c r="J145" i="41" s="1"/>
  <c r="K145" i="41" s="1"/>
  <c r="L145" i="41" s="1"/>
  <c r="M145" i="41" s="1"/>
  <c r="B145" i="41"/>
  <c r="B146" i="41" s="1"/>
  <c r="N129" i="37"/>
  <c r="E129" i="37"/>
  <c r="F129" i="37" s="1"/>
  <c r="G129" i="37" s="1"/>
  <c r="H129" i="37" s="1"/>
  <c r="I129" i="37" s="1"/>
  <c r="J129" i="37" s="1"/>
  <c r="K129" i="37" s="1"/>
  <c r="L129" i="37" s="1"/>
  <c r="M129" i="37" s="1"/>
  <c r="B129" i="37"/>
  <c r="C129" i="37" s="1"/>
  <c r="D129" i="37" s="1"/>
  <c r="N129" i="42"/>
  <c r="E129" i="42"/>
  <c r="F129" i="42" s="1"/>
  <c r="G129" i="42" s="1"/>
  <c r="H129" i="42" s="1"/>
  <c r="I129" i="42" s="1"/>
  <c r="J129" i="42" s="1"/>
  <c r="K129" i="42" s="1"/>
  <c r="L129" i="42" s="1"/>
  <c r="M129" i="42" s="1"/>
  <c r="B129" i="42"/>
  <c r="C129" i="42" s="1"/>
  <c r="D129" i="42" s="1"/>
  <c r="N97" i="35"/>
  <c r="E97" i="35"/>
  <c r="F97" i="35" s="1"/>
  <c r="G97" i="35" s="1"/>
  <c r="H97" i="35" s="1"/>
  <c r="I97" i="35" s="1"/>
  <c r="J97" i="35" s="1"/>
  <c r="K97" i="35" s="1"/>
  <c r="L97" i="35" s="1"/>
  <c r="M97" i="35" s="1"/>
  <c r="B97" i="35"/>
  <c r="C97" i="35" s="1"/>
  <c r="D97" i="35" s="1"/>
  <c r="N65" i="71"/>
  <c r="E65" i="71"/>
  <c r="F65" i="71" s="1"/>
  <c r="G65" i="71" s="1"/>
  <c r="H65" i="71" s="1"/>
  <c r="I65" i="71" s="1"/>
  <c r="J65" i="71" s="1"/>
  <c r="K65" i="71" s="1"/>
  <c r="L65" i="71" s="1"/>
  <c r="M65" i="71" s="1"/>
  <c r="B65" i="71"/>
  <c r="C65" i="71" s="1"/>
  <c r="D65" i="71" s="1"/>
  <c r="N65" i="33"/>
  <c r="E65" i="33"/>
  <c r="F65" i="33" s="1"/>
  <c r="G65" i="33" s="1"/>
  <c r="H65" i="33" s="1"/>
  <c r="I65" i="33" s="1"/>
  <c r="J65" i="33" s="1"/>
  <c r="K65" i="33" s="1"/>
  <c r="L65" i="33" s="1"/>
  <c r="M65" i="33" s="1"/>
  <c r="B65" i="33"/>
  <c r="C65" i="33" s="1"/>
  <c r="D65" i="33" s="1"/>
  <c r="N65" i="32"/>
  <c r="E65" i="32"/>
  <c r="F65" i="32" s="1"/>
  <c r="G65" i="32" s="1"/>
  <c r="H65" i="32" s="1"/>
  <c r="I65" i="32" s="1"/>
  <c r="J65" i="32" s="1"/>
  <c r="K65" i="32" s="1"/>
  <c r="L65" i="32" s="1"/>
  <c r="M65" i="32" s="1"/>
  <c r="B65" i="32"/>
  <c r="C65" i="32" s="1"/>
  <c r="D65" i="32" s="1"/>
  <c r="N97" i="31"/>
  <c r="E97" i="31"/>
  <c r="F97" i="31" s="1"/>
  <c r="G97" i="31" s="1"/>
  <c r="H97" i="31" s="1"/>
  <c r="I97" i="31" s="1"/>
  <c r="J97" i="31" s="1"/>
  <c r="K97" i="31" s="1"/>
  <c r="L97" i="31" s="1"/>
  <c r="M97" i="31" s="1"/>
  <c r="B97" i="31"/>
  <c r="B98" i="31" s="1"/>
  <c r="B96" i="31" s="1"/>
  <c r="N97" i="29"/>
  <c r="E97" i="29"/>
  <c r="F97" i="29" s="1"/>
  <c r="G97" i="29" s="1"/>
  <c r="H97" i="29" s="1"/>
  <c r="I97" i="29" s="1"/>
  <c r="J97" i="29" s="1"/>
  <c r="K97" i="29" s="1"/>
  <c r="L97" i="29" s="1"/>
  <c r="M97" i="29" s="1"/>
  <c r="B97" i="29"/>
  <c r="N137" i="38"/>
  <c r="E137" i="38"/>
  <c r="F137" i="38" s="1"/>
  <c r="G137" i="38" s="1"/>
  <c r="H137" i="38" s="1"/>
  <c r="I137" i="38" s="1"/>
  <c r="J137" i="38" s="1"/>
  <c r="K137" i="38" s="1"/>
  <c r="L137" i="38" s="1"/>
  <c r="M137" i="38" s="1"/>
  <c r="B137" i="38"/>
  <c r="C137" i="38" s="1"/>
  <c r="D137" i="38" s="1"/>
  <c r="N62" i="36"/>
  <c r="E62" i="36"/>
  <c r="F62" i="36" s="1"/>
  <c r="G62" i="36" s="1"/>
  <c r="H62" i="36" s="1"/>
  <c r="I62" i="36" s="1"/>
  <c r="J62" i="36" s="1"/>
  <c r="K62" i="36" s="1"/>
  <c r="L62" i="36" s="1"/>
  <c r="M62" i="36" s="1"/>
  <c r="B62" i="36"/>
  <c r="C62" i="36" s="1"/>
  <c r="D62" i="36" s="1"/>
  <c r="N137" i="41"/>
  <c r="E137" i="41"/>
  <c r="F137" i="41" s="1"/>
  <c r="G137" i="41" s="1"/>
  <c r="H137" i="41" s="1"/>
  <c r="I137" i="41" s="1"/>
  <c r="J137" i="41" s="1"/>
  <c r="K137" i="41" s="1"/>
  <c r="L137" i="41" s="1"/>
  <c r="M137" i="41" s="1"/>
  <c r="B137" i="41"/>
  <c r="C137" i="41" s="1"/>
  <c r="D137" i="41" s="1"/>
  <c r="N122" i="37"/>
  <c r="E122" i="37"/>
  <c r="F122" i="37" s="1"/>
  <c r="G122" i="37" s="1"/>
  <c r="H122" i="37" s="1"/>
  <c r="I122" i="37" s="1"/>
  <c r="J122" i="37" s="1"/>
  <c r="K122" i="37" s="1"/>
  <c r="L122" i="37" s="1"/>
  <c r="M122" i="37" s="1"/>
  <c r="B122" i="37"/>
  <c r="C122" i="37" s="1"/>
  <c r="D122" i="37" s="1"/>
  <c r="N122" i="42"/>
  <c r="E122" i="42"/>
  <c r="F122" i="42" s="1"/>
  <c r="G122" i="42" s="1"/>
  <c r="H122" i="42" s="1"/>
  <c r="I122" i="42" s="1"/>
  <c r="J122" i="42" s="1"/>
  <c r="K122" i="42" s="1"/>
  <c r="L122" i="42" s="1"/>
  <c r="M122" i="42" s="1"/>
  <c r="B122" i="42"/>
  <c r="N92" i="35"/>
  <c r="F92" i="35"/>
  <c r="G92" i="35" s="1"/>
  <c r="H92" i="35" s="1"/>
  <c r="I92" i="35" s="1"/>
  <c r="J92" i="35" s="1"/>
  <c r="K92" i="35" s="1"/>
  <c r="L92" i="35" s="1"/>
  <c r="M92" i="35" s="1"/>
  <c r="E92" i="35"/>
  <c r="B92" i="35"/>
  <c r="B93" i="35" s="1"/>
  <c r="B91" i="35" s="1"/>
  <c r="N62" i="71"/>
  <c r="E62" i="71"/>
  <c r="F62" i="71" s="1"/>
  <c r="G62" i="71" s="1"/>
  <c r="H62" i="71" s="1"/>
  <c r="I62" i="71" s="1"/>
  <c r="J62" i="71" s="1"/>
  <c r="K62" i="71" s="1"/>
  <c r="L62" i="71" s="1"/>
  <c r="M62" i="71" s="1"/>
  <c r="B62" i="71"/>
  <c r="C62" i="71" s="1"/>
  <c r="D62" i="71" s="1"/>
  <c r="N62" i="33"/>
  <c r="E62" i="33"/>
  <c r="F62" i="33" s="1"/>
  <c r="G62" i="33" s="1"/>
  <c r="H62" i="33" s="1"/>
  <c r="I62" i="33" s="1"/>
  <c r="J62" i="33" s="1"/>
  <c r="K62" i="33" s="1"/>
  <c r="L62" i="33" s="1"/>
  <c r="M62" i="33" s="1"/>
  <c r="B62" i="33"/>
  <c r="C62" i="33" s="1"/>
  <c r="D62" i="33" s="1"/>
  <c r="N62" i="32"/>
  <c r="E62" i="32"/>
  <c r="F62" i="32" s="1"/>
  <c r="G62" i="32" s="1"/>
  <c r="H62" i="32" s="1"/>
  <c r="I62" i="32" s="1"/>
  <c r="J62" i="32" s="1"/>
  <c r="K62" i="32" s="1"/>
  <c r="L62" i="32" s="1"/>
  <c r="M62" i="32" s="1"/>
  <c r="B62" i="32"/>
  <c r="C62" i="32" s="1"/>
  <c r="D62" i="32" s="1"/>
  <c r="N92" i="31"/>
  <c r="E92" i="31"/>
  <c r="F92" i="31" s="1"/>
  <c r="G92" i="31" s="1"/>
  <c r="H92" i="31" s="1"/>
  <c r="I92" i="31" s="1"/>
  <c r="J92" i="31" s="1"/>
  <c r="K92" i="31" s="1"/>
  <c r="L92" i="31" s="1"/>
  <c r="M92" i="31" s="1"/>
  <c r="B92" i="31"/>
  <c r="C92" i="31" s="1"/>
  <c r="D92" i="31" s="1"/>
  <c r="N92" i="29"/>
  <c r="E92" i="29"/>
  <c r="F92" i="29" s="1"/>
  <c r="G92" i="29" s="1"/>
  <c r="H92" i="29" s="1"/>
  <c r="I92" i="29" s="1"/>
  <c r="J92" i="29" s="1"/>
  <c r="K92" i="29" s="1"/>
  <c r="L92" i="29" s="1"/>
  <c r="M92" i="29" s="1"/>
  <c r="B92" i="29"/>
  <c r="N129" i="38"/>
  <c r="B129" i="38"/>
  <c r="C129" i="38" s="1"/>
  <c r="D129" i="38" s="1"/>
  <c r="E129" i="38" s="1"/>
  <c r="F129" i="38" s="1"/>
  <c r="G129" i="38" s="1"/>
  <c r="H129" i="38" s="1"/>
  <c r="I129" i="38" s="1"/>
  <c r="J129" i="38" s="1"/>
  <c r="K129" i="38" s="1"/>
  <c r="L129" i="38" s="1"/>
  <c r="M129" i="38" s="1"/>
  <c r="N59" i="36"/>
  <c r="B59" i="36"/>
  <c r="C59" i="36" s="1"/>
  <c r="D59" i="36" s="1"/>
  <c r="N129" i="41"/>
  <c r="B129" i="41"/>
  <c r="C129" i="41" s="1"/>
  <c r="D129" i="41" s="1"/>
  <c r="E129" i="41" s="1"/>
  <c r="F129" i="41" s="1"/>
  <c r="G129" i="41" s="1"/>
  <c r="H129" i="41" s="1"/>
  <c r="I129" i="41" s="1"/>
  <c r="J129" i="41" s="1"/>
  <c r="K129" i="41" s="1"/>
  <c r="L129" i="41" s="1"/>
  <c r="M129" i="41" s="1"/>
  <c r="N115" i="37"/>
  <c r="B115" i="37"/>
  <c r="C115" i="37" s="1"/>
  <c r="D115" i="37" s="1"/>
  <c r="E115" i="37" s="1"/>
  <c r="F115" i="37" s="1"/>
  <c r="G115" i="37" s="1"/>
  <c r="H115" i="37" s="1"/>
  <c r="I115" i="37" s="1"/>
  <c r="J115" i="37" s="1"/>
  <c r="K115" i="37" s="1"/>
  <c r="L115" i="37" s="1"/>
  <c r="M115" i="37" s="1"/>
  <c r="N115" i="42"/>
  <c r="B115" i="42"/>
  <c r="B118" i="42" s="1"/>
  <c r="N87" i="35"/>
  <c r="B87" i="35"/>
  <c r="C87" i="35" s="1"/>
  <c r="N59" i="71"/>
  <c r="B59" i="71"/>
  <c r="C59" i="71" s="1"/>
  <c r="D59" i="71" s="1"/>
  <c r="E59" i="71" s="1"/>
  <c r="F59" i="71" s="1"/>
  <c r="G59" i="71" s="1"/>
  <c r="H59" i="71" s="1"/>
  <c r="I59" i="71" s="1"/>
  <c r="J59" i="71" s="1"/>
  <c r="K59" i="71" s="1"/>
  <c r="L59" i="71" s="1"/>
  <c r="M59" i="71" s="1"/>
  <c r="N59" i="33"/>
  <c r="B59" i="33"/>
  <c r="C59" i="33" s="1"/>
  <c r="D59" i="33" s="1"/>
  <c r="E59" i="33" s="1"/>
  <c r="F59" i="33" s="1"/>
  <c r="G59" i="33" s="1"/>
  <c r="H59" i="33" s="1"/>
  <c r="I59" i="33" s="1"/>
  <c r="J59" i="33" s="1"/>
  <c r="K59" i="33" s="1"/>
  <c r="L59" i="33" s="1"/>
  <c r="M59" i="33" s="1"/>
  <c r="N59" i="32"/>
  <c r="B59" i="32"/>
  <c r="C59" i="32" s="1"/>
  <c r="D59" i="32" s="1"/>
  <c r="E59" i="32" s="1"/>
  <c r="F59" i="32" s="1"/>
  <c r="G59" i="32" s="1"/>
  <c r="H59" i="32" s="1"/>
  <c r="I59" i="32" s="1"/>
  <c r="J59" i="32" s="1"/>
  <c r="K59" i="32" s="1"/>
  <c r="L59" i="32" s="1"/>
  <c r="M59" i="32" s="1"/>
  <c r="N87" i="31"/>
  <c r="B87" i="31"/>
  <c r="C87" i="31" s="1"/>
  <c r="D87" i="31" s="1"/>
  <c r="E87" i="31" s="1"/>
  <c r="F87" i="31" s="1"/>
  <c r="G87" i="31" s="1"/>
  <c r="H87" i="31" s="1"/>
  <c r="I87" i="31" s="1"/>
  <c r="J87" i="31" s="1"/>
  <c r="K87" i="31" s="1"/>
  <c r="L87" i="31" s="1"/>
  <c r="M87" i="31" s="1"/>
  <c r="N87" i="29"/>
  <c r="B87" i="29"/>
  <c r="N121" i="38"/>
  <c r="B121" i="38"/>
  <c r="C121" i="38" s="1"/>
  <c r="D121" i="38" s="1"/>
  <c r="E121" i="38" s="1"/>
  <c r="F121" i="38" s="1"/>
  <c r="G121" i="38" s="1"/>
  <c r="H121" i="38" s="1"/>
  <c r="I121" i="38" s="1"/>
  <c r="J121" i="38" s="1"/>
  <c r="K121" i="38" s="1"/>
  <c r="L121" i="38" s="1"/>
  <c r="M121" i="38" s="1"/>
  <c r="N56" i="36"/>
  <c r="B56" i="36"/>
  <c r="C56" i="36" s="1"/>
  <c r="D56" i="36" s="1"/>
  <c r="E56" i="36" s="1"/>
  <c r="F56" i="36" s="1"/>
  <c r="G56" i="36" s="1"/>
  <c r="H56" i="36" s="1"/>
  <c r="I56" i="36" s="1"/>
  <c r="J56" i="36" s="1"/>
  <c r="K56" i="36" s="1"/>
  <c r="L56" i="36" s="1"/>
  <c r="M56" i="36" s="1"/>
  <c r="N108" i="37"/>
  <c r="B108" i="37"/>
  <c r="C108" i="37" s="1"/>
  <c r="D108" i="37" s="1"/>
  <c r="E108" i="37" s="1"/>
  <c r="F108" i="37" s="1"/>
  <c r="G108" i="37" s="1"/>
  <c r="H108" i="37" s="1"/>
  <c r="I108" i="37" s="1"/>
  <c r="J108" i="37" s="1"/>
  <c r="K108" i="37" s="1"/>
  <c r="L108" i="37" s="1"/>
  <c r="M108" i="37" s="1"/>
  <c r="N108" i="42"/>
  <c r="B108" i="42"/>
  <c r="C108" i="42" s="1"/>
  <c r="D108" i="42" s="1"/>
  <c r="E108" i="42" s="1"/>
  <c r="F108" i="42" s="1"/>
  <c r="G108" i="42" s="1"/>
  <c r="H108" i="42" s="1"/>
  <c r="I108" i="42" s="1"/>
  <c r="J108" i="42" s="1"/>
  <c r="K108" i="42" s="1"/>
  <c r="L108" i="42" s="1"/>
  <c r="M108" i="42" s="1"/>
  <c r="N82" i="35"/>
  <c r="B82" i="35"/>
  <c r="C82" i="35" s="1"/>
  <c r="D82" i="35" s="1"/>
  <c r="E82" i="35" s="1"/>
  <c r="F82" i="35" s="1"/>
  <c r="G82" i="35" s="1"/>
  <c r="H82" i="35" s="1"/>
  <c r="I82" i="35" s="1"/>
  <c r="J82" i="35" s="1"/>
  <c r="K82" i="35" s="1"/>
  <c r="L82" i="35" s="1"/>
  <c r="M82" i="35" s="1"/>
  <c r="N56" i="71"/>
  <c r="B56" i="71"/>
  <c r="C56" i="71" s="1"/>
  <c r="D56" i="71" s="1"/>
  <c r="E56" i="71" s="1"/>
  <c r="F56" i="71" s="1"/>
  <c r="G56" i="71" s="1"/>
  <c r="H56" i="71" s="1"/>
  <c r="I56" i="71" s="1"/>
  <c r="J56" i="71" s="1"/>
  <c r="K56" i="71" s="1"/>
  <c r="L56" i="71" s="1"/>
  <c r="M56" i="71" s="1"/>
  <c r="N56" i="33"/>
  <c r="B56" i="33"/>
  <c r="C56" i="33" s="1"/>
  <c r="N56" i="32"/>
  <c r="B56" i="32"/>
  <c r="C56" i="32" s="1"/>
  <c r="D56" i="32" s="1"/>
  <c r="E56" i="32" s="1"/>
  <c r="F56" i="32" s="1"/>
  <c r="G56" i="32" s="1"/>
  <c r="H56" i="32" s="1"/>
  <c r="I56" i="32" s="1"/>
  <c r="J56" i="32" s="1"/>
  <c r="K56" i="32" s="1"/>
  <c r="L56" i="32" s="1"/>
  <c r="M56" i="32" s="1"/>
  <c r="N82" i="31"/>
  <c r="B82" i="31"/>
  <c r="C82" i="31" s="1"/>
  <c r="D82" i="31" s="1"/>
  <c r="E82" i="31" s="1"/>
  <c r="F82" i="31" s="1"/>
  <c r="G82" i="31" s="1"/>
  <c r="H82" i="31" s="1"/>
  <c r="I82" i="31" s="1"/>
  <c r="J82" i="31" s="1"/>
  <c r="K82" i="31" s="1"/>
  <c r="L82" i="31" s="1"/>
  <c r="M82" i="31" s="1"/>
  <c r="N82" i="29"/>
  <c r="B82" i="29"/>
  <c r="N113" i="38"/>
  <c r="B113" i="38"/>
  <c r="B112" i="38" s="1"/>
  <c r="N53" i="36"/>
  <c r="B53" i="36"/>
  <c r="C53" i="36" s="1"/>
  <c r="N113" i="41"/>
  <c r="B113" i="41"/>
  <c r="C113" i="41" s="1"/>
  <c r="D113" i="41" s="1"/>
  <c r="E113" i="41" s="1"/>
  <c r="F113" i="41" s="1"/>
  <c r="G113" i="41" s="1"/>
  <c r="H113" i="41" s="1"/>
  <c r="I113" i="41" s="1"/>
  <c r="J113" i="41" s="1"/>
  <c r="K113" i="41" s="1"/>
  <c r="L113" i="41" s="1"/>
  <c r="M113" i="41" s="1"/>
  <c r="N101" i="37"/>
  <c r="B101" i="37"/>
  <c r="C101" i="37" s="1"/>
  <c r="D101" i="37" s="1"/>
  <c r="E101" i="37" s="1"/>
  <c r="F101" i="37" s="1"/>
  <c r="G101" i="37" s="1"/>
  <c r="H101" i="37" s="1"/>
  <c r="I101" i="37" s="1"/>
  <c r="J101" i="37" s="1"/>
  <c r="K101" i="37" s="1"/>
  <c r="L101" i="37" s="1"/>
  <c r="M101" i="37" s="1"/>
  <c r="N101" i="42"/>
  <c r="B101" i="42"/>
  <c r="C101" i="42" s="1"/>
  <c r="D101" i="42" s="1"/>
  <c r="E101" i="42" s="1"/>
  <c r="F101" i="42" s="1"/>
  <c r="G101" i="42" s="1"/>
  <c r="H101" i="42" s="1"/>
  <c r="I101" i="42" s="1"/>
  <c r="J101" i="42" s="1"/>
  <c r="K101" i="42" s="1"/>
  <c r="L101" i="42" s="1"/>
  <c r="M101" i="42" s="1"/>
  <c r="N77" i="35"/>
  <c r="B77" i="35"/>
  <c r="C77" i="35" s="1"/>
  <c r="D77" i="35" s="1"/>
  <c r="E77" i="35" s="1"/>
  <c r="F77" i="35" s="1"/>
  <c r="G77" i="35" s="1"/>
  <c r="H77" i="35" s="1"/>
  <c r="I77" i="35" s="1"/>
  <c r="J77" i="35" s="1"/>
  <c r="K77" i="35" s="1"/>
  <c r="L77" i="35" s="1"/>
  <c r="M77" i="35" s="1"/>
  <c r="N53" i="71"/>
  <c r="B53" i="71"/>
  <c r="B52" i="71" s="1"/>
  <c r="N53" i="33"/>
  <c r="B53" i="33"/>
  <c r="C53" i="33" s="1"/>
  <c r="D53" i="33" s="1"/>
  <c r="E53" i="33" s="1"/>
  <c r="F53" i="33" s="1"/>
  <c r="G53" i="33" s="1"/>
  <c r="H53" i="33" s="1"/>
  <c r="I53" i="33" s="1"/>
  <c r="J53" i="33" s="1"/>
  <c r="K53" i="33" s="1"/>
  <c r="L53" i="33" s="1"/>
  <c r="M53" i="33" s="1"/>
  <c r="N53" i="32"/>
  <c r="B53" i="32"/>
  <c r="C53" i="32" s="1"/>
  <c r="D53" i="32" s="1"/>
  <c r="E53" i="32" s="1"/>
  <c r="F53" i="32" s="1"/>
  <c r="G53" i="32" s="1"/>
  <c r="H53" i="32" s="1"/>
  <c r="I53" i="32" s="1"/>
  <c r="J53" i="32" s="1"/>
  <c r="K53" i="32" s="1"/>
  <c r="L53" i="32" s="1"/>
  <c r="M53" i="32" s="1"/>
  <c r="N77" i="31"/>
  <c r="B77" i="31"/>
  <c r="C77" i="31" s="1"/>
  <c r="D77" i="31" s="1"/>
  <c r="E77" i="31" s="1"/>
  <c r="F77" i="31" s="1"/>
  <c r="G77" i="31" s="1"/>
  <c r="H77" i="31" s="1"/>
  <c r="I77" i="31" s="1"/>
  <c r="J77" i="31" s="1"/>
  <c r="K77" i="31" s="1"/>
  <c r="L77" i="31" s="1"/>
  <c r="M77" i="31" s="1"/>
  <c r="N77" i="29"/>
  <c r="B77" i="29"/>
  <c r="N102" i="38"/>
  <c r="E102" i="38"/>
  <c r="F102" i="38" s="1"/>
  <c r="G102" i="38" s="1"/>
  <c r="H102" i="38" s="1"/>
  <c r="I102" i="38" s="1"/>
  <c r="J102" i="38" s="1"/>
  <c r="K102" i="38" s="1"/>
  <c r="L102" i="38" s="1"/>
  <c r="M102" i="38" s="1"/>
  <c r="B102" i="38"/>
  <c r="C102" i="38" s="1"/>
  <c r="D102" i="38" s="1"/>
  <c r="N47" i="36"/>
  <c r="E47" i="36"/>
  <c r="F47" i="36" s="1"/>
  <c r="G47" i="36" s="1"/>
  <c r="H47" i="36" s="1"/>
  <c r="I47" i="36" s="1"/>
  <c r="J47" i="36" s="1"/>
  <c r="K47" i="36" s="1"/>
  <c r="L47" i="36" s="1"/>
  <c r="M47" i="36" s="1"/>
  <c r="B47" i="36"/>
  <c r="C47" i="36" s="1"/>
  <c r="D47" i="36" s="1"/>
  <c r="N102" i="41"/>
  <c r="E102" i="41"/>
  <c r="F102" i="41" s="1"/>
  <c r="G102" i="41" s="1"/>
  <c r="H102" i="41" s="1"/>
  <c r="I102" i="41" s="1"/>
  <c r="J102" i="41" s="1"/>
  <c r="K102" i="41" s="1"/>
  <c r="L102" i="41" s="1"/>
  <c r="M102" i="41" s="1"/>
  <c r="B102" i="41"/>
  <c r="C102" i="41" s="1"/>
  <c r="D102" i="41" s="1"/>
  <c r="N91" i="37"/>
  <c r="E91" i="37"/>
  <c r="F91" i="37" s="1"/>
  <c r="G91" i="37" s="1"/>
  <c r="H91" i="37" s="1"/>
  <c r="I91" i="37" s="1"/>
  <c r="J91" i="37" s="1"/>
  <c r="K91" i="37" s="1"/>
  <c r="L91" i="37" s="1"/>
  <c r="M91" i="37" s="1"/>
  <c r="B91" i="37"/>
  <c r="C91" i="37" s="1"/>
  <c r="D91" i="37" s="1"/>
  <c r="N91" i="42"/>
  <c r="E91" i="42"/>
  <c r="F91" i="42" s="1"/>
  <c r="G91" i="42" s="1"/>
  <c r="H91" i="42" s="1"/>
  <c r="I91" i="42" s="1"/>
  <c r="J91" i="42" s="1"/>
  <c r="K91" i="42" s="1"/>
  <c r="L91" i="42" s="1"/>
  <c r="M91" i="42" s="1"/>
  <c r="B91" i="42"/>
  <c r="B94" i="42" s="1"/>
  <c r="C94" i="42" s="1"/>
  <c r="N69" i="35"/>
  <c r="E69" i="35"/>
  <c r="F69" i="35" s="1"/>
  <c r="G69" i="35" s="1"/>
  <c r="H69" i="35" s="1"/>
  <c r="I69" i="35" s="1"/>
  <c r="J69" i="35" s="1"/>
  <c r="K69" i="35" s="1"/>
  <c r="L69" i="35" s="1"/>
  <c r="M69" i="35" s="1"/>
  <c r="B69" i="35"/>
  <c r="C69" i="35" s="1"/>
  <c r="D69" i="35" s="1"/>
  <c r="N47" i="71"/>
  <c r="E47" i="71"/>
  <c r="F47" i="71" s="1"/>
  <c r="G47" i="71" s="1"/>
  <c r="H47" i="71" s="1"/>
  <c r="I47" i="71" s="1"/>
  <c r="J47" i="71" s="1"/>
  <c r="K47" i="71" s="1"/>
  <c r="L47" i="71" s="1"/>
  <c r="M47" i="71" s="1"/>
  <c r="B47" i="71"/>
  <c r="C47" i="71" s="1"/>
  <c r="D47" i="71" s="1"/>
  <c r="N47" i="33"/>
  <c r="E47" i="33"/>
  <c r="F47" i="33" s="1"/>
  <c r="G47" i="33" s="1"/>
  <c r="H47" i="33" s="1"/>
  <c r="I47" i="33" s="1"/>
  <c r="J47" i="33" s="1"/>
  <c r="K47" i="33" s="1"/>
  <c r="L47" i="33" s="1"/>
  <c r="M47" i="33" s="1"/>
  <c r="B47" i="33"/>
  <c r="C47" i="33" s="1"/>
  <c r="D47" i="33" s="1"/>
  <c r="N47" i="32"/>
  <c r="E47" i="32"/>
  <c r="F47" i="32" s="1"/>
  <c r="G47" i="32" s="1"/>
  <c r="H47" i="32" s="1"/>
  <c r="I47" i="32" s="1"/>
  <c r="J47" i="32" s="1"/>
  <c r="K47" i="32" s="1"/>
  <c r="L47" i="32" s="1"/>
  <c r="M47" i="32" s="1"/>
  <c r="B47" i="32"/>
  <c r="C47" i="32" s="1"/>
  <c r="D47" i="32" s="1"/>
  <c r="N69" i="31"/>
  <c r="G69" i="31"/>
  <c r="H69" i="31" s="1"/>
  <c r="I69" i="31" s="1"/>
  <c r="J69" i="31" s="1"/>
  <c r="K69" i="31" s="1"/>
  <c r="L69" i="31" s="1"/>
  <c r="M69" i="31" s="1"/>
  <c r="F69" i="31"/>
  <c r="E69" i="31"/>
  <c r="B69" i="31"/>
  <c r="C69" i="31" s="1"/>
  <c r="D69" i="31" s="1"/>
  <c r="N69" i="29"/>
  <c r="E69" i="29"/>
  <c r="F69" i="29" s="1"/>
  <c r="G69" i="29" s="1"/>
  <c r="H69" i="29" s="1"/>
  <c r="I69" i="29" s="1"/>
  <c r="J69" i="29" s="1"/>
  <c r="K69" i="29" s="1"/>
  <c r="L69" i="29" s="1"/>
  <c r="M69" i="29" s="1"/>
  <c r="B69" i="29"/>
  <c r="B46" i="33" s="1"/>
  <c r="N94" i="38"/>
  <c r="E94" i="38"/>
  <c r="F94" i="38" s="1"/>
  <c r="G94" i="38" s="1"/>
  <c r="H94" i="38" s="1"/>
  <c r="I94" i="38" s="1"/>
  <c r="J94" i="38" s="1"/>
  <c r="K94" i="38" s="1"/>
  <c r="L94" i="38" s="1"/>
  <c r="M94" i="38" s="1"/>
  <c r="B94" i="38"/>
  <c r="C94" i="38" s="1"/>
  <c r="D94" i="38" s="1"/>
  <c r="N44" i="36"/>
  <c r="E44" i="36"/>
  <c r="F44" i="36" s="1"/>
  <c r="G44" i="36" s="1"/>
  <c r="H44" i="36" s="1"/>
  <c r="I44" i="36" s="1"/>
  <c r="J44" i="36" s="1"/>
  <c r="K44" i="36" s="1"/>
  <c r="L44" i="36" s="1"/>
  <c r="M44" i="36" s="1"/>
  <c r="B44" i="36"/>
  <c r="C44" i="36" s="1"/>
  <c r="D44" i="36" s="1"/>
  <c r="N94" i="41"/>
  <c r="E94" i="41"/>
  <c r="F94" i="41" s="1"/>
  <c r="G94" i="41" s="1"/>
  <c r="H94" i="41" s="1"/>
  <c r="I94" i="41" s="1"/>
  <c r="J94" i="41" s="1"/>
  <c r="K94" i="41" s="1"/>
  <c r="L94" i="41" s="1"/>
  <c r="M94" i="41" s="1"/>
  <c r="B94" i="41"/>
  <c r="B95" i="41" s="1"/>
  <c r="N84" i="37"/>
  <c r="E84" i="37"/>
  <c r="F84" i="37" s="1"/>
  <c r="G84" i="37" s="1"/>
  <c r="H84" i="37" s="1"/>
  <c r="I84" i="37" s="1"/>
  <c r="J84" i="37" s="1"/>
  <c r="K84" i="37" s="1"/>
  <c r="L84" i="37" s="1"/>
  <c r="M84" i="37" s="1"/>
  <c r="B84" i="37"/>
  <c r="C84" i="37" s="1"/>
  <c r="D84" i="37" s="1"/>
  <c r="N84" i="42"/>
  <c r="E84" i="42"/>
  <c r="F84" i="42" s="1"/>
  <c r="G84" i="42" s="1"/>
  <c r="H84" i="42" s="1"/>
  <c r="I84" i="42" s="1"/>
  <c r="J84" i="42" s="1"/>
  <c r="K84" i="42" s="1"/>
  <c r="L84" i="42" s="1"/>
  <c r="M84" i="42" s="1"/>
  <c r="B84" i="42"/>
  <c r="C84" i="42" s="1"/>
  <c r="D84" i="42" s="1"/>
  <c r="N64" i="35"/>
  <c r="E64" i="35"/>
  <c r="F64" i="35" s="1"/>
  <c r="G64" i="35" s="1"/>
  <c r="H64" i="35" s="1"/>
  <c r="I64" i="35" s="1"/>
  <c r="J64" i="35" s="1"/>
  <c r="K64" i="35" s="1"/>
  <c r="L64" i="35" s="1"/>
  <c r="M64" i="35" s="1"/>
  <c r="B64" i="35"/>
  <c r="C64" i="35" s="1"/>
  <c r="D64" i="35" s="1"/>
  <c r="N44" i="71"/>
  <c r="E44" i="71"/>
  <c r="F44" i="71" s="1"/>
  <c r="G44" i="71" s="1"/>
  <c r="H44" i="71" s="1"/>
  <c r="I44" i="71" s="1"/>
  <c r="J44" i="71" s="1"/>
  <c r="K44" i="71" s="1"/>
  <c r="L44" i="71" s="1"/>
  <c r="M44" i="71" s="1"/>
  <c r="B44" i="71"/>
  <c r="C44" i="71" s="1"/>
  <c r="D44" i="71" s="1"/>
  <c r="N44" i="33"/>
  <c r="E44" i="33"/>
  <c r="F44" i="33" s="1"/>
  <c r="G44" i="33" s="1"/>
  <c r="H44" i="33" s="1"/>
  <c r="I44" i="33" s="1"/>
  <c r="J44" i="33" s="1"/>
  <c r="K44" i="33" s="1"/>
  <c r="L44" i="33" s="1"/>
  <c r="M44" i="33" s="1"/>
  <c r="B44" i="33"/>
  <c r="C44" i="33" s="1"/>
  <c r="D44" i="33" s="1"/>
  <c r="N44" i="32"/>
  <c r="E44" i="32"/>
  <c r="F44" i="32" s="1"/>
  <c r="G44" i="32" s="1"/>
  <c r="H44" i="32" s="1"/>
  <c r="I44" i="32" s="1"/>
  <c r="J44" i="32" s="1"/>
  <c r="K44" i="32" s="1"/>
  <c r="L44" i="32" s="1"/>
  <c r="M44" i="32" s="1"/>
  <c r="B44" i="32"/>
  <c r="B43" i="32" s="1"/>
  <c r="N64" i="31"/>
  <c r="E64" i="31"/>
  <c r="F64" i="31" s="1"/>
  <c r="G64" i="31" s="1"/>
  <c r="H64" i="31" s="1"/>
  <c r="I64" i="31" s="1"/>
  <c r="J64" i="31" s="1"/>
  <c r="K64" i="31" s="1"/>
  <c r="L64" i="31" s="1"/>
  <c r="M64" i="31" s="1"/>
  <c r="B64" i="31"/>
  <c r="C64" i="31" s="1"/>
  <c r="D64" i="31" s="1"/>
  <c r="N64" i="29"/>
  <c r="E64" i="29"/>
  <c r="F64" i="29" s="1"/>
  <c r="G64" i="29" s="1"/>
  <c r="H64" i="29" s="1"/>
  <c r="I64" i="29" s="1"/>
  <c r="J64" i="29" s="1"/>
  <c r="K64" i="29" s="1"/>
  <c r="L64" i="29" s="1"/>
  <c r="M64" i="29" s="1"/>
  <c r="B64" i="29"/>
  <c r="N86" i="38"/>
  <c r="E86" i="38"/>
  <c r="F86" i="38" s="1"/>
  <c r="G86" i="38" s="1"/>
  <c r="H86" i="38" s="1"/>
  <c r="I86" i="38" s="1"/>
  <c r="J86" i="38" s="1"/>
  <c r="K86" i="38" s="1"/>
  <c r="L86" i="38" s="1"/>
  <c r="M86" i="38" s="1"/>
  <c r="B86" i="38"/>
  <c r="C86" i="38" s="1"/>
  <c r="D86" i="38" s="1"/>
  <c r="N41" i="36"/>
  <c r="E41" i="36"/>
  <c r="F41" i="36" s="1"/>
  <c r="G41" i="36" s="1"/>
  <c r="H41" i="36" s="1"/>
  <c r="I41" i="36" s="1"/>
  <c r="J41" i="36" s="1"/>
  <c r="K41" i="36" s="1"/>
  <c r="L41" i="36" s="1"/>
  <c r="M41" i="36" s="1"/>
  <c r="B41" i="36"/>
  <c r="C41" i="36" s="1"/>
  <c r="D41" i="36" s="1"/>
  <c r="N86" i="41"/>
  <c r="E86" i="41"/>
  <c r="F86" i="41" s="1"/>
  <c r="G86" i="41" s="1"/>
  <c r="H86" i="41" s="1"/>
  <c r="I86" i="41" s="1"/>
  <c r="J86" i="41" s="1"/>
  <c r="K86" i="41" s="1"/>
  <c r="L86" i="41" s="1"/>
  <c r="M86" i="41" s="1"/>
  <c r="B86" i="41"/>
  <c r="C86" i="41" s="1"/>
  <c r="N77" i="37"/>
  <c r="E77" i="37"/>
  <c r="F77" i="37" s="1"/>
  <c r="G77" i="37" s="1"/>
  <c r="H77" i="37" s="1"/>
  <c r="I77" i="37" s="1"/>
  <c r="J77" i="37" s="1"/>
  <c r="K77" i="37" s="1"/>
  <c r="L77" i="37" s="1"/>
  <c r="M77" i="37" s="1"/>
  <c r="B77" i="37"/>
  <c r="C77" i="37" s="1"/>
  <c r="D77" i="37" s="1"/>
  <c r="N77" i="42"/>
  <c r="E77" i="42"/>
  <c r="F77" i="42" s="1"/>
  <c r="G77" i="42" s="1"/>
  <c r="H77" i="42" s="1"/>
  <c r="I77" i="42" s="1"/>
  <c r="J77" i="42" s="1"/>
  <c r="K77" i="42" s="1"/>
  <c r="L77" i="42" s="1"/>
  <c r="M77" i="42" s="1"/>
  <c r="B77" i="42"/>
  <c r="C77" i="42" s="1"/>
  <c r="D77" i="42" s="1"/>
  <c r="N59" i="35"/>
  <c r="E59" i="35"/>
  <c r="F59" i="35" s="1"/>
  <c r="G59" i="35" s="1"/>
  <c r="H59" i="35" s="1"/>
  <c r="I59" i="35" s="1"/>
  <c r="J59" i="35" s="1"/>
  <c r="K59" i="35" s="1"/>
  <c r="L59" i="35" s="1"/>
  <c r="M59" i="35" s="1"/>
  <c r="B59" i="35"/>
  <c r="C59" i="35" s="1"/>
  <c r="D59" i="35" s="1"/>
  <c r="N41" i="71"/>
  <c r="E41" i="71"/>
  <c r="F41" i="71" s="1"/>
  <c r="G41" i="71" s="1"/>
  <c r="H41" i="71" s="1"/>
  <c r="I41" i="71" s="1"/>
  <c r="J41" i="71" s="1"/>
  <c r="K41" i="71" s="1"/>
  <c r="L41" i="71" s="1"/>
  <c r="M41" i="71" s="1"/>
  <c r="B41" i="71"/>
  <c r="C41" i="71" s="1"/>
  <c r="D41" i="71" s="1"/>
  <c r="N41" i="33"/>
  <c r="E41" i="33"/>
  <c r="F41" i="33" s="1"/>
  <c r="G41" i="33" s="1"/>
  <c r="H41" i="33" s="1"/>
  <c r="I41" i="33" s="1"/>
  <c r="J41" i="33" s="1"/>
  <c r="K41" i="33" s="1"/>
  <c r="L41" i="33" s="1"/>
  <c r="M41" i="33" s="1"/>
  <c r="B41" i="33"/>
  <c r="C41" i="33" s="1"/>
  <c r="D41" i="33" s="1"/>
  <c r="N41" i="32"/>
  <c r="E41" i="32"/>
  <c r="F41" i="32" s="1"/>
  <c r="G41" i="32" s="1"/>
  <c r="H41" i="32" s="1"/>
  <c r="I41" i="32" s="1"/>
  <c r="J41" i="32" s="1"/>
  <c r="K41" i="32" s="1"/>
  <c r="L41" i="32" s="1"/>
  <c r="M41" i="32" s="1"/>
  <c r="B41" i="32"/>
  <c r="C41" i="32" s="1"/>
  <c r="D41" i="32" s="1"/>
  <c r="N59" i="31"/>
  <c r="E59" i="31"/>
  <c r="F59" i="31" s="1"/>
  <c r="G59" i="31" s="1"/>
  <c r="H59" i="31" s="1"/>
  <c r="I59" i="31" s="1"/>
  <c r="J59" i="31" s="1"/>
  <c r="K59" i="31" s="1"/>
  <c r="L59" i="31" s="1"/>
  <c r="M59" i="31" s="1"/>
  <c r="B59" i="31"/>
  <c r="C59" i="31" s="1"/>
  <c r="D59" i="31" s="1"/>
  <c r="N59" i="29"/>
  <c r="E59" i="29"/>
  <c r="F59" i="29" s="1"/>
  <c r="G59" i="29" s="1"/>
  <c r="H59" i="29" s="1"/>
  <c r="I59" i="29" s="1"/>
  <c r="J59" i="29" s="1"/>
  <c r="K59" i="29" s="1"/>
  <c r="L59" i="29" s="1"/>
  <c r="M59" i="29" s="1"/>
  <c r="B59" i="29"/>
  <c r="N78" i="38"/>
  <c r="E78" i="38"/>
  <c r="F78" i="38" s="1"/>
  <c r="G78" i="38" s="1"/>
  <c r="H78" i="38" s="1"/>
  <c r="I78" i="38" s="1"/>
  <c r="J78" i="38" s="1"/>
  <c r="K78" i="38" s="1"/>
  <c r="L78" i="38" s="1"/>
  <c r="M78" i="38" s="1"/>
  <c r="B78" i="38"/>
  <c r="C78" i="38" s="1"/>
  <c r="D78" i="38" s="1"/>
  <c r="N38" i="36"/>
  <c r="E38" i="36"/>
  <c r="F38" i="36" s="1"/>
  <c r="G38" i="36" s="1"/>
  <c r="H38" i="36" s="1"/>
  <c r="I38" i="36" s="1"/>
  <c r="J38" i="36" s="1"/>
  <c r="K38" i="36" s="1"/>
  <c r="L38" i="36" s="1"/>
  <c r="M38" i="36" s="1"/>
  <c r="B38" i="36"/>
  <c r="C38" i="36" s="1"/>
  <c r="D38" i="36" s="1"/>
  <c r="N78" i="41"/>
  <c r="E78" i="41"/>
  <c r="F78" i="41" s="1"/>
  <c r="G78" i="41" s="1"/>
  <c r="H78" i="41" s="1"/>
  <c r="I78" i="41" s="1"/>
  <c r="J78" i="41" s="1"/>
  <c r="K78" i="41" s="1"/>
  <c r="L78" i="41" s="1"/>
  <c r="M78" i="41" s="1"/>
  <c r="B78" i="41"/>
  <c r="C78" i="41" s="1"/>
  <c r="D78" i="41" s="1"/>
  <c r="N70" i="37"/>
  <c r="E70" i="37"/>
  <c r="F70" i="37" s="1"/>
  <c r="G70" i="37" s="1"/>
  <c r="H70" i="37" s="1"/>
  <c r="I70" i="37" s="1"/>
  <c r="J70" i="37" s="1"/>
  <c r="K70" i="37" s="1"/>
  <c r="L70" i="37" s="1"/>
  <c r="M70" i="37" s="1"/>
  <c r="B70" i="37"/>
  <c r="C70" i="37" s="1"/>
  <c r="D70" i="37" s="1"/>
  <c r="N70" i="42"/>
  <c r="E70" i="42"/>
  <c r="F70" i="42" s="1"/>
  <c r="G70" i="42" s="1"/>
  <c r="H70" i="42" s="1"/>
  <c r="I70" i="42" s="1"/>
  <c r="J70" i="42" s="1"/>
  <c r="K70" i="42" s="1"/>
  <c r="L70" i="42" s="1"/>
  <c r="M70" i="42" s="1"/>
  <c r="B70" i="42"/>
  <c r="N54" i="35"/>
  <c r="E54" i="35"/>
  <c r="F54" i="35" s="1"/>
  <c r="G54" i="35" s="1"/>
  <c r="H54" i="35" s="1"/>
  <c r="I54" i="35" s="1"/>
  <c r="J54" i="35" s="1"/>
  <c r="K54" i="35" s="1"/>
  <c r="L54" i="35" s="1"/>
  <c r="M54" i="35" s="1"/>
  <c r="B54" i="35"/>
  <c r="B55" i="35" s="1"/>
  <c r="B53" i="35" s="1"/>
  <c r="N38" i="71"/>
  <c r="E38" i="71"/>
  <c r="F38" i="71" s="1"/>
  <c r="G38" i="71" s="1"/>
  <c r="H38" i="71" s="1"/>
  <c r="I38" i="71" s="1"/>
  <c r="J38" i="71" s="1"/>
  <c r="K38" i="71" s="1"/>
  <c r="L38" i="71" s="1"/>
  <c r="M38" i="71" s="1"/>
  <c r="B38" i="71"/>
  <c r="C38" i="71" s="1"/>
  <c r="D38" i="71" s="1"/>
  <c r="N38" i="33"/>
  <c r="E38" i="33"/>
  <c r="F38" i="33" s="1"/>
  <c r="G38" i="33" s="1"/>
  <c r="H38" i="33" s="1"/>
  <c r="I38" i="33" s="1"/>
  <c r="J38" i="33" s="1"/>
  <c r="K38" i="33" s="1"/>
  <c r="L38" i="33" s="1"/>
  <c r="M38" i="33" s="1"/>
  <c r="B38" i="33"/>
  <c r="C38" i="33" s="1"/>
  <c r="D38" i="33" s="1"/>
  <c r="N38" i="32"/>
  <c r="E38" i="32"/>
  <c r="F38" i="32" s="1"/>
  <c r="G38" i="32" s="1"/>
  <c r="H38" i="32" s="1"/>
  <c r="I38" i="32" s="1"/>
  <c r="J38" i="32" s="1"/>
  <c r="K38" i="32" s="1"/>
  <c r="L38" i="32" s="1"/>
  <c r="M38" i="32" s="1"/>
  <c r="B38" i="32"/>
  <c r="C38" i="32" s="1"/>
  <c r="D38" i="32" s="1"/>
  <c r="N54" i="31"/>
  <c r="E54" i="31"/>
  <c r="F54" i="31" s="1"/>
  <c r="G54" i="31" s="1"/>
  <c r="H54" i="31" s="1"/>
  <c r="I54" i="31" s="1"/>
  <c r="J54" i="31" s="1"/>
  <c r="K54" i="31" s="1"/>
  <c r="L54" i="31" s="1"/>
  <c r="M54" i="31" s="1"/>
  <c r="B54" i="31"/>
  <c r="C54" i="31" s="1"/>
  <c r="D54" i="31" s="1"/>
  <c r="N54" i="29"/>
  <c r="E54" i="29"/>
  <c r="F54" i="29" s="1"/>
  <c r="G54" i="29" s="1"/>
  <c r="H54" i="29" s="1"/>
  <c r="I54" i="29" s="1"/>
  <c r="J54" i="29" s="1"/>
  <c r="K54" i="29" s="1"/>
  <c r="L54" i="29" s="1"/>
  <c r="M54" i="29" s="1"/>
  <c r="B54" i="29"/>
  <c r="N70" i="38"/>
  <c r="B70" i="38"/>
  <c r="C70" i="38" s="1"/>
  <c r="D70" i="38" s="1"/>
  <c r="E70" i="38" s="1"/>
  <c r="F70" i="38" s="1"/>
  <c r="G70" i="38" s="1"/>
  <c r="H70" i="38" s="1"/>
  <c r="I70" i="38" s="1"/>
  <c r="J70" i="38" s="1"/>
  <c r="K70" i="38" s="1"/>
  <c r="L70" i="38" s="1"/>
  <c r="M70" i="38" s="1"/>
  <c r="N35" i="36"/>
  <c r="B35" i="36"/>
  <c r="C35" i="36" s="1"/>
  <c r="D35" i="36" s="1"/>
  <c r="E35" i="36" s="1"/>
  <c r="F35" i="36" s="1"/>
  <c r="G35" i="36" s="1"/>
  <c r="H35" i="36" s="1"/>
  <c r="I35" i="36" s="1"/>
  <c r="J35" i="36" s="1"/>
  <c r="K35" i="36" s="1"/>
  <c r="L35" i="36" s="1"/>
  <c r="M35" i="36" s="1"/>
  <c r="N70" i="41"/>
  <c r="B70" i="41"/>
  <c r="C70" i="41" s="1"/>
  <c r="D70" i="41" s="1"/>
  <c r="E70" i="41" s="1"/>
  <c r="F70" i="41" s="1"/>
  <c r="G70" i="41" s="1"/>
  <c r="H70" i="41" s="1"/>
  <c r="I70" i="41" s="1"/>
  <c r="J70" i="41" s="1"/>
  <c r="K70" i="41" s="1"/>
  <c r="L70" i="41" s="1"/>
  <c r="M70" i="41" s="1"/>
  <c r="N63" i="37"/>
  <c r="B63" i="37"/>
  <c r="C63" i="37" s="1"/>
  <c r="D63" i="37" s="1"/>
  <c r="E63" i="37" s="1"/>
  <c r="F63" i="37" s="1"/>
  <c r="G63" i="37" s="1"/>
  <c r="H63" i="37" s="1"/>
  <c r="I63" i="37" s="1"/>
  <c r="J63" i="37" s="1"/>
  <c r="K63" i="37" s="1"/>
  <c r="L63" i="37" s="1"/>
  <c r="M63" i="37" s="1"/>
  <c r="N63" i="42"/>
  <c r="B63" i="42"/>
  <c r="N49" i="35"/>
  <c r="B49" i="35"/>
  <c r="B50" i="35" s="1"/>
  <c r="B48" i="35" s="1"/>
  <c r="N35" i="71"/>
  <c r="B35" i="71"/>
  <c r="C35" i="71" s="1"/>
  <c r="D35" i="71" s="1"/>
  <c r="E35" i="71" s="1"/>
  <c r="F35" i="71" s="1"/>
  <c r="G35" i="71" s="1"/>
  <c r="H35" i="71" s="1"/>
  <c r="I35" i="71" s="1"/>
  <c r="J35" i="71" s="1"/>
  <c r="K35" i="71" s="1"/>
  <c r="L35" i="71" s="1"/>
  <c r="M35" i="71" s="1"/>
  <c r="N35" i="33"/>
  <c r="B35" i="33"/>
  <c r="B34" i="33" s="1"/>
  <c r="N35" i="32"/>
  <c r="B35" i="32"/>
  <c r="C35" i="32" s="1"/>
  <c r="D35" i="32" s="1"/>
  <c r="E35" i="32" s="1"/>
  <c r="F35" i="32" s="1"/>
  <c r="G35" i="32" s="1"/>
  <c r="H35" i="32" s="1"/>
  <c r="I35" i="32" s="1"/>
  <c r="J35" i="32" s="1"/>
  <c r="K35" i="32" s="1"/>
  <c r="L35" i="32" s="1"/>
  <c r="M35" i="32" s="1"/>
  <c r="N49" i="31"/>
  <c r="B49" i="31"/>
  <c r="C49" i="31" s="1"/>
  <c r="D49" i="31" s="1"/>
  <c r="E49" i="31" s="1"/>
  <c r="F49" i="31" s="1"/>
  <c r="G49" i="31" s="1"/>
  <c r="H49" i="31" s="1"/>
  <c r="I49" i="31" s="1"/>
  <c r="J49" i="31" s="1"/>
  <c r="K49" i="31" s="1"/>
  <c r="L49" i="31" s="1"/>
  <c r="M49" i="31" s="1"/>
  <c r="N49" i="29"/>
  <c r="B49" i="29"/>
  <c r="N62" i="38"/>
  <c r="B62" i="38"/>
  <c r="C62" i="38" s="1"/>
  <c r="D62" i="38" s="1"/>
  <c r="E62" i="38" s="1"/>
  <c r="F62" i="38" s="1"/>
  <c r="G62" i="38" s="1"/>
  <c r="H62" i="38" s="1"/>
  <c r="I62" i="38" s="1"/>
  <c r="J62" i="38" s="1"/>
  <c r="K62" i="38" s="1"/>
  <c r="L62" i="38" s="1"/>
  <c r="M62" i="38" s="1"/>
  <c r="N32" i="36"/>
  <c r="B32" i="36"/>
  <c r="C32" i="36" s="1"/>
  <c r="D32" i="36" s="1"/>
  <c r="E32" i="36" s="1"/>
  <c r="F32" i="36" s="1"/>
  <c r="G32" i="36" s="1"/>
  <c r="H32" i="36" s="1"/>
  <c r="I32" i="36" s="1"/>
  <c r="J32" i="36" s="1"/>
  <c r="K32" i="36" s="1"/>
  <c r="L32" i="36" s="1"/>
  <c r="M32" i="36" s="1"/>
  <c r="N62" i="41"/>
  <c r="B62" i="41"/>
  <c r="B63" i="41" s="1"/>
  <c r="N56" i="37"/>
  <c r="B56" i="37"/>
  <c r="C56" i="37" s="1"/>
  <c r="D56" i="37" s="1"/>
  <c r="E56" i="37" s="1"/>
  <c r="F56" i="37" s="1"/>
  <c r="G56" i="37" s="1"/>
  <c r="H56" i="37" s="1"/>
  <c r="I56" i="37" s="1"/>
  <c r="J56" i="37" s="1"/>
  <c r="K56" i="37" s="1"/>
  <c r="L56" i="37" s="1"/>
  <c r="M56" i="37" s="1"/>
  <c r="N56" i="42"/>
  <c r="B56" i="42"/>
  <c r="C56" i="42" s="1"/>
  <c r="D56" i="42" s="1"/>
  <c r="E56" i="42" s="1"/>
  <c r="F56" i="42" s="1"/>
  <c r="G56" i="42" s="1"/>
  <c r="H56" i="42" s="1"/>
  <c r="I56" i="42" s="1"/>
  <c r="J56" i="42" s="1"/>
  <c r="K56" i="42" s="1"/>
  <c r="L56" i="42" s="1"/>
  <c r="M56" i="42" s="1"/>
  <c r="N44" i="35"/>
  <c r="B44" i="35"/>
  <c r="C44" i="35" s="1"/>
  <c r="D44" i="35" s="1"/>
  <c r="E44" i="35" s="1"/>
  <c r="F44" i="35" s="1"/>
  <c r="G44" i="35" s="1"/>
  <c r="H44" i="35" s="1"/>
  <c r="I44" i="35" s="1"/>
  <c r="J44" i="35" s="1"/>
  <c r="K44" i="35" s="1"/>
  <c r="L44" i="35" s="1"/>
  <c r="M44" i="35" s="1"/>
  <c r="N32" i="71"/>
  <c r="B32" i="71"/>
  <c r="C32" i="71" s="1"/>
  <c r="D32" i="71" s="1"/>
  <c r="E32" i="71" s="1"/>
  <c r="F32" i="71" s="1"/>
  <c r="G32" i="71" s="1"/>
  <c r="H32" i="71" s="1"/>
  <c r="I32" i="71" s="1"/>
  <c r="J32" i="71" s="1"/>
  <c r="K32" i="71" s="1"/>
  <c r="L32" i="71" s="1"/>
  <c r="M32" i="71" s="1"/>
  <c r="N32" i="33"/>
  <c r="B32" i="33"/>
  <c r="B31" i="33" s="1"/>
  <c r="N32" i="32"/>
  <c r="B32" i="32"/>
  <c r="C32" i="32" s="1"/>
  <c r="D32" i="32" s="1"/>
  <c r="E32" i="32" s="1"/>
  <c r="F32" i="32" s="1"/>
  <c r="G32" i="32" s="1"/>
  <c r="H32" i="32" s="1"/>
  <c r="I32" i="32" s="1"/>
  <c r="J32" i="32" s="1"/>
  <c r="K32" i="32" s="1"/>
  <c r="L32" i="32" s="1"/>
  <c r="M32" i="32" s="1"/>
  <c r="N44" i="31"/>
  <c r="B44" i="31"/>
  <c r="B45" i="31" s="1"/>
  <c r="N44" i="29"/>
  <c r="B44" i="29"/>
  <c r="N51" i="38"/>
  <c r="E51" i="38"/>
  <c r="F51" i="38" s="1"/>
  <c r="G51" i="38" s="1"/>
  <c r="H51" i="38" s="1"/>
  <c r="I51" i="38" s="1"/>
  <c r="J51" i="38" s="1"/>
  <c r="K51" i="38" s="1"/>
  <c r="L51" i="38" s="1"/>
  <c r="M51" i="38" s="1"/>
  <c r="B51" i="38"/>
  <c r="C51" i="38" s="1"/>
  <c r="D51" i="38" s="1"/>
  <c r="N26" i="36"/>
  <c r="E26" i="36"/>
  <c r="F26" i="36" s="1"/>
  <c r="G26" i="36" s="1"/>
  <c r="H26" i="36" s="1"/>
  <c r="I26" i="36" s="1"/>
  <c r="J26" i="36" s="1"/>
  <c r="K26" i="36" s="1"/>
  <c r="L26" i="36" s="1"/>
  <c r="M26" i="36" s="1"/>
  <c r="B26" i="36"/>
  <c r="C26" i="36" s="1"/>
  <c r="D26" i="36" s="1"/>
  <c r="N51" i="41"/>
  <c r="E51" i="41"/>
  <c r="F51" i="41" s="1"/>
  <c r="G51" i="41" s="1"/>
  <c r="H51" i="41" s="1"/>
  <c r="I51" i="41" s="1"/>
  <c r="J51" i="41" s="1"/>
  <c r="K51" i="41" s="1"/>
  <c r="L51" i="41" s="1"/>
  <c r="M51" i="41" s="1"/>
  <c r="B51" i="41"/>
  <c r="C51" i="41" s="1"/>
  <c r="D51" i="41" s="1"/>
  <c r="N46" i="37"/>
  <c r="E46" i="37"/>
  <c r="F46" i="37" s="1"/>
  <c r="G46" i="37" s="1"/>
  <c r="H46" i="37" s="1"/>
  <c r="I46" i="37" s="1"/>
  <c r="J46" i="37" s="1"/>
  <c r="K46" i="37" s="1"/>
  <c r="L46" i="37" s="1"/>
  <c r="M46" i="37" s="1"/>
  <c r="B46" i="37"/>
  <c r="C46" i="37" s="1"/>
  <c r="D46" i="37" s="1"/>
  <c r="N46" i="42"/>
  <c r="E46" i="42"/>
  <c r="F46" i="42" s="1"/>
  <c r="G46" i="42" s="1"/>
  <c r="H46" i="42" s="1"/>
  <c r="I46" i="42" s="1"/>
  <c r="J46" i="42" s="1"/>
  <c r="K46" i="42" s="1"/>
  <c r="L46" i="42" s="1"/>
  <c r="M46" i="42" s="1"/>
  <c r="B46" i="42"/>
  <c r="N36" i="35"/>
  <c r="E36" i="35"/>
  <c r="F36" i="35" s="1"/>
  <c r="G36" i="35" s="1"/>
  <c r="H36" i="35" s="1"/>
  <c r="I36" i="35" s="1"/>
  <c r="J36" i="35" s="1"/>
  <c r="K36" i="35" s="1"/>
  <c r="L36" i="35" s="1"/>
  <c r="M36" i="35" s="1"/>
  <c r="B36" i="35"/>
  <c r="B37" i="35" s="1"/>
  <c r="B35" i="35" s="1"/>
  <c r="N26" i="71"/>
  <c r="E26" i="71"/>
  <c r="F26" i="71" s="1"/>
  <c r="G26" i="71" s="1"/>
  <c r="H26" i="71" s="1"/>
  <c r="I26" i="71" s="1"/>
  <c r="J26" i="71" s="1"/>
  <c r="K26" i="71" s="1"/>
  <c r="L26" i="71" s="1"/>
  <c r="M26" i="71" s="1"/>
  <c r="B26" i="71"/>
  <c r="C26" i="71" s="1"/>
  <c r="D26" i="71" s="1"/>
  <c r="N26" i="33"/>
  <c r="E26" i="33"/>
  <c r="F26" i="33" s="1"/>
  <c r="G26" i="33" s="1"/>
  <c r="H26" i="33" s="1"/>
  <c r="I26" i="33" s="1"/>
  <c r="J26" i="33" s="1"/>
  <c r="K26" i="33" s="1"/>
  <c r="L26" i="33" s="1"/>
  <c r="M26" i="33" s="1"/>
  <c r="B26" i="33"/>
  <c r="C26" i="33" s="1"/>
  <c r="D26" i="33" s="1"/>
  <c r="N26" i="32"/>
  <c r="E26" i="32"/>
  <c r="F26" i="32" s="1"/>
  <c r="G26" i="32" s="1"/>
  <c r="H26" i="32" s="1"/>
  <c r="I26" i="32" s="1"/>
  <c r="J26" i="32" s="1"/>
  <c r="K26" i="32" s="1"/>
  <c r="L26" i="32" s="1"/>
  <c r="M26" i="32" s="1"/>
  <c r="B26" i="32"/>
  <c r="C26" i="32" s="1"/>
  <c r="D26" i="32" s="1"/>
  <c r="N36" i="31"/>
  <c r="E36" i="31"/>
  <c r="F36" i="31" s="1"/>
  <c r="G36" i="31" s="1"/>
  <c r="H36" i="31" s="1"/>
  <c r="I36" i="31" s="1"/>
  <c r="J36" i="31" s="1"/>
  <c r="K36" i="31" s="1"/>
  <c r="L36" i="31" s="1"/>
  <c r="M36" i="31" s="1"/>
  <c r="B36" i="31"/>
  <c r="C36" i="31" s="1"/>
  <c r="D36" i="31" s="1"/>
  <c r="N36" i="29"/>
  <c r="E36" i="29"/>
  <c r="F36" i="29" s="1"/>
  <c r="G36" i="29" s="1"/>
  <c r="H36" i="29" s="1"/>
  <c r="I36" i="29" s="1"/>
  <c r="J36" i="29" s="1"/>
  <c r="K36" i="29" s="1"/>
  <c r="L36" i="29" s="1"/>
  <c r="M36" i="29" s="1"/>
  <c r="B36" i="29"/>
  <c r="C36" i="29" s="1"/>
  <c r="D36" i="29" s="1"/>
  <c r="N43" i="38"/>
  <c r="E43" i="38"/>
  <c r="F43" i="38" s="1"/>
  <c r="G43" i="38" s="1"/>
  <c r="H43" i="38" s="1"/>
  <c r="I43" i="38" s="1"/>
  <c r="J43" i="38" s="1"/>
  <c r="K43" i="38" s="1"/>
  <c r="L43" i="38" s="1"/>
  <c r="M43" i="38" s="1"/>
  <c r="B43" i="38"/>
  <c r="C43" i="38" s="1"/>
  <c r="D43" i="38" s="1"/>
  <c r="N23" i="36"/>
  <c r="E23" i="36"/>
  <c r="F23" i="36" s="1"/>
  <c r="G23" i="36" s="1"/>
  <c r="H23" i="36" s="1"/>
  <c r="I23" i="36" s="1"/>
  <c r="J23" i="36" s="1"/>
  <c r="K23" i="36" s="1"/>
  <c r="L23" i="36" s="1"/>
  <c r="M23" i="36" s="1"/>
  <c r="B23" i="36"/>
  <c r="C23" i="36" s="1"/>
  <c r="D23" i="36" s="1"/>
  <c r="N43" i="41"/>
  <c r="E43" i="41"/>
  <c r="F43" i="41" s="1"/>
  <c r="G43" i="41" s="1"/>
  <c r="H43" i="41" s="1"/>
  <c r="I43" i="41" s="1"/>
  <c r="J43" i="41" s="1"/>
  <c r="K43" i="41" s="1"/>
  <c r="L43" i="41" s="1"/>
  <c r="M43" i="41" s="1"/>
  <c r="B43" i="41"/>
  <c r="B44" i="41" s="1"/>
  <c r="N39" i="37"/>
  <c r="E39" i="37"/>
  <c r="F39" i="37" s="1"/>
  <c r="G39" i="37" s="1"/>
  <c r="H39" i="37" s="1"/>
  <c r="I39" i="37" s="1"/>
  <c r="J39" i="37" s="1"/>
  <c r="K39" i="37" s="1"/>
  <c r="L39" i="37" s="1"/>
  <c r="M39" i="37" s="1"/>
  <c r="B39" i="37"/>
  <c r="C39" i="37" s="1"/>
  <c r="D39" i="37" s="1"/>
  <c r="N39" i="42"/>
  <c r="E39" i="42"/>
  <c r="F39" i="42" s="1"/>
  <c r="G39" i="42" s="1"/>
  <c r="H39" i="42" s="1"/>
  <c r="I39" i="42" s="1"/>
  <c r="J39" i="42" s="1"/>
  <c r="K39" i="42" s="1"/>
  <c r="L39" i="42" s="1"/>
  <c r="M39" i="42" s="1"/>
  <c r="B39" i="42"/>
  <c r="C39" i="42" s="1"/>
  <c r="D39" i="42" s="1"/>
  <c r="N31" i="35"/>
  <c r="E31" i="35"/>
  <c r="F31" i="35" s="1"/>
  <c r="G31" i="35" s="1"/>
  <c r="H31" i="35" s="1"/>
  <c r="I31" i="35" s="1"/>
  <c r="J31" i="35" s="1"/>
  <c r="K31" i="35" s="1"/>
  <c r="L31" i="35" s="1"/>
  <c r="M31" i="35" s="1"/>
  <c r="B31" i="35"/>
  <c r="B32" i="35" s="1"/>
  <c r="B30" i="35" s="1"/>
  <c r="N23" i="71"/>
  <c r="E23" i="71"/>
  <c r="F23" i="71" s="1"/>
  <c r="G23" i="71" s="1"/>
  <c r="H23" i="71" s="1"/>
  <c r="I23" i="71" s="1"/>
  <c r="J23" i="71" s="1"/>
  <c r="K23" i="71" s="1"/>
  <c r="L23" i="71" s="1"/>
  <c r="M23" i="71" s="1"/>
  <c r="B23" i="71"/>
  <c r="C23" i="71" s="1"/>
  <c r="D23" i="71" s="1"/>
  <c r="N23" i="33"/>
  <c r="E23" i="33"/>
  <c r="F23" i="33" s="1"/>
  <c r="G23" i="33" s="1"/>
  <c r="H23" i="33" s="1"/>
  <c r="I23" i="33" s="1"/>
  <c r="J23" i="33" s="1"/>
  <c r="K23" i="33" s="1"/>
  <c r="L23" i="33" s="1"/>
  <c r="M23" i="33" s="1"/>
  <c r="B23" i="33"/>
  <c r="C23" i="33" s="1"/>
  <c r="D23" i="33" s="1"/>
  <c r="N23" i="32"/>
  <c r="F23" i="32"/>
  <c r="G23" i="32" s="1"/>
  <c r="H23" i="32" s="1"/>
  <c r="I23" i="32" s="1"/>
  <c r="J23" i="32" s="1"/>
  <c r="K23" i="32" s="1"/>
  <c r="L23" i="32" s="1"/>
  <c r="M23" i="32" s="1"/>
  <c r="E23" i="32"/>
  <c r="B23" i="32"/>
  <c r="C23" i="32" s="1"/>
  <c r="D23" i="32" s="1"/>
  <c r="N31" i="31"/>
  <c r="E31" i="31"/>
  <c r="F31" i="31" s="1"/>
  <c r="G31" i="31" s="1"/>
  <c r="H31" i="31" s="1"/>
  <c r="I31" i="31" s="1"/>
  <c r="J31" i="31" s="1"/>
  <c r="K31" i="31" s="1"/>
  <c r="L31" i="31" s="1"/>
  <c r="M31" i="31" s="1"/>
  <c r="B31" i="31"/>
  <c r="C31" i="31" s="1"/>
  <c r="D31" i="31" s="1"/>
  <c r="N31" i="29"/>
  <c r="E31" i="29"/>
  <c r="F31" i="29" s="1"/>
  <c r="G31" i="29" s="1"/>
  <c r="H31" i="29" s="1"/>
  <c r="I31" i="29" s="1"/>
  <c r="J31" i="29" s="1"/>
  <c r="K31" i="29" s="1"/>
  <c r="L31" i="29" s="1"/>
  <c r="M31" i="29" s="1"/>
  <c r="B31" i="29"/>
  <c r="C31" i="29" s="1"/>
  <c r="D31" i="29" s="1"/>
  <c r="N26" i="29"/>
  <c r="E26" i="29"/>
  <c r="F26" i="29" s="1"/>
  <c r="G26" i="29" s="1"/>
  <c r="H26" i="29" s="1"/>
  <c r="I26" i="29" s="1"/>
  <c r="J26" i="29" s="1"/>
  <c r="K26" i="29" s="1"/>
  <c r="L26" i="29" s="1"/>
  <c r="M26" i="29" s="1"/>
  <c r="B26" i="29"/>
  <c r="C26" i="29" s="1"/>
  <c r="D26" i="29" s="1"/>
  <c r="N110" i="27"/>
  <c r="N107" i="27"/>
  <c r="N104" i="27"/>
  <c r="N101" i="27"/>
  <c r="N98" i="27"/>
  <c r="N95" i="27"/>
  <c r="N89" i="27"/>
  <c r="N86" i="27"/>
  <c r="N83" i="27"/>
  <c r="N80" i="27"/>
  <c r="N77" i="27"/>
  <c r="N74" i="27"/>
  <c r="N68" i="27"/>
  <c r="N65" i="27"/>
  <c r="N62" i="27"/>
  <c r="N59" i="27"/>
  <c r="N56" i="27"/>
  <c r="N53" i="27"/>
  <c r="B110" i="27"/>
  <c r="B107" i="27"/>
  <c r="B104" i="27"/>
  <c r="B101" i="27"/>
  <c r="B98" i="27"/>
  <c r="B95" i="27"/>
  <c r="B89" i="27"/>
  <c r="B86" i="27"/>
  <c r="B83" i="27"/>
  <c r="B80" i="27"/>
  <c r="B77" i="27"/>
  <c r="B74" i="27"/>
  <c r="B68" i="27"/>
  <c r="B65" i="27"/>
  <c r="B62" i="27"/>
  <c r="B59" i="27"/>
  <c r="B56" i="27"/>
  <c r="B53" i="27"/>
  <c r="B26" i="27"/>
  <c r="B23" i="27"/>
  <c r="N35" i="38"/>
  <c r="E35" i="38"/>
  <c r="F35" i="38" s="1"/>
  <c r="G35" i="38" s="1"/>
  <c r="H35" i="38" s="1"/>
  <c r="I35" i="38" s="1"/>
  <c r="J35" i="38" s="1"/>
  <c r="K35" i="38" s="1"/>
  <c r="L35" i="38" s="1"/>
  <c r="M35" i="38" s="1"/>
  <c r="B35" i="38"/>
  <c r="C35" i="38" s="1"/>
  <c r="D35" i="38" s="1"/>
  <c r="N20" i="36"/>
  <c r="E20" i="36"/>
  <c r="F20" i="36" s="1"/>
  <c r="G20" i="36" s="1"/>
  <c r="H20" i="36" s="1"/>
  <c r="I20" i="36" s="1"/>
  <c r="J20" i="36" s="1"/>
  <c r="K20" i="36" s="1"/>
  <c r="L20" i="36" s="1"/>
  <c r="M20" i="36" s="1"/>
  <c r="B20" i="36"/>
  <c r="C20" i="36" s="1"/>
  <c r="D20" i="36" s="1"/>
  <c r="N35" i="41"/>
  <c r="E35" i="41"/>
  <c r="F35" i="41" s="1"/>
  <c r="G35" i="41" s="1"/>
  <c r="H35" i="41" s="1"/>
  <c r="I35" i="41" s="1"/>
  <c r="J35" i="41" s="1"/>
  <c r="K35" i="41" s="1"/>
  <c r="L35" i="41" s="1"/>
  <c r="M35" i="41" s="1"/>
  <c r="B35" i="41"/>
  <c r="C35" i="41" s="1"/>
  <c r="D35" i="41" s="1"/>
  <c r="N32" i="37"/>
  <c r="G32" i="37"/>
  <c r="H32" i="37" s="1"/>
  <c r="I32" i="37" s="1"/>
  <c r="J32" i="37" s="1"/>
  <c r="K32" i="37" s="1"/>
  <c r="L32" i="37" s="1"/>
  <c r="M32" i="37" s="1"/>
  <c r="F32" i="37"/>
  <c r="E32" i="37"/>
  <c r="B32" i="37"/>
  <c r="C32" i="37" s="1"/>
  <c r="D32" i="37" s="1"/>
  <c r="N32" i="42"/>
  <c r="E32" i="42"/>
  <c r="F32" i="42" s="1"/>
  <c r="G32" i="42" s="1"/>
  <c r="H32" i="42" s="1"/>
  <c r="I32" i="42" s="1"/>
  <c r="J32" i="42" s="1"/>
  <c r="K32" i="42" s="1"/>
  <c r="L32" i="42" s="1"/>
  <c r="M32" i="42" s="1"/>
  <c r="B32" i="42"/>
  <c r="C32" i="42" s="1"/>
  <c r="D32" i="42" s="1"/>
  <c r="N26" i="35"/>
  <c r="E26" i="35"/>
  <c r="F26" i="35" s="1"/>
  <c r="G26" i="35" s="1"/>
  <c r="H26" i="35" s="1"/>
  <c r="I26" i="35" s="1"/>
  <c r="J26" i="35" s="1"/>
  <c r="K26" i="35" s="1"/>
  <c r="L26" i="35" s="1"/>
  <c r="M26" i="35" s="1"/>
  <c r="B26" i="35"/>
  <c r="C26" i="35" s="1"/>
  <c r="D26" i="35" s="1"/>
  <c r="N20" i="71"/>
  <c r="E20" i="71"/>
  <c r="F20" i="71" s="1"/>
  <c r="G20" i="71" s="1"/>
  <c r="H20" i="71" s="1"/>
  <c r="I20" i="71" s="1"/>
  <c r="J20" i="71" s="1"/>
  <c r="K20" i="71" s="1"/>
  <c r="L20" i="71" s="1"/>
  <c r="M20" i="71" s="1"/>
  <c r="B20" i="71"/>
  <c r="C20" i="71" s="1"/>
  <c r="D20" i="71" s="1"/>
  <c r="N20" i="33"/>
  <c r="E20" i="33"/>
  <c r="F20" i="33" s="1"/>
  <c r="G20" i="33" s="1"/>
  <c r="H20" i="33" s="1"/>
  <c r="I20" i="33" s="1"/>
  <c r="J20" i="33" s="1"/>
  <c r="K20" i="33" s="1"/>
  <c r="L20" i="33" s="1"/>
  <c r="M20" i="33" s="1"/>
  <c r="B20" i="33"/>
  <c r="C20" i="33" s="1"/>
  <c r="D20" i="33" s="1"/>
  <c r="N20" i="32"/>
  <c r="E20" i="32"/>
  <c r="F20" i="32" s="1"/>
  <c r="G20" i="32" s="1"/>
  <c r="H20" i="32" s="1"/>
  <c r="I20" i="32" s="1"/>
  <c r="J20" i="32" s="1"/>
  <c r="K20" i="32" s="1"/>
  <c r="L20" i="32" s="1"/>
  <c r="M20" i="32" s="1"/>
  <c r="B20" i="32"/>
  <c r="C20" i="32" s="1"/>
  <c r="D20" i="32" s="1"/>
  <c r="N26" i="31"/>
  <c r="E26" i="31"/>
  <c r="F26" i="31" s="1"/>
  <c r="G26" i="31" s="1"/>
  <c r="H26" i="31" s="1"/>
  <c r="I26" i="31" s="1"/>
  <c r="J26" i="31" s="1"/>
  <c r="K26" i="31" s="1"/>
  <c r="L26" i="31" s="1"/>
  <c r="M26" i="31" s="1"/>
  <c r="B26" i="31"/>
  <c r="C26" i="31" s="1"/>
  <c r="D26" i="31" s="1"/>
  <c r="B20" i="27"/>
  <c r="N27" i="38"/>
  <c r="E27" i="38"/>
  <c r="F27" i="38" s="1"/>
  <c r="G27" i="38" s="1"/>
  <c r="H27" i="38" s="1"/>
  <c r="I27" i="38" s="1"/>
  <c r="J27" i="38" s="1"/>
  <c r="K27" i="38" s="1"/>
  <c r="L27" i="38" s="1"/>
  <c r="M27" i="38" s="1"/>
  <c r="B27" i="38"/>
  <c r="C27" i="38" s="1"/>
  <c r="D27" i="38" s="1"/>
  <c r="N17" i="36"/>
  <c r="E17" i="36"/>
  <c r="F17" i="36" s="1"/>
  <c r="G17" i="36" s="1"/>
  <c r="H17" i="36" s="1"/>
  <c r="I17" i="36" s="1"/>
  <c r="J17" i="36" s="1"/>
  <c r="K17" i="36" s="1"/>
  <c r="L17" i="36" s="1"/>
  <c r="M17" i="36" s="1"/>
  <c r="B17" i="36"/>
  <c r="C17" i="36" s="1"/>
  <c r="D17" i="36" s="1"/>
  <c r="N27" i="41"/>
  <c r="E27" i="41"/>
  <c r="F27" i="41" s="1"/>
  <c r="G27" i="41" s="1"/>
  <c r="H27" i="41" s="1"/>
  <c r="I27" i="41" s="1"/>
  <c r="J27" i="41" s="1"/>
  <c r="K27" i="41" s="1"/>
  <c r="L27" i="41" s="1"/>
  <c r="M27" i="41" s="1"/>
  <c r="B27" i="41"/>
  <c r="C27" i="41" s="1"/>
  <c r="D27" i="41" s="1"/>
  <c r="N25" i="37"/>
  <c r="E25" i="37"/>
  <c r="F25" i="37" s="1"/>
  <c r="G25" i="37" s="1"/>
  <c r="H25" i="37" s="1"/>
  <c r="I25" i="37" s="1"/>
  <c r="J25" i="37" s="1"/>
  <c r="K25" i="37" s="1"/>
  <c r="L25" i="37" s="1"/>
  <c r="M25" i="37" s="1"/>
  <c r="B25" i="37"/>
  <c r="C25" i="37" s="1"/>
  <c r="D25" i="37" s="1"/>
  <c r="N25" i="42"/>
  <c r="E25" i="42"/>
  <c r="F25" i="42" s="1"/>
  <c r="G25" i="42" s="1"/>
  <c r="H25" i="42" s="1"/>
  <c r="I25" i="42" s="1"/>
  <c r="J25" i="42" s="1"/>
  <c r="K25" i="42" s="1"/>
  <c r="L25" i="42" s="1"/>
  <c r="M25" i="42" s="1"/>
  <c r="B25" i="42"/>
  <c r="C25" i="42" s="1"/>
  <c r="D25" i="42" s="1"/>
  <c r="N21" i="35"/>
  <c r="G21" i="35"/>
  <c r="H21" i="35" s="1"/>
  <c r="I21" i="35" s="1"/>
  <c r="J21" i="35" s="1"/>
  <c r="K21" i="35" s="1"/>
  <c r="L21" i="35" s="1"/>
  <c r="M21" i="35" s="1"/>
  <c r="F21" i="35"/>
  <c r="E21" i="35"/>
  <c r="B21" i="35"/>
  <c r="C21" i="35" s="1"/>
  <c r="D21" i="35" s="1"/>
  <c r="N17" i="71"/>
  <c r="E17" i="71"/>
  <c r="F17" i="71" s="1"/>
  <c r="G17" i="71" s="1"/>
  <c r="H17" i="71" s="1"/>
  <c r="I17" i="71" s="1"/>
  <c r="J17" i="71" s="1"/>
  <c r="K17" i="71" s="1"/>
  <c r="L17" i="71" s="1"/>
  <c r="M17" i="71" s="1"/>
  <c r="B17" i="71"/>
  <c r="C17" i="71" s="1"/>
  <c r="D17" i="71" s="1"/>
  <c r="N17" i="33"/>
  <c r="E17" i="33"/>
  <c r="F17" i="33" s="1"/>
  <c r="G17" i="33" s="1"/>
  <c r="H17" i="33" s="1"/>
  <c r="I17" i="33" s="1"/>
  <c r="J17" i="33" s="1"/>
  <c r="K17" i="33" s="1"/>
  <c r="L17" i="33" s="1"/>
  <c r="M17" i="33" s="1"/>
  <c r="B17" i="33"/>
  <c r="C17" i="33" s="1"/>
  <c r="D17" i="33" s="1"/>
  <c r="N17" i="32"/>
  <c r="E17" i="32"/>
  <c r="F17" i="32" s="1"/>
  <c r="G17" i="32" s="1"/>
  <c r="H17" i="32" s="1"/>
  <c r="I17" i="32" s="1"/>
  <c r="J17" i="32" s="1"/>
  <c r="K17" i="32" s="1"/>
  <c r="L17" i="32" s="1"/>
  <c r="M17" i="32" s="1"/>
  <c r="B17" i="32"/>
  <c r="C17" i="32" s="1"/>
  <c r="D17" i="32" s="1"/>
  <c r="N21" i="31"/>
  <c r="E21" i="31"/>
  <c r="F21" i="31" s="1"/>
  <c r="G21" i="31" s="1"/>
  <c r="H21" i="31" s="1"/>
  <c r="I21" i="31" s="1"/>
  <c r="J21" i="31" s="1"/>
  <c r="K21" i="31" s="1"/>
  <c r="L21" i="31" s="1"/>
  <c r="M21" i="31" s="1"/>
  <c r="B21" i="31"/>
  <c r="C21" i="31" s="1"/>
  <c r="D21" i="31" s="1"/>
  <c r="N21" i="29"/>
  <c r="E21" i="29"/>
  <c r="F21" i="29" s="1"/>
  <c r="G21" i="29" s="1"/>
  <c r="H21" i="29" s="1"/>
  <c r="I21" i="29" s="1"/>
  <c r="J21" i="29" s="1"/>
  <c r="K21" i="29" s="1"/>
  <c r="L21" i="29" s="1"/>
  <c r="M21" i="29" s="1"/>
  <c r="B21" i="29"/>
  <c r="C21" i="29" s="1"/>
  <c r="D21" i="29" s="1"/>
  <c r="B17" i="27"/>
  <c r="N19" i="38"/>
  <c r="C19" i="38"/>
  <c r="D19" i="38" s="1"/>
  <c r="E19" i="38" s="1"/>
  <c r="F19" i="38" s="1"/>
  <c r="G19" i="38" s="1"/>
  <c r="H19" i="38" s="1"/>
  <c r="I19" i="38" s="1"/>
  <c r="J19" i="38" s="1"/>
  <c r="K19" i="38" s="1"/>
  <c r="L19" i="38" s="1"/>
  <c r="M19" i="38" s="1"/>
  <c r="B19" i="38"/>
  <c r="N14" i="36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M14" i="36" s="1"/>
  <c r="N19" i="41"/>
  <c r="B19" i="41"/>
  <c r="C19" i="41" s="1"/>
  <c r="D19" i="41" s="1"/>
  <c r="E19" i="41" s="1"/>
  <c r="F19" i="41" s="1"/>
  <c r="G19" i="41" s="1"/>
  <c r="H19" i="41" s="1"/>
  <c r="I19" i="41" s="1"/>
  <c r="J19" i="41" s="1"/>
  <c r="K19" i="41" s="1"/>
  <c r="L19" i="41" s="1"/>
  <c r="M19" i="41" s="1"/>
  <c r="N18" i="37"/>
  <c r="B18" i="37"/>
  <c r="C18" i="37" s="1"/>
  <c r="D18" i="37" s="1"/>
  <c r="E18" i="37" s="1"/>
  <c r="F18" i="37" s="1"/>
  <c r="G18" i="37" s="1"/>
  <c r="H18" i="37" s="1"/>
  <c r="I18" i="37" s="1"/>
  <c r="J18" i="37" s="1"/>
  <c r="K18" i="37" s="1"/>
  <c r="L18" i="37" s="1"/>
  <c r="M18" i="37" s="1"/>
  <c r="N18" i="42"/>
  <c r="B18" i="42"/>
  <c r="C18" i="42" s="1"/>
  <c r="D18" i="42" s="1"/>
  <c r="E18" i="42" s="1"/>
  <c r="F18" i="42" s="1"/>
  <c r="G18" i="42" s="1"/>
  <c r="H18" i="42" s="1"/>
  <c r="I18" i="42" s="1"/>
  <c r="J18" i="42" s="1"/>
  <c r="K18" i="42" s="1"/>
  <c r="L18" i="42" s="1"/>
  <c r="M18" i="42" s="1"/>
  <c r="N16" i="35"/>
  <c r="B16" i="35"/>
  <c r="C16" i="35" s="1"/>
  <c r="D16" i="35" s="1"/>
  <c r="E16" i="35" s="1"/>
  <c r="F16" i="35" s="1"/>
  <c r="G16" i="35" s="1"/>
  <c r="H16" i="35" s="1"/>
  <c r="I16" i="35" s="1"/>
  <c r="J16" i="35" s="1"/>
  <c r="K16" i="35" s="1"/>
  <c r="L16" i="35" s="1"/>
  <c r="M16" i="35" s="1"/>
  <c r="N14" i="71"/>
  <c r="B14" i="71"/>
  <c r="C14" i="71" s="1"/>
  <c r="D14" i="71" s="1"/>
  <c r="E14" i="71" s="1"/>
  <c r="F14" i="71" s="1"/>
  <c r="G14" i="71" s="1"/>
  <c r="H14" i="71" s="1"/>
  <c r="I14" i="71" s="1"/>
  <c r="J14" i="71" s="1"/>
  <c r="K14" i="71" s="1"/>
  <c r="L14" i="71" s="1"/>
  <c r="M14" i="71" s="1"/>
  <c r="N14" i="33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2"/>
  <c r="B14" i="32"/>
  <c r="C14" i="32" s="1"/>
  <c r="D14" i="32" s="1"/>
  <c r="E14" i="32" s="1"/>
  <c r="F14" i="32" s="1"/>
  <c r="G14" i="32" s="1"/>
  <c r="H14" i="32" s="1"/>
  <c r="I14" i="32" s="1"/>
  <c r="J14" i="32" s="1"/>
  <c r="K14" i="32" s="1"/>
  <c r="L14" i="32" s="1"/>
  <c r="M14" i="32" s="1"/>
  <c r="N16" i="31"/>
  <c r="B16" i="31"/>
  <c r="C16" i="31" s="1"/>
  <c r="D16" i="31" s="1"/>
  <c r="E16" i="31" s="1"/>
  <c r="F16" i="31" s="1"/>
  <c r="G16" i="31" s="1"/>
  <c r="H16" i="31" s="1"/>
  <c r="I16" i="31" s="1"/>
  <c r="J16" i="31" s="1"/>
  <c r="K16" i="31" s="1"/>
  <c r="L16" i="31" s="1"/>
  <c r="M16" i="31" s="1"/>
  <c r="N16" i="29"/>
  <c r="B16" i="29"/>
  <c r="C16" i="29" s="1"/>
  <c r="D16" i="29" s="1"/>
  <c r="E16" i="29" s="1"/>
  <c r="F16" i="29" s="1"/>
  <c r="G16" i="29" s="1"/>
  <c r="H16" i="29" s="1"/>
  <c r="I16" i="29" s="1"/>
  <c r="J16" i="29" s="1"/>
  <c r="K16" i="29" s="1"/>
  <c r="L16" i="29" s="1"/>
  <c r="M16" i="29" s="1"/>
  <c r="N14" i="28"/>
  <c r="B14" i="27"/>
  <c r="B11" i="27"/>
  <c r="N11" i="38"/>
  <c r="B11" i="38"/>
  <c r="C11" i="38" s="1"/>
  <c r="D11" i="38" s="1"/>
  <c r="E11" i="38" s="1"/>
  <c r="F11" i="38" s="1"/>
  <c r="G11" i="38" s="1"/>
  <c r="H11" i="38" s="1"/>
  <c r="I11" i="38" s="1"/>
  <c r="J11" i="38" s="1"/>
  <c r="K11" i="38" s="1"/>
  <c r="L11" i="38" s="1"/>
  <c r="M11" i="38" s="1"/>
  <c r="N11" i="36"/>
  <c r="B11" i="36"/>
  <c r="C11" i="36" s="1"/>
  <c r="D11" i="36" s="1"/>
  <c r="E11" i="36" s="1"/>
  <c r="F11" i="36" s="1"/>
  <c r="G11" i="36" s="1"/>
  <c r="H11" i="36" s="1"/>
  <c r="I11" i="36" s="1"/>
  <c r="J11" i="36" s="1"/>
  <c r="K11" i="36" s="1"/>
  <c r="L11" i="36" s="1"/>
  <c r="M11" i="36" s="1"/>
  <c r="N11" i="41"/>
  <c r="B11" i="41"/>
  <c r="C11" i="41" s="1"/>
  <c r="D11" i="41" s="1"/>
  <c r="E11" i="41" s="1"/>
  <c r="F11" i="41" s="1"/>
  <c r="G11" i="41" s="1"/>
  <c r="H11" i="41" s="1"/>
  <c r="I11" i="41" s="1"/>
  <c r="J11" i="41" s="1"/>
  <c r="K11" i="41" s="1"/>
  <c r="L11" i="41" s="1"/>
  <c r="M11" i="41" s="1"/>
  <c r="N11" i="37"/>
  <c r="B11" i="37"/>
  <c r="C11" i="37" s="1"/>
  <c r="D11" i="37" s="1"/>
  <c r="E11" i="37" s="1"/>
  <c r="F11" i="37" s="1"/>
  <c r="G11" i="37" s="1"/>
  <c r="H11" i="37" s="1"/>
  <c r="I11" i="37" s="1"/>
  <c r="J11" i="37" s="1"/>
  <c r="K11" i="37" s="1"/>
  <c r="L11" i="37" s="1"/>
  <c r="M11" i="37" s="1"/>
  <c r="N11" i="42"/>
  <c r="B11" i="42"/>
  <c r="C11" i="42" s="1"/>
  <c r="D11" i="42" s="1"/>
  <c r="E11" i="42" s="1"/>
  <c r="F11" i="42" s="1"/>
  <c r="G11" i="42" s="1"/>
  <c r="H11" i="42" s="1"/>
  <c r="I11" i="42" s="1"/>
  <c r="J11" i="42" s="1"/>
  <c r="K11" i="42" s="1"/>
  <c r="L11" i="42" s="1"/>
  <c r="M11" i="42" s="1"/>
  <c r="N11" i="35"/>
  <c r="B11" i="35"/>
  <c r="C11" i="35" s="1"/>
  <c r="D11" i="35" s="1"/>
  <c r="E11" i="35" s="1"/>
  <c r="F11" i="35" s="1"/>
  <c r="G11" i="35" s="1"/>
  <c r="H11" i="35" s="1"/>
  <c r="I11" i="35" s="1"/>
  <c r="J11" i="35" s="1"/>
  <c r="K11" i="35" s="1"/>
  <c r="L11" i="35" s="1"/>
  <c r="M11" i="35" s="1"/>
  <c r="N11" i="71"/>
  <c r="B11" i="71"/>
  <c r="C11" i="71" s="1"/>
  <c r="D11" i="71" s="1"/>
  <c r="E11" i="71" s="1"/>
  <c r="F11" i="71" s="1"/>
  <c r="G11" i="71" s="1"/>
  <c r="H11" i="71" s="1"/>
  <c r="I11" i="71" s="1"/>
  <c r="J11" i="71" s="1"/>
  <c r="K11" i="71" s="1"/>
  <c r="L11" i="71" s="1"/>
  <c r="M11" i="71" s="1"/>
  <c r="N11" i="33"/>
  <c r="B11" i="33"/>
  <c r="C11" i="33" s="1"/>
  <c r="D11" i="33" s="1"/>
  <c r="E11" i="33" s="1"/>
  <c r="F11" i="33" s="1"/>
  <c r="G11" i="33" s="1"/>
  <c r="H11" i="33" s="1"/>
  <c r="I11" i="33" s="1"/>
  <c r="J11" i="33" s="1"/>
  <c r="K11" i="33" s="1"/>
  <c r="L11" i="33" s="1"/>
  <c r="M11" i="33" s="1"/>
  <c r="N11" i="32"/>
  <c r="B11" i="32"/>
  <c r="C11" i="32" s="1"/>
  <c r="D11" i="32" s="1"/>
  <c r="E11" i="32" s="1"/>
  <c r="F11" i="32" s="1"/>
  <c r="G11" i="32" s="1"/>
  <c r="H11" i="32" s="1"/>
  <c r="I11" i="32" s="1"/>
  <c r="J11" i="32" s="1"/>
  <c r="K11" i="32" s="1"/>
  <c r="L11" i="32" s="1"/>
  <c r="M11" i="32" s="1"/>
  <c r="N11" i="31"/>
  <c r="B11" i="31"/>
  <c r="C11" i="31" s="1"/>
  <c r="D11" i="31" s="1"/>
  <c r="E11" i="31" s="1"/>
  <c r="F11" i="31" s="1"/>
  <c r="G11" i="31" s="1"/>
  <c r="H11" i="31" s="1"/>
  <c r="I11" i="31" s="1"/>
  <c r="J11" i="31" s="1"/>
  <c r="K11" i="31" s="1"/>
  <c r="L11" i="31" s="1"/>
  <c r="M11" i="31" s="1"/>
  <c r="N11" i="29"/>
  <c r="B11" i="29"/>
  <c r="C11" i="29" s="1"/>
  <c r="D11" i="29" s="1"/>
  <c r="E11" i="29" s="1"/>
  <c r="F11" i="29" s="1"/>
  <c r="G11" i="29" s="1"/>
  <c r="H11" i="29" s="1"/>
  <c r="I11" i="29" s="1"/>
  <c r="J11" i="29" s="1"/>
  <c r="K11" i="29" s="1"/>
  <c r="L11" i="29" s="1"/>
  <c r="M11" i="29" s="1"/>
  <c r="AE13" i="65"/>
  <c r="AE37" i="65"/>
  <c r="AE31" i="65"/>
  <c r="AE25" i="65"/>
  <c r="AE19" i="65"/>
  <c r="Z41" i="65"/>
  <c r="AA41" i="65"/>
  <c r="AB41" i="65"/>
  <c r="AC41" i="65"/>
  <c r="AD41" i="65"/>
  <c r="Z35" i="65"/>
  <c r="AA35" i="65"/>
  <c r="AB35" i="65"/>
  <c r="AC35" i="65"/>
  <c r="AD35" i="65"/>
  <c r="Z29" i="65"/>
  <c r="AA29" i="65"/>
  <c r="AB29" i="65"/>
  <c r="AC29" i="65"/>
  <c r="AD29" i="65"/>
  <c r="Z23" i="65"/>
  <c r="AA23" i="65"/>
  <c r="AB23" i="65"/>
  <c r="AC23" i="65"/>
  <c r="AD23" i="65"/>
  <c r="Z11" i="65"/>
  <c r="AA11" i="65"/>
  <c r="AB11" i="65"/>
  <c r="AC11" i="65"/>
  <c r="AD11" i="65"/>
  <c r="Z17" i="65"/>
  <c r="AA17" i="65"/>
  <c r="AB17" i="65"/>
  <c r="AC17" i="65"/>
  <c r="AD17" i="65"/>
  <c r="AE4" i="65"/>
  <c r="N257" i="38"/>
  <c r="M257" i="38"/>
  <c r="J257" i="38"/>
  <c r="G257" i="38"/>
  <c r="D257" i="38"/>
  <c r="B256" i="38"/>
  <c r="H250" i="38"/>
  <c r="M249" i="38"/>
  <c r="J249" i="38"/>
  <c r="G249" i="38"/>
  <c r="D249" i="38"/>
  <c r="B248" i="38"/>
  <c r="H243" i="38"/>
  <c r="I242" i="38"/>
  <c r="I250" i="38" s="1"/>
  <c r="H242" i="38"/>
  <c r="E242" i="38"/>
  <c r="C242" i="38"/>
  <c r="C243" i="38" s="1"/>
  <c r="M241" i="38"/>
  <c r="J241" i="38"/>
  <c r="G241" i="38"/>
  <c r="D241" i="38"/>
  <c r="D240" i="38"/>
  <c r="B240" i="38"/>
  <c r="C240" i="38" s="1"/>
  <c r="I235" i="38"/>
  <c r="E235" i="38"/>
  <c r="I234" i="38"/>
  <c r="H234" i="38"/>
  <c r="H235" i="38" s="1"/>
  <c r="G234" i="38"/>
  <c r="F234" i="38"/>
  <c r="B234" i="38"/>
  <c r="M233" i="38"/>
  <c r="J233" i="38"/>
  <c r="G233" i="38"/>
  <c r="D233" i="38"/>
  <c r="B232" i="38"/>
  <c r="I227" i="38"/>
  <c r="H227" i="38"/>
  <c r="G227" i="38"/>
  <c r="F227" i="38"/>
  <c r="E227" i="38"/>
  <c r="D227" i="38"/>
  <c r="C227" i="38"/>
  <c r="J226" i="38"/>
  <c r="I226" i="38"/>
  <c r="H226" i="38"/>
  <c r="G226" i="38"/>
  <c r="F226" i="38"/>
  <c r="E226" i="38"/>
  <c r="E234" i="38" s="1"/>
  <c r="D226" i="38"/>
  <c r="D234" i="38" s="1"/>
  <c r="C226" i="38"/>
  <c r="C234" i="38" s="1"/>
  <c r="C235" i="38" s="1"/>
  <c r="B226" i="38"/>
  <c r="M225" i="38"/>
  <c r="J225" i="38"/>
  <c r="G225" i="38"/>
  <c r="D225" i="38"/>
  <c r="N225" i="38" s="1"/>
  <c r="B224" i="38"/>
  <c r="L220" i="38"/>
  <c r="K220" i="38"/>
  <c r="E220" i="38"/>
  <c r="C220" i="38"/>
  <c r="B220" i="38"/>
  <c r="M219" i="38"/>
  <c r="L219" i="38"/>
  <c r="K219" i="38"/>
  <c r="J219" i="38"/>
  <c r="I219" i="38"/>
  <c r="H219" i="38"/>
  <c r="G219" i="38"/>
  <c r="F219" i="38"/>
  <c r="E219" i="38"/>
  <c r="D219" i="38"/>
  <c r="C219" i="38"/>
  <c r="B219" i="38"/>
  <c r="N218" i="38"/>
  <c r="J217" i="38"/>
  <c r="G217" i="38"/>
  <c r="D217" i="38"/>
  <c r="L216" i="38"/>
  <c r="M216" i="38" s="1"/>
  <c r="M220" i="38" s="1"/>
  <c r="C216" i="38"/>
  <c r="D216" i="38" s="1"/>
  <c r="E216" i="38" s="1"/>
  <c r="F216" i="38" s="1"/>
  <c r="B216" i="38"/>
  <c r="M206" i="38"/>
  <c r="J206" i="38"/>
  <c r="G206" i="38"/>
  <c r="D206" i="38"/>
  <c r="B205" i="38"/>
  <c r="J199" i="38"/>
  <c r="J200" i="38" s="1"/>
  <c r="C199" i="38"/>
  <c r="M198" i="38"/>
  <c r="J198" i="38"/>
  <c r="G198" i="38"/>
  <c r="D198" i="38"/>
  <c r="N198" i="38" s="1"/>
  <c r="B197" i="38"/>
  <c r="C197" i="38" s="1"/>
  <c r="K192" i="38"/>
  <c r="J192" i="38"/>
  <c r="C192" i="38"/>
  <c r="C191" i="38"/>
  <c r="M190" i="38"/>
  <c r="J190" i="38"/>
  <c r="G190" i="38"/>
  <c r="D190" i="38"/>
  <c r="N190" i="38" s="1"/>
  <c r="B189" i="38"/>
  <c r="J184" i="38"/>
  <c r="I184" i="38"/>
  <c r="C184" i="38"/>
  <c r="L183" i="38"/>
  <c r="K183" i="38"/>
  <c r="K184" i="38" s="1"/>
  <c r="J183" i="38"/>
  <c r="J191" i="38" s="1"/>
  <c r="K191" i="38" s="1"/>
  <c r="L191" i="38" s="1"/>
  <c r="L192" i="38" s="1"/>
  <c r="I183" i="38"/>
  <c r="I191" i="38" s="1"/>
  <c r="C183" i="38"/>
  <c r="B183" i="38"/>
  <c r="M182" i="38"/>
  <c r="N182" i="38" s="1"/>
  <c r="J182" i="38"/>
  <c r="G182" i="38"/>
  <c r="D182" i="38"/>
  <c r="B181" i="38"/>
  <c r="B177" i="38"/>
  <c r="K176" i="38"/>
  <c r="J176" i="38"/>
  <c r="I176" i="38"/>
  <c r="C176" i="38"/>
  <c r="B176" i="38"/>
  <c r="L175" i="38"/>
  <c r="K175" i="38"/>
  <c r="J175" i="38"/>
  <c r="I175" i="38"/>
  <c r="H175" i="38"/>
  <c r="G175" i="38"/>
  <c r="F175" i="38"/>
  <c r="E175" i="38"/>
  <c r="D175" i="38"/>
  <c r="C175" i="38"/>
  <c r="B175" i="38"/>
  <c r="M174" i="38"/>
  <c r="J174" i="38"/>
  <c r="G174" i="38"/>
  <c r="D174" i="38"/>
  <c r="N174" i="38" s="1"/>
  <c r="C173" i="38"/>
  <c r="B173" i="38"/>
  <c r="L169" i="38"/>
  <c r="K169" i="38"/>
  <c r="M168" i="38"/>
  <c r="L168" i="38"/>
  <c r="K168" i="38"/>
  <c r="J168" i="38"/>
  <c r="I168" i="38"/>
  <c r="H168" i="38"/>
  <c r="G168" i="38"/>
  <c r="F168" i="38"/>
  <c r="E168" i="38"/>
  <c r="D168" i="38"/>
  <c r="C168" i="38"/>
  <c r="B168" i="38"/>
  <c r="N168" i="38" s="1"/>
  <c r="N167" i="38"/>
  <c r="N166" i="38"/>
  <c r="J166" i="38"/>
  <c r="G166" i="38"/>
  <c r="D166" i="38"/>
  <c r="M165" i="38"/>
  <c r="M169" i="38" s="1"/>
  <c r="L165" i="38"/>
  <c r="B165" i="38"/>
  <c r="M155" i="38"/>
  <c r="J155" i="38"/>
  <c r="G155" i="38"/>
  <c r="N155" i="38" s="1"/>
  <c r="D155" i="38"/>
  <c r="B154" i="38"/>
  <c r="J148" i="38"/>
  <c r="I148" i="38"/>
  <c r="M147" i="38"/>
  <c r="J147" i="38"/>
  <c r="G147" i="38"/>
  <c r="D147" i="38"/>
  <c r="N147" i="38" s="1"/>
  <c r="E146" i="38"/>
  <c r="F146" i="38" s="1"/>
  <c r="D146" i="38"/>
  <c r="C146" i="38"/>
  <c r="B146" i="38"/>
  <c r="J141" i="38"/>
  <c r="I141" i="38"/>
  <c r="L140" i="38"/>
  <c r="L141" i="38" s="1"/>
  <c r="K140" i="38"/>
  <c r="K141" i="38" s="1"/>
  <c r="J140" i="38"/>
  <c r="I140" i="38"/>
  <c r="M139" i="38"/>
  <c r="J139" i="38"/>
  <c r="N139" i="38" s="1"/>
  <c r="G139" i="38"/>
  <c r="D139" i="38"/>
  <c r="B138" i="38"/>
  <c r="J133" i="38"/>
  <c r="I133" i="38"/>
  <c r="L132" i="38"/>
  <c r="D132" i="38"/>
  <c r="C132" i="38"/>
  <c r="C133" i="38" s="1"/>
  <c r="B132" i="38"/>
  <c r="M131" i="38"/>
  <c r="J131" i="38"/>
  <c r="G131" i="38"/>
  <c r="D131" i="38"/>
  <c r="N131" i="38" s="1"/>
  <c r="B130" i="38"/>
  <c r="C130" i="38" s="1"/>
  <c r="M125" i="38"/>
  <c r="L125" i="38"/>
  <c r="K125" i="38"/>
  <c r="J125" i="38"/>
  <c r="I125" i="38"/>
  <c r="D125" i="38"/>
  <c r="C125" i="38"/>
  <c r="B125" i="38"/>
  <c r="M124" i="38"/>
  <c r="K124" i="38"/>
  <c r="L124" i="38" s="1"/>
  <c r="J124" i="38"/>
  <c r="J132" i="38" s="1"/>
  <c r="K132" i="38" s="1"/>
  <c r="K133" i="38" s="1"/>
  <c r="I124" i="38"/>
  <c r="I132" i="38" s="1"/>
  <c r="H124" i="38"/>
  <c r="G124" i="38"/>
  <c r="F124" i="38"/>
  <c r="N124" i="38" s="1"/>
  <c r="E124" i="38"/>
  <c r="D124" i="38"/>
  <c r="C124" i="38"/>
  <c r="B124" i="38"/>
  <c r="M123" i="38"/>
  <c r="J123" i="38"/>
  <c r="G123" i="38"/>
  <c r="D123" i="38"/>
  <c r="N123" i="38" s="1"/>
  <c r="E122" i="38"/>
  <c r="D122" i="38"/>
  <c r="C122" i="38"/>
  <c r="B122" i="38"/>
  <c r="M118" i="38"/>
  <c r="L118" i="38"/>
  <c r="K118" i="38"/>
  <c r="C118" i="38"/>
  <c r="B118" i="38"/>
  <c r="M117" i="38"/>
  <c r="L117" i="38"/>
  <c r="K117" i="38"/>
  <c r="J117" i="38"/>
  <c r="I117" i="38"/>
  <c r="H117" i="38"/>
  <c r="G117" i="38"/>
  <c r="F117" i="38"/>
  <c r="E117" i="38"/>
  <c r="D117" i="38"/>
  <c r="C117" i="38"/>
  <c r="B117" i="38"/>
  <c r="N116" i="38"/>
  <c r="N115" i="38"/>
  <c r="J115" i="38"/>
  <c r="G115" i="38"/>
  <c r="D115" i="38"/>
  <c r="L114" i="38"/>
  <c r="M114" i="38" s="1"/>
  <c r="F114" i="38"/>
  <c r="E114" i="38"/>
  <c r="D114" i="38"/>
  <c r="C114" i="38"/>
  <c r="B114" i="38"/>
  <c r="M104" i="38"/>
  <c r="J104" i="38"/>
  <c r="N104" i="38" s="1"/>
  <c r="G104" i="38"/>
  <c r="D104" i="38"/>
  <c r="B103" i="38"/>
  <c r="C103" i="38" s="1"/>
  <c r="J97" i="38"/>
  <c r="I97" i="38"/>
  <c r="M96" i="38"/>
  <c r="J96" i="38"/>
  <c r="G96" i="38"/>
  <c r="N96" i="38" s="1"/>
  <c r="D96" i="38"/>
  <c r="B95" i="38"/>
  <c r="J89" i="38"/>
  <c r="I89" i="38"/>
  <c r="I90" i="38" s="1"/>
  <c r="E89" i="38"/>
  <c r="M88" i="38"/>
  <c r="J88" i="38"/>
  <c r="G88" i="38"/>
  <c r="D88" i="38"/>
  <c r="E87" i="38"/>
  <c r="D87" i="38"/>
  <c r="C87" i="38"/>
  <c r="B87" i="38"/>
  <c r="K82" i="38"/>
  <c r="E82" i="38"/>
  <c r="K81" i="38"/>
  <c r="L81" i="38" s="1"/>
  <c r="L82" i="38" s="1"/>
  <c r="J81" i="38"/>
  <c r="J82" i="38" s="1"/>
  <c r="I81" i="38"/>
  <c r="I82" i="38" s="1"/>
  <c r="H81" i="38"/>
  <c r="E81" i="38"/>
  <c r="M80" i="38"/>
  <c r="J80" i="38"/>
  <c r="G80" i="38"/>
  <c r="D80" i="38"/>
  <c r="B79" i="38"/>
  <c r="C79" i="38" s="1"/>
  <c r="D79" i="38" s="1"/>
  <c r="E79" i="38" s="1"/>
  <c r="J74" i="38"/>
  <c r="I74" i="38"/>
  <c r="H74" i="38"/>
  <c r="E74" i="38"/>
  <c r="L73" i="38"/>
  <c r="K73" i="38"/>
  <c r="K74" i="38" s="1"/>
  <c r="J73" i="38"/>
  <c r="I73" i="38"/>
  <c r="H73" i="38"/>
  <c r="G73" i="38"/>
  <c r="F73" i="38"/>
  <c r="E73" i="38"/>
  <c r="D73" i="38"/>
  <c r="C73" i="38"/>
  <c r="B73" i="38"/>
  <c r="M72" i="38"/>
  <c r="J72" i="38"/>
  <c r="G72" i="38"/>
  <c r="D72" i="38"/>
  <c r="N72" i="38" s="1"/>
  <c r="B71" i="38"/>
  <c r="M67" i="38"/>
  <c r="L67" i="38"/>
  <c r="K67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N65" i="38"/>
  <c r="J64" i="38"/>
  <c r="G64" i="38"/>
  <c r="D64" i="38"/>
  <c r="L63" i="38"/>
  <c r="M63" i="38" s="1"/>
  <c r="B63" i="38"/>
  <c r="M53" i="38"/>
  <c r="N53" i="38" s="1"/>
  <c r="J53" i="38"/>
  <c r="G53" i="38"/>
  <c r="D53" i="38"/>
  <c r="B52" i="38"/>
  <c r="B46" i="38"/>
  <c r="M45" i="38"/>
  <c r="J45" i="38"/>
  <c r="G45" i="38"/>
  <c r="N45" i="38" s="1"/>
  <c r="D45" i="38"/>
  <c r="B44" i="38"/>
  <c r="B39" i="38"/>
  <c r="M37" i="38"/>
  <c r="J37" i="38"/>
  <c r="G37" i="38"/>
  <c r="D37" i="38"/>
  <c r="N37" i="38" s="1"/>
  <c r="B36" i="38"/>
  <c r="J30" i="38"/>
  <c r="I30" i="38"/>
  <c r="H30" i="38"/>
  <c r="G30" i="38"/>
  <c r="D30" i="38"/>
  <c r="C30" i="38"/>
  <c r="B30" i="38"/>
  <c r="B38" i="38" s="1"/>
  <c r="N29" i="38"/>
  <c r="M29" i="38"/>
  <c r="J29" i="38"/>
  <c r="G29" i="38"/>
  <c r="D29" i="38"/>
  <c r="B28" i="38"/>
  <c r="L23" i="38"/>
  <c r="K23" i="38"/>
  <c r="J23" i="38"/>
  <c r="I23" i="38"/>
  <c r="H23" i="38"/>
  <c r="D23" i="38"/>
  <c r="C23" i="38"/>
  <c r="B23" i="38"/>
  <c r="M22" i="38"/>
  <c r="M23" i="38" s="1"/>
  <c r="L22" i="38"/>
  <c r="J22" i="38"/>
  <c r="K22" i="38" s="1"/>
  <c r="I22" i="38"/>
  <c r="H22" i="38"/>
  <c r="G22" i="38"/>
  <c r="G23" i="38" s="1"/>
  <c r="F22" i="38"/>
  <c r="E22" i="38"/>
  <c r="D22" i="38"/>
  <c r="C22" i="38"/>
  <c r="B22" i="38"/>
  <c r="M21" i="38"/>
  <c r="J21" i="38"/>
  <c r="G21" i="38"/>
  <c r="D21" i="38"/>
  <c r="N21" i="38" s="1"/>
  <c r="B20" i="38"/>
  <c r="M16" i="38"/>
  <c r="L16" i="38"/>
  <c r="K16" i="38"/>
  <c r="M15" i="38"/>
  <c r="L15" i="38"/>
  <c r="K15" i="38"/>
  <c r="J15" i="38"/>
  <c r="I15" i="38"/>
  <c r="H15" i="38"/>
  <c r="G15" i="38"/>
  <c r="F15" i="38"/>
  <c r="E15" i="38"/>
  <c r="D15" i="38"/>
  <c r="C15" i="38"/>
  <c r="B15" i="38"/>
  <c r="N14" i="38"/>
  <c r="J13" i="38"/>
  <c r="G13" i="38"/>
  <c r="D13" i="38"/>
  <c r="M12" i="38"/>
  <c r="L12" i="38"/>
  <c r="B12" i="38"/>
  <c r="B3" i="38"/>
  <c r="C3" i="38" s="1"/>
  <c r="D3" i="38" s="1"/>
  <c r="E3" i="38" s="1"/>
  <c r="F3" i="38" s="1"/>
  <c r="G3" i="38" s="1"/>
  <c r="H3" i="38" s="1"/>
  <c r="I3" i="38" s="1"/>
  <c r="J3" i="38" s="1"/>
  <c r="K3" i="38" s="1"/>
  <c r="L3" i="38" s="1"/>
  <c r="M3" i="38" s="1"/>
  <c r="G17" i="24"/>
  <c r="G105" i="36"/>
  <c r="M102" i="36"/>
  <c r="L102" i="36"/>
  <c r="K102" i="36"/>
  <c r="J102" i="36"/>
  <c r="I102" i="36"/>
  <c r="I105" i="36" s="1"/>
  <c r="H102" i="36"/>
  <c r="H105" i="36" s="1"/>
  <c r="G102" i="36"/>
  <c r="M99" i="36"/>
  <c r="L99" i="36"/>
  <c r="K99" i="36"/>
  <c r="J99" i="36"/>
  <c r="I99" i="36"/>
  <c r="H99" i="36"/>
  <c r="G99" i="36"/>
  <c r="F99" i="36"/>
  <c r="F102" i="36" s="1"/>
  <c r="F105" i="36" s="1"/>
  <c r="E99" i="36"/>
  <c r="D99" i="36"/>
  <c r="C99" i="36"/>
  <c r="B99" i="36"/>
  <c r="M84" i="36"/>
  <c r="L84" i="36"/>
  <c r="M81" i="36"/>
  <c r="L81" i="36"/>
  <c r="M78" i="36"/>
  <c r="L78" i="36"/>
  <c r="K78" i="36"/>
  <c r="K81" i="36" s="1"/>
  <c r="K84" i="36" s="1"/>
  <c r="J78" i="36"/>
  <c r="I78" i="36"/>
  <c r="H78" i="36"/>
  <c r="G78" i="36"/>
  <c r="F78" i="36"/>
  <c r="F81" i="36" s="1"/>
  <c r="E78" i="36"/>
  <c r="E81" i="36" s="1"/>
  <c r="D78" i="36"/>
  <c r="C78" i="36"/>
  <c r="B78" i="36"/>
  <c r="D66" i="36"/>
  <c r="D69" i="36" s="1"/>
  <c r="J60" i="36"/>
  <c r="F60" i="36"/>
  <c r="E60" i="36"/>
  <c r="D60" i="36"/>
  <c r="D63" i="36" s="1"/>
  <c r="C60" i="36"/>
  <c r="C63" i="36" s="1"/>
  <c r="M57" i="36"/>
  <c r="L57" i="36"/>
  <c r="K57" i="36"/>
  <c r="J57" i="36"/>
  <c r="I57" i="36"/>
  <c r="I60" i="36" s="1"/>
  <c r="I63" i="36" s="1"/>
  <c r="I66" i="36" s="1"/>
  <c r="H57" i="36"/>
  <c r="H60" i="36" s="1"/>
  <c r="G57" i="36"/>
  <c r="G60" i="36" s="1"/>
  <c r="F57" i="36"/>
  <c r="E57" i="36"/>
  <c r="D57" i="36"/>
  <c r="C57" i="36"/>
  <c r="B57" i="36"/>
  <c r="B60" i="36" s="1"/>
  <c r="B63" i="36" s="1"/>
  <c r="B66" i="36" s="1"/>
  <c r="J39" i="36"/>
  <c r="I39" i="36"/>
  <c r="H39" i="36"/>
  <c r="H42" i="36" s="1"/>
  <c r="G39" i="36"/>
  <c r="E39" i="36"/>
  <c r="M36" i="36"/>
  <c r="M39" i="36" s="1"/>
  <c r="L36" i="36"/>
  <c r="L39" i="36" s="1"/>
  <c r="K36" i="36"/>
  <c r="K39" i="36" s="1"/>
  <c r="J36" i="36"/>
  <c r="I36" i="36"/>
  <c r="H36" i="36"/>
  <c r="G36" i="36"/>
  <c r="F36" i="36"/>
  <c r="E36" i="36"/>
  <c r="D36" i="36"/>
  <c r="C36" i="36"/>
  <c r="B36" i="36"/>
  <c r="L27" i="36"/>
  <c r="L24" i="36"/>
  <c r="B24" i="36"/>
  <c r="L21" i="36"/>
  <c r="I21" i="36"/>
  <c r="E21" i="36"/>
  <c r="B21" i="36"/>
  <c r="M18" i="36"/>
  <c r="M21" i="36" s="1"/>
  <c r="L18" i="36"/>
  <c r="K18" i="36"/>
  <c r="K21" i="36" s="1"/>
  <c r="I18" i="36"/>
  <c r="D18" i="36"/>
  <c r="B18" i="36"/>
  <c r="M15" i="36"/>
  <c r="L15" i="36"/>
  <c r="K15" i="36"/>
  <c r="J15" i="36"/>
  <c r="J18" i="36" s="1"/>
  <c r="J21" i="36" s="1"/>
  <c r="I15" i="36"/>
  <c r="H15" i="36"/>
  <c r="G15" i="36"/>
  <c r="F15" i="36"/>
  <c r="E15" i="36"/>
  <c r="E18" i="36" s="1"/>
  <c r="D15" i="36"/>
  <c r="C15" i="36"/>
  <c r="C18" i="36" s="1"/>
  <c r="C21" i="36" s="1"/>
  <c r="B15" i="36"/>
  <c r="B3" i="36"/>
  <c r="C3" i="36" s="1"/>
  <c r="D3" i="36" s="1"/>
  <c r="E3" i="36" s="1"/>
  <c r="F3" i="36" s="1"/>
  <c r="G3" i="36" s="1"/>
  <c r="H3" i="36" s="1"/>
  <c r="I3" i="36" s="1"/>
  <c r="J3" i="36" s="1"/>
  <c r="K3" i="36" s="1"/>
  <c r="L3" i="36" s="1"/>
  <c r="M3" i="36" s="1"/>
  <c r="M260" i="41"/>
  <c r="M254" i="41" s="1"/>
  <c r="N259" i="41"/>
  <c r="B256" i="41"/>
  <c r="M252" i="41"/>
  <c r="N251" i="41"/>
  <c r="M246" i="41"/>
  <c r="M244" i="41"/>
  <c r="N243" i="41"/>
  <c r="M238" i="41"/>
  <c r="M236" i="41"/>
  <c r="M230" i="41" s="1"/>
  <c r="N235" i="41"/>
  <c r="M228" i="41"/>
  <c r="N227" i="41"/>
  <c r="M222" i="41"/>
  <c r="M220" i="41"/>
  <c r="L220" i="41"/>
  <c r="K220" i="41"/>
  <c r="K214" i="41" s="1"/>
  <c r="D219" i="41"/>
  <c r="E219" i="41" s="1"/>
  <c r="F219" i="41" s="1"/>
  <c r="G219" i="41" s="1"/>
  <c r="H219" i="41" s="1"/>
  <c r="I219" i="41" s="1"/>
  <c r="J219" i="41" s="1"/>
  <c r="C219" i="41"/>
  <c r="M214" i="41"/>
  <c r="L214" i="41"/>
  <c r="M209" i="41"/>
  <c r="M203" i="41" s="1"/>
  <c r="N208" i="41"/>
  <c r="M201" i="41"/>
  <c r="N200" i="41"/>
  <c r="M195" i="41"/>
  <c r="M193" i="41"/>
  <c r="M187" i="41" s="1"/>
  <c r="N192" i="41"/>
  <c r="B189" i="41"/>
  <c r="B193" i="41" s="1"/>
  <c r="B187" i="41" s="1"/>
  <c r="M185" i="41"/>
  <c r="M179" i="41" s="1"/>
  <c r="N184" i="41"/>
  <c r="M177" i="41"/>
  <c r="N176" i="41"/>
  <c r="M171" i="41"/>
  <c r="M169" i="41"/>
  <c r="L169" i="41"/>
  <c r="L163" i="41" s="1"/>
  <c r="K169" i="41"/>
  <c r="K163" i="41" s="1"/>
  <c r="H168" i="41"/>
  <c r="C168" i="41"/>
  <c r="D168" i="41" s="1"/>
  <c r="E168" i="41" s="1"/>
  <c r="F168" i="41" s="1"/>
  <c r="G168" i="41" s="1"/>
  <c r="B165" i="41"/>
  <c r="C165" i="41" s="1"/>
  <c r="D165" i="41" s="1"/>
  <c r="E165" i="41" s="1"/>
  <c r="F165" i="41" s="1"/>
  <c r="M163" i="41"/>
  <c r="M160" i="41"/>
  <c r="M158" i="41"/>
  <c r="M152" i="41" s="1"/>
  <c r="N157" i="41"/>
  <c r="M150" i="41"/>
  <c r="N149" i="41"/>
  <c r="M144" i="41"/>
  <c r="M142" i="41"/>
  <c r="N141" i="41"/>
  <c r="M136" i="41"/>
  <c r="M134" i="41"/>
  <c r="N133" i="41"/>
  <c r="M128" i="41"/>
  <c r="M126" i="41"/>
  <c r="N125" i="41"/>
  <c r="M120" i="41"/>
  <c r="M118" i="41"/>
  <c r="M112" i="41" s="1"/>
  <c r="L118" i="41"/>
  <c r="K118" i="41"/>
  <c r="K112" i="41" s="1"/>
  <c r="H117" i="41"/>
  <c r="I117" i="41" s="1"/>
  <c r="J117" i="41" s="1"/>
  <c r="G117" i="41"/>
  <c r="N117" i="41" s="1"/>
  <c r="D117" i="41"/>
  <c r="E117" i="41" s="1"/>
  <c r="F117" i="41" s="1"/>
  <c r="C117" i="41"/>
  <c r="L112" i="41"/>
  <c r="M107" i="41"/>
  <c r="N106" i="41"/>
  <c r="M101" i="41"/>
  <c r="M99" i="41"/>
  <c r="N98" i="41"/>
  <c r="M93" i="41"/>
  <c r="M91" i="41"/>
  <c r="M85" i="41" s="1"/>
  <c r="N90" i="41"/>
  <c r="B87" i="41"/>
  <c r="M83" i="41"/>
  <c r="N82" i="41"/>
  <c r="M77" i="41"/>
  <c r="M75" i="41"/>
  <c r="N74" i="41"/>
  <c r="M69" i="41"/>
  <c r="M67" i="41"/>
  <c r="M61" i="41" s="1"/>
  <c r="L67" i="41"/>
  <c r="K67" i="41"/>
  <c r="C66" i="41"/>
  <c r="L61" i="41"/>
  <c r="K61" i="41"/>
  <c r="M56" i="41"/>
  <c r="N55" i="41"/>
  <c r="M50" i="41"/>
  <c r="M48" i="41"/>
  <c r="N47" i="41"/>
  <c r="M42" i="41"/>
  <c r="M40" i="41"/>
  <c r="M34" i="41" s="1"/>
  <c r="N39" i="41"/>
  <c r="M32" i="41"/>
  <c r="N31" i="41"/>
  <c r="M26" i="41"/>
  <c r="M24" i="41"/>
  <c r="M18" i="41" s="1"/>
  <c r="N23" i="41"/>
  <c r="M16" i="41"/>
  <c r="M10" i="41" s="1"/>
  <c r="L16" i="41"/>
  <c r="K16" i="41"/>
  <c r="F15" i="41"/>
  <c r="G15" i="41" s="1"/>
  <c r="H15" i="41" s="1"/>
  <c r="I15" i="41" s="1"/>
  <c r="J15" i="41" s="1"/>
  <c r="D15" i="41"/>
  <c r="E15" i="41" s="1"/>
  <c r="C15" i="41"/>
  <c r="L10" i="41"/>
  <c r="K10" i="41"/>
  <c r="B3" i="41"/>
  <c r="C3" i="41" s="1"/>
  <c r="D3" i="41" s="1"/>
  <c r="E3" i="41" s="1"/>
  <c r="F3" i="41" s="1"/>
  <c r="G3" i="41" s="1"/>
  <c r="H3" i="41" s="1"/>
  <c r="I3" i="41" s="1"/>
  <c r="J3" i="41" s="1"/>
  <c r="K3" i="41" s="1"/>
  <c r="L3" i="41" s="1"/>
  <c r="M3" i="41" s="1"/>
  <c r="C227" i="37"/>
  <c r="B230" i="37"/>
  <c r="C220" i="37"/>
  <c r="D220" i="37" s="1"/>
  <c r="D213" i="37"/>
  <c r="C213" i="37"/>
  <c r="D206" i="37"/>
  <c r="C206" i="37"/>
  <c r="G199" i="37"/>
  <c r="E199" i="37"/>
  <c r="F199" i="37" s="1"/>
  <c r="C199" i="37"/>
  <c r="D199" i="37" s="1"/>
  <c r="B202" i="37"/>
  <c r="E192" i="37"/>
  <c r="D192" i="37"/>
  <c r="C192" i="37"/>
  <c r="C182" i="37"/>
  <c r="D175" i="37"/>
  <c r="C175" i="37"/>
  <c r="C168" i="37"/>
  <c r="D168" i="37" s="1"/>
  <c r="C161" i="37"/>
  <c r="D161" i="37" s="1"/>
  <c r="C154" i="37"/>
  <c r="D147" i="37"/>
  <c r="E147" i="37" s="1"/>
  <c r="C147" i="37"/>
  <c r="F137" i="37"/>
  <c r="C137" i="37"/>
  <c r="D137" i="37" s="1"/>
  <c r="E137" i="37" s="1"/>
  <c r="C130" i="37"/>
  <c r="B133" i="37"/>
  <c r="D123" i="37"/>
  <c r="C123" i="37"/>
  <c r="I116" i="37"/>
  <c r="H116" i="37"/>
  <c r="G116" i="37"/>
  <c r="E116" i="37"/>
  <c r="F116" i="37" s="1"/>
  <c r="D116" i="37"/>
  <c r="C116" i="37"/>
  <c r="C109" i="37"/>
  <c r="D109" i="37" s="1"/>
  <c r="E109" i="37" s="1"/>
  <c r="F102" i="37"/>
  <c r="E102" i="37"/>
  <c r="C102" i="37"/>
  <c r="D102" i="37" s="1"/>
  <c r="C92" i="37"/>
  <c r="D92" i="37" s="1"/>
  <c r="C85" i="37"/>
  <c r="E78" i="37"/>
  <c r="D78" i="37"/>
  <c r="C78" i="37"/>
  <c r="C71" i="37"/>
  <c r="C64" i="37"/>
  <c r="C57" i="37"/>
  <c r="B60" i="37"/>
  <c r="C47" i="37"/>
  <c r="D40" i="37"/>
  <c r="C40" i="37"/>
  <c r="B41" i="37"/>
  <c r="D33" i="37"/>
  <c r="E33" i="37" s="1"/>
  <c r="C33" i="37"/>
  <c r="B36" i="37"/>
  <c r="C26" i="37"/>
  <c r="D26" i="37" s="1"/>
  <c r="C19" i="37"/>
  <c r="C12" i="37"/>
  <c r="B3" i="37"/>
  <c r="C3" i="37" s="1"/>
  <c r="D3" i="37" s="1"/>
  <c r="E3" i="37" s="1"/>
  <c r="F3" i="37" s="1"/>
  <c r="G3" i="37" s="1"/>
  <c r="H3" i="37" s="1"/>
  <c r="I3" i="37" s="1"/>
  <c r="J3" i="37" s="1"/>
  <c r="K3" i="37" s="1"/>
  <c r="L3" i="37" s="1"/>
  <c r="M3" i="37" s="1"/>
  <c r="B227" i="42"/>
  <c r="B215" i="42"/>
  <c r="C215" i="42" s="1"/>
  <c r="B213" i="42"/>
  <c r="B214" i="42"/>
  <c r="N214" i="42" s="1"/>
  <c r="B200" i="42"/>
  <c r="N200" i="42" s="1"/>
  <c r="B199" i="42"/>
  <c r="B182" i="42"/>
  <c r="N182" i="42" s="1"/>
  <c r="B184" i="42"/>
  <c r="C184" i="42" s="1"/>
  <c r="B169" i="42"/>
  <c r="N169" i="42" s="1"/>
  <c r="B168" i="42"/>
  <c r="N168" i="42" s="1"/>
  <c r="B162" i="42"/>
  <c r="N162" i="42" s="1"/>
  <c r="B161" i="42"/>
  <c r="B130" i="42"/>
  <c r="B132" i="42"/>
  <c r="C132" i="42" s="1"/>
  <c r="C133" i="42" s="1"/>
  <c r="C128" i="42" s="1"/>
  <c r="B123" i="42"/>
  <c r="N123" i="42" s="1"/>
  <c r="B86" i="42"/>
  <c r="N86" i="42" s="1"/>
  <c r="B85" i="42"/>
  <c r="B59" i="42"/>
  <c r="B47" i="42"/>
  <c r="N47" i="42" s="1"/>
  <c r="B34" i="42"/>
  <c r="N34" i="42" s="1"/>
  <c r="P13" i="42"/>
  <c r="P14" i="42" s="1"/>
  <c r="P16" i="42" s="1"/>
  <c r="B3" i="42"/>
  <c r="C3" i="42" s="1"/>
  <c r="D3" i="42" s="1"/>
  <c r="E3" i="42" s="1"/>
  <c r="F3" i="42" s="1"/>
  <c r="G3" i="42" s="1"/>
  <c r="H3" i="42" s="1"/>
  <c r="I3" i="42" s="1"/>
  <c r="J3" i="42" s="1"/>
  <c r="K3" i="42" s="1"/>
  <c r="L3" i="42" s="1"/>
  <c r="M3" i="42" s="1"/>
  <c r="B154" i="35"/>
  <c r="B152" i="35" s="1"/>
  <c r="B116" i="35"/>
  <c r="B114" i="35" s="1"/>
  <c r="B60" i="35"/>
  <c r="B58" i="35" s="1"/>
  <c r="B3" i="35"/>
  <c r="C3" i="35" s="1"/>
  <c r="D3" i="35" s="1"/>
  <c r="E3" i="35" s="1"/>
  <c r="F3" i="35" s="1"/>
  <c r="G3" i="35" s="1"/>
  <c r="H3" i="35" s="1"/>
  <c r="I3" i="35" s="1"/>
  <c r="J3" i="35" s="1"/>
  <c r="K3" i="35" s="1"/>
  <c r="L3" i="35" s="1"/>
  <c r="M3" i="35" s="1"/>
  <c r="B34" i="71"/>
  <c r="B3" i="71"/>
  <c r="C3" i="71" s="1"/>
  <c r="D3" i="71" s="1"/>
  <c r="E3" i="71" s="1"/>
  <c r="F3" i="71" s="1"/>
  <c r="G3" i="71" s="1"/>
  <c r="H3" i="71" s="1"/>
  <c r="I3" i="71" s="1"/>
  <c r="J3" i="71" s="1"/>
  <c r="K3" i="71" s="1"/>
  <c r="L3" i="71" s="1"/>
  <c r="M3" i="71" s="1"/>
  <c r="B55" i="33"/>
  <c r="B3" i="33"/>
  <c r="C3" i="33" s="1"/>
  <c r="D3" i="33" s="1"/>
  <c r="E3" i="33" s="1"/>
  <c r="F3" i="33" s="1"/>
  <c r="G3" i="33" s="1"/>
  <c r="H3" i="33" s="1"/>
  <c r="I3" i="33" s="1"/>
  <c r="J3" i="33" s="1"/>
  <c r="K3" i="33" s="1"/>
  <c r="L3" i="33" s="1"/>
  <c r="M3" i="33" s="1"/>
  <c r="B3" i="32"/>
  <c r="C3" i="32" s="1"/>
  <c r="D3" i="32" s="1"/>
  <c r="E3" i="32" s="1"/>
  <c r="F3" i="32" s="1"/>
  <c r="G3" i="32" s="1"/>
  <c r="H3" i="32" s="1"/>
  <c r="I3" i="32" s="1"/>
  <c r="J3" i="32" s="1"/>
  <c r="K3" i="32" s="1"/>
  <c r="L3" i="32" s="1"/>
  <c r="M3" i="32" s="1"/>
  <c r="C170" i="31"/>
  <c r="D170" i="31" s="1"/>
  <c r="C165" i="31"/>
  <c r="D160" i="31"/>
  <c r="C160" i="31"/>
  <c r="D155" i="31"/>
  <c r="E155" i="31" s="1"/>
  <c r="F155" i="31" s="1"/>
  <c r="C155" i="31"/>
  <c r="C150" i="31"/>
  <c r="D150" i="31" s="1"/>
  <c r="E150" i="31" s="1"/>
  <c r="C145" i="31"/>
  <c r="D145" i="31" s="1"/>
  <c r="B142" i="31"/>
  <c r="C137" i="31"/>
  <c r="C132" i="31"/>
  <c r="D132" i="31" s="1"/>
  <c r="C127" i="31"/>
  <c r="D127" i="31" s="1"/>
  <c r="E127" i="31" s="1"/>
  <c r="F127" i="31" s="1"/>
  <c r="G127" i="31" s="1"/>
  <c r="D122" i="31"/>
  <c r="C122" i="31"/>
  <c r="C117" i="31"/>
  <c r="C112" i="31"/>
  <c r="D112" i="31" s="1"/>
  <c r="E112" i="31" s="1"/>
  <c r="B109" i="31"/>
  <c r="D104" i="31"/>
  <c r="E104" i="31" s="1"/>
  <c r="C104" i="31"/>
  <c r="C99" i="31"/>
  <c r="D94" i="31"/>
  <c r="E94" i="31" s="1"/>
  <c r="F94" i="31" s="1"/>
  <c r="G94" i="31" s="1"/>
  <c r="H94" i="31" s="1"/>
  <c r="C94" i="31"/>
  <c r="B93" i="31"/>
  <c r="B91" i="31" s="1"/>
  <c r="D89" i="31"/>
  <c r="C89" i="31"/>
  <c r="D84" i="31"/>
  <c r="E84" i="31" s="1"/>
  <c r="C84" i="31"/>
  <c r="C79" i="31"/>
  <c r="B76" i="31"/>
  <c r="C71" i="31"/>
  <c r="D66" i="31"/>
  <c r="C66" i="31"/>
  <c r="C61" i="31"/>
  <c r="C56" i="31"/>
  <c r="C51" i="31"/>
  <c r="D51" i="31" s="1"/>
  <c r="C46" i="31"/>
  <c r="D46" i="31" s="1"/>
  <c r="B43" i="31"/>
  <c r="D38" i="31"/>
  <c r="C38" i="31"/>
  <c r="C33" i="31"/>
  <c r="D33" i="31" s="1"/>
  <c r="E33" i="31" s="1"/>
  <c r="C28" i="31"/>
  <c r="D28" i="31" s="1"/>
  <c r="E28" i="31" s="1"/>
  <c r="F28" i="31" s="1"/>
  <c r="G28" i="31" s="1"/>
  <c r="C23" i="31"/>
  <c r="D23" i="31" s="1"/>
  <c r="E23" i="31" s="1"/>
  <c r="C18" i="31"/>
  <c r="C13" i="31"/>
  <c r="D13" i="31" s="1"/>
  <c r="B10" i="31"/>
  <c r="B3" i="31"/>
  <c r="C3" i="31" s="1"/>
  <c r="D3" i="31" s="1"/>
  <c r="E3" i="31" s="1"/>
  <c r="F3" i="31" s="1"/>
  <c r="G3" i="31" s="1"/>
  <c r="H3" i="31" s="1"/>
  <c r="I3" i="31" s="1"/>
  <c r="J3" i="31" s="1"/>
  <c r="K3" i="31" s="1"/>
  <c r="L3" i="31" s="1"/>
  <c r="M3" i="31" s="1"/>
  <c r="B221" i="37" l="1"/>
  <c r="B169" i="37"/>
  <c r="B121" i="35"/>
  <c r="B119" i="35" s="1"/>
  <c r="B205" i="41"/>
  <c r="K72" i="75"/>
  <c r="K30" i="75"/>
  <c r="L52" i="75"/>
  <c r="L49" i="75" s="1"/>
  <c r="L50" i="75"/>
  <c r="N34" i="76"/>
  <c r="N36" i="76" s="1"/>
  <c r="M35" i="75"/>
  <c r="M34" i="75" s="1"/>
  <c r="N34" i="75" s="1"/>
  <c r="N36" i="75" s="1"/>
  <c r="M82" i="75"/>
  <c r="N83" i="75"/>
  <c r="M71" i="75"/>
  <c r="M52" i="75"/>
  <c r="M50" i="75"/>
  <c r="N50" i="75" s="1"/>
  <c r="N53" i="75"/>
  <c r="N60" i="75"/>
  <c r="M92" i="76"/>
  <c r="J93" i="75"/>
  <c r="L82" i="75"/>
  <c r="L70" i="75" s="1"/>
  <c r="L71" i="75"/>
  <c r="L31" i="75"/>
  <c r="L28" i="75" s="1"/>
  <c r="L29" i="75"/>
  <c r="K51" i="75"/>
  <c r="K97" i="75"/>
  <c r="K91" i="75" s="1"/>
  <c r="K92" i="75"/>
  <c r="L91" i="76"/>
  <c r="L93" i="76" s="1"/>
  <c r="L98" i="75"/>
  <c r="J4" i="75"/>
  <c r="J6" i="75" s="1"/>
  <c r="K4" i="76"/>
  <c r="K6" i="76" s="1"/>
  <c r="I8" i="3"/>
  <c r="I9" i="75"/>
  <c r="I4" i="75"/>
  <c r="I6" i="75" s="1"/>
  <c r="K10" i="75"/>
  <c r="K8" i="75"/>
  <c r="L7" i="76"/>
  <c r="L11" i="75"/>
  <c r="M94" i="75"/>
  <c r="M92" i="75"/>
  <c r="N95" i="75"/>
  <c r="L28" i="76"/>
  <c r="L30" i="76" s="1"/>
  <c r="M49" i="76"/>
  <c r="N52" i="76"/>
  <c r="N54" i="76" s="1"/>
  <c r="M72" i="76"/>
  <c r="N70" i="76"/>
  <c r="N72" i="76" s="1"/>
  <c r="N97" i="76"/>
  <c r="N99" i="76" s="1"/>
  <c r="M91" i="76"/>
  <c r="N94" i="76"/>
  <c r="N96" i="76" s="1"/>
  <c r="M31" i="76"/>
  <c r="M32" i="75" s="1"/>
  <c r="M29" i="76"/>
  <c r="M8" i="76"/>
  <c r="M10" i="76"/>
  <c r="M11" i="75" s="1"/>
  <c r="L5" i="76"/>
  <c r="C90" i="74"/>
  <c r="E90" i="74"/>
  <c r="D90" i="74"/>
  <c r="E109" i="74"/>
  <c r="C21" i="74"/>
  <c r="C48" i="74"/>
  <c r="G15" i="74"/>
  <c r="B109" i="74"/>
  <c r="D111" i="74"/>
  <c r="D109" i="74" s="1"/>
  <c r="C69" i="74"/>
  <c r="F108" i="74"/>
  <c r="F111" i="74" s="1"/>
  <c r="F109" i="74" s="1"/>
  <c r="C27" i="74"/>
  <c r="N110" i="74"/>
  <c r="E102" i="74"/>
  <c r="D105" i="74"/>
  <c r="C99" i="74"/>
  <c r="D96" i="74"/>
  <c r="C105" i="74"/>
  <c r="E81" i="74"/>
  <c r="D84" i="74"/>
  <c r="G87" i="74"/>
  <c r="C78" i="74"/>
  <c r="D75" i="74"/>
  <c r="C84" i="74"/>
  <c r="E66" i="74"/>
  <c r="D69" i="74"/>
  <c r="D60" i="74"/>
  <c r="D54" i="74"/>
  <c r="C42" i="74"/>
  <c r="D39" i="74"/>
  <c r="E45" i="74"/>
  <c r="D48" i="74"/>
  <c r="D33" i="74"/>
  <c r="E24" i="74"/>
  <c r="D27" i="74"/>
  <c r="E18" i="74"/>
  <c r="D21" i="74"/>
  <c r="C15" i="74"/>
  <c r="F15" i="74"/>
  <c r="H15" i="74"/>
  <c r="I15" i="74"/>
  <c r="J12" i="74"/>
  <c r="D15" i="74"/>
  <c r="E15" i="74"/>
  <c r="C257" i="41"/>
  <c r="D255" i="41"/>
  <c r="B228" i="42"/>
  <c r="N228" i="42" s="1"/>
  <c r="C226" i="42"/>
  <c r="D226" i="42" s="1"/>
  <c r="B228" i="37"/>
  <c r="B225" i="37" s="1"/>
  <c r="C219" i="42"/>
  <c r="D219" i="42" s="1"/>
  <c r="C163" i="35"/>
  <c r="B159" i="35"/>
  <c r="B157" i="35" s="1"/>
  <c r="B232" i="41"/>
  <c r="C205" i="37"/>
  <c r="D205" i="37" s="1"/>
  <c r="C207" i="37"/>
  <c r="C205" i="42"/>
  <c r="D205" i="42" s="1"/>
  <c r="B207" i="37"/>
  <c r="B204" i="37" s="1"/>
  <c r="C223" i="41"/>
  <c r="C212" i="41" s="1"/>
  <c r="B200" i="37"/>
  <c r="B197" i="37" s="1"/>
  <c r="B203" i="37" s="1"/>
  <c r="M215" i="38"/>
  <c r="M214" i="38" s="1"/>
  <c r="M221" i="38" s="1"/>
  <c r="L214" i="38"/>
  <c r="L221" i="38" s="1"/>
  <c r="K214" i="38"/>
  <c r="B212" i="38"/>
  <c r="B216" i="41"/>
  <c r="B193" i="37"/>
  <c r="B195" i="37"/>
  <c r="B190" i="37" s="1"/>
  <c r="B188" i="37"/>
  <c r="C191" i="42"/>
  <c r="D191" i="42" s="1"/>
  <c r="E191" i="42" s="1"/>
  <c r="F191" i="42" s="1"/>
  <c r="G191" i="42" s="1"/>
  <c r="H191" i="42" s="1"/>
  <c r="I191" i="42" s="1"/>
  <c r="J191" i="42" s="1"/>
  <c r="K191" i="42" s="1"/>
  <c r="L191" i="42" s="1"/>
  <c r="M191" i="42" s="1"/>
  <c r="B193" i="42"/>
  <c r="N193" i="42" s="1"/>
  <c r="B194" i="42"/>
  <c r="C194" i="42" s="1"/>
  <c r="B185" i="37"/>
  <c r="B183" i="37"/>
  <c r="B180" i="37" s="1"/>
  <c r="C181" i="42"/>
  <c r="D181" i="42" s="1"/>
  <c r="C183" i="37"/>
  <c r="C135" i="35"/>
  <c r="D135" i="35" s="1"/>
  <c r="B88" i="71"/>
  <c r="C135" i="29"/>
  <c r="D135" i="29" s="1"/>
  <c r="B88" i="32"/>
  <c r="C88" i="33"/>
  <c r="B136" i="31"/>
  <c r="B134" i="31" s="1"/>
  <c r="B201" i="41"/>
  <c r="C197" i="41"/>
  <c r="D197" i="41" s="1"/>
  <c r="C196" i="41"/>
  <c r="B176" i="37"/>
  <c r="C178" i="37"/>
  <c r="B178" i="37"/>
  <c r="C174" i="42"/>
  <c r="D174" i="42" s="1"/>
  <c r="B175" i="42"/>
  <c r="N175" i="42" s="1"/>
  <c r="C176" i="37"/>
  <c r="C173" i="37" s="1"/>
  <c r="C179" i="37" s="1"/>
  <c r="G130" i="35"/>
  <c r="H130" i="35" s="1"/>
  <c r="I130" i="35" s="1"/>
  <c r="J130" i="35" s="1"/>
  <c r="K130" i="35" s="1"/>
  <c r="L130" i="35" s="1"/>
  <c r="M130" i="35" s="1"/>
  <c r="F131" i="35"/>
  <c r="F129" i="35" s="1"/>
  <c r="C130" i="35"/>
  <c r="E131" i="35"/>
  <c r="E129" i="35" s="1"/>
  <c r="B85" i="33"/>
  <c r="C130" i="29"/>
  <c r="D130" i="29" s="1"/>
  <c r="C191" i="41"/>
  <c r="N191" i="41" s="1"/>
  <c r="D188" i="41"/>
  <c r="C190" i="41"/>
  <c r="C189" i="41"/>
  <c r="B170" i="42"/>
  <c r="C170" i="42" s="1"/>
  <c r="C167" i="42"/>
  <c r="D167" i="42" s="1"/>
  <c r="E167" i="42" s="1"/>
  <c r="F167" i="42" s="1"/>
  <c r="G167" i="42" s="1"/>
  <c r="H167" i="42" s="1"/>
  <c r="I167" i="42" s="1"/>
  <c r="J167" i="42" s="1"/>
  <c r="K167" i="42" s="1"/>
  <c r="L167" i="42" s="1"/>
  <c r="M167" i="42" s="1"/>
  <c r="B82" i="71"/>
  <c r="B82" i="33"/>
  <c r="C82" i="33"/>
  <c r="B126" i="31"/>
  <c r="B124" i="31" s="1"/>
  <c r="C126" i="31"/>
  <c r="C124" i="31" s="1"/>
  <c r="C125" i="29"/>
  <c r="D125" i="29" s="1"/>
  <c r="E125" i="29" s="1"/>
  <c r="F125" i="29" s="1"/>
  <c r="G125" i="29" s="1"/>
  <c r="H125" i="29" s="1"/>
  <c r="I125" i="29" s="1"/>
  <c r="J125" i="29" s="1"/>
  <c r="K125" i="29" s="1"/>
  <c r="L125" i="29" s="1"/>
  <c r="M125" i="29" s="1"/>
  <c r="B164" i="37"/>
  <c r="B162" i="37"/>
  <c r="C160" i="42"/>
  <c r="D160" i="42" s="1"/>
  <c r="B121" i="31"/>
  <c r="B119" i="31" s="1"/>
  <c r="C120" i="29"/>
  <c r="D120" i="29" s="1"/>
  <c r="B161" i="38"/>
  <c r="C172" i="38"/>
  <c r="D172" i="38" s="1"/>
  <c r="E172" i="38" s="1"/>
  <c r="F172" i="38" s="1"/>
  <c r="G172" i="38" s="1"/>
  <c r="H172" i="38" s="1"/>
  <c r="I172" i="38" s="1"/>
  <c r="J172" i="38" s="1"/>
  <c r="K172" i="38" s="1"/>
  <c r="L172" i="38" s="1"/>
  <c r="M172" i="38" s="1"/>
  <c r="B76" i="36"/>
  <c r="B157" i="37"/>
  <c r="B155" i="37"/>
  <c r="C76" i="33"/>
  <c r="D77" i="33"/>
  <c r="E77" i="33" s="1"/>
  <c r="F77" i="33" s="1"/>
  <c r="G77" i="33" s="1"/>
  <c r="H77" i="33" s="1"/>
  <c r="I77" i="33" s="1"/>
  <c r="J77" i="33" s="1"/>
  <c r="K77" i="33" s="1"/>
  <c r="L77" i="33" s="1"/>
  <c r="M77" i="33" s="1"/>
  <c r="B76" i="71"/>
  <c r="C115" i="29"/>
  <c r="D115" i="29" s="1"/>
  <c r="E115" i="29" s="1"/>
  <c r="F115" i="29" s="1"/>
  <c r="G115" i="29" s="1"/>
  <c r="H115" i="29" s="1"/>
  <c r="I115" i="29" s="1"/>
  <c r="J115" i="29" s="1"/>
  <c r="K115" i="29" s="1"/>
  <c r="L115" i="29" s="1"/>
  <c r="M115" i="29" s="1"/>
  <c r="C164" i="38"/>
  <c r="D164" i="38" s="1"/>
  <c r="E164" i="38" s="1"/>
  <c r="F164" i="38" s="1"/>
  <c r="G164" i="38" s="1"/>
  <c r="H164" i="38" s="1"/>
  <c r="I164" i="38" s="1"/>
  <c r="J164" i="38" s="1"/>
  <c r="K164" i="38" s="1"/>
  <c r="L164" i="38" s="1"/>
  <c r="M164" i="38" s="1"/>
  <c r="M163" i="38"/>
  <c r="M170" i="38" s="1"/>
  <c r="B73" i="36"/>
  <c r="F169" i="41"/>
  <c r="F163" i="41" s="1"/>
  <c r="G165" i="41"/>
  <c r="C166" i="41"/>
  <c r="D164" i="41"/>
  <c r="C167" i="41"/>
  <c r="N167" i="41" s="1"/>
  <c r="B169" i="41"/>
  <c r="B170" i="41" s="1"/>
  <c r="B149" i="42"/>
  <c r="C149" i="42" s="1"/>
  <c r="B73" i="71"/>
  <c r="C111" i="31"/>
  <c r="C109" i="31" s="1"/>
  <c r="D110" i="31"/>
  <c r="E110" i="31" s="1"/>
  <c r="F110" i="31" s="1"/>
  <c r="G110" i="31" s="1"/>
  <c r="H110" i="31" s="1"/>
  <c r="I110" i="31" s="1"/>
  <c r="J110" i="31" s="1"/>
  <c r="K110" i="31" s="1"/>
  <c r="L110" i="31" s="1"/>
  <c r="M110" i="31" s="1"/>
  <c r="D111" i="31"/>
  <c r="D109" i="31" s="1"/>
  <c r="B111" i="31"/>
  <c r="C110" i="29"/>
  <c r="D110" i="29" s="1"/>
  <c r="E110" i="29" s="1"/>
  <c r="F110" i="29" s="1"/>
  <c r="G110" i="29" s="1"/>
  <c r="H110" i="29" s="1"/>
  <c r="I110" i="29" s="1"/>
  <c r="J110" i="29" s="1"/>
  <c r="K110" i="29" s="1"/>
  <c r="L110" i="29" s="1"/>
  <c r="M110" i="29" s="1"/>
  <c r="D67" i="36"/>
  <c r="B140" i="37"/>
  <c r="B138" i="37"/>
  <c r="B135" i="37" s="1"/>
  <c r="C136" i="42"/>
  <c r="D136" i="42" s="1"/>
  <c r="C102" i="29"/>
  <c r="D102" i="29" s="1"/>
  <c r="B67" i="33"/>
  <c r="C145" i="41"/>
  <c r="B131" i="42"/>
  <c r="N131" i="42" s="1"/>
  <c r="B131" i="37"/>
  <c r="B128" i="37" s="1"/>
  <c r="C97" i="31"/>
  <c r="D97" i="31" s="1"/>
  <c r="C64" i="71"/>
  <c r="B64" i="32"/>
  <c r="B64" i="71"/>
  <c r="C97" i="29"/>
  <c r="D97" i="29" s="1"/>
  <c r="B124" i="37"/>
  <c r="B126" i="37"/>
  <c r="C122" i="42"/>
  <c r="D122" i="42" s="1"/>
  <c r="B124" i="42"/>
  <c r="N124" i="42" s="1"/>
  <c r="C92" i="35"/>
  <c r="D92" i="35" s="1"/>
  <c r="B61" i="71"/>
  <c r="C92" i="29"/>
  <c r="D92" i="29" s="1"/>
  <c r="D58" i="36"/>
  <c r="E59" i="36"/>
  <c r="F59" i="36" s="1"/>
  <c r="G59" i="36" s="1"/>
  <c r="H59" i="36" s="1"/>
  <c r="I59" i="36" s="1"/>
  <c r="J59" i="36" s="1"/>
  <c r="K59" i="36" s="1"/>
  <c r="L59" i="36" s="1"/>
  <c r="M59" i="36" s="1"/>
  <c r="B130" i="41"/>
  <c r="C115" i="42"/>
  <c r="D115" i="42" s="1"/>
  <c r="E115" i="42" s="1"/>
  <c r="F115" i="42" s="1"/>
  <c r="G115" i="42" s="1"/>
  <c r="H115" i="42" s="1"/>
  <c r="I115" i="42" s="1"/>
  <c r="J115" i="42" s="1"/>
  <c r="K115" i="42" s="1"/>
  <c r="L115" i="42" s="1"/>
  <c r="M115" i="42" s="1"/>
  <c r="C88" i="35"/>
  <c r="C86" i="35" s="1"/>
  <c r="D87" i="35"/>
  <c r="E87" i="35" s="1"/>
  <c r="F87" i="35" s="1"/>
  <c r="G87" i="35" s="1"/>
  <c r="H87" i="35" s="1"/>
  <c r="I87" i="35" s="1"/>
  <c r="J87" i="35" s="1"/>
  <c r="K87" i="35" s="1"/>
  <c r="L87" i="35" s="1"/>
  <c r="M87" i="35" s="1"/>
  <c r="B88" i="35"/>
  <c r="B86" i="35" s="1"/>
  <c r="B88" i="31"/>
  <c r="B86" i="31" s="1"/>
  <c r="C87" i="29"/>
  <c r="D87" i="29" s="1"/>
  <c r="E87" i="29" s="1"/>
  <c r="F87" i="29" s="1"/>
  <c r="G87" i="29" s="1"/>
  <c r="H87" i="29" s="1"/>
  <c r="I87" i="29" s="1"/>
  <c r="J87" i="29" s="1"/>
  <c r="K87" i="29" s="1"/>
  <c r="L87" i="29" s="1"/>
  <c r="M87" i="29" s="1"/>
  <c r="B50" i="32"/>
  <c r="D56" i="33"/>
  <c r="E56" i="33" s="1"/>
  <c r="F56" i="33" s="1"/>
  <c r="G56" i="33" s="1"/>
  <c r="H56" i="33" s="1"/>
  <c r="I56" i="33" s="1"/>
  <c r="J56" i="33" s="1"/>
  <c r="K56" i="33" s="1"/>
  <c r="L56" i="33" s="1"/>
  <c r="M56" i="33" s="1"/>
  <c r="C55" i="33"/>
  <c r="C82" i="29"/>
  <c r="D82" i="29" s="1"/>
  <c r="E82" i="29" s="1"/>
  <c r="F82" i="29" s="1"/>
  <c r="G82" i="29" s="1"/>
  <c r="H82" i="29" s="1"/>
  <c r="I82" i="29" s="1"/>
  <c r="J82" i="29" s="1"/>
  <c r="K82" i="29" s="1"/>
  <c r="L82" i="29" s="1"/>
  <c r="M82" i="29" s="1"/>
  <c r="C113" i="38"/>
  <c r="C110" i="38" s="1"/>
  <c r="D53" i="36"/>
  <c r="E53" i="36" s="1"/>
  <c r="F53" i="36" s="1"/>
  <c r="G53" i="36" s="1"/>
  <c r="H53" i="36" s="1"/>
  <c r="I53" i="36" s="1"/>
  <c r="J53" i="36" s="1"/>
  <c r="K53" i="36" s="1"/>
  <c r="L53" i="36" s="1"/>
  <c r="M53" i="36" s="1"/>
  <c r="C52" i="36"/>
  <c r="C53" i="71"/>
  <c r="C77" i="29"/>
  <c r="D77" i="29" s="1"/>
  <c r="E77" i="29" s="1"/>
  <c r="F77" i="29" s="1"/>
  <c r="G77" i="29" s="1"/>
  <c r="H77" i="29" s="1"/>
  <c r="I77" i="29" s="1"/>
  <c r="J77" i="29" s="1"/>
  <c r="K77" i="29" s="1"/>
  <c r="L77" i="29" s="1"/>
  <c r="M77" i="29" s="1"/>
  <c r="B92" i="42"/>
  <c r="N92" i="42" s="1"/>
  <c r="B93" i="42"/>
  <c r="B95" i="42" s="1"/>
  <c r="B90" i="42" s="1"/>
  <c r="C91" i="42"/>
  <c r="D91" i="42" s="1"/>
  <c r="C69" i="29"/>
  <c r="D69" i="29" s="1"/>
  <c r="B46" i="32"/>
  <c r="B28" i="32" s="1"/>
  <c r="B99" i="41"/>
  <c r="C95" i="41"/>
  <c r="D95" i="41" s="1"/>
  <c r="C94" i="41"/>
  <c r="B65" i="35"/>
  <c r="B63" i="35" s="1"/>
  <c r="C44" i="32"/>
  <c r="D44" i="32" s="1"/>
  <c r="C64" i="29"/>
  <c r="D64" i="29" s="1"/>
  <c r="B65" i="31"/>
  <c r="B63" i="31" s="1"/>
  <c r="D86" i="41"/>
  <c r="D88" i="41" s="1"/>
  <c r="C88" i="41"/>
  <c r="C89" i="41"/>
  <c r="N89" i="41" s="1"/>
  <c r="C40" i="32"/>
  <c r="B40" i="32"/>
  <c r="B40" i="71"/>
  <c r="C59" i="29"/>
  <c r="D59" i="29" s="1"/>
  <c r="B72" i="37"/>
  <c r="B74" i="37"/>
  <c r="C70" i="42"/>
  <c r="D70" i="42" s="1"/>
  <c r="C54" i="35"/>
  <c r="B37" i="32"/>
  <c r="B37" i="33"/>
  <c r="C54" i="29"/>
  <c r="D54" i="29" s="1"/>
  <c r="B67" i="37"/>
  <c r="C63" i="42"/>
  <c r="D63" i="42" s="1"/>
  <c r="E63" i="42" s="1"/>
  <c r="F63" i="42" s="1"/>
  <c r="G63" i="42" s="1"/>
  <c r="H63" i="42" s="1"/>
  <c r="I63" i="42" s="1"/>
  <c r="J63" i="42" s="1"/>
  <c r="K63" i="42" s="1"/>
  <c r="L63" i="42" s="1"/>
  <c r="M63" i="42" s="1"/>
  <c r="C65" i="37"/>
  <c r="C49" i="35"/>
  <c r="C35" i="33"/>
  <c r="D35" i="33" s="1"/>
  <c r="E35" i="33" s="1"/>
  <c r="F35" i="33" s="1"/>
  <c r="G35" i="33" s="1"/>
  <c r="H35" i="33" s="1"/>
  <c r="I35" i="33" s="1"/>
  <c r="J35" i="33" s="1"/>
  <c r="K35" i="33" s="1"/>
  <c r="L35" i="33" s="1"/>
  <c r="M35" i="33" s="1"/>
  <c r="B34" i="32"/>
  <c r="C49" i="29"/>
  <c r="D49" i="29" s="1"/>
  <c r="E49" i="29" s="1"/>
  <c r="F49" i="29" s="1"/>
  <c r="G49" i="29" s="1"/>
  <c r="H49" i="29" s="1"/>
  <c r="I49" i="29" s="1"/>
  <c r="J49" i="29" s="1"/>
  <c r="K49" i="29" s="1"/>
  <c r="L49" i="29" s="1"/>
  <c r="M49" i="29" s="1"/>
  <c r="K61" i="38"/>
  <c r="K68" i="38" s="1"/>
  <c r="L61" i="38"/>
  <c r="L68" i="38" s="1"/>
  <c r="M61" i="38"/>
  <c r="C63" i="41"/>
  <c r="D63" i="41" s="1"/>
  <c r="E63" i="41" s="1"/>
  <c r="B67" i="41"/>
  <c r="C62" i="41"/>
  <c r="B58" i="42"/>
  <c r="N58" i="42" s="1"/>
  <c r="C58" i="37"/>
  <c r="C32" i="33"/>
  <c r="D32" i="33" s="1"/>
  <c r="E32" i="33" s="1"/>
  <c r="F32" i="33" s="1"/>
  <c r="G32" i="33" s="1"/>
  <c r="H32" i="33" s="1"/>
  <c r="I32" i="33" s="1"/>
  <c r="J32" i="33" s="1"/>
  <c r="K32" i="33" s="1"/>
  <c r="L32" i="33" s="1"/>
  <c r="M32" i="33" s="1"/>
  <c r="B29" i="33"/>
  <c r="B31" i="32"/>
  <c r="C44" i="31"/>
  <c r="D44" i="31" s="1"/>
  <c r="E44" i="31" s="1"/>
  <c r="F44" i="31" s="1"/>
  <c r="G44" i="31" s="1"/>
  <c r="H44" i="31" s="1"/>
  <c r="I44" i="31" s="1"/>
  <c r="J44" i="31" s="1"/>
  <c r="K44" i="31" s="1"/>
  <c r="L44" i="31" s="1"/>
  <c r="M44" i="31" s="1"/>
  <c r="C44" i="29"/>
  <c r="D44" i="29" s="1"/>
  <c r="E44" i="29" s="1"/>
  <c r="F44" i="29" s="1"/>
  <c r="G44" i="29" s="1"/>
  <c r="H44" i="29" s="1"/>
  <c r="I44" i="29" s="1"/>
  <c r="J44" i="29" s="1"/>
  <c r="K44" i="29" s="1"/>
  <c r="L44" i="29" s="1"/>
  <c r="M44" i="29" s="1"/>
  <c r="B48" i="37"/>
  <c r="B50" i="37"/>
  <c r="B52" i="41" s="1"/>
  <c r="C46" i="42"/>
  <c r="D46" i="42" s="1"/>
  <c r="C36" i="35"/>
  <c r="C43" i="41"/>
  <c r="B40" i="42"/>
  <c r="C31" i="35"/>
  <c r="D31" i="35" s="1"/>
  <c r="B19" i="36"/>
  <c r="B34" i="37"/>
  <c r="B36" i="41" s="1"/>
  <c r="B16" i="36"/>
  <c r="B110" i="38"/>
  <c r="C16" i="36"/>
  <c r="I16" i="36"/>
  <c r="D16" i="36"/>
  <c r="E16" i="36"/>
  <c r="B29" i="37"/>
  <c r="B27" i="37"/>
  <c r="B27" i="42"/>
  <c r="N27" i="42" s="1"/>
  <c r="L10" i="38"/>
  <c r="L17" i="38" s="1"/>
  <c r="M10" i="38"/>
  <c r="M17" i="38" s="1"/>
  <c r="K10" i="38"/>
  <c r="K17" i="38" s="1"/>
  <c r="G146" i="38"/>
  <c r="F23" i="38"/>
  <c r="F30" i="38"/>
  <c r="I31" i="38"/>
  <c r="I38" i="38"/>
  <c r="M183" i="38"/>
  <c r="M184" i="38" s="1"/>
  <c r="L184" i="38"/>
  <c r="G38" i="38"/>
  <c r="G31" i="38"/>
  <c r="E23" i="38"/>
  <c r="N22" i="38"/>
  <c r="E30" i="38"/>
  <c r="H31" i="38"/>
  <c r="H38" i="38"/>
  <c r="G114" i="38"/>
  <c r="F118" i="38"/>
  <c r="J156" i="38"/>
  <c r="J149" i="38"/>
  <c r="K148" i="38"/>
  <c r="N73" i="38"/>
  <c r="I105" i="38"/>
  <c r="I106" i="38" s="1"/>
  <c r="I98" i="38"/>
  <c r="C12" i="38"/>
  <c r="B16" i="38"/>
  <c r="C201" i="38"/>
  <c r="C195" i="38" s="1"/>
  <c r="D197" i="38"/>
  <c r="J105" i="38"/>
  <c r="K97" i="38"/>
  <c r="J98" i="38"/>
  <c r="N64" i="38"/>
  <c r="G132" i="38"/>
  <c r="G125" i="38"/>
  <c r="C36" i="38"/>
  <c r="B40" i="38"/>
  <c r="B24" i="38"/>
  <c r="M81" i="38"/>
  <c r="M82" i="38" s="1"/>
  <c r="H183" i="38"/>
  <c r="H176" i="38"/>
  <c r="N175" i="38"/>
  <c r="C20" i="38"/>
  <c r="D173" i="38"/>
  <c r="C177" i="38"/>
  <c r="K212" i="38"/>
  <c r="B228" i="38"/>
  <c r="C74" i="38"/>
  <c r="C81" i="38"/>
  <c r="D81" i="38"/>
  <c r="D74" i="38"/>
  <c r="N117" i="38"/>
  <c r="H258" i="38"/>
  <c r="H259" i="38" s="1"/>
  <c r="H251" i="38"/>
  <c r="J38" i="38"/>
  <c r="K30" i="38"/>
  <c r="J31" i="38"/>
  <c r="E97" i="38"/>
  <c r="E90" i="38"/>
  <c r="E91" i="38" s="1"/>
  <c r="E85" i="38" s="1"/>
  <c r="F125" i="38"/>
  <c r="F132" i="38"/>
  <c r="N132" i="38" s="1"/>
  <c r="H132" i="38"/>
  <c r="H125" i="38"/>
  <c r="M73" i="38"/>
  <c r="M74" i="38" s="1"/>
  <c r="C138" i="38"/>
  <c r="M68" i="38"/>
  <c r="J227" i="38"/>
  <c r="J234" i="38"/>
  <c r="K226" i="38"/>
  <c r="E250" i="38"/>
  <c r="E243" i="38"/>
  <c r="L74" i="38"/>
  <c r="N15" i="38"/>
  <c r="C189" i="38"/>
  <c r="N233" i="38"/>
  <c r="C250" i="38"/>
  <c r="B242" i="38"/>
  <c r="B235" i="38"/>
  <c r="K221" i="38"/>
  <c r="F235" i="38"/>
  <c r="F242" i="38"/>
  <c r="E240" i="38"/>
  <c r="B133" i="38"/>
  <c r="B140" i="38"/>
  <c r="B48" i="38"/>
  <c r="C44" i="38"/>
  <c r="J90" i="38"/>
  <c r="K89" i="38"/>
  <c r="N23" i="38"/>
  <c r="C95" i="38"/>
  <c r="L176" i="38"/>
  <c r="M175" i="38"/>
  <c r="M176" i="38" s="1"/>
  <c r="C224" i="38"/>
  <c r="N80" i="38"/>
  <c r="I149" i="38"/>
  <c r="I156" i="38"/>
  <c r="I157" i="38" s="1"/>
  <c r="D220" i="38"/>
  <c r="N217" i="38"/>
  <c r="B54" i="38"/>
  <c r="B75" i="38"/>
  <c r="F74" i="38"/>
  <c r="F81" i="38"/>
  <c r="D103" i="38"/>
  <c r="L133" i="38"/>
  <c r="M132" i="38"/>
  <c r="M133" i="38" s="1"/>
  <c r="C52" i="38"/>
  <c r="B67" i="38"/>
  <c r="C71" i="38"/>
  <c r="G74" i="38"/>
  <c r="G81" i="38"/>
  <c r="F87" i="38"/>
  <c r="B119" i="38"/>
  <c r="C154" i="38"/>
  <c r="C63" i="38"/>
  <c r="F79" i="38"/>
  <c r="E83" i="38"/>
  <c r="E77" i="38" s="1"/>
  <c r="I199" i="38"/>
  <c r="I192" i="38"/>
  <c r="K199" i="38"/>
  <c r="C140" i="38"/>
  <c r="C212" i="38"/>
  <c r="N13" i="38"/>
  <c r="C31" i="38"/>
  <c r="C38" i="38"/>
  <c r="M191" i="38"/>
  <c r="M192" i="38" s="1"/>
  <c r="D140" i="38"/>
  <c r="D133" i="38"/>
  <c r="N219" i="38"/>
  <c r="I258" i="38"/>
  <c r="I259" i="38" s="1"/>
  <c r="I251" i="38"/>
  <c r="D31" i="38"/>
  <c r="D38" i="38"/>
  <c r="B47" i="38"/>
  <c r="M140" i="38"/>
  <c r="M141" i="38" s="1"/>
  <c r="B185" i="38"/>
  <c r="C181" i="38"/>
  <c r="J207" i="38"/>
  <c r="C244" i="38"/>
  <c r="C238" i="38" s="1"/>
  <c r="I243" i="38"/>
  <c r="G235" i="38"/>
  <c r="G242" i="38"/>
  <c r="C248" i="38"/>
  <c r="D176" i="38"/>
  <c r="D183" i="38"/>
  <c r="C207" i="38"/>
  <c r="C208" i="38" s="1"/>
  <c r="C200" i="38"/>
  <c r="B221" i="38"/>
  <c r="B214" i="38"/>
  <c r="C256" i="38"/>
  <c r="N88" i="38"/>
  <c r="D126" i="38"/>
  <c r="D120" i="38" s="1"/>
  <c r="E176" i="38"/>
  <c r="E183" i="38"/>
  <c r="C214" i="38"/>
  <c r="N241" i="38"/>
  <c r="E126" i="38"/>
  <c r="E120" i="38" s="1"/>
  <c r="F122" i="38"/>
  <c r="D130" i="38"/>
  <c r="C134" i="38"/>
  <c r="C128" i="38" s="1"/>
  <c r="B169" i="38"/>
  <c r="C165" i="38"/>
  <c r="F176" i="38"/>
  <c r="F183" i="38"/>
  <c r="C205" i="38"/>
  <c r="D235" i="38"/>
  <c r="D242" i="38"/>
  <c r="C28" i="38"/>
  <c r="B31" i="38"/>
  <c r="B74" i="38"/>
  <c r="B81" i="38"/>
  <c r="H82" i="38"/>
  <c r="H89" i="38"/>
  <c r="G176" i="38"/>
  <c r="G183" i="38"/>
  <c r="E125" i="38"/>
  <c r="E132" i="38"/>
  <c r="B184" i="38"/>
  <c r="B191" i="38"/>
  <c r="G216" i="38"/>
  <c r="F220" i="38"/>
  <c r="B227" i="38"/>
  <c r="D118" i="38"/>
  <c r="C232" i="38"/>
  <c r="E118" i="38"/>
  <c r="N206" i="38"/>
  <c r="B126" i="38"/>
  <c r="C126" i="38"/>
  <c r="C120" i="38" s="1"/>
  <c r="N249" i="38"/>
  <c r="L19" i="36"/>
  <c r="F108" i="36"/>
  <c r="C24" i="36"/>
  <c r="C19" i="36"/>
  <c r="K82" i="36"/>
  <c r="K87" i="36"/>
  <c r="G42" i="36"/>
  <c r="M24" i="36"/>
  <c r="M19" i="36"/>
  <c r="H45" i="36"/>
  <c r="H40" i="36"/>
  <c r="D102" i="36"/>
  <c r="E102" i="36"/>
  <c r="M42" i="36"/>
  <c r="J63" i="36"/>
  <c r="J58" i="36"/>
  <c r="D21" i="36"/>
  <c r="L60" i="36"/>
  <c r="G18" i="36"/>
  <c r="B58" i="36"/>
  <c r="I42" i="36"/>
  <c r="B69" i="36"/>
  <c r="B67" i="36" s="1"/>
  <c r="B64" i="36"/>
  <c r="F100" i="36"/>
  <c r="H108" i="36"/>
  <c r="B27" i="36"/>
  <c r="B25" i="36" s="1"/>
  <c r="B22" i="36"/>
  <c r="C66" i="36"/>
  <c r="K42" i="36"/>
  <c r="L82" i="36"/>
  <c r="L87" i="36"/>
  <c r="L42" i="36"/>
  <c r="M82" i="36"/>
  <c r="M87" i="36"/>
  <c r="F18" i="36"/>
  <c r="E24" i="36"/>
  <c r="E19" i="36"/>
  <c r="M60" i="36"/>
  <c r="C58" i="36"/>
  <c r="E84" i="36"/>
  <c r="J19" i="36"/>
  <c r="J24" i="36"/>
  <c r="E42" i="36"/>
  <c r="K19" i="36"/>
  <c r="K24" i="36"/>
  <c r="F39" i="36"/>
  <c r="I58" i="36"/>
  <c r="J42" i="36"/>
  <c r="I24" i="36"/>
  <c r="I19" i="36"/>
  <c r="G58" i="36"/>
  <c r="G63" i="36"/>
  <c r="G81" i="36"/>
  <c r="C81" i="36"/>
  <c r="J105" i="36"/>
  <c r="H58" i="36"/>
  <c r="H63" i="36"/>
  <c r="H81" i="36"/>
  <c r="D81" i="36"/>
  <c r="F84" i="36"/>
  <c r="I108" i="36"/>
  <c r="B52" i="36"/>
  <c r="I64" i="36"/>
  <c r="I69" i="36"/>
  <c r="I67" i="36" s="1"/>
  <c r="D64" i="36"/>
  <c r="I81" i="36"/>
  <c r="G108" i="36"/>
  <c r="L25" i="36"/>
  <c r="D39" i="36"/>
  <c r="F76" i="36"/>
  <c r="J76" i="36"/>
  <c r="J81" i="36"/>
  <c r="B102" i="36"/>
  <c r="K60" i="36"/>
  <c r="C102" i="36"/>
  <c r="C39" i="36"/>
  <c r="B81" i="36"/>
  <c r="E63" i="36"/>
  <c r="E58" i="36"/>
  <c r="M105" i="36"/>
  <c r="K105" i="36"/>
  <c r="H18" i="36"/>
  <c r="L105" i="36"/>
  <c r="F63" i="36"/>
  <c r="F58" i="36"/>
  <c r="B39" i="36"/>
  <c r="M7" i="41"/>
  <c r="G147" i="41"/>
  <c r="C206" i="41"/>
  <c r="C207" i="41"/>
  <c r="N207" i="41" s="1"/>
  <c r="E95" i="41"/>
  <c r="G45" i="41"/>
  <c r="D66" i="41"/>
  <c r="E66" i="41" s="1"/>
  <c r="F66" i="41" s="1"/>
  <c r="G66" i="41" s="1"/>
  <c r="H66" i="41" s="1"/>
  <c r="I66" i="41" s="1"/>
  <c r="J66" i="41" s="1"/>
  <c r="B134" i="41"/>
  <c r="C130" i="41"/>
  <c r="B48" i="41"/>
  <c r="B93" i="41"/>
  <c r="I168" i="41"/>
  <c r="J168" i="41" s="1"/>
  <c r="C44" i="41"/>
  <c r="M109" i="41"/>
  <c r="B154" i="41"/>
  <c r="C233" i="41"/>
  <c r="C234" i="41"/>
  <c r="N234" i="41" s="1"/>
  <c r="D233" i="41"/>
  <c r="C132" i="41"/>
  <c r="N132" i="41" s="1"/>
  <c r="C131" i="41"/>
  <c r="B240" i="41"/>
  <c r="B163" i="41"/>
  <c r="B236" i="41"/>
  <c r="C232" i="41"/>
  <c r="B28" i="41"/>
  <c r="B228" i="41"/>
  <c r="C224" i="41"/>
  <c r="B40" i="41"/>
  <c r="G34" i="36" s="1"/>
  <c r="C36" i="41"/>
  <c r="B56" i="41"/>
  <c r="N15" i="41"/>
  <c r="C205" i="41"/>
  <c r="B209" i="41"/>
  <c r="B212" i="41"/>
  <c r="C217" i="41"/>
  <c r="C218" i="41"/>
  <c r="N218" i="41" s="1"/>
  <c r="M58" i="41"/>
  <c r="B138" i="41"/>
  <c r="E169" i="41"/>
  <c r="E163" i="41" s="1"/>
  <c r="B260" i="41"/>
  <c r="C256" i="41"/>
  <c r="C258" i="41"/>
  <c r="N258" i="41" s="1"/>
  <c r="H165" i="41"/>
  <c r="B91" i="41"/>
  <c r="C87" i="41"/>
  <c r="C183" i="41"/>
  <c r="N183" i="41" s="1"/>
  <c r="C182" i="41"/>
  <c r="B195" i="41"/>
  <c r="B248" i="41"/>
  <c r="B71" i="41"/>
  <c r="B173" i="41"/>
  <c r="C97" i="41"/>
  <c r="M211" i="41"/>
  <c r="B150" i="41"/>
  <c r="C146" i="41"/>
  <c r="B181" i="41"/>
  <c r="B161" i="41"/>
  <c r="N219" i="41"/>
  <c r="C48" i="37"/>
  <c r="D47" i="37"/>
  <c r="D130" i="37"/>
  <c r="C131" i="37"/>
  <c r="B31" i="37"/>
  <c r="J116" i="37"/>
  <c r="E123" i="37"/>
  <c r="G137" i="37"/>
  <c r="G102" i="37"/>
  <c r="B152" i="37"/>
  <c r="E26" i="37"/>
  <c r="F109" i="37"/>
  <c r="B159" i="37"/>
  <c r="C157" i="37"/>
  <c r="E168" i="37"/>
  <c r="E175" i="37"/>
  <c r="E40" i="37"/>
  <c r="E161" i="37"/>
  <c r="E206" i="37"/>
  <c r="C230" i="37"/>
  <c r="D12" i="37"/>
  <c r="E92" i="37"/>
  <c r="F192" i="37"/>
  <c r="H199" i="37"/>
  <c r="D85" i="37"/>
  <c r="B69" i="37"/>
  <c r="E220" i="37"/>
  <c r="F147" i="37"/>
  <c r="B43" i="37"/>
  <c r="B38" i="37" s="1"/>
  <c r="D64" i="37"/>
  <c r="D71" i="37"/>
  <c r="C72" i="37"/>
  <c r="F78" i="37"/>
  <c r="D19" i="37"/>
  <c r="F33" i="37"/>
  <c r="D57" i="37"/>
  <c r="B231" i="37"/>
  <c r="B143" i="37"/>
  <c r="B148" i="37"/>
  <c r="B150" i="37"/>
  <c r="B216" i="37"/>
  <c r="B214" i="37"/>
  <c r="C195" i="37"/>
  <c r="C202" i="37"/>
  <c r="C200" i="37"/>
  <c r="B86" i="37"/>
  <c r="B88" i="37"/>
  <c r="B171" i="37"/>
  <c r="C169" i="37"/>
  <c r="B223" i="37"/>
  <c r="D227" i="37"/>
  <c r="C228" i="37"/>
  <c r="C93" i="37"/>
  <c r="B53" i="37"/>
  <c r="B58" i="37"/>
  <c r="B65" i="37"/>
  <c r="C86" i="37"/>
  <c r="B121" i="37"/>
  <c r="C164" i="37"/>
  <c r="C155" i="37"/>
  <c r="D154" i="37"/>
  <c r="D182" i="37"/>
  <c r="E213" i="37"/>
  <c r="N93" i="42"/>
  <c r="C209" i="42"/>
  <c r="C204" i="42" s="1"/>
  <c r="D208" i="42"/>
  <c r="D132" i="42"/>
  <c r="C59" i="42"/>
  <c r="N199" i="42"/>
  <c r="B64" i="42"/>
  <c r="B65" i="42"/>
  <c r="N65" i="42" s="1"/>
  <c r="B66" i="42"/>
  <c r="B28" i="42"/>
  <c r="C143" i="42"/>
  <c r="B71" i="42"/>
  <c r="B72" i="42"/>
  <c r="N72" i="42" s="1"/>
  <c r="B73" i="42"/>
  <c r="C118" i="42"/>
  <c r="N130" i="42"/>
  <c r="B222" i="42"/>
  <c r="B221" i="42"/>
  <c r="N221" i="42" s="1"/>
  <c r="B220" i="42"/>
  <c r="B216" i="42"/>
  <c r="N213" i="42"/>
  <c r="B33" i="42"/>
  <c r="B35" i="42"/>
  <c r="N40" i="42"/>
  <c r="D94" i="42"/>
  <c r="B26" i="42"/>
  <c r="C185" i="42"/>
  <c r="C180" i="42" s="1"/>
  <c r="D184" i="42"/>
  <c r="C95" i="42"/>
  <c r="C90" i="42" s="1"/>
  <c r="C230" i="42"/>
  <c r="C225" i="42" s="1"/>
  <c r="D229" i="42"/>
  <c r="B57" i="42"/>
  <c r="B53" i="42"/>
  <c r="B138" i="42"/>
  <c r="N138" i="42" s="1"/>
  <c r="B137" i="42"/>
  <c r="B139" i="42"/>
  <c r="B49" i="42"/>
  <c r="B48" i="42"/>
  <c r="B176" i="42"/>
  <c r="B177" i="42"/>
  <c r="B183" i="42"/>
  <c r="N183" i="42" s="1"/>
  <c r="B201" i="42"/>
  <c r="B148" i="42"/>
  <c r="N148" i="42" s="1"/>
  <c r="B147" i="42"/>
  <c r="B143" i="42"/>
  <c r="B116" i="42"/>
  <c r="B117" i="42"/>
  <c r="N117" i="42" s="1"/>
  <c r="B42" i="42"/>
  <c r="B41" i="42"/>
  <c r="N41" i="42" s="1"/>
  <c r="N85" i="42"/>
  <c r="B207" i="42"/>
  <c r="N207" i="42" s="1"/>
  <c r="B206" i="42"/>
  <c r="N161" i="42"/>
  <c r="N227" i="42"/>
  <c r="B230" i="42"/>
  <c r="B154" i="42"/>
  <c r="B155" i="42"/>
  <c r="N155" i="42" s="1"/>
  <c r="B156" i="42"/>
  <c r="C216" i="42"/>
  <c r="C211" i="42" s="1"/>
  <c r="D215" i="42"/>
  <c r="B163" i="42"/>
  <c r="B188" i="42"/>
  <c r="B125" i="42"/>
  <c r="B87" i="42"/>
  <c r="B45" i="35"/>
  <c r="B43" i="35" s="1"/>
  <c r="B41" i="35"/>
  <c r="C116" i="35"/>
  <c r="C114" i="35" s="1"/>
  <c r="B27" i="35"/>
  <c r="B25" i="35" s="1"/>
  <c r="B78" i="35"/>
  <c r="B76" i="35" s="1"/>
  <c r="C159" i="35"/>
  <c r="C157" i="35" s="1"/>
  <c r="B144" i="35"/>
  <c r="B142" i="35" s="1"/>
  <c r="B140" i="35"/>
  <c r="B70" i="35"/>
  <c r="B68" i="35" s="1"/>
  <c r="B149" i="35"/>
  <c r="B147" i="35" s="1"/>
  <c r="B126" i="35"/>
  <c r="B124" i="35" s="1"/>
  <c r="C154" i="35"/>
  <c r="C152" i="35" s="1"/>
  <c r="C83" i="35"/>
  <c r="C81" i="35" s="1"/>
  <c r="B83" i="35"/>
  <c r="B81" i="35" s="1"/>
  <c r="B169" i="35"/>
  <c r="B167" i="35" s="1"/>
  <c r="C32" i="35"/>
  <c r="C30" i="35" s="1"/>
  <c r="D88" i="35"/>
  <c r="D86" i="35" s="1"/>
  <c r="B50" i="71"/>
  <c r="B71" i="71"/>
  <c r="C76" i="71"/>
  <c r="C34" i="71"/>
  <c r="B79" i="71"/>
  <c r="C88" i="71"/>
  <c r="B31" i="71"/>
  <c r="B43" i="71"/>
  <c r="B79" i="33"/>
  <c r="B71" i="33"/>
  <c r="D82" i="33"/>
  <c r="B58" i="33"/>
  <c r="C37" i="33"/>
  <c r="B88" i="33"/>
  <c r="C85" i="33"/>
  <c r="B76" i="33"/>
  <c r="F64" i="32"/>
  <c r="D40" i="32"/>
  <c r="C34" i="32"/>
  <c r="C64" i="32"/>
  <c r="B73" i="32"/>
  <c r="D64" i="32"/>
  <c r="E64" i="32"/>
  <c r="B76" i="32"/>
  <c r="B61" i="32"/>
  <c r="B29" i="32"/>
  <c r="F112" i="31"/>
  <c r="E132" i="31"/>
  <c r="E145" i="31"/>
  <c r="E160" i="31"/>
  <c r="E13" i="31"/>
  <c r="H28" i="31"/>
  <c r="D61" i="31"/>
  <c r="B74" i="31"/>
  <c r="B78" i="31"/>
  <c r="B83" i="31"/>
  <c r="B81" i="31" s="1"/>
  <c r="I94" i="31"/>
  <c r="F104" i="31"/>
  <c r="E126" i="31"/>
  <c r="E124" i="31" s="1"/>
  <c r="D99" i="31"/>
  <c r="E122" i="31"/>
  <c r="D121" i="31"/>
  <c r="D119" i="31" s="1"/>
  <c r="G126" i="31"/>
  <c r="G124" i="31" s="1"/>
  <c r="H127" i="31"/>
  <c r="F84" i="31"/>
  <c r="D71" i="31"/>
  <c r="C45" i="31"/>
  <c r="C43" i="31" s="1"/>
  <c r="F33" i="31"/>
  <c r="D18" i="31"/>
  <c r="F126" i="31"/>
  <c r="F124" i="31" s="1"/>
  <c r="F23" i="31"/>
  <c r="D137" i="31"/>
  <c r="E38" i="31"/>
  <c r="E46" i="31"/>
  <c r="D45" i="31"/>
  <c r="D43" i="31" s="1"/>
  <c r="E51" i="31"/>
  <c r="D79" i="31"/>
  <c r="D165" i="31"/>
  <c r="E170" i="31"/>
  <c r="D56" i="31"/>
  <c r="G155" i="31"/>
  <c r="C121" i="31"/>
  <c r="C119" i="31" s="1"/>
  <c r="F150" i="31"/>
  <c r="D126" i="31"/>
  <c r="D124" i="31" s="1"/>
  <c r="D65" i="31"/>
  <c r="D63" i="31" s="1"/>
  <c r="E66" i="31"/>
  <c r="E89" i="31"/>
  <c r="B116" i="31"/>
  <c r="B114" i="31" s="1"/>
  <c r="B107" i="31"/>
  <c r="B41" i="31"/>
  <c r="C65" i="31"/>
  <c r="C63" i="31" s="1"/>
  <c r="C116" i="31"/>
  <c r="C114" i="31" s="1"/>
  <c r="D117" i="31"/>
  <c r="B171" i="42" l="1"/>
  <c r="B166" i="42" s="1"/>
  <c r="E111" i="31"/>
  <c r="E109" i="31" s="1"/>
  <c r="K161" i="38"/>
  <c r="C193" i="41"/>
  <c r="K163" i="38"/>
  <c r="K170" i="38" s="1"/>
  <c r="B126" i="42"/>
  <c r="N71" i="75"/>
  <c r="L30" i="75"/>
  <c r="L72" i="75"/>
  <c r="M49" i="75"/>
  <c r="M51" i="75" s="1"/>
  <c r="N52" i="75"/>
  <c r="N54" i="75" s="1"/>
  <c r="M31" i="75"/>
  <c r="M29" i="75"/>
  <c r="N29" i="75" s="1"/>
  <c r="N32" i="75"/>
  <c r="L97" i="75"/>
  <c r="L91" i="75" s="1"/>
  <c r="L92" i="75"/>
  <c r="N92" i="75" s="1"/>
  <c r="N82" i="75"/>
  <c r="N84" i="75" s="1"/>
  <c r="M70" i="75"/>
  <c r="M72" i="75" s="1"/>
  <c r="K93" i="75"/>
  <c r="L51" i="75"/>
  <c r="N49" i="75"/>
  <c r="N51" i="75" s="1"/>
  <c r="M8" i="75"/>
  <c r="M10" i="75"/>
  <c r="M7" i="75" s="1"/>
  <c r="N11" i="75"/>
  <c r="K5" i="75"/>
  <c r="K7" i="75"/>
  <c r="L10" i="75"/>
  <c r="L7" i="75" s="1"/>
  <c r="L8" i="75"/>
  <c r="M91" i="75"/>
  <c r="N94" i="75"/>
  <c r="N96" i="75" s="1"/>
  <c r="L4" i="76"/>
  <c r="L6" i="76" s="1"/>
  <c r="M7" i="76"/>
  <c r="N10" i="76"/>
  <c r="N12" i="76" s="1"/>
  <c r="M5" i="76"/>
  <c r="M28" i="76"/>
  <c r="N31" i="76"/>
  <c r="N33" i="76" s="1"/>
  <c r="M93" i="76"/>
  <c r="N91" i="76"/>
  <c r="M51" i="76"/>
  <c r="N49" i="76"/>
  <c r="N51" i="76" s="1"/>
  <c r="G108" i="74"/>
  <c r="D99" i="74"/>
  <c r="E96" i="74"/>
  <c r="G111" i="74"/>
  <c r="G109" i="74" s="1"/>
  <c r="H108" i="74"/>
  <c r="E105" i="74"/>
  <c r="F102" i="74"/>
  <c r="D78" i="74"/>
  <c r="E75" i="74"/>
  <c r="G90" i="74"/>
  <c r="H87" i="74"/>
  <c r="E84" i="74"/>
  <c r="F81" i="74"/>
  <c r="D57" i="74"/>
  <c r="E54" i="74"/>
  <c r="D63" i="74"/>
  <c r="E60" i="74"/>
  <c r="F66" i="74"/>
  <c r="E69" i="74"/>
  <c r="D36" i="74"/>
  <c r="E33" i="74"/>
  <c r="E48" i="74"/>
  <c r="F45" i="74"/>
  <c r="D42" i="74"/>
  <c r="E39" i="74"/>
  <c r="E27" i="74"/>
  <c r="F24" i="74"/>
  <c r="E21" i="74"/>
  <c r="F18" i="74"/>
  <c r="K12" i="74"/>
  <c r="J15" i="74"/>
  <c r="C164" i="35"/>
  <c r="C162" i="35" s="1"/>
  <c r="D163" i="35"/>
  <c r="D164" i="35" s="1"/>
  <c r="D162" i="35" s="1"/>
  <c r="C209" i="37"/>
  <c r="C204" i="37" s="1"/>
  <c r="C210" i="37" s="1"/>
  <c r="C226" i="41"/>
  <c r="N226" i="41" s="1"/>
  <c r="C225" i="41"/>
  <c r="D223" i="41"/>
  <c r="B220" i="41"/>
  <c r="C216" i="41"/>
  <c r="D216" i="41" s="1"/>
  <c r="E216" i="41" s="1"/>
  <c r="B195" i="42"/>
  <c r="B190" i="42" s="1"/>
  <c r="C188" i="37"/>
  <c r="C193" i="37"/>
  <c r="C190" i="37" s="1"/>
  <c r="C196" i="37" s="1"/>
  <c r="C185" i="37"/>
  <c r="C180" i="37" s="1"/>
  <c r="C186" i="37" s="1"/>
  <c r="C199" i="41"/>
  <c r="N199" i="41" s="1"/>
  <c r="D196" i="41"/>
  <c r="C198" i="41"/>
  <c r="B173" i="37"/>
  <c r="B179" i="37" s="1"/>
  <c r="C131" i="35"/>
  <c r="C129" i="35" s="1"/>
  <c r="D130" i="35"/>
  <c r="D131" i="35" s="1"/>
  <c r="D129" i="35" s="1"/>
  <c r="B85" i="32"/>
  <c r="B131" i="31"/>
  <c r="B129" i="31" s="1"/>
  <c r="B85" i="71"/>
  <c r="B70" i="71" s="1"/>
  <c r="B72" i="71" s="1"/>
  <c r="B71" i="32"/>
  <c r="D189" i="41"/>
  <c r="D193" i="41" s="1"/>
  <c r="D187" i="41" s="1"/>
  <c r="D190" i="41"/>
  <c r="E188" i="41"/>
  <c r="F188" i="41" s="1"/>
  <c r="G188" i="41" s="1"/>
  <c r="B82" i="32"/>
  <c r="C162" i="37"/>
  <c r="C159" i="37" s="1"/>
  <c r="C165" i="37" s="1"/>
  <c r="B70" i="33"/>
  <c r="B72" i="33" s="1"/>
  <c r="B79" i="32"/>
  <c r="L163" i="38"/>
  <c r="L170" i="38" s="1"/>
  <c r="E164" i="41"/>
  <c r="F164" i="41" s="1"/>
  <c r="G164" i="41" s="1"/>
  <c r="H164" i="41" s="1"/>
  <c r="I164" i="41" s="1"/>
  <c r="J164" i="41" s="1"/>
  <c r="K164" i="41" s="1"/>
  <c r="L164" i="41" s="1"/>
  <c r="M164" i="41" s="1"/>
  <c r="D166" i="41"/>
  <c r="D169" i="41" s="1"/>
  <c r="D163" i="41" s="1"/>
  <c r="D170" i="41" s="1"/>
  <c r="C169" i="41"/>
  <c r="C163" i="41" s="1"/>
  <c r="C170" i="41" s="1"/>
  <c r="B67" i="71"/>
  <c r="B67" i="32"/>
  <c r="C147" i="41"/>
  <c r="C148" i="41"/>
  <c r="N148" i="41" s="1"/>
  <c r="D145" i="41"/>
  <c r="D147" i="41" s="1"/>
  <c r="B133" i="42"/>
  <c r="B128" i="42" s="1"/>
  <c r="C98" i="31"/>
  <c r="C96" i="31" s="1"/>
  <c r="D64" i="71"/>
  <c r="C50" i="33"/>
  <c r="B64" i="33"/>
  <c r="C124" i="37"/>
  <c r="C126" i="37"/>
  <c r="B61" i="33"/>
  <c r="B119" i="37"/>
  <c r="B117" i="37"/>
  <c r="B58" i="71"/>
  <c r="C88" i="31"/>
  <c r="C86" i="31" s="1"/>
  <c r="B58" i="32"/>
  <c r="B55" i="71"/>
  <c r="B55" i="32"/>
  <c r="D113" i="38"/>
  <c r="C112" i="38"/>
  <c r="C119" i="38" s="1"/>
  <c r="C52" i="71"/>
  <c r="D53" i="71"/>
  <c r="E53" i="71" s="1"/>
  <c r="F53" i="71" s="1"/>
  <c r="G53" i="71" s="1"/>
  <c r="H53" i="71" s="1"/>
  <c r="I53" i="71" s="1"/>
  <c r="J53" i="71" s="1"/>
  <c r="K53" i="71" s="1"/>
  <c r="L53" i="71" s="1"/>
  <c r="M53" i="71" s="1"/>
  <c r="B52" i="33"/>
  <c r="B50" i="33"/>
  <c r="B52" i="32"/>
  <c r="B49" i="32" s="1"/>
  <c r="B51" i="32" s="1"/>
  <c r="B95" i="37"/>
  <c r="B93" i="37"/>
  <c r="B46" i="71"/>
  <c r="B70" i="31"/>
  <c r="B68" i="31" s="1"/>
  <c r="D94" i="41"/>
  <c r="D96" i="41" s="1"/>
  <c r="C96" i="41"/>
  <c r="B94" i="36"/>
  <c r="B43" i="33"/>
  <c r="B40" i="33"/>
  <c r="B28" i="33" s="1"/>
  <c r="B30" i="33" s="1"/>
  <c r="B60" i="31"/>
  <c r="B58" i="31" s="1"/>
  <c r="C40" i="71"/>
  <c r="C74" i="37"/>
  <c r="C55" i="35"/>
  <c r="C53" i="35" s="1"/>
  <c r="D54" i="35"/>
  <c r="D55" i="35" s="1"/>
  <c r="D53" i="35" s="1"/>
  <c r="B30" i="32"/>
  <c r="B37" i="71"/>
  <c r="B55" i="31"/>
  <c r="B53" i="31" s="1"/>
  <c r="C67" i="37"/>
  <c r="C62" i="37" s="1"/>
  <c r="C68" i="37" s="1"/>
  <c r="C50" i="35"/>
  <c r="C48" i="35" s="1"/>
  <c r="D49" i="35"/>
  <c r="B50" i="31"/>
  <c r="B48" i="31" s="1"/>
  <c r="C64" i="41"/>
  <c r="D62" i="41"/>
  <c r="C65" i="41"/>
  <c r="N65" i="41" s="1"/>
  <c r="B68" i="41"/>
  <c r="B61" i="41"/>
  <c r="B61" i="36"/>
  <c r="C67" i="41"/>
  <c r="C61" i="41" s="1"/>
  <c r="C68" i="41" s="1"/>
  <c r="C53" i="37"/>
  <c r="C60" i="37"/>
  <c r="C55" i="37" s="1"/>
  <c r="B29" i="71"/>
  <c r="C52" i="41"/>
  <c r="C50" i="37"/>
  <c r="B45" i="37"/>
  <c r="B51" i="37" s="1"/>
  <c r="C37" i="35"/>
  <c r="C35" i="35" s="1"/>
  <c r="D36" i="35"/>
  <c r="D37" i="35" s="1"/>
  <c r="D35" i="35" s="1"/>
  <c r="C46" i="41"/>
  <c r="N46" i="41" s="1"/>
  <c r="C45" i="41"/>
  <c r="D43" i="41"/>
  <c r="D45" i="41" s="1"/>
  <c r="C34" i="36"/>
  <c r="B34" i="36"/>
  <c r="D34" i="36"/>
  <c r="C36" i="37"/>
  <c r="C34" i="37"/>
  <c r="E34" i="36"/>
  <c r="F34" i="36"/>
  <c r="B24" i="37"/>
  <c r="L22" i="36"/>
  <c r="G191" i="38"/>
  <c r="G184" i="38"/>
  <c r="F82" i="38"/>
  <c r="F89" i="38"/>
  <c r="E251" i="38"/>
  <c r="E258" i="38"/>
  <c r="E259" i="38" s="1"/>
  <c r="K105" i="38"/>
  <c r="J106" i="38"/>
  <c r="B163" i="38"/>
  <c r="B170" i="38"/>
  <c r="D95" i="38"/>
  <c r="K227" i="38"/>
  <c r="L226" i="38"/>
  <c r="B222" i="38"/>
  <c r="G46" i="38"/>
  <c r="G39" i="38"/>
  <c r="H97" i="38"/>
  <c r="H90" i="38"/>
  <c r="C46" i="38"/>
  <c r="C39" i="38"/>
  <c r="B69" i="38"/>
  <c r="B42" i="38"/>
  <c r="J235" i="38"/>
  <c r="J242" i="38"/>
  <c r="K234" i="38"/>
  <c r="E197" i="38"/>
  <c r="K149" i="38"/>
  <c r="L148" i="38"/>
  <c r="B89" i="38"/>
  <c r="N81" i="38"/>
  <c r="B82" i="38"/>
  <c r="D36" i="38"/>
  <c r="N74" i="38"/>
  <c r="E98" i="38"/>
  <c r="E105" i="38"/>
  <c r="E106" i="38" s="1"/>
  <c r="D212" i="38"/>
  <c r="B55" i="38"/>
  <c r="C171" i="38"/>
  <c r="L212" i="38"/>
  <c r="H216" i="38"/>
  <c r="G220" i="38"/>
  <c r="N176" i="38"/>
  <c r="L199" i="38"/>
  <c r="K200" i="38"/>
  <c r="D214" i="38"/>
  <c r="J39" i="38"/>
  <c r="J46" i="38"/>
  <c r="K38" i="38"/>
  <c r="G118" i="38"/>
  <c r="H114" i="38"/>
  <c r="C221" i="38"/>
  <c r="B68" i="38"/>
  <c r="B61" i="38"/>
  <c r="L89" i="38"/>
  <c r="K90" i="38"/>
  <c r="C169" i="38"/>
  <c r="C163" i="38" s="1"/>
  <c r="D165" i="38"/>
  <c r="C260" i="38"/>
  <c r="C254" i="38" s="1"/>
  <c r="D256" i="38"/>
  <c r="H140" i="38"/>
  <c r="H133" i="38"/>
  <c r="D44" i="38"/>
  <c r="D232" i="38"/>
  <c r="C236" i="38"/>
  <c r="C230" i="38" s="1"/>
  <c r="F140" i="38"/>
  <c r="F133" i="38"/>
  <c r="N133" i="38" s="1"/>
  <c r="E130" i="38"/>
  <c r="D134" i="38"/>
  <c r="D128" i="38" s="1"/>
  <c r="J208" i="38"/>
  <c r="K207" i="38"/>
  <c r="B148" i="38"/>
  <c r="B141" i="38"/>
  <c r="B236" i="38"/>
  <c r="F126" i="38"/>
  <c r="F120" i="38" s="1"/>
  <c r="G122" i="38"/>
  <c r="C185" i="38"/>
  <c r="C179" i="38" s="1"/>
  <c r="D181" i="38"/>
  <c r="G87" i="38"/>
  <c r="B243" i="38"/>
  <c r="B244" i="38"/>
  <c r="B250" i="38"/>
  <c r="B179" i="38"/>
  <c r="G82" i="38"/>
  <c r="G89" i="38"/>
  <c r="C251" i="38"/>
  <c r="C252" i="38" s="1"/>
  <c r="C246" i="38" s="1"/>
  <c r="C258" i="38"/>
  <c r="C259" i="38" s="1"/>
  <c r="J157" i="38"/>
  <c r="K156" i="38"/>
  <c r="B32" i="38"/>
  <c r="D191" i="38"/>
  <c r="D184" i="38"/>
  <c r="C141" i="38"/>
  <c r="C148" i="38"/>
  <c r="C75" i="38"/>
  <c r="C69" i="38" s="1"/>
  <c r="D71" i="38"/>
  <c r="K31" i="38"/>
  <c r="L30" i="38"/>
  <c r="E173" i="38"/>
  <c r="D177" i="38"/>
  <c r="D171" i="38" s="1"/>
  <c r="G140" i="38"/>
  <c r="G133" i="38"/>
  <c r="C32" i="38"/>
  <c r="D28" i="38"/>
  <c r="I39" i="38"/>
  <c r="I46" i="38"/>
  <c r="D243" i="38"/>
  <c r="D250" i="38"/>
  <c r="D46" i="38"/>
  <c r="D39" i="38"/>
  <c r="C193" i="38"/>
  <c r="C187" i="38" s="1"/>
  <c r="D189" i="38"/>
  <c r="D138" i="38"/>
  <c r="C142" i="38"/>
  <c r="C136" i="38" s="1"/>
  <c r="D20" i="38"/>
  <c r="C24" i="38"/>
  <c r="L161" i="38"/>
  <c r="D12" i="38"/>
  <c r="C16" i="38"/>
  <c r="E191" i="38"/>
  <c r="E184" i="38"/>
  <c r="I200" i="38"/>
  <c r="I207" i="38"/>
  <c r="I208" i="38" s="1"/>
  <c r="D52" i="38"/>
  <c r="D244" i="38"/>
  <c r="D238" i="38" s="1"/>
  <c r="B142" i="38"/>
  <c r="H39" i="38"/>
  <c r="H46" i="38"/>
  <c r="F38" i="38"/>
  <c r="F31" i="38"/>
  <c r="B199" i="38"/>
  <c r="B192" i="38"/>
  <c r="D248" i="38"/>
  <c r="E244" i="38"/>
  <c r="E238" i="38" s="1"/>
  <c r="F240" i="38"/>
  <c r="B193" i="38"/>
  <c r="N183" i="38"/>
  <c r="F243" i="38"/>
  <c r="F250" i="38"/>
  <c r="H191" i="38"/>
  <c r="H184" i="38"/>
  <c r="E38" i="38"/>
  <c r="E31" i="38"/>
  <c r="H146" i="38"/>
  <c r="N184" i="38"/>
  <c r="D205" i="38"/>
  <c r="C209" i="38"/>
  <c r="C203" i="38" s="1"/>
  <c r="G79" i="38"/>
  <c r="F83" i="38"/>
  <c r="F77" i="38" s="1"/>
  <c r="E103" i="38"/>
  <c r="D82" i="38"/>
  <c r="D83" i="38" s="1"/>
  <c r="D77" i="38" s="1"/>
  <c r="D89" i="38"/>
  <c r="M212" i="38"/>
  <c r="E140" i="38"/>
  <c r="E133" i="38"/>
  <c r="F191" i="38"/>
  <c r="F184" i="38"/>
  <c r="G243" i="38"/>
  <c r="G250" i="38"/>
  <c r="D63" i="38"/>
  <c r="C67" i="38"/>
  <c r="C61" i="38" s="1"/>
  <c r="C228" i="38"/>
  <c r="C222" i="38" s="1"/>
  <c r="D224" i="38"/>
  <c r="C161" i="38"/>
  <c r="C89" i="38"/>
  <c r="C82" i="38"/>
  <c r="B120" i="38"/>
  <c r="N125" i="38"/>
  <c r="C83" i="38"/>
  <c r="C77" i="38" s="1"/>
  <c r="D141" i="38"/>
  <c r="D148" i="38"/>
  <c r="D154" i="38"/>
  <c r="L97" i="38"/>
  <c r="K98" i="38"/>
  <c r="B134" i="38"/>
  <c r="B42" i="36"/>
  <c r="B37" i="36"/>
  <c r="C84" i="36"/>
  <c r="F42" i="36"/>
  <c r="K76" i="36"/>
  <c r="C42" i="36"/>
  <c r="C37" i="36"/>
  <c r="D52" i="36"/>
  <c r="G76" i="36"/>
  <c r="K22" i="36"/>
  <c r="K27" i="36"/>
  <c r="K25" i="36" s="1"/>
  <c r="M58" i="36"/>
  <c r="M63" i="36"/>
  <c r="K40" i="36"/>
  <c r="K45" i="36"/>
  <c r="G45" i="36"/>
  <c r="G40" i="36"/>
  <c r="F66" i="36"/>
  <c r="G84" i="36"/>
  <c r="H34" i="36"/>
  <c r="J66" i="36"/>
  <c r="D42" i="36"/>
  <c r="D37" i="36"/>
  <c r="G66" i="36"/>
  <c r="C69" i="36"/>
  <c r="C67" i="36" s="1"/>
  <c r="C64" i="36"/>
  <c r="K63" i="36"/>
  <c r="K58" i="36"/>
  <c r="N58" i="36" s="1"/>
  <c r="N60" i="36" s="1"/>
  <c r="H76" i="36"/>
  <c r="L45" i="36"/>
  <c r="L40" i="36"/>
  <c r="E100" i="36"/>
  <c r="E105" i="36"/>
  <c r="E66" i="36"/>
  <c r="J108" i="36"/>
  <c r="L90" i="36"/>
  <c r="L85" i="36"/>
  <c r="B84" i="36"/>
  <c r="C105" i="36"/>
  <c r="C100" i="36"/>
  <c r="E22" i="36"/>
  <c r="E27" i="36"/>
  <c r="E25" i="36" s="1"/>
  <c r="J16" i="36"/>
  <c r="K90" i="36"/>
  <c r="K88" i="36" s="1"/>
  <c r="K85" i="36"/>
  <c r="I111" i="36"/>
  <c r="I109" i="36" s="1"/>
  <c r="J22" i="36"/>
  <c r="J27" i="36"/>
  <c r="J25" i="36" s="1"/>
  <c r="B105" i="36"/>
  <c r="B100" i="36"/>
  <c r="I76" i="36"/>
  <c r="J40" i="36"/>
  <c r="J45" i="36"/>
  <c r="M27" i="36"/>
  <c r="M25" i="36" s="1"/>
  <c r="M22" i="36"/>
  <c r="L108" i="36"/>
  <c r="M45" i="36"/>
  <c r="M40" i="36"/>
  <c r="D76" i="36"/>
  <c r="H16" i="36"/>
  <c r="H21" i="36"/>
  <c r="C73" i="36"/>
  <c r="E40" i="36"/>
  <c r="E45" i="36"/>
  <c r="F16" i="36"/>
  <c r="F21" i="36"/>
  <c r="G16" i="36"/>
  <c r="G21" i="36"/>
  <c r="G111" i="36"/>
  <c r="G109" i="36" s="1"/>
  <c r="F87" i="36"/>
  <c r="F82" i="36"/>
  <c r="M85" i="36"/>
  <c r="M90" i="36"/>
  <c r="M88" i="36" s="1"/>
  <c r="H111" i="36"/>
  <c r="H109" i="36" s="1"/>
  <c r="C22" i="36"/>
  <c r="C27" i="36"/>
  <c r="C25" i="36" s="1"/>
  <c r="D84" i="36"/>
  <c r="I22" i="36"/>
  <c r="I27" i="36"/>
  <c r="I25" i="36" s="1"/>
  <c r="F111" i="36"/>
  <c r="F109" i="36" s="1"/>
  <c r="K108" i="36"/>
  <c r="M108" i="36"/>
  <c r="H84" i="36"/>
  <c r="L63" i="36"/>
  <c r="L58" i="36"/>
  <c r="D105" i="36"/>
  <c r="D100" i="36"/>
  <c r="I84" i="36"/>
  <c r="H66" i="36"/>
  <c r="C76" i="36"/>
  <c r="H100" i="36"/>
  <c r="G100" i="36"/>
  <c r="J84" i="36"/>
  <c r="E76" i="36"/>
  <c r="E87" i="36"/>
  <c r="E82" i="36"/>
  <c r="I40" i="36"/>
  <c r="I45" i="36"/>
  <c r="D24" i="36"/>
  <c r="D19" i="36"/>
  <c r="H48" i="36"/>
  <c r="H46" i="36" s="1"/>
  <c r="H43" i="36"/>
  <c r="D206" i="41"/>
  <c r="I165" i="41"/>
  <c r="E170" i="41"/>
  <c r="D130" i="41"/>
  <c r="C134" i="41"/>
  <c r="C128" i="41" s="1"/>
  <c r="C250" i="41"/>
  <c r="N250" i="41" s="1"/>
  <c r="C249" i="41"/>
  <c r="D257" i="41"/>
  <c r="D131" i="41"/>
  <c r="B128" i="41"/>
  <c r="G88" i="41"/>
  <c r="B185" i="41"/>
  <c r="C181" i="41"/>
  <c r="C248" i="41"/>
  <c r="B252" i="41"/>
  <c r="B230" i="41"/>
  <c r="D146" i="41"/>
  <c r="B50" i="41"/>
  <c r="E197" i="41"/>
  <c r="D201" i="41"/>
  <c r="D195" i="41" s="1"/>
  <c r="B144" i="41"/>
  <c r="C187" i="41"/>
  <c r="D52" i="41"/>
  <c r="N66" i="41"/>
  <c r="B142" i="41"/>
  <c r="C138" i="41"/>
  <c r="B222" i="41"/>
  <c r="C173" i="41"/>
  <c r="B177" i="41"/>
  <c r="D256" i="41"/>
  <c r="C260" i="41"/>
  <c r="C254" i="41" s="1"/>
  <c r="C139" i="41"/>
  <c r="C140" i="41"/>
  <c r="N140" i="41" s="1"/>
  <c r="B158" i="41"/>
  <c r="C154" i="41"/>
  <c r="C175" i="41"/>
  <c r="N175" i="41" s="1"/>
  <c r="C174" i="41"/>
  <c r="C161" i="41"/>
  <c r="C54" i="41"/>
  <c r="N54" i="41" s="1"/>
  <c r="C53" i="41"/>
  <c r="C56" i="41" s="1"/>
  <c r="C155" i="41"/>
  <c r="C156" i="41"/>
  <c r="N156" i="41" s="1"/>
  <c r="E99" i="41"/>
  <c r="E93" i="41" s="1"/>
  <c r="F95" i="41"/>
  <c r="C91" i="41"/>
  <c r="C85" i="41" s="1"/>
  <c r="D87" i="41"/>
  <c r="B254" i="41"/>
  <c r="C38" i="41"/>
  <c r="N38" i="41" s="1"/>
  <c r="C37" i="41"/>
  <c r="C71" i="41"/>
  <c r="B75" i="41"/>
  <c r="B85" i="41"/>
  <c r="B42" i="41"/>
  <c r="C73" i="41"/>
  <c r="N73" i="41" s="1"/>
  <c r="C72" i="41"/>
  <c r="C30" i="41"/>
  <c r="N30" i="41" s="1"/>
  <c r="C29" i="41"/>
  <c r="B32" i="41"/>
  <c r="C28" i="41"/>
  <c r="M4" i="41"/>
  <c r="D232" i="41"/>
  <c r="C236" i="41"/>
  <c r="C230" i="41" s="1"/>
  <c r="C59" i="41"/>
  <c r="D198" i="41"/>
  <c r="D36" i="41"/>
  <c r="G233" i="41"/>
  <c r="D44" i="41"/>
  <c r="C48" i="41"/>
  <c r="C42" i="41" s="1"/>
  <c r="H147" i="41"/>
  <c r="D182" i="41"/>
  <c r="D217" i="41"/>
  <c r="D212" i="41"/>
  <c r="B203" i="41"/>
  <c r="B34" i="41"/>
  <c r="C241" i="41"/>
  <c r="C242" i="41"/>
  <c r="N242" i="41" s="1"/>
  <c r="D205" i="41"/>
  <c r="C209" i="41"/>
  <c r="C203" i="41" s="1"/>
  <c r="C240" i="41"/>
  <c r="B244" i="41"/>
  <c r="N168" i="41"/>
  <c r="N97" i="41"/>
  <c r="C99" i="41"/>
  <c r="E67" i="41"/>
  <c r="E61" i="41" s="1"/>
  <c r="F63" i="41"/>
  <c r="D224" i="41"/>
  <c r="H45" i="41"/>
  <c r="D72" i="37"/>
  <c r="E71" i="37"/>
  <c r="H102" i="37"/>
  <c r="B127" i="37"/>
  <c r="D157" i="37"/>
  <c r="C43" i="37"/>
  <c r="C41" i="37"/>
  <c r="F206" i="37"/>
  <c r="B165" i="37"/>
  <c r="G33" i="37"/>
  <c r="B83" i="37"/>
  <c r="G109" i="37"/>
  <c r="B55" i="37"/>
  <c r="C197" i="37"/>
  <c r="C187" i="37" s="1"/>
  <c r="C189" i="37" s="1"/>
  <c r="D195" i="37"/>
  <c r="D188" i="37"/>
  <c r="B30" i="37"/>
  <c r="B37" i="37"/>
  <c r="E154" i="37"/>
  <c r="D155" i="37"/>
  <c r="I199" i="37"/>
  <c r="E19" i="37"/>
  <c r="D193" i="37"/>
  <c r="G192" i="37"/>
  <c r="F161" i="37"/>
  <c r="F26" i="37"/>
  <c r="D202" i="37"/>
  <c r="D200" i="37"/>
  <c r="D197" i="37" s="1"/>
  <c r="D203" i="37" s="1"/>
  <c r="B186" i="37"/>
  <c r="G147" i="37"/>
  <c r="E130" i="37"/>
  <c r="C143" i="37"/>
  <c r="C148" i="37"/>
  <c r="C150" i="37"/>
  <c r="C133" i="37"/>
  <c r="C128" i="37" s="1"/>
  <c r="C134" i="37" s="1"/>
  <c r="D131" i="37"/>
  <c r="C140" i="37"/>
  <c r="C138" i="37"/>
  <c r="C95" i="37"/>
  <c r="F175" i="37"/>
  <c r="B158" i="37"/>
  <c r="C225" i="37"/>
  <c r="B75" i="37"/>
  <c r="D48" i="37"/>
  <c r="E47" i="37"/>
  <c r="E227" i="37"/>
  <c r="D228" i="37"/>
  <c r="C216" i="37"/>
  <c r="C214" i="37"/>
  <c r="C211" i="37" s="1"/>
  <c r="C217" i="37" s="1"/>
  <c r="B166" i="37"/>
  <c r="C45" i="37"/>
  <c r="B187" i="37"/>
  <c r="B196" i="37"/>
  <c r="E85" i="37"/>
  <c r="C171" i="37"/>
  <c r="D65" i="37"/>
  <c r="E64" i="37"/>
  <c r="B210" i="37"/>
  <c r="D86" i="37"/>
  <c r="C88" i="37"/>
  <c r="B44" i="37"/>
  <c r="D230" i="37"/>
  <c r="F213" i="37"/>
  <c r="E57" i="37"/>
  <c r="D58" i="37"/>
  <c r="B62" i="37"/>
  <c r="D183" i="37"/>
  <c r="E182" i="37"/>
  <c r="C29" i="37"/>
  <c r="C27" i="37"/>
  <c r="D178" i="37"/>
  <c r="E176" i="37"/>
  <c r="F220" i="37"/>
  <c r="H137" i="37"/>
  <c r="B134" i="37"/>
  <c r="B145" i="37"/>
  <c r="F92" i="37"/>
  <c r="F40" i="37"/>
  <c r="D176" i="37"/>
  <c r="F123" i="37"/>
  <c r="C152" i="37"/>
  <c r="C158" i="37" s="1"/>
  <c r="K116" i="37"/>
  <c r="G78" i="37"/>
  <c r="B218" i="37"/>
  <c r="E12" i="37"/>
  <c r="B141" i="37"/>
  <c r="C221" i="37"/>
  <c r="C223" i="37"/>
  <c r="B211" i="37"/>
  <c r="C69" i="37"/>
  <c r="C75" i="37" s="1"/>
  <c r="F168" i="37"/>
  <c r="C66" i="42"/>
  <c r="B43" i="42"/>
  <c r="C49" i="42"/>
  <c r="B29" i="42"/>
  <c r="N26" i="42"/>
  <c r="C139" i="42"/>
  <c r="E53" i="42"/>
  <c r="D53" i="42"/>
  <c r="C60" i="42"/>
  <c r="C55" i="42" s="1"/>
  <c r="D59" i="42"/>
  <c r="D95" i="42"/>
  <c r="D90" i="42" s="1"/>
  <c r="E94" i="42"/>
  <c r="C119" i="42"/>
  <c r="C114" i="42" s="1"/>
  <c r="D118" i="42"/>
  <c r="C53" i="42"/>
  <c r="N64" i="42"/>
  <c r="B67" i="42"/>
  <c r="C195" i="42"/>
  <c r="C190" i="42" s="1"/>
  <c r="D194" i="42"/>
  <c r="E215" i="42"/>
  <c r="D216" i="42"/>
  <c r="D211" i="42" s="1"/>
  <c r="D143" i="42"/>
  <c r="N137" i="42"/>
  <c r="B140" i="42"/>
  <c r="B223" i="42"/>
  <c r="N220" i="42"/>
  <c r="N147" i="42"/>
  <c r="B150" i="42"/>
  <c r="C222" i="42"/>
  <c r="C28" i="42"/>
  <c r="C87" i="42"/>
  <c r="C163" i="42"/>
  <c r="B209" i="42"/>
  <c r="N206" i="42"/>
  <c r="B211" i="42"/>
  <c r="B60" i="42"/>
  <c r="N57" i="42"/>
  <c r="C150" i="42"/>
  <c r="C145" i="42" s="1"/>
  <c r="D149" i="42"/>
  <c r="C171" i="42"/>
  <c r="D170" i="42"/>
  <c r="D133" i="42"/>
  <c r="E132" i="42"/>
  <c r="C156" i="42"/>
  <c r="C42" i="42"/>
  <c r="C201" i="42"/>
  <c r="D230" i="42"/>
  <c r="D225" i="42" s="1"/>
  <c r="E229" i="42"/>
  <c r="N154" i="42"/>
  <c r="B157" i="42"/>
  <c r="E208" i="42"/>
  <c r="D209" i="42"/>
  <c r="D204" i="42" s="1"/>
  <c r="B121" i="42"/>
  <c r="B119" i="42"/>
  <c r="N116" i="42"/>
  <c r="C177" i="42"/>
  <c r="C73" i="42"/>
  <c r="C188" i="42"/>
  <c r="B225" i="42"/>
  <c r="D185" i="42"/>
  <c r="D180" i="42" s="1"/>
  <c r="E184" i="42"/>
  <c r="C35" i="42"/>
  <c r="N176" i="42"/>
  <c r="B178" i="42"/>
  <c r="N33" i="42"/>
  <c r="B36" i="42"/>
  <c r="B74" i="42"/>
  <c r="N71" i="42"/>
  <c r="C125" i="42"/>
  <c r="B88" i="42"/>
  <c r="B185" i="42"/>
  <c r="B164" i="42"/>
  <c r="N48" i="42"/>
  <c r="B50" i="42"/>
  <c r="B202" i="42"/>
  <c r="C93" i="35"/>
  <c r="C91" i="35" s="1"/>
  <c r="D159" i="35"/>
  <c r="D157" i="35" s="1"/>
  <c r="C126" i="35"/>
  <c r="C124" i="35" s="1"/>
  <c r="C78" i="35"/>
  <c r="C76" i="35" s="1"/>
  <c r="C70" i="35"/>
  <c r="C68" i="35" s="1"/>
  <c r="C169" i="35"/>
  <c r="C167" i="35" s="1"/>
  <c r="B139" i="35"/>
  <c r="C121" i="35"/>
  <c r="C119" i="35" s="1"/>
  <c r="C144" i="35"/>
  <c r="C142" i="35" s="1"/>
  <c r="C139" i="35" s="1"/>
  <c r="C140" i="35"/>
  <c r="C65" i="35"/>
  <c r="C63" i="35" s="1"/>
  <c r="E37" i="35"/>
  <c r="E35" i="35" s="1"/>
  <c r="D154" i="35"/>
  <c r="D152" i="35" s="1"/>
  <c r="E164" i="35"/>
  <c r="E162" i="35" s="1"/>
  <c r="C45" i="35"/>
  <c r="C43" i="35" s="1"/>
  <c r="C41" i="35"/>
  <c r="B40" i="35"/>
  <c r="D32" i="35"/>
  <c r="D30" i="35" s="1"/>
  <c r="C136" i="35"/>
  <c r="C134" i="35" s="1"/>
  <c r="C149" i="35"/>
  <c r="C147" i="35" s="1"/>
  <c r="E88" i="35"/>
  <c r="E86" i="35" s="1"/>
  <c r="D83" i="35"/>
  <c r="D81" i="35" s="1"/>
  <c r="E55" i="35"/>
  <c r="E53" i="35" s="1"/>
  <c r="D116" i="35"/>
  <c r="D114" i="35" s="1"/>
  <c r="C60" i="35"/>
  <c r="C58" i="35" s="1"/>
  <c r="G131" i="35"/>
  <c r="G129" i="35" s="1"/>
  <c r="C27" i="35"/>
  <c r="C25" i="35" s="1"/>
  <c r="C61" i="71"/>
  <c r="C43" i="71"/>
  <c r="C82" i="71"/>
  <c r="C55" i="71"/>
  <c r="D34" i="71"/>
  <c r="C71" i="71"/>
  <c r="C73" i="71"/>
  <c r="D88" i="71"/>
  <c r="C79" i="71"/>
  <c r="B49" i="71"/>
  <c r="B28" i="71"/>
  <c r="C50" i="71"/>
  <c r="D76" i="71"/>
  <c r="C71" i="33"/>
  <c r="C73" i="33"/>
  <c r="C31" i="33"/>
  <c r="C29" i="33"/>
  <c r="C52" i="33"/>
  <c r="D88" i="33"/>
  <c r="C34" i="33"/>
  <c r="D85" i="33"/>
  <c r="D37" i="33"/>
  <c r="C67" i="33"/>
  <c r="C79" i="33"/>
  <c r="E82" i="33"/>
  <c r="C58" i="33"/>
  <c r="D55" i="33"/>
  <c r="C46" i="33"/>
  <c r="D76" i="33"/>
  <c r="C43" i="32"/>
  <c r="C29" i="32"/>
  <c r="C31" i="32"/>
  <c r="G64" i="32"/>
  <c r="C61" i="32"/>
  <c r="C76" i="32"/>
  <c r="B70" i="32"/>
  <c r="C46" i="32"/>
  <c r="D34" i="32"/>
  <c r="E40" i="32"/>
  <c r="C37" i="32"/>
  <c r="C88" i="32"/>
  <c r="C73" i="32"/>
  <c r="C71" i="32"/>
  <c r="F122" i="31"/>
  <c r="E121" i="31"/>
  <c r="E119" i="31" s="1"/>
  <c r="C83" i="31"/>
  <c r="C81" i="31" s="1"/>
  <c r="D93" i="31"/>
  <c r="D91" i="31" s="1"/>
  <c r="E99" i="31"/>
  <c r="D98" i="31"/>
  <c r="D96" i="31" s="1"/>
  <c r="F89" i="31"/>
  <c r="C136" i="31"/>
  <c r="C134" i="31" s="1"/>
  <c r="E137" i="31"/>
  <c r="D136" i="31"/>
  <c r="D134" i="31" s="1"/>
  <c r="E71" i="31"/>
  <c r="E56" i="31"/>
  <c r="E61" i="31"/>
  <c r="F170" i="31"/>
  <c r="I28" i="31"/>
  <c r="F51" i="31"/>
  <c r="F145" i="31"/>
  <c r="F46" i="31"/>
  <c r="E45" i="31"/>
  <c r="E43" i="31" s="1"/>
  <c r="B73" i="31"/>
  <c r="B106" i="31"/>
  <c r="F38" i="31"/>
  <c r="E18" i="31"/>
  <c r="H155" i="31"/>
  <c r="F132" i="31"/>
  <c r="F66" i="31"/>
  <c r="E65" i="31"/>
  <c r="E63" i="31" s="1"/>
  <c r="G112" i="31"/>
  <c r="G104" i="31"/>
  <c r="G84" i="31"/>
  <c r="C103" i="31"/>
  <c r="C101" i="31" s="1"/>
  <c r="J94" i="31"/>
  <c r="E165" i="31"/>
  <c r="G23" i="31"/>
  <c r="C74" i="31"/>
  <c r="G150" i="31"/>
  <c r="G33" i="31"/>
  <c r="C107" i="31"/>
  <c r="D116" i="31"/>
  <c r="D114" i="31" s="1"/>
  <c r="E117" i="31"/>
  <c r="E79" i="31"/>
  <c r="F13" i="31"/>
  <c r="H126" i="31"/>
  <c r="H124" i="31" s="1"/>
  <c r="I127" i="31"/>
  <c r="F160" i="31"/>
  <c r="C93" i="31"/>
  <c r="C91" i="31" s="1"/>
  <c r="C78" i="31"/>
  <c r="C76" i="31" s="1"/>
  <c r="C220" i="41" l="1"/>
  <c r="E189" i="41"/>
  <c r="C201" i="41"/>
  <c r="C195" i="41" s="1"/>
  <c r="C121" i="37"/>
  <c r="C127" i="37" s="1"/>
  <c r="C150" i="41"/>
  <c r="C144" i="41" s="1"/>
  <c r="D52" i="71"/>
  <c r="N97" i="75"/>
  <c r="N99" i="75" s="1"/>
  <c r="M5" i="75"/>
  <c r="L5" i="75"/>
  <c r="M28" i="75"/>
  <c r="M4" i="75" s="1"/>
  <c r="N31" i="75"/>
  <c r="N33" i="75" s="1"/>
  <c r="L93" i="75"/>
  <c r="N70" i="75"/>
  <c r="N72" i="75" s="1"/>
  <c r="L9" i="75"/>
  <c r="L8" i="3"/>
  <c r="L4" i="75"/>
  <c r="N10" i="75"/>
  <c r="N12" i="75" s="1"/>
  <c r="K8" i="3"/>
  <c r="K9" i="75"/>
  <c r="K4" i="75"/>
  <c r="K6" i="75" s="1"/>
  <c r="N8" i="75"/>
  <c r="N9" i="75" s="1"/>
  <c r="M8" i="3"/>
  <c r="M9" i="75"/>
  <c r="D220" i="41"/>
  <c r="D214" i="41" s="1"/>
  <c r="D221" i="41" s="1"/>
  <c r="M93" i="75"/>
  <c r="N91" i="75"/>
  <c r="B196" i="42"/>
  <c r="M30" i="76"/>
  <c r="N28" i="76"/>
  <c r="N30" i="76" s="1"/>
  <c r="M4" i="76"/>
  <c r="M6" i="76" s="1"/>
  <c r="N7" i="76"/>
  <c r="F105" i="74"/>
  <c r="G102" i="74"/>
  <c r="H111" i="74"/>
  <c r="H109" i="74" s="1"/>
  <c r="I108" i="74"/>
  <c r="E99" i="74"/>
  <c r="F96" i="74"/>
  <c r="H90" i="74"/>
  <c r="I87" i="74"/>
  <c r="F84" i="74"/>
  <c r="G81" i="74"/>
  <c r="E78" i="74"/>
  <c r="F75" i="74"/>
  <c r="E63" i="74"/>
  <c r="F60" i="74"/>
  <c r="F69" i="74"/>
  <c r="G66" i="74"/>
  <c r="E57" i="74"/>
  <c r="F54" i="74"/>
  <c r="F48" i="74"/>
  <c r="G45" i="74"/>
  <c r="E42" i="74"/>
  <c r="F39" i="74"/>
  <c r="E36" i="74"/>
  <c r="F33" i="74"/>
  <c r="F27" i="74"/>
  <c r="G24" i="74"/>
  <c r="F21" i="74"/>
  <c r="G18" i="74"/>
  <c r="K15" i="74"/>
  <c r="L12" i="74"/>
  <c r="C211" i="38"/>
  <c r="C213" i="38" s="1"/>
  <c r="D209" i="37"/>
  <c r="D207" i="37"/>
  <c r="D204" i="37" s="1"/>
  <c r="D210" i="37" s="1"/>
  <c r="C228" i="41"/>
  <c r="C222" i="41" s="1"/>
  <c r="D225" i="41"/>
  <c r="D228" i="41" s="1"/>
  <c r="D222" i="41" s="1"/>
  <c r="E223" i="41"/>
  <c r="F223" i="41" s="1"/>
  <c r="G223" i="41" s="1"/>
  <c r="B214" i="41"/>
  <c r="B221" i="41"/>
  <c r="D185" i="37"/>
  <c r="C85" i="71"/>
  <c r="C131" i="31"/>
  <c r="C129" i="31" s="1"/>
  <c r="C85" i="32"/>
  <c r="H188" i="41"/>
  <c r="G190" i="41"/>
  <c r="C82" i="32"/>
  <c r="D164" i="37"/>
  <c r="D162" i="37"/>
  <c r="D159" i="37" s="1"/>
  <c r="D165" i="37" s="1"/>
  <c r="D71" i="32"/>
  <c r="C79" i="32"/>
  <c r="C70" i="32" s="1"/>
  <c r="C72" i="32" s="1"/>
  <c r="C67" i="32"/>
  <c r="C67" i="71"/>
  <c r="B49" i="33"/>
  <c r="B51" i="33" s="1"/>
  <c r="E64" i="71"/>
  <c r="C64" i="33"/>
  <c r="D126" i="37"/>
  <c r="D124" i="37"/>
  <c r="C61" i="33"/>
  <c r="C119" i="37"/>
  <c r="C117" i="37"/>
  <c r="B114" i="37"/>
  <c r="B120" i="37" s="1"/>
  <c r="B121" i="41" s="1"/>
  <c r="C58" i="32"/>
  <c r="D88" i="31"/>
  <c r="D86" i="31" s="1"/>
  <c r="C58" i="71"/>
  <c r="C55" i="32"/>
  <c r="C49" i="32" s="1"/>
  <c r="E113" i="38"/>
  <c r="D110" i="38"/>
  <c r="D112" i="38"/>
  <c r="D119" i="38" s="1"/>
  <c r="C52" i="32"/>
  <c r="C50" i="32"/>
  <c r="D50" i="32"/>
  <c r="B90" i="37"/>
  <c r="B96" i="37" s="1"/>
  <c r="C70" i="31"/>
  <c r="C68" i="31" s="1"/>
  <c r="C46" i="71"/>
  <c r="C29" i="71"/>
  <c r="L88" i="36"/>
  <c r="C94" i="36"/>
  <c r="C43" i="33"/>
  <c r="B71" i="36"/>
  <c r="B79" i="36"/>
  <c r="D40" i="71"/>
  <c r="C60" i="31"/>
  <c r="C58" i="31" s="1"/>
  <c r="B40" i="31"/>
  <c r="B42" i="31" s="1"/>
  <c r="C40" i="33"/>
  <c r="C28" i="33" s="1"/>
  <c r="D74" i="37"/>
  <c r="D69" i="37"/>
  <c r="D75" i="37" s="1"/>
  <c r="C55" i="31"/>
  <c r="C53" i="31" s="1"/>
  <c r="C37" i="71"/>
  <c r="D67" i="37"/>
  <c r="D62" i="37" s="1"/>
  <c r="D68" i="37" s="1"/>
  <c r="E49" i="35"/>
  <c r="D50" i="35"/>
  <c r="D48" i="35" s="1"/>
  <c r="C41" i="31"/>
  <c r="C50" i="31"/>
  <c r="C48" i="31" s="1"/>
  <c r="B55" i="36"/>
  <c r="B49" i="36" s="1"/>
  <c r="B50" i="36"/>
  <c r="C61" i="36"/>
  <c r="E62" i="41"/>
  <c r="F62" i="41" s="1"/>
  <c r="G62" i="41" s="1"/>
  <c r="H62" i="41" s="1"/>
  <c r="I62" i="41" s="1"/>
  <c r="J62" i="41" s="1"/>
  <c r="K62" i="41" s="1"/>
  <c r="L62" i="41" s="1"/>
  <c r="M62" i="41" s="1"/>
  <c r="D64" i="41"/>
  <c r="D67" i="41" s="1"/>
  <c r="C61" i="37"/>
  <c r="C52" i="37"/>
  <c r="C54" i="37" s="1"/>
  <c r="D53" i="37"/>
  <c r="D60" i="37"/>
  <c r="D55" i="37" s="1"/>
  <c r="C31" i="71"/>
  <c r="D50" i="37"/>
  <c r="D45" i="37" s="1"/>
  <c r="D51" i="37" s="1"/>
  <c r="E37" i="36"/>
  <c r="C31" i="37"/>
  <c r="C37" i="37" s="1"/>
  <c r="D36" i="37"/>
  <c r="D34" i="37"/>
  <c r="D31" i="37" s="1"/>
  <c r="D37" i="37" s="1"/>
  <c r="C26" i="38"/>
  <c r="B31" i="36"/>
  <c r="B29" i="36"/>
  <c r="D90" i="38"/>
  <c r="D97" i="38"/>
  <c r="D91" i="38"/>
  <c r="D85" i="38" s="1"/>
  <c r="F46" i="38"/>
  <c r="F39" i="38"/>
  <c r="M161" i="38"/>
  <c r="H141" i="38"/>
  <c r="H148" i="38"/>
  <c r="H54" i="38"/>
  <c r="H55" i="38" s="1"/>
  <c r="H47" i="38"/>
  <c r="E256" i="38"/>
  <c r="D260" i="38"/>
  <c r="D254" i="38" s="1"/>
  <c r="E107" i="38"/>
  <c r="F103" i="38"/>
  <c r="B136" i="38"/>
  <c r="K46" i="38"/>
  <c r="J54" i="38"/>
  <c r="J47" i="38"/>
  <c r="E224" i="38"/>
  <c r="D228" i="38"/>
  <c r="D222" i="38" s="1"/>
  <c r="F148" i="38"/>
  <c r="F141" i="38"/>
  <c r="E138" i="38"/>
  <c r="D142" i="38"/>
  <c r="D136" i="38" s="1"/>
  <c r="G83" i="38"/>
  <c r="G77" i="38" s="1"/>
  <c r="H79" i="38"/>
  <c r="C54" i="38"/>
  <c r="C47" i="38"/>
  <c r="B187" i="38"/>
  <c r="E52" i="38"/>
  <c r="D56" i="38"/>
  <c r="D221" i="38"/>
  <c r="F244" i="38"/>
  <c r="F238" i="38" s="1"/>
  <c r="G240" i="38"/>
  <c r="H105" i="38"/>
  <c r="H106" i="38" s="1"/>
  <c r="H98" i="38"/>
  <c r="D75" i="38"/>
  <c r="E71" i="38"/>
  <c r="G54" i="38"/>
  <c r="G55" i="38" s="1"/>
  <c r="G47" i="38"/>
  <c r="H220" i="38"/>
  <c r="I216" i="38"/>
  <c r="F251" i="38"/>
  <c r="F258" i="38"/>
  <c r="F259" i="38" s="1"/>
  <c r="D32" i="38"/>
  <c r="D26" i="38" s="1"/>
  <c r="E28" i="38"/>
  <c r="B238" i="38"/>
  <c r="N89" i="38"/>
  <c r="B97" i="38"/>
  <c r="B90" i="38"/>
  <c r="B91" i="38" s="1"/>
  <c r="E154" i="38"/>
  <c r="D158" i="38"/>
  <c r="D152" i="38" s="1"/>
  <c r="D161" i="38"/>
  <c r="F130" i="38"/>
  <c r="E134" i="38"/>
  <c r="E128" i="38" s="1"/>
  <c r="K39" i="38"/>
  <c r="L38" i="38"/>
  <c r="L149" i="38"/>
  <c r="M148" i="38"/>
  <c r="M149" i="38" s="1"/>
  <c r="E20" i="38"/>
  <c r="D24" i="38"/>
  <c r="G141" i="38"/>
  <c r="G148" i="38"/>
  <c r="G91" i="38"/>
  <c r="G85" i="38" s="1"/>
  <c r="H87" i="38"/>
  <c r="B56" i="38"/>
  <c r="D149" i="38"/>
  <c r="D156" i="38"/>
  <c r="D157" i="38" s="1"/>
  <c r="D150" i="38"/>
  <c r="D144" i="38" s="1"/>
  <c r="L156" i="38"/>
  <c r="K157" i="38"/>
  <c r="D169" i="38"/>
  <c r="E165" i="38"/>
  <c r="E177" i="38"/>
  <c r="F173" i="38"/>
  <c r="C160" i="38"/>
  <c r="C162" i="38" s="1"/>
  <c r="C170" i="38"/>
  <c r="E212" i="38"/>
  <c r="E214" i="38"/>
  <c r="F197" i="38"/>
  <c r="C68" i="38"/>
  <c r="E189" i="38"/>
  <c r="D193" i="38"/>
  <c r="D187" i="38" s="1"/>
  <c r="L31" i="38"/>
  <c r="N31" i="38" s="1"/>
  <c r="M30" i="38"/>
  <c r="M31" i="38" s="1"/>
  <c r="N30" i="38"/>
  <c r="D185" i="38"/>
  <c r="D179" i="38" s="1"/>
  <c r="E181" i="38"/>
  <c r="E63" i="38"/>
  <c r="D67" i="38"/>
  <c r="D61" i="38" s="1"/>
  <c r="M89" i="38"/>
  <c r="M90" i="38" s="1"/>
  <c r="L90" i="38"/>
  <c r="K106" i="38"/>
  <c r="L105" i="38"/>
  <c r="G258" i="38"/>
  <c r="G259" i="38" s="1"/>
  <c r="G251" i="38"/>
  <c r="E205" i="38"/>
  <c r="H122" i="38"/>
  <c r="G126" i="38"/>
  <c r="D54" i="38"/>
  <c r="D55" i="38" s="1"/>
  <c r="D47" i="38"/>
  <c r="M199" i="38"/>
  <c r="M200" i="38" s="1"/>
  <c r="L200" i="38"/>
  <c r="I146" i="38"/>
  <c r="E248" i="38"/>
  <c r="D252" i="38"/>
  <c r="D246" i="38" s="1"/>
  <c r="D251" i="38"/>
  <c r="D258" i="38"/>
  <c r="D259" i="38" s="1"/>
  <c r="G97" i="38"/>
  <c r="G90" i="38"/>
  <c r="B230" i="38"/>
  <c r="E232" i="38"/>
  <c r="D236" i="38"/>
  <c r="D230" i="38" s="1"/>
  <c r="C40" i="38"/>
  <c r="F97" i="38"/>
  <c r="F90" i="38"/>
  <c r="F91" i="38" s="1"/>
  <c r="F85" i="38" s="1"/>
  <c r="B128" i="38"/>
  <c r="F199" i="38"/>
  <c r="F192" i="38"/>
  <c r="C149" i="38"/>
  <c r="C156" i="38"/>
  <c r="C150" i="38"/>
  <c r="C144" i="38" s="1"/>
  <c r="N140" i="38"/>
  <c r="E44" i="38"/>
  <c r="D48" i="38"/>
  <c r="D42" i="38" s="1"/>
  <c r="D40" i="38"/>
  <c r="E36" i="38"/>
  <c r="E199" i="38"/>
  <c r="E192" i="38"/>
  <c r="N192" i="38" s="1"/>
  <c r="I47" i="38"/>
  <c r="I54" i="38"/>
  <c r="I55" i="38" s="1"/>
  <c r="E141" i="38"/>
  <c r="N141" i="38" s="1"/>
  <c r="E148" i="38"/>
  <c r="E46" i="38"/>
  <c r="E39" i="38"/>
  <c r="N191" i="38"/>
  <c r="B156" i="38"/>
  <c r="B149" i="38"/>
  <c r="N148" i="38"/>
  <c r="H118" i="38"/>
  <c r="I114" i="38"/>
  <c r="L234" i="38"/>
  <c r="K235" i="38"/>
  <c r="L227" i="38"/>
  <c r="M226" i="38"/>
  <c r="M227" i="38" s="1"/>
  <c r="G199" i="38"/>
  <c r="G192" i="38"/>
  <c r="M97" i="38"/>
  <c r="M98" i="38" s="1"/>
  <c r="L98" i="38"/>
  <c r="B207" i="38"/>
  <c r="B200" i="38"/>
  <c r="B201" i="38"/>
  <c r="D199" i="38"/>
  <c r="D192" i="38"/>
  <c r="K208" i="38"/>
  <c r="L207" i="38"/>
  <c r="N82" i="38"/>
  <c r="J243" i="38"/>
  <c r="K242" i="38"/>
  <c r="J250" i="38"/>
  <c r="C90" i="38"/>
  <c r="C97" i="38"/>
  <c r="C91" i="38"/>
  <c r="C85" i="38" s="1"/>
  <c r="H192" i="38"/>
  <c r="H199" i="38"/>
  <c r="E12" i="38"/>
  <c r="D16" i="38"/>
  <c r="B26" i="38"/>
  <c r="B258" i="38"/>
  <c r="B251" i="38"/>
  <c r="B252" i="38"/>
  <c r="B83" i="38"/>
  <c r="E95" i="38"/>
  <c r="K66" i="36"/>
  <c r="D45" i="36"/>
  <c r="D40" i="36"/>
  <c r="H24" i="36"/>
  <c r="H19" i="36"/>
  <c r="J43" i="36"/>
  <c r="J48" i="36"/>
  <c r="J46" i="36" s="1"/>
  <c r="E108" i="36"/>
  <c r="M66" i="36"/>
  <c r="J87" i="36"/>
  <c r="J82" i="36"/>
  <c r="K16" i="36"/>
  <c r="J64" i="36"/>
  <c r="J69" i="36"/>
  <c r="J67" i="36" s="1"/>
  <c r="B45" i="36"/>
  <c r="B40" i="36"/>
  <c r="F40" i="36"/>
  <c r="F45" i="36"/>
  <c r="K48" i="36"/>
  <c r="K46" i="36" s="1"/>
  <c r="K43" i="36"/>
  <c r="I100" i="36"/>
  <c r="K111" i="36"/>
  <c r="K109" i="36" s="1"/>
  <c r="F90" i="36"/>
  <c r="F88" i="36" s="1"/>
  <c r="F85" i="36"/>
  <c r="L48" i="36"/>
  <c r="L46" i="36" s="1"/>
  <c r="L43" i="36"/>
  <c r="C108" i="36"/>
  <c r="G87" i="36"/>
  <c r="G82" i="36"/>
  <c r="I48" i="36"/>
  <c r="I46" i="36" s="1"/>
  <c r="I43" i="36"/>
  <c r="I87" i="36"/>
  <c r="I82" i="36"/>
  <c r="F24" i="36"/>
  <c r="F19" i="36"/>
  <c r="B108" i="36"/>
  <c r="F69" i="36"/>
  <c r="F67" i="36" s="1"/>
  <c r="F64" i="36"/>
  <c r="M48" i="36"/>
  <c r="M46" i="36" s="1"/>
  <c r="M43" i="36"/>
  <c r="E85" i="36"/>
  <c r="E90" i="36"/>
  <c r="E88" i="36" s="1"/>
  <c r="D108" i="36"/>
  <c r="D87" i="36"/>
  <c r="D82" i="36"/>
  <c r="E48" i="36"/>
  <c r="E46" i="36" s="1"/>
  <c r="E43" i="36"/>
  <c r="L76" i="36"/>
  <c r="J111" i="36"/>
  <c r="J109" i="36" s="1"/>
  <c r="G48" i="36"/>
  <c r="G46" i="36" s="1"/>
  <c r="G43" i="36"/>
  <c r="L66" i="36"/>
  <c r="L111" i="36"/>
  <c r="L109" i="36" s="1"/>
  <c r="G69" i="36"/>
  <c r="G67" i="36" s="1"/>
  <c r="G64" i="36"/>
  <c r="H87" i="36"/>
  <c r="H82" i="36"/>
  <c r="D73" i="36"/>
  <c r="E69" i="36"/>
  <c r="E67" i="36" s="1"/>
  <c r="E64" i="36"/>
  <c r="C87" i="36"/>
  <c r="C82" i="36"/>
  <c r="M111" i="36"/>
  <c r="M109" i="36" s="1"/>
  <c r="I34" i="36"/>
  <c r="N19" i="36"/>
  <c r="N21" i="36" s="1"/>
  <c r="B87" i="36"/>
  <c r="B82" i="36"/>
  <c r="E52" i="36"/>
  <c r="C45" i="36"/>
  <c r="C40" i="36"/>
  <c r="D22" i="36"/>
  <c r="D27" i="36"/>
  <c r="D25" i="36" s="1"/>
  <c r="H69" i="36"/>
  <c r="H67" i="36" s="1"/>
  <c r="H64" i="36"/>
  <c r="G24" i="36"/>
  <c r="G19" i="36"/>
  <c r="C50" i="41"/>
  <c r="J147" i="41"/>
  <c r="E232" i="41"/>
  <c r="D236" i="41"/>
  <c r="D72" i="41"/>
  <c r="D59" i="41"/>
  <c r="D53" i="41"/>
  <c r="E256" i="41"/>
  <c r="D260" i="41"/>
  <c r="C214" i="41"/>
  <c r="D37" i="41"/>
  <c r="D40" i="41" s="1"/>
  <c r="D34" i="41" s="1"/>
  <c r="G131" i="41"/>
  <c r="D48" i="41"/>
  <c r="D42" i="41" s="1"/>
  <c r="E44" i="41"/>
  <c r="G96" i="41"/>
  <c r="B246" i="41"/>
  <c r="D241" i="41"/>
  <c r="B171" i="41"/>
  <c r="D99" i="41"/>
  <c r="D93" i="41" s="1"/>
  <c r="H233" i="41"/>
  <c r="E201" i="41"/>
  <c r="E195" i="41" s="1"/>
  <c r="F197" i="41"/>
  <c r="C252" i="41"/>
  <c r="C246" i="41" s="1"/>
  <c r="D248" i="41"/>
  <c r="B238" i="41"/>
  <c r="D174" i="41"/>
  <c r="D161" i="41"/>
  <c r="C177" i="41"/>
  <c r="C171" i="41" s="1"/>
  <c r="D173" i="41"/>
  <c r="E224" i="41"/>
  <c r="C40" i="41"/>
  <c r="C32" i="41"/>
  <c r="C26" i="41" s="1"/>
  <c r="D28" i="41"/>
  <c r="B69" i="41"/>
  <c r="G95" i="41"/>
  <c r="F99" i="41"/>
  <c r="F93" i="41" s="1"/>
  <c r="E205" i="41"/>
  <c r="D209" i="41"/>
  <c r="D203" i="41" s="1"/>
  <c r="E36" i="41"/>
  <c r="B26" i="41"/>
  <c r="D71" i="41"/>
  <c r="C75" i="41"/>
  <c r="C69" i="41" s="1"/>
  <c r="D154" i="41"/>
  <c r="C158" i="41"/>
  <c r="C152" i="41" s="1"/>
  <c r="F189" i="41"/>
  <c r="E193" i="41"/>
  <c r="C185" i="41"/>
  <c r="C179" i="41" s="1"/>
  <c r="D181" i="41"/>
  <c r="G257" i="41"/>
  <c r="G206" i="41"/>
  <c r="G198" i="41"/>
  <c r="B152" i="41"/>
  <c r="D56" i="41"/>
  <c r="D50" i="41" s="1"/>
  <c r="E52" i="41"/>
  <c r="D249" i="41"/>
  <c r="D61" i="41"/>
  <c r="E212" i="41"/>
  <c r="B179" i="41"/>
  <c r="J45" i="41"/>
  <c r="D240" i="41"/>
  <c r="C244" i="41"/>
  <c r="C238" i="41" s="1"/>
  <c r="F170" i="41"/>
  <c r="D91" i="41"/>
  <c r="E87" i="41"/>
  <c r="J165" i="41"/>
  <c r="N165" i="41" s="1"/>
  <c r="I169" i="41"/>
  <c r="I163" i="41" s="1"/>
  <c r="D134" i="41"/>
  <c r="D128" i="41" s="1"/>
  <c r="E130" i="41"/>
  <c r="E220" i="41"/>
  <c r="E214" i="41" s="1"/>
  <c r="F216" i="41"/>
  <c r="F67" i="41"/>
  <c r="F61" i="41" s="1"/>
  <c r="G63" i="41"/>
  <c r="D29" i="41"/>
  <c r="D155" i="41"/>
  <c r="D139" i="41"/>
  <c r="C142" i="41"/>
  <c r="C136" i="41" s="1"/>
  <c r="D138" i="41"/>
  <c r="H88" i="41"/>
  <c r="E68" i="41"/>
  <c r="G182" i="41"/>
  <c r="C93" i="41"/>
  <c r="B136" i="41"/>
  <c r="E146" i="41"/>
  <c r="D150" i="41"/>
  <c r="D83" i="37"/>
  <c r="D89" i="37" s="1"/>
  <c r="C231" i="37"/>
  <c r="B224" i="37"/>
  <c r="B68" i="37"/>
  <c r="D152" i="37"/>
  <c r="D150" i="37"/>
  <c r="D143" i="37"/>
  <c r="D148" i="37"/>
  <c r="E157" i="37"/>
  <c r="B61" i="37"/>
  <c r="B52" i="37"/>
  <c r="I137" i="37"/>
  <c r="G40" i="37"/>
  <c r="B189" i="37"/>
  <c r="C83" i="37"/>
  <c r="C89" i="37" s="1"/>
  <c r="F12" i="37"/>
  <c r="C145" i="37"/>
  <c r="J199" i="37"/>
  <c r="G92" i="37"/>
  <c r="E202" i="37"/>
  <c r="E200" i="37"/>
  <c r="E197" i="37" s="1"/>
  <c r="E203" i="37" s="1"/>
  <c r="I102" i="37"/>
  <c r="G175" i="37"/>
  <c r="H109" i="37"/>
  <c r="G206" i="37"/>
  <c r="G168" i="37"/>
  <c r="L116" i="37"/>
  <c r="G220" i="37"/>
  <c r="F64" i="37"/>
  <c r="B172" i="37"/>
  <c r="D128" i="37"/>
  <c r="D134" i="37" s="1"/>
  <c r="F154" i="37"/>
  <c r="E155" i="37"/>
  <c r="E152" i="37" s="1"/>
  <c r="E158" i="37" s="1"/>
  <c r="F71" i="37"/>
  <c r="E72" i="37"/>
  <c r="F57" i="37"/>
  <c r="E58" i="37"/>
  <c r="F130" i="37"/>
  <c r="G26" i="37"/>
  <c r="E178" i="37"/>
  <c r="E173" i="37" s="1"/>
  <c r="E179" i="37" s="1"/>
  <c r="G213" i="37"/>
  <c r="D171" i="37"/>
  <c r="D169" i="37"/>
  <c r="D95" i="37"/>
  <c r="D93" i="37"/>
  <c r="G161" i="37"/>
  <c r="D43" i="37"/>
  <c r="D41" i="37"/>
  <c r="D38" i="37" s="1"/>
  <c r="D44" i="37" s="1"/>
  <c r="B217" i="37"/>
  <c r="C135" i="37"/>
  <c r="B89" i="37"/>
  <c r="G123" i="37"/>
  <c r="E230" i="37"/>
  <c r="F85" i="37"/>
  <c r="H192" i="37"/>
  <c r="D223" i="37"/>
  <c r="D221" i="37"/>
  <c r="B142" i="37"/>
  <c r="B151" i="37"/>
  <c r="C24" i="37"/>
  <c r="F227" i="37"/>
  <c r="E228" i="37"/>
  <c r="D138" i="37"/>
  <c r="D140" i="37"/>
  <c r="C166" i="37"/>
  <c r="C172" i="37" s="1"/>
  <c r="D173" i="37"/>
  <c r="D29" i="37"/>
  <c r="D27" i="37"/>
  <c r="D24" i="37" s="1"/>
  <c r="D30" i="37" s="1"/>
  <c r="D190" i="37"/>
  <c r="C90" i="37"/>
  <c r="H147" i="37"/>
  <c r="H33" i="37"/>
  <c r="F182" i="37"/>
  <c r="E183" i="37"/>
  <c r="F47" i="37"/>
  <c r="D133" i="37"/>
  <c r="F19" i="37"/>
  <c r="E188" i="37"/>
  <c r="E195" i="37"/>
  <c r="E193" i="37"/>
  <c r="C203" i="37"/>
  <c r="E86" i="37"/>
  <c r="D88" i="37"/>
  <c r="C51" i="37"/>
  <c r="H78" i="37"/>
  <c r="C38" i="37"/>
  <c r="D216" i="37"/>
  <c r="D214" i="37"/>
  <c r="D225" i="37"/>
  <c r="D231" i="37" s="1"/>
  <c r="C218" i="37"/>
  <c r="C224" i="37" s="1"/>
  <c r="D180" i="37"/>
  <c r="B45" i="42"/>
  <c r="F215" i="42"/>
  <c r="E216" i="42"/>
  <c r="E211" i="42" s="1"/>
  <c r="E194" i="42"/>
  <c r="D195" i="42"/>
  <c r="D190" i="42" s="1"/>
  <c r="D201" i="42"/>
  <c r="C202" i="42"/>
  <c r="C197" i="42" s="1"/>
  <c r="C187" i="42" s="1"/>
  <c r="C189" i="42" s="1"/>
  <c r="E118" i="42"/>
  <c r="D119" i="42"/>
  <c r="D114" i="42" s="1"/>
  <c r="B180" i="42"/>
  <c r="C36" i="42"/>
  <c r="C31" i="42" s="1"/>
  <c r="D35" i="42"/>
  <c r="B114" i="42"/>
  <c r="E95" i="42"/>
  <c r="F94" i="42"/>
  <c r="B83" i="42"/>
  <c r="F184" i="42"/>
  <c r="E185" i="42"/>
  <c r="E180" i="42" s="1"/>
  <c r="E133" i="42"/>
  <c r="E128" i="42" s="1"/>
  <c r="F132" i="42"/>
  <c r="D87" i="42"/>
  <c r="C88" i="42"/>
  <c r="C83" i="42" s="1"/>
  <c r="B135" i="42"/>
  <c r="C223" i="42"/>
  <c r="C218" i="42" s="1"/>
  <c r="D222" i="42"/>
  <c r="E230" i="42"/>
  <c r="F229" i="42"/>
  <c r="B151" i="42"/>
  <c r="B145" i="42"/>
  <c r="B62" i="42"/>
  <c r="B38" i="42"/>
  <c r="C74" i="42"/>
  <c r="C69" i="42" s="1"/>
  <c r="D73" i="42"/>
  <c r="B204" i="42"/>
  <c r="C67" i="42"/>
  <c r="C62" i="42" s="1"/>
  <c r="C52" i="42" s="1"/>
  <c r="C54" i="42" s="1"/>
  <c r="D66" i="42"/>
  <c r="C178" i="42"/>
  <c r="C173" i="42" s="1"/>
  <c r="D177" i="42"/>
  <c r="B218" i="42"/>
  <c r="D128" i="42"/>
  <c r="D125" i="42"/>
  <c r="C126" i="42"/>
  <c r="D171" i="42"/>
  <c r="D166" i="42" s="1"/>
  <c r="E170" i="42"/>
  <c r="E143" i="42"/>
  <c r="B24" i="42"/>
  <c r="C61" i="42"/>
  <c r="B31" i="42"/>
  <c r="C29" i="42"/>
  <c r="C24" i="42" s="1"/>
  <c r="D28" i="42"/>
  <c r="B173" i="42"/>
  <c r="B61" i="42"/>
  <c r="B55" i="42"/>
  <c r="D188" i="42"/>
  <c r="C196" i="42"/>
  <c r="D49" i="42"/>
  <c r="C50" i="42"/>
  <c r="C45" i="42" s="1"/>
  <c r="B159" i="42"/>
  <c r="F53" i="42"/>
  <c r="C43" i="42"/>
  <c r="C38" i="42" s="1"/>
  <c r="D42" i="42"/>
  <c r="D163" i="42"/>
  <c r="C164" i="42"/>
  <c r="C159" i="42" s="1"/>
  <c r="C157" i="42"/>
  <c r="C152" i="42" s="1"/>
  <c r="C142" i="42" s="1"/>
  <c r="C144" i="42" s="1"/>
  <c r="D156" i="42"/>
  <c r="C140" i="42"/>
  <c r="C135" i="42" s="1"/>
  <c r="D139" i="42"/>
  <c r="B197" i="42"/>
  <c r="B187" i="42" s="1"/>
  <c r="E209" i="42"/>
  <c r="E204" i="42" s="1"/>
  <c r="F208" i="42"/>
  <c r="C166" i="42"/>
  <c r="D60" i="42"/>
  <c r="D55" i="42" s="1"/>
  <c r="E59" i="42"/>
  <c r="B69" i="42"/>
  <c r="B152" i="42"/>
  <c r="E149" i="42"/>
  <c r="D150" i="42"/>
  <c r="D145" i="42" s="1"/>
  <c r="C151" i="42"/>
  <c r="D149" i="35"/>
  <c r="D147" i="35" s="1"/>
  <c r="D78" i="35"/>
  <c r="D76" i="35" s="1"/>
  <c r="E116" i="35"/>
  <c r="E114" i="35" s="1"/>
  <c r="D136" i="35"/>
  <c r="D134" i="35" s="1"/>
  <c r="F164" i="35"/>
  <c r="F162" i="35" s="1"/>
  <c r="D121" i="35"/>
  <c r="D119" i="35" s="1"/>
  <c r="C141" i="35"/>
  <c r="E159" i="35"/>
  <c r="E157" i="35" s="1"/>
  <c r="F37" i="35"/>
  <c r="F35" i="35" s="1"/>
  <c r="B141" i="35"/>
  <c r="D126" i="35"/>
  <c r="D124" i="35" s="1"/>
  <c r="E83" i="35"/>
  <c r="E81" i="35" s="1"/>
  <c r="B42" i="35"/>
  <c r="C40" i="35"/>
  <c r="C42" i="35" s="1"/>
  <c r="F55" i="35"/>
  <c r="F53" i="35" s="1"/>
  <c r="E154" i="35"/>
  <c r="E152" i="35" s="1"/>
  <c r="E32" i="35"/>
  <c r="E30" i="35" s="1"/>
  <c r="D169" i="35"/>
  <c r="D167" i="35" s="1"/>
  <c r="D93" i="35"/>
  <c r="D91" i="35" s="1"/>
  <c r="D27" i="35"/>
  <c r="D25" i="35" s="1"/>
  <c r="D70" i="35"/>
  <c r="D68" i="35" s="1"/>
  <c r="D45" i="35"/>
  <c r="D43" i="35" s="1"/>
  <c r="D41" i="35"/>
  <c r="F88" i="35"/>
  <c r="F86" i="35" s="1"/>
  <c r="H131" i="35"/>
  <c r="H129" i="35" s="1"/>
  <c r="D65" i="35"/>
  <c r="D63" i="35" s="1"/>
  <c r="D60" i="35"/>
  <c r="D58" i="35" s="1"/>
  <c r="D140" i="35"/>
  <c r="D144" i="35"/>
  <c r="D142" i="35" s="1"/>
  <c r="D79" i="71"/>
  <c r="E88" i="71"/>
  <c r="D82" i="71"/>
  <c r="B30" i="71"/>
  <c r="D55" i="71"/>
  <c r="D61" i="71"/>
  <c r="E52" i="71"/>
  <c r="E76" i="71"/>
  <c r="C70" i="71"/>
  <c r="D43" i="71"/>
  <c r="D71" i="71"/>
  <c r="D73" i="71"/>
  <c r="B51" i="71"/>
  <c r="E34" i="71"/>
  <c r="D34" i="33"/>
  <c r="E88" i="33"/>
  <c r="F82" i="33"/>
  <c r="E76" i="33"/>
  <c r="E55" i="33"/>
  <c r="E85" i="33"/>
  <c r="D31" i="33"/>
  <c r="D29" i="33"/>
  <c r="D79" i="33"/>
  <c r="D46" i="33"/>
  <c r="D67" i="33"/>
  <c r="E37" i="33"/>
  <c r="C70" i="33"/>
  <c r="D58" i="33"/>
  <c r="D71" i="33"/>
  <c r="D73" i="33"/>
  <c r="D52" i="33"/>
  <c r="D50" i="33"/>
  <c r="E34" i="32"/>
  <c r="C28" i="32"/>
  <c r="D37" i="32"/>
  <c r="D29" i="32"/>
  <c r="D31" i="32"/>
  <c r="D88" i="32"/>
  <c r="D61" i="32"/>
  <c r="H64" i="32"/>
  <c r="D46" i="32"/>
  <c r="D43" i="32"/>
  <c r="F40" i="32"/>
  <c r="D73" i="32"/>
  <c r="B72" i="32"/>
  <c r="D76" i="32"/>
  <c r="G122" i="31"/>
  <c r="F121" i="31"/>
  <c r="F119" i="31" s="1"/>
  <c r="G13" i="31"/>
  <c r="G38" i="31"/>
  <c r="J28" i="31"/>
  <c r="F71" i="31"/>
  <c r="D74" i="31"/>
  <c r="H104" i="31"/>
  <c r="C106" i="31"/>
  <c r="C108" i="31" s="1"/>
  <c r="H23" i="31"/>
  <c r="B75" i="31"/>
  <c r="G170" i="31"/>
  <c r="G66" i="31"/>
  <c r="F65" i="31"/>
  <c r="F63" i="31" s="1"/>
  <c r="E98" i="31"/>
  <c r="E96" i="31" s="1"/>
  <c r="F99" i="31"/>
  <c r="G132" i="31"/>
  <c r="E93" i="31"/>
  <c r="E91" i="31" s="1"/>
  <c r="D103" i="31"/>
  <c r="D101" i="31" s="1"/>
  <c r="G145" i="31"/>
  <c r="G160" i="31"/>
  <c r="H150" i="31"/>
  <c r="I155" i="31"/>
  <c r="F56" i="31"/>
  <c r="B108" i="31"/>
  <c r="E136" i="31"/>
  <c r="E134" i="31" s="1"/>
  <c r="F137" i="31"/>
  <c r="F79" i="31"/>
  <c r="D78" i="31"/>
  <c r="D76" i="31" s="1"/>
  <c r="H112" i="31"/>
  <c r="G111" i="31"/>
  <c r="G109" i="31" s="1"/>
  <c r="G89" i="31"/>
  <c r="F111" i="31"/>
  <c r="F109" i="31" s="1"/>
  <c r="F165" i="31"/>
  <c r="E116" i="31"/>
  <c r="E114" i="31" s="1"/>
  <c r="F117" i="31"/>
  <c r="G46" i="31"/>
  <c r="F45" i="31"/>
  <c r="F43" i="31" s="1"/>
  <c r="C73" i="31"/>
  <c r="C75" i="31" s="1"/>
  <c r="K94" i="31"/>
  <c r="F61" i="31"/>
  <c r="D83" i="31"/>
  <c r="D81" i="31" s="1"/>
  <c r="H33" i="31"/>
  <c r="H84" i="31"/>
  <c r="J127" i="31"/>
  <c r="I126" i="31"/>
  <c r="I124" i="31" s="1"/>
  <c r="F18" i="31"/>
  <c r="G51" i="31"/>
  <c r="E190" i="37" l="1"/>
  <c r="C114" i="37"/>
  <c r="C120" i="37" s="1"/>
  <c r="C49" i="33"/>
  <c r="L6" i="75"/>
  <c r="M6" i="75"/>
  <c r="M30" i="75"/>
  <c r="N28" i="75"/>
  <c r="N30" i="75" s="1"/>
  <c r="N8" i="3"/>
  <c r="P8" i="3" s="1"/>
  <c r="Q8" i="3" s="1"/>
  <c r="N5" i="75"/>
  <c r="N93" i="75"/>
  <c r="N4" i="76"/>
  <c r="F99" i="74"/>
  <c r="G96" i="74"/>
  <c r="I111" i="74"/>
  <c r="I109" i="74" s="1"/>
  <c r="J108" i="74"/>
  <c r="G105" i="74"/>
  <c r="H102" i="74"/>
  <c r="F78" i="74"/>
  <c r="G75" i="74"/>
  <c r="G84" i="74"/>
  <c r="H81" i="74"/>
  <c r="I90" i="74"/>
  <c r="J87" i="74"/>
  <c r="F57" i="74"/>
  <c r="G54" i="74"/>
  <c r="G69" i="74"/>
  <c r="H66" i="74"/>
  <c r="F63" i="74"/>
  <c r="G60" i="74"/>
  <c r="F36" i="74"/>
  <c r="G33" i="74"/>
  <c r="F42" i="74"/>
  <c r="G39" i="74"/>
  <c r="G48" i="74"/>
  <c r="H45" i="74"/>
  <c r="G27" i="74"/>
  <c r="H24" i="74"/>
  <c r="G21" i="74"/>
  <c r="H18" i="74"/>
  <c r="L15" i="74"/>
  <c r="M12" i="74"/>
  <c r="D218" i="37"/>
  <c r="D224" i="37" s="1"/>
  <c r="D211" i="38"/>
  <c r="D213" i="38" s="1"/>
  <c r="E209" i="37"/>
  <c r="E207" i="37"/>
  <c r="G225" i="41"/>
  <c r="H223" i="41"/>
  <c r="E185" i="37"/>
  <c r="E180" i="37" s="1"/>
  <c r="E186" i="37" s="1"/>
  <c r="E71" i="32"/>
  <c r="D85" i="32"/>
  <c r="D131" i="31"/>
  <c r="D129" i="31" s="1"/>
  <c r="D106" i="31" s="1"/>
  <c r="D107" i="31"/>
  <c r="D85" i="71"/>
  <c r="D70" i="71" s="1"/>
  <c r="D72" i="71" s="1"/>
  <c r="I188" i="41"/>
  <c r="J188" i="41" s="1"/>
  <c r="H190" i="41"/>
  <c r="D82" i="32"/>
  <c r="E164" i="37"/>
  <c r="E162" i="37"/>
  <c r="E159" i="37" s="1"/>
  <c r="E165" i="37" s="1"/>
  <c r="D79" i="32"/>
  <c r="D145" i="37"/>
  <c r="D67" i="71"/>
  <c r="D50" i="71"/>
  <c r="C49" i="71"/>
  <c r="C51" i="71" s="1"/>
  <c r="D67" i="32"/>
  <c r="D144" i="41"/>
  <c r="D64" i="33"/>
  <c r="F64" i="71"/>
  <c r="D121" i="37"/>
  <c r="D127" i="37" s="1"/>
  <c r="E126" i="37"/>
  <c r="E124" i="37"/>
  <c r="E121" i="37" s="1"/>
  <c r="D61" i="33"/>
  <c r="D49" i="33" s="1"/>
  <c r="D51" i="33" s="1"/>
  <c r="D119" i="37"/>
  <c r="D117" i="37"/>
  <c r="D114" i="37" s="1"/>
  <c r="D120" i="37" s="1"/>
  <c r="B122" i="41"/>
  <c r="C121" i="41"/>
  <c r="D58" i="71"/>
  <c r="D49" i="71" s="1"/>
  <c r="E88" i="31"/>
  <c r="E86" i="31" s="1"/>
  <c r="D58" i="32"/>
  <c r="D55" i="32"/>
  <c r="D73" i="31"/>
  <c r="D75" i="31" s="1"/>
  <c r="F113" i="38"/>
  <c r="E110" i="38"/>
  <c r="E112" i="38"/>
  <c r="E119" i="38" s="1"/>
  <c r="D109" i="38"/>
  <c r="D111" i="38" s="1"/>
  <c r="D52" i="32"/>
  <c r="D46" i="71"/>
  <c r="D70" i="31"/>
  <c r="D68" i="31" s="1"/>
  <c r="C40" i="31"/>
  <c r="C28" i="71"/>
  <c r="C30" i="71" s="1"/>
  <c r="D94" i="36"/>
  <c r="D43" i="33"/>
  <c r="C79" i="36"/>
  <c r="C71" i="36"/>
  <c r="D40" i="33"/>
  <c r="E40" i="71"/>
  <c r="D60" i="31"/>
  <c r="D58" i="31" s="1"/>
  <c r="E74" i="37"/>
  <c r="E69" i="37" s="1"/>
  <c r="E75" i="37" s="1"/>
  <c r="D37" i="71"/>
  <c r="D55" i="31"/>
  <c r="D53" i="31" s="1"/>
  <c r="D52" i="37"/>
  <c r="D54" i="37" s="1"/>
  <c r="E67" i="37"/>
  <c r="E65" i="37"/>
  <c r="F49" i="35"/>
  <c r="E50" i="35"/>
  <c r="E48" i="35" s="1"/>
  <c r="D41" i="31"/>
  <c r="D50" i="31"/>
  <c r="D48" i="31" s="1"/>
  <c r="D40" i="31" s="1"/>
  <c r="D42" i="31" s="1"/>
  <c r="C42" i="31"/>
  <c r="D61" i="36"/>
  <c r="C55" i="36"/>
  <c r="C49" i="36" s="1"/>
  <c r="C50" i="36"/>
  <c r="B51" i="36"/>
  <c r="E60" i="37"/>
  <c r="E53" i="37"/>
  <c r="D61" i="37"/>
  <c r="D31" i="71"/>
  <c r="D29" i="71"/>
  <c r="E50" i="37"/>
  <c r="E48" i="37"/>
  <c r="E45" i="37" s="1"/>
  <c r="F37" i="36"/>
  <c r="E36" i="37"/>
  <c r="E34" i="37"/>
  <c r="C31" i="36"/>
  <c r="C29" i="36"/>
  <c r="B85" i="38"/>
  <c r="F248" i="38"/>
  <c r="E252" i="38"/>
  <c r="E246" i="38" s="1"/>
  <c r="F205" i="38"/>
  <c r="E209" i="38"/>
  <c r="E203" i="38" s="1"/>
  <c r="G156" i="38"/>
  <c r="G157" i="38" s="1"/>
  <c r="G149" i="38"/>
  <c r="G150" i="38" s="1"/>
  <c r="G144" i="38" s="1"/>
  <c r="F154" i="38"/>
  <c r="B157" i="38"/>
  <c r="B158" i="38"/>
  <c r="E171" i="38"/>
  <c r="I220" i="38"/>
  <c r="N220" i="38" s="1"/>
  <c r="J216" i="38"/>
  <c r="J220" i="38" s="1"/>
  <c r="I150" i="38"/>
  <c r="I144" i="38" s="1"/>
  <c r="J146" i="38"/>
  <c r="F156" i="38"/>
  <c r="F157" i="38" s="1"/>
  <c r="F149" i="38"/>
  <c r="F150" i="38"/>
  <c r="F144" i="38" s="1"/>
  <c r="F98" i="38"/>
  <c r="F105" i="38"/>
  <c r="F106" i="38" s="1"/>
  <c r="L106" i="38"/>
  <c r="M105" i="38"/>
  <c r="M106" i="38" s="1"/>
  <c r="F165" i="38"/>
  <c r="E169" i="38"/>
  <c r="E163" i="38" s="1"/>
  <c r="B98" i="38"/>
  <c r="N97" i="38"/>
  <c r="B105" i="38"/>
  <c r="B99" i="38"/>
  <c r="H149" i="38"/>
  <c r="H150" i="38" s="1"/>
  <c r="H144" i="38" s="1"/>
  <c r="H156" i="38"/>
  <c r="H157" i="38" s="1"/>
  <c r="G200" i="38"/>
  <c r="G207" i="38"/>
  <c r="G208" i="38" s="1"/>
  <c r="E40" i="38"/>
  <c r="F36" i="38"/>
  <c r="D163" i="38"/>
  <c r="F12" i="38"/>
  <c r="E16" i="38"/>
  <c r="L208" i="38"/>
  <c r="M207" i="38"/>
  <c r="M208" i="38" s="1"/>
  <c r="H200" i="38"/>
  <c r="H207" i="38"/>
  <c r="H208" i="38" s="1"/>
  <c r="E54" i="38"/>
  <c r="E55" i="38" s="1"/>
  <c r="E47" i="38"/>
  <c r="N226" i="38"/>
  <c r="E149" i="38"/>
  <c r="E156" i="38"/>
  <c r="E157" i="38" s="1"/>
  <c r="E150" i="38"/>
  <c r="E144" i="38" s="1"/>
  <c r="F232" i="38"/>
  <c r="E236" i="38"/>
  <c r="E230" i="38" s="1"/>
  <c r="G197" i="38"/>
  <c r="F201" i="38"/>
  <c r="F195" i="38" s="1"/>
  <c r="M38" i="38"/>
  <c r="L39" i="38"/>
  <c r="D69" i="38"/>
  <c r="F95" i="38"/>
  <c r="E99" i="38"/>
  <c r="E93" i="38" s="1"/>
  <c r="D68" i="38"/>
  <c r="F54" i="38"/>
  <c r="F55" i="38" s="1"/>
  <c r="F47" i="38"/>
  <c r="B77" i="38"/>
  <c r="C105" i="38"/>
  <c r="C98" i="38"/>
  <c r="C99" i="38"/>
  <c r="C93" i="38" s="1"/>
  <c r="M234" i="38"/>
  <c r="L235" i="38"/>
  <c r="E48" i="38"/>
  <c r="E42" i="38" s="1"/>
  <c r="F44" i="38"/>
  <c r="F63" i="38"/>
  <c r="E67" i="38"/>
  <c r="F212" i="38"/>
  <c r="F214" i="38"/>
  <c r="D105" i="38"/>
  <c r="D98" i="38"/>
  <c r="D99" i="38" s="1"/>
  <c r="D93" i="38" s="1"/>
  <c r="I118" i="38"/>
  <c r="J114" i="38"/>
  <c r="G105" i="38"/>
  <c r="G106" i="38" s="1"/>
  <c r="G98" i="38"/>
  <c r="E185" i="38"/>
  <c r="E179" i="38" s="1"/>
  <c r="F181" i="38"/>
  <c r="E32" i="38"/>
  <c r="F28" i="38"/>
  <c r="G103" i="38"/>
  <c r="F107" i="38"/>
  <c r="B259" i="38"/>
  <c r="B260" i="38"/>
  <c r="B208" i="38"/>
  <c r="B209" i="38"/>
  <c r="F207" i="38"/>
  <c r="F208" i="38" s="1"/>
  <c r="F200" i="38"/>
  <c r="F138" i="38"/>
  <c r="E142" i="38"/>
  <c r="G173" i="38"/>
  <c r="F177" i="38"/>
  <c r="F171" i="38" s="1"/>
  <c r="F256" i="38"/>
  <c r="E260" i="38"/>
  <c r="E254" i="38" s="1"/>
  <c r="F189" i="38"/>
  <c r="E193" i="38"/>
  <c r="E187" i="38" s="1"/>
  <c r="E200" i="38"/>
  <c r="E207" i="38"/>
  <c r="E208" i="38" s="1"/>
  <c r="N90" i="38"/>
  <c r="N216" i="38"/>
  <c r="F20" i="38"/>
  <c r="E24" i="38"/>
  <c r="F52" i="38"/>
  <c r="E56" i="38"/>
  <c r="F224" i="38"/>
  <c r="E228" i="38"/>
  <c r="E222" i="38" s="1"/>
  <c r="N227" i="38"/>
  <c r="E201" i="38"/>
  <c r="E195" i="38" s="1"/>
  <c r="M156" i="38"/>
  <c r="M157" i="38" s="1"/>
  <c r="L157" i="38"/>
  <c r="F71" i="38"/>
  <c r="E75" i="38"/>
  <c r="E69" i="38" s="1"/>
  <c r="K54" i="38"/>
  <c r="J55" i="38"/>
  <c r="E221" i="38"/>
  <c r="C55" i="38"/>
  <c r="C56" i="38"/>
  <c r="L46" i="38"/>
  <c r="K47" i="38"/>
  <c r="D200" i="38"/>
  <c r="D201" i="38" s="1"/>
  <c r="D207" i="38"/>
  <c r="H83" i="38"/>
  <c r="H77" i="38" s="1"/>
  <c r="I79" i="38"/>
  <c r="G130" i="38"/>
  <c r="F134" i="38"/>
  <c r="G244" i="38"/>
  <c r="H240" i="38"/>
  <c r="B246" i="38"/>
  <c r="B195" i="38"/>
  <c r="C48" i="38"/>
  <c r="C157" i="38"/>
  <c r="C158" i="38"/>
  <c r="C152" i="38" s="1"/>
  <c r="C109" i="38" s="1"/>
  <c r="C111" i="38" s="1"/>
  <c r="G120" i="38"/>
  <c r="E161" i="38"/>
  <c r="K250" i="38"/>
  <c r="J258" i="38"/>
  <c r="J251" i="38"/>
  <c r="N199" i="38"/>
  <c r="I122" i="38"/>
  <c r="H126" i="38"/>
  <c r="H120" i="38" s="1"/>
  <c r="L242" i="38"/>
  <c r="K243" i="38"/>
  <c r="B150" i="38"/>
  <c r="H91" i="38"/>
  <c r="H85" i="38" s="1"/>
  <c r="I87" i="38"/>
  <c r="E73" i="36"/>
  <c r="C111" i="36"/>
  <c r="C109" i="36" s="1"/>
  <c r="N40" i="36"/>
  <c r="N42" i="36" s="1"/>
  <c r="H27" i="36"/>
  <c r="H25" i="36" s="1"/>
  <c r="N25" i="36" s="1"/>
  <c r="N27" i="36" s="1"/>
  <c r="H22" i="36"/>
  <c r="B111" i="36"/>
  <c r="B109" i="36" s="1"/>
  <c r="H85" i="36"/>
  <c r="H90" i="36"/>
  <c r="H88" i="36" s="1"/>
  <c r="M76" i="36"/>
  <c r="N76" i="36" s="1"/>
  <c r="N78" i="36" s="1"/>
  <c r="K69" i="36"/>
  <c r="K67" i="36" s="1"/>
  <c r="K64" i="36"/>
  <c r="C48" i="36"/>
  <c r="C46" i="36" s="1"/>
  <c r="C43" i="36"/>
  <c r="F22" i="36"/>
  <c r="F27" i="36"/>
  <c r="F25" i="36" s="1"/>
  <c r="J90" i="36"/>
  <c r="J88" i="36" s="1"/>
  <c r="J85" i="36"/>
  <c r="D43" i="36"/>
  <c r="D48" i="36"/>
  <c r="D46" i="36" s="1"/>
  <c r="J34" i="36"/>
  <c r="L16" i="36"/>
  <c r="I90" i="36"/>
  <c r="I88" i="36" s="1"/>
  <c r="I85" i="36"/>
  <c r="N82" i="36"/>
  <c r="N84" i="36" s="1"/>
  <c r="J100" i="36"/>
  <c r="L69" i="36"/>
  <c r="L67" i="36" s="1"/>
  <c r="L64" i="36"/>
  <c r="G22" i="36"/>
  <c r="G27" i="36"/>
  <c r="G25" i="36" s="1"/>
  <c r="B48" i="36"/>
  <c r="B46" i="36" s="1"/>
  <c r="B43" i="36"/>
  <c r="F52" i="36"/>
  <c r="D85" i="36"/>
  <c r="D90" i="36"/>
  <c r="D88" i="36" s="1"/>
  <c r="M69" i="36"/>
  <c r="M67" i="36" s="1"/>
  <c r="M64" i="36"/>
  <c r="B90" i="36"/>
  <c r="B88" i="36" s="1"/>
  <c r="B85" i="36"/>
  <c r="C90" i="36"/>
  <c r="C88" i="36" s="1"/>
  <c r="C85" i="36"/>
  <c r="D111" i="36"/>
  <c r="D109" i="36" s="1"/>
  <c r="E111" i="36"/>
  <c r="E109" i="36" s="1"/>
  <c r="G90" i="36"/>
  <c r="G88" i="36" s="1"/>
  <c r="G85" i="36"/>
  <c r="F48" i="36"/>
  <c r="F46" i="36" s="1"/>
  <c r="F43" i="36"/>
  <c r="E150" i="41"/>
  <c r="E144" i="41" s="1"/>
  <c r="F146" i="41"/>
  <c r="H96" i="41"/>
  <c r="F130" i="41"/>
  <c r="E134" i="41"/>
  <c r="E128" i="41" s="1"/>
  <c r="D68" i="41"/>
  <c r="H206" i="41"/>
  <c r="E228" i="41"/>
  <c r="F224" i="41"/>
  <c r="D230" i="41"/>
  <c r="H182" i="41"/>
  <c r="G29" i="41"/>
  <c r="E40" i="41"/>
  <c r="E34" i="41" s="1"/>
  <c r="F36" i="41"/>
  <c r="E236" i="41"/>
  <c r="E230" i="41" s="1"/>
  <c r="F232" i="41"/>
  <c r="G166" i="41"/>
  <c r="H257" i="41"/>
  <c r="D252" i="41"/>
  <c r="E248" i="41"/>
  <c r="B160" i="41"/>
  <c r="G37" i="41"/>
  <c r="K147" i="41"/>
  <c r="N147" i="41" s="1"/>
  <c r="H63" i="41"/>
  <c r="G249" i="41"/>
  <c r="D185" i="41"/>
  <c r="E181" i="41"/>
  <c r="E209" i="41"/>
  <c r="E203" i="41" s="1"/>
  <c r="F205" i="41"/>
  <c r="F52" i="41"/>
  <c r="E56" i="41"/>
  <c r="E187" i="41"/>
  <c r="G216" i="41"/>
  <c r="F220" i="41"/>
  <c r="G189" i="41"/>
  <c r="F193" i="41"/>
  <c r="F187" i="41" s="1"/>
  <c r="G64" i="41"/>
  <c r="G67" i="41" s="1"/>
  <c r="G61" i="41" s="1"/>
  <c r="C211" i="41"/>
  <c r="C213" i="41" s="1"/>
  <c r="C221" i="41"/>
  <c r="E138" i="41"/>
  <c r="D142" i="41"/>
  <c r="E221" i="41"/>
  <c r="G99" i="41"/>
  <c r="G93" i="41" s="1"/>
  <c r="H95" i="41"/>
  <c r="G241" i="41"/>
  <c r="E173" i="41"/>
  <c r="D177" i="41"/>
  <c r="D171" i="41" s="1"/>
  <c r="D254" i="41"/>
  <c r="B211" i="41"/>
  <c r="F212" i="41"/>
  <c r="E59" i="41"/>
  <c r="F68" i="41"/>
  <c r="E240" i="41"/>
  <c r="D244" i="41"/>
  <c r="F201" i="41"/>
  <c r="F195" i="41" s="1"/>
  <c r="G197" i="41"/>
  <c r="J88" i="41"/>
  <c r="K45" i="41"/>
  <c r="N45" i="41" s="1"/>
  <c r="F44" i="41"/>
  <c r="E48" i="41"/>
  <c r="C160" i="41"/>
  <c r="C162" i="41" s="1"/>
  <c r="J233" i="41"/>
  <c r="E260" i="41"/>
  <c r="E254" i="41" s="1"/>
  <c r="F256" i="41"/>
  <c r="G139" i="41"/>
  <c r="D158" i="41"/>
  <c r="D152" i="41" s="1"/>
  <c r="E154" i="41"/>
  <c r="D32" i="41"/>
  <c r="E28" i="41"/>
  <c r="G155" i="41"/>
  <c r="F87" i="41"/>
  <c r="E91" i="41"/>
  <c r="E85" i="41" s="1"/>
  <c r="E161" i="41"/>
  <c r="H131" i="41"/>
  <c r="G53" i="41"/>
  <c r="D85" i="41"/>
  <c r="H198" i="41"/>
  <c r="E71" i="41"/>
  <c r="D75" i="41"/>
  <c r="C34" i="41"/>
  <c r="I33" i="37"/>
  <c r="M116" i="37"/>
  <c r="F202" i="37"/>
  <c r="F200" i="37"/>
  <c r="F197" i="37" s="1"/>
  <c r="F203" i="37" s="1"/>
  <c r="D151" i="37"/>
  <c r="D142" i="37"/>
  <c r="D144" i="37" s="1"/>
  <c r="G19" i="37"/>
  <c r="J137" i="37"/>
  <c r="I78" i="37"/>
  <c r="H161" i="37"/>
  <c r="B54" i="37"/>
  <c r="J102" i="37"/>
  <c r="E140" i="37"/>
  <c r="E138" i="37"/>
  <c r="I192" i="37"/>
  <c r="E95" i="37"/>
  <c r="E93" i="37"/>
  <c r="E90" i="37" s="1"/>
  <c r="E96" i="37" s="1"/>
  <c r="D158" i="37"/>
  <c r="D186" i="37"/>
  <c r="E216" i="37"/>
  <c r="E214" i="37"/>
  <c r="C30" i="37"/>
  <c r="C141" i="37"/>
  <c r="E196" i="37"/>
  <c r="E187" i="37"/>
  <c r="E189" i="37" s="1"/>
  <c r="F230" i="37"/>
  <c r="H213" i="37"/>
  <c r="G71" i="37"/>
  <c r="F72" i="37"/>
  <c r="I147" i="37"/>
  <c r="E29" i="37"/>
  <c r="E27" i="37"/>
  <c r="H168" i="37"/>
  <c r="H40" i="37"/>
  <c r="F188" i="37"/>
  <c r="F195" i="37"/>
  <c r="F193" i="37"/>
  <c r="B144" i="37"/>
  <c r="F178" i="37"/>
  <c r="G176" i="37"/>
  <c r="G154" i="37"/>
  <c r="F155" i="37"/>
  <c r="H206" i="37"/>
  <c r="C96" i="37"/>
  <c r="C44" i="37"/>
  <c r="D179" i="37"/>
  <c r="E127" i="37"/>
  <c r="H123" i="37"/>
  <c r="I109" i="37"/>
  <c r="H92" i="37"/>
  <c r="E43" i="37"/>
  <c r="E41" i="37"/>
  <c r="H175" i="37"/>
  <c r="F131" i="37"/>
  <c r="E133" i="37"/>
  <c r="E223" i="37"/>
  <c r="E221" i="37"/>
  <c r="E218" i="37" s="1"/>
  <c r="H26" i="37"/>
  <c r="F176" i="37"/>
  <c r="G47" i="37"/>
  <c r="F48" i="37"/>
  <c r="G64" i="37"/>
  <c r="F65" i="37"/>
  <c r="C151" i="37"/>
  <c r="C142" i="37"/>
  <c r="C144" i="37" s="1"/>
  <c r="D90" i="37"/>
  <c r="D96" i="37" s="1"/>
  <c r="G130" i="37"/>
  <c r="E62" i="37"/>
  <c r="F86" i="37"/>
  <c r="E88" i="37"/>
  <c r="D196" i="37"/>
  <c r="D187" i="37"/>
  <c r="E225" i="37"/>
  <c r="D166" i="37"/>
  <c r="D172" i="37" s="1"/>
  <c r="E55" i="37"/>
  <c r="H220" i="37"/>
  <c r="G12" i="37"/>
  <c r="F157" i="37"/>
  <c r="E150" i="37"/>
  <c r="E143" i="37"/>
  <c r="E148" i="37"/>
  <c r="K199" i="37"/>
  <c r="D135" i="37"/>
  <c r="D141" i="37" s="1"/>
  <c r="E131" i="37"/>
  <c r="D211" i="37"/>
  <c r="G182" i="37"/>
  <c r="F183" i="37"/>
  <c r="G227" i="37"/>
  <c r="F228" i="37"/>
  <c r="G85" i="37"/>
  <c r="E171" i="37"/>
  <c r="E169" i="37"/>
  <c r="E166" i="37" s="1"/>
  <c r="E172" i="37" s="1"/>
  <c r="G57" i="37"/>
  <c r="F58" i="37"/>
  <c r="B142" i="42"/>
  <c r="D43" i="42"/>
  <c r="D38" i="42" s="1"/>
  <c r="E42" i="42"/>
  <c r="E225" i="42"/>
  <c r="F170" i="42"/>
  <c r="E171" i="42"/>
  <c r="D74" i="42"/>
  <c r="E73" i="42"/>
  <c r="E87" i="42"/>
  <c r="D88" i="42"/>
  <c r="D83" i="42" s="1"/>
  <c r="G208" i="42"/>
  <c r="F209" i="42"/>
  <c r="F204" i="42" s="1"/>
  <c r="G53" i="42"/>
  <c r="D140" i="42"/>
  <c r="D135" i="42" s="1"/>
  <c r="E139" i="42"/>
  <c r="C121" i="42"/>
  <c r="G94" i="42"/>
  <c r="F95" i="42"/>
  <c r="F90" i="42" s="1"/>
  <c r="E201" i="42"/>
  <c r="D202" i="42"/>
  <c r="F133" i="42"/>
  <c r="G132" i="42"/>
  <c r="E35" i="42"/>
  <c r="D36" i="42"/>
  <c r="E150" i="42"/>
  <c r="F149" i="42"/>
  <c r="E177" i="42"/>
  <c r="D178" i="42"/>
  <c r="D173" i="42" s="1"/>
  <c r="E188" i="42"/>
  <c r="F143" i="42"/>
  <c r="E119" i="42"/>
  <c r="F118" i="42"/>
  <c r="B52" i="42"/>
  <c r="D223" i="42"/>
  <c r="E222" i="42"/>
  <c r="F59" i="42"/>
  <c r="E60" i="42"/>
  <c r="E55" i="42" s="1"/>
  <c r="D29" i="42"/>
  <c r="D24" i="42" s="1"/>
  <c r="E28" i="42"/>
  <c r="E125" i="42"/>
  <c r="D126" i="42"/>
  <c r="D121" i="42" s="1"/>
  <c r="E90" i="42"/>
  <c r="D61" i="42"/>
  <c r="B189" i="42"/>
  <c r="D196" i="42"/>
  <c r="D157" i="42"/>
  <c r="D152" i="42" s="1"/>
  <c r="D142" i="42" s="1"/>
  <c r="D144" i="42" s="1"/>
  <c r="E156" i="42"/>
  <c r="F194" i="42"/>
  <c r="E195" i="42"/>
  <c r="E190" i="42" s="1"/>
  <c r="E49" i="42"/>
  <c r="D50" i="42"/>
  <c r="D45" i="42" s="1"/>
  <c r="F216" i="42"/>
  <c r="F211" i="42" s="1"/>
  <c r="G215" i="42"/>
  <c r="D151" i="42"/>
  <c r="E163" i="42"/>
  <c r="D164" i="42"/>
  <c r="D67" i="42"/>
  <c r="E66" i="42"/>
  <c r="F230" i="42"/>
  <c r="F225" i="42" s="1"/>
  <c r="G229" i="42"/>
  <c r="G184" i="42"/>
  <c r="F185" i="42"/>
  <c r="G37" i="35"/>
  <c r="G35" i="35" s="1"/>
  <c r="F116" i="35"/>
  <c r="F114" i="35" s="1"/>
  <c r="D40" i="35"/>
  <c r="E126" i="35"/>
  <c r="E124" i="35" s="1"/>
  <c r="E78" i="35"/>
  <c r="E76" i="35" s="1"/>
  <c r="E140" i="35"/>
  <c r="E144" i="35"/>
  <c r="E142" i="35" s="1"/>
  <c r="F154" i="35"/>
  <c r="F152" i="35" s="1"/>
  <c r="D139" i="35"/>
  <c r="E70" i="35"/>
  <c r="E68" i="35" s="1"/>
  <c r="E93" i="35"/>
  <c r="E91" i="35" s="1"/>
  <c r="G164" i="35"/>
  <c r="G162" i="35" s="1"/>
  <c r="E65" i="35"/>
  <c r="E63" i="35" s="1"/>
  <c r="E136" i="35"/>
  <c r="E134" i="35" s="1"/>
  <c r="E169" i="35"/>
  <c r="E167" i="35" s="1"/>
  <c r="F159" i="35"/>
  <c r="F157" i="35" s="1"/>
  <c r="E45" i="35"/>
  <c r="E43" i="35" s="1"/>
  <c r="E41" i="35"/>
  <c r="E121" i="35"/>
  <c r="E119" i="35" s="1"/>
  <c r="G88" i="35"/>
  <c r="G86" i="35" s="1"/>
  <c r="F32" i="35"/>
  <c r="F30" i="35" s="1"/>
  <c r="F83" i="35"/>
  <c r="F81" i="35" s="1"/>
  <c r="I131" i="35"/>
  <c r="I129" i="35" s="1"/>
  <c r="G55" i="35"/>
  <c r="G53" i="35" s="1"/>
  <c r="E60" i="35"/>
  <c r="E58" i="35" s="1"/>
  <c r="E149" i="35"/>
  <c r="E147" i="35" s="1"/>
  <c r="E27" i="35"/>
  <c r="E25" i="35" s="1"/>
  <c r="F52" i="71"/>
  <c r="E61" i="71"/>
  <c r="C72" i="71"/>
  <c r="E82" i="71"/>
  <c r="F76" i="71"/>
  <c r="E73" i="71"/>
  <c r="F88" i="71"/>
  <c r="D28" i="71"/>
  <c r="F34" i="71"/>
  <c r="E79" i="71"/>
  <c r="E43" i="71"/>
  <c r="E55" i="71"/>
  <c r="F76" i="33"/>
  <c r="E71" i="33"/>
  <c r="E73" i="33"/>
  <c r="E46" i="33"/>
  <c r="F55" i="33"/>
  <c r="E34" i="33"/>
  <c r="F37" i="33"/>
  <c r="C30" i="33"/>
  <c r="D70" i="33"/>
  <c r="D72" i="33" s="1"/>
  <c r="E58" i="33"/>
  <c r="D28" i="33"/>
  <c r="D30" i="33" s="1"/>
  <c r="F85" i="33"/>
  <c r="F88" i="33"/>
  <c r="E50" i="33"/>
  <c r="E52" i="33"/>
  <c r="G82" i="33"/>
  <c r="C51" i="33"/>
  <c r="E67" i="33"/>
  <c r="C72" i="33"/>
  <c r="E31" i="33"/>
  <c r="E29" i="33"/>
  <c r="E79" i="33"/>
  <c r="E61" i="32"/>
  <c r="E73" i="32"/>
  <c r="C51" i="32"/>
  <c r="D28" i="32"/>
  <c r="D30" i="32" s="1"/>
  <c r="E46" i="32"/>
  <c r="I64" i="32"/>
  <c r="C30" i="32"/>
  <c r="E43" i="32"/>
  <c r="F34" i="32"/>
  <c r="G40" i="32"/>
  <c r="E76" i="32"/>
  <c r="E29" i="32"/>
  <c r="E31" i="32"/>
  <c r="E88" i="32"/>
  <c r="E37" i="32"/>
  <c r="G18" i="31"/>
  <c r="F93" i="31"/>
  <c r="F91" i="31" s="1"/>
  <c r="H38" i="31"/>
  <c r="G61" i="31"/>
  <c r="H89" i="31"/>
  <c r="I23" i="31"/>
  <c r="H13" i="31"/>
  <c r="K127" i="31"/>
  <c r="J126" i="31"/>
  <c r="J124" i="31" s="1"/>
  <c r="L94" i="31"/>
  <c r="J155" i="31"/>
  <c r="H132" i="31"/>
  <c r="I84" i="31"/>
  <c r="I112" i="31"/>
  <c r="H111" i="31"/>
  <c r="H109" i="31" s="1"/>
  <c r="I150" i="31"/>
  <c r="H122" i="31"/>
  <c r="G121" i="31"/>
  <c r="G119" i="31" s="1"/>
  <c r="H160" i="31"/>
  <c r="F98" i="31"/>
  <c r="F96" i="31" s="1"/>
  <c r="G99" i="31"/>
  <c r="I104" i="31"/>
  <c r="I33" i="31"/>
  <c r="E83" i="31"/>
  <c r="E81" i="31" s="1"/>
  <c r="H46" i="31"/>
  <c r="G45" i="31"/>
  <c r="G43" i="31" s="1"/>
  <c r="G79" i="31"/>
  <c r="F78" i="31"/>
  <c r="F76" i="31" s="1"/>
  <c r="E74" i="31"/>
  <c r="G117" i="31"/>
  <c r="F116" i="31"/>
  <c r="F114" i="31" s="1"/>
  <c r="E78" i="31"/>
  <c r="E76" i="31" s="1"/>
  <c r="H145" i="31"/>
  <c r="H66" i="31"/>
  <c r="G65" i="31"/>
  <c r="G63" i="31" s="1"/>
  <c r="F136" i="31"/>
  <c r="F134" i="31" s="1"/>
  <c r="G137" i="31"/>
  <c r="G165" i="31"/>
  <c r="G71" i="31"/>
  <c r="H51" i="31"/>
  <c r="E103" i="31"/>
  <c r="E101" i="31" s="1"/>
  <c r="H170" i="31"/>
  <c r="K28" i="31"/>
  <c r="G56" i="31"/>
  <c r="C70" i="36" l="1"/>
  <c r="D70" i="32"/>
  <c r="D49" i="32"/>
  <c r="D51" i="32" s="1"/>
  <c r="N4" i="75"/>
  <c r="N6" i="75" s="1"/>
  <c r="H105" i="74"/>
  <c r="I102" i="74"/>
  <c r="J111" i="74"/>
  <c r="J109" i="74" s="1"/>
  <c r="K108" i="74"/>
  <c r="G99" i="74"/>
  <c r="H96" i="74"/>
  <c r="H84" i="74"/>
  <c r="I81" i="74"/>
  <c r="J90" i="74"/>
  <c r="K87" i="74"/>
  <c r="G78" i="74"/>
  <c r="H75" i="74"/>
  <c r="H69" i="74"/>
  <c r="I66" i="74"/>
  <c r="G57" i="74"/>
  <c r="H54" i="74"/>
  <c r="G63" i="74"/>
  <c r="H60" i="74"/>
  <c r="H48" i="74"/>
  <c r="I45" i="74"/>
  <c r="G42" i="74"/>
  <c r="H39" i="74"/>
  <c r="G36" i="74"/>
  <c r="H33" i="74"/>
  <c r="H27" i="74"/>
  <c r="I24" i="74"/>
  <c r="H21" i="74"/>
  <c r="I18" i="74"/>
  <c r="M15" i="74"/>
  <c r="F225" i="37"/>
  <c r="F231" i="37" s="1"/>
  <c r="E204" i="37"/>
  <c r="E210" i="37" s="1"/>
  <c r="F209" i="37"/>
  <c r="F207" i="37"/>
  <c r="F204" i="37" s="1"/>
  <c r="F210" i="37" s="1"/>
  <c r="E211" i="38"/>
  <c r="E213" i="38" s="1"/>
  <c r="H225" i="41"/>
  <c r="I223" i="41"/>
  <c r="J223" i="41" s="1"/>
  <c r="C72" i="36"/>
  <c r="F185" i="37"/>
  <c r="E85" i="71"/>
  <c r="D108" i="31"/>
  <c r="E107" i="31"/>
  <c r="E131" i="31"/>
  <c r="E129" i="31" s="1"/>
  <c r="E106" i="31" s="1"/>
  <c r="E108" i="31" s="1"/>
  <c r="E71" i="71"/>
  <c r="E85" i="32"/>
  <c r="K188" i="41"/>
  <c r="J190" i="41"/>
  <c r="E82" i="32"/>
  <c r="D179" i="41"/>
  <c r="F164" i="37"/>
  <c r="F162" i="37"/>
  <c r="F159" i="37" s="1"/>
  <c r="F165" i="37" s="1"/>
  <c r="E70" i="33"/>
  <c r="E72" i="33" s="1"/>
  <c r="E79" i="32"/>
  <c r="N67" i="36"/>
  <c r="N69" i="36" s="1"/>
  <c r="E67" i="32"/>
  <c r="E67" i="71"/>
  <c r="G64" i="71"/>
  <c r="E64" i="33"/>
  <c r="F126" i="37"/>
  <c r="F124" i="37"/>
  <c r="E61" i="33"/>
  <c r="C124" i="41"/>
  <c r="N124" i="41" s="1"/>
  <c r="C123" i="41"/>
  <c r="D121" i="41"/>
  <c r="B126" i="41"/>
  <c r="C122" i="41"/>
  <c r="E117" i="37"/>
  <c r="E119" i="37"/>
  <c r="E58" i="32"/>
  <c r="E50" i="32"/>
  <c r="E58" i="71"/>
  <c r="E50" i="71"/>
  <c r="F88" i="31"/>
  <c r="F86" i="31" s="1"/>
  <c r="E55" i="32"/>
  <c r="G113" i="38"/>
  <c r="F112" i="38"/>
  <c r="F119" i="38" s="1"/>
  <c r="F110" i="38"/>
  <c r="E52" i="32"/>
  <c r="E70" i="31"/>
  <c r="E68" i="31" s="1"/>
  <c r="E46" i="71"/>
  <c r="N88" i="36"/>
  <c r="N90" i="36" s="1"/>
  <c r="E94" i="36"/>
  <c r="E43" i="33"/>
  <c r="N85" i="36"/>
  <c r="N87" i="36" s="1"/>
  <c r="D79" i="36"/>
  <c r="D70" i="36" s="1"/>
  <c r="D71" i="36"/>
  <c r="E40" i="33"/>
  <c r="E60" i="31"/>
  <c r="E58" i="31" s="1"/>
  <c r="F40" i="71"/>
  <c r="F74" i="37"/>
  <c r="F69" i="37"/>
  <c r="F75" i="37" s="1"/>
  <c r="E55" i="31"/>
  <c r="E53" i="31" s="1"/>
  <c r="E37" i="71"/>
  <c r="E28" i="71" s="1"/>
  <c r="F29" i="71"/>
  <c r="N64" i="36"/>
  <c r="N66" i="36" s="1"/>
  <c r="F67" i="37"/>
  <c r="F62" i="37" s="1"/>
  <c r="F68" i="37" s="1"/>
  <c r="G49" i="35"/>
  <c r="F50" i="35"/>
  <c r="F48" i="35" s="1"/>
  <c r="E41" i="31"/>
  <c r="E50" i="31"/>
  <c r="E48" i="31" s="1"/>
  <c r="C51" i="36"/>
  <c r="D55" i="36"/>
  <c r="D49" i="36" s="1"/>
  <c r="D50" i="36"/>
  <c r="E61" i="36"/>
  <c r="F60" i="37"/>
  <c r="F55" i="37" s="1"/>
  <c r="F53" i="37"/>
  <c r="E31" i="71"/>
  <c r="E29" i="71"/>
  <c r="N46" i="36"/>
  <c r="N48" i="36" s="1"/>
  <c r="F50" i="37"/>
  <c r="F45" i="37" s="1"/>
  <c r="F51" i="37" s="1"/>
  <c r="G37" i="36"/>
  <c r="E31" i="37"/>
  <c r="E37" i="37" s="1"/>
  <c r="F36" i="37"/>
  <c r="F34" i="37"/>
  <c r="F31" i="37" s="1"/>
  <c r="F37" i="37" s="1"/>
  <c r="N22" i="36"/>
  <c r="N24" i="36" s="1"/>
  <c r="D31" i="36"/>
  <c r="D28" i="36" s="1"/>
  <c r="D29" i="36"/>
  <c r="D195" i="38"/>
  <c r="F161" i="38"/>
  <c r="F75" i="38"/>
  <c r="F69" i="38" s="1"/>
  <c r="G71" i="38"/>
  <c r="B203" i="38"/>
  <c r="B144" i="38"/>
  <c r="G238" i="38"/>
  <c r="N207" i="38"/>
  <c r="N200" i="38"/>
  <c r="B106" i="38"/>
  <c r="N105" i="38"/>
  <c r="B107" i="38"/>
  <c r="G205" i="38"/>
  <c r="F209" i="38"/>
  <c r="F203" i="38" s="1"/>
  <c r="N98" i="38"/>
  <c r="L243" i="38"/>
  <c r="M242" i="38"/>
  <c r="C106" i="38"/>
  <c r="C107" i="38"/>
  <c r="H197" i="38"/>
  <c r="G201" i="38"/>
  <c r="G195" i="38" s="1"/>
  <c r="F16" i="38"/>
  <c r="G12" i="38"/>
  <c r="G248" i="38"/>
  <c r="F252" i="38"/>
  <c r="F246" i="38" s="1"/>
  <c r="D106" i="38"/>
  <c r="D107" i="38"/>
  <c r="H130" i="38"/>
  <c r="G134" i="38"/>
  <c r="G128" i="38" s="1"/>
  <c r="G189" i="38"/>
  <c r="F193" i="38"/>
  <c r="F187" i="38" s="1"/>
  <c r="G107" i="38"/>
  <c r="H103" i="38"/>
  <c r="F221" i="38"/>
  <c r="D170" i="38"/>
  <c r="G165" i="38"/>
  <c r="F169" i="38"/>
  <c r="N149" i="38"/>
  <c r="C42" i="38"/>
  <c r="F260" i="38"/>
  <c r="F254" i="38" s="1"/>
  <c r="G256" i="38"/>
  <c r="G212" i="38"/>
  <c r="G214" i="38"/>
  <c r="N157" i="38"/>
  <c r="F48" i="38"/>
  <c r="F42" i="38" s="1"/>
  <c r="G44" i="38"/>
  <c r="I240" i="38"/>
  <c r="H244" i="38"/>
  <c r="H238" i="38" s="1"/>
  <c r="F24" i="38"/>
  <c r="G20" i="38"/>
  <c r="M46" i="38"/>
  <c r="M47" i="38" s="1"/>
  <c r="L47" i="38"/>
  <c r="N47" i="38" s="1"/>
  <c r="J118" i="38"/>
  <c r="N114" i="38"/>
  <c r="B93" i="38"/>
  <c r="N208" i="38"/>
  <c r="M235" i="38"/>
  <c r="N235" i="38" s="1"/>
  <c r="N234" i="38"/>
  <c r="J150" i="38"/>
  <c r="J144" i="38" s="1"/>
  <c r="K146" i="38"/>
  <c r="B254" i="38"/>
  <c r="B211" i="38" s="1"/>
  <c r="M39" i="38"/>
  <c r="N39" i="38" s="1"/>
  <c r="N38" i="38"/>
  <c r="F128" i="38"/>
  <c r="E160" i="38"/>
  <c r="E162" i="38" s="1"/>
  <c r="E170" i="38"/>
  <c r="J122" i="38"/>
  <c r="I126" i="38"/>
  <c r="G224" i="38"/>
  <c r="F228" i="38"/>
  <c r="F222" i="38" s="1"/>
  <c r="G232" i="38"/>
  <c r="F236" i="38"/>
  <c r="F230" i="38" s="1"/>
  <c r="B152" i="38"/>
  <c r="G28" i="38"/>
  <c r="F32" i="38"/>
  <c r="F26" i="38" s="1"/>
  <c r="N156" i="38"/>
  <c r="N118" i="38"/>
  <c r="I83" i="38"/>
  <c r="J79" i="38"/>
  <c r="E26" i="38"/>
  <c r="H173" i="38"/>
  <c r="G177" i="38"/>
  <c r="F40" i="38"/>
  <c r="G36" i="38"/>
  <c r="I91" i="38"/>
  <c r="J87" i="38"/>
  <c r="J259" i="38"/>
  <c r="K258" i="38"/>
  <c r="L54" i="38"/>
  <c r="K55" i="38"/>
  <c r="E136" i="38"/>
  <c r="G181" i="38"/>
  <c r="F185" i="38"/>
  <c r="G154" i="38"/>
  <c r="F158" i="38"/>
  <c r="F152" i="38" s="1"/>
  <c r="L250" i="38"/>
  <c r="K251" i="38"/>
  <c r="G138" i="38"/>
  <c r="F142" i="38"/>
  <c r="F136" i="38" s="1"/>
  <c r="E61" i="38"/>
  <c r="E158" i="38"/>
  <c r="E152" i="38" s="1"/>
  <c r="D208" i="38"/>
  <c r="D209" i="38"/>
  <c r="D203" i="38" s="1"/>
  <c r="D160" i="38" s="1"/>
  <c r="D162" i="38" s="1"/>
  <c r="F56" i="38"/>
  <c r="G52" i="38"/>
  <c r="G63" i="38"/>
  <c r="F67" i="38"/>
  <c r="F61" i="38" s="1"/>
  <c r="G95" i="38"/>
  <c r="F99" i="38"/>
  <c r="F93" i="38" s="1"/>
  <c r="N43" i="36"/>
  <c r="N45" i="36" s="1"/>
  <c r="F73" i="36"/>
  <c r="K100" i="36"/>
  <c r="N109" i="36"/>
  <c r="N111" i="36" s="1"/>
  <c r="B70" i="36"/>
  <c r="B72" i="36" s="1"/>
  <c r="G52" i="36"/>
  <c r="N16" i="36"/>
  <c r="N18" i="36" s="1"/>
  <c r="C28" i="36"/>
  <c r="M16" i="36"/>
  <c r="B28" i="36"/>
  <c r="K34" i="36"/>
  <c r="H139" i="41"/>
  <c r="J96" i="41"/>
  <c r="N88" i="41"/>
  <c r="F138" i="41"/>
  <c r="E142" i="41"/>
  <c r="E136" i="41" s="1"/>
  <c r="E50" i="41"/>
  <c r="H249" i="41"/>
  <c r="H166" i="41"/>
  <c r="H169" i="41" s="1"/>
  <c r="H163" i="41" s="1"/>
  <c r="K88" i="41"/>
  <c r="G217" i="41"/>
  <c r="G220" i="41" s="1"/>
  <c r="G214" i="41" s="1"/>
  <c r="G212" i="41"/>
  <c r="F56" i="41"/>
  <c r="F50" i="41" s="1"/>
  <c r="G52" i="41"/>
  <c r="D69" i="41"/>
  <c r="G201" i="41"/>
  <c r="H197" i="41"/>
  <c r="G169" i="41"/>
  <c r="F71" i="41"/>
  <c r="E75" i="41"/>
  <c r="E69" i="41" s="1"/>
  <c r="G87" i="41"/>
  <c r="F91" i="41"/>
  <c r="F85" i="41" s="1"/>
  <c r="K233" i="41"/>
  <c r="N233" i="41" s="1"/>
  <c r="G68" i="41"/>
  <c r="F236" i="41"/>
  <c r="G232" i="41"/>
  <c r="H155" i="41"/>
  <c r="H241" i="41"/>
  <c r="I63" i="41"/>
  <c r="G146" i="41"/>
  <c r="F150" i="41"/>
  <c r="F144" i="41" s="1"/>
  <c r="J198" i="41"/>
  <c r="B213" i="41"/>
  <c r="F228" i="41"/>
  <c r="F222" i="41" s="1"/>
  <c r="G224" i="41"/>
  <c r="D238" i="41"/>
  <c r="E222" i="41"/>
  <c r="E244" i="41"/>
  <c r="E238" i="41" s="1"/>
  <c r="F240" i="41"/>
  <c r="F40" i="41"/>
  <c r="G36" i="41"/>
  <c r="J206" i="41"/>
  <c r="D136" i="41"/>
  <c r="F260" i="41"/>
  <c r="F254" i="41" s="1"/>
  <c r="G256" i="41"/>
  <c r="I95" i="41"/>
  <c r="H99" i="41"/>
  <c r="H53" i="41"/>
  <c r="H29" i="41"/>
  <c r="E185" i="41"/>
  <c r="E179" i="41" s="1"/>
  <c r="F181" i="41"/>
  <c r="F161" i="41"/>
  <c r="H64" i="41"/>
  <c r="H67" i="41" s="1"/>
  <c r="H37" i="41"/>
  <c r="E32" i="41"/>
  <c r="E26" i="41" s="1"/>
  <c r="F28" i="41"/>
  <c r="E42" i="41"/>
  <c r="B162" i="41"/>
  <c r="D26" i="41"/>
  <c r="F48" i="41"/>
  <c r="F42" i="41" s="1"/>
  <c r="G44" i="41"/>
  <c r="D160" i="41"/>
  <c r="D162" i="41" s="1"/>
  <c r="G193" i="41"/>
  <c r="H189" i="41"/>
  <c r="J131" i="41"/>
  <c r="F154" i="41"/>
  <c r="E158" i="41"/>
  <c r="F173" i="41"/>
  <c r="E177" i="41"/>
  <c r="E171" i="41" s="1"/>
  <c r="F214" i="41"/>
  <c r="H216" i="41"/>
  <c r="G205" i="41"/>
  <c r="F209" i="41"/>
  <c r="F203" i="41" s="1"/>
  <c r="E252" i="41"/>
  <c r="E246" i="41" s="1"/>
  <c r="F248" i="41"/>
  <c r="F59" i="41"/>
  <c r="D246" i="41"/>
  <c r="J182" i="41"/>
  <c r="G130" i="41"/>
  <c r="F134" i="41"/>
  <c r="J257" i="41"/>
  <c r="G202" i="37"/>
  <c r="G200" i="37"/>
  <c r="D217" i="37"/>
  <c r="E224" i="37"/>
  <c r="E38" i="37"/>
  <c r="F152" i="37"/>
  <c r="F140" i="37"/>
  <c r="F138" i="37"/>
  <c r="F135" i="37" s="1"/>
  <c r="F141" i="37" s="1"/>
  <c r="H19" i="37"/>
  <c r="H57" i="37"/>
  <c r="G58" i="37"/>
  <c r="H154" i="37"/>
  <c r="G155" i="37"/>
  <c r="I168" i="37"/>
  <c r="F171" i="37"/>
  <c r="F169" i="37"/>
  <c r="F166" i="37" s="1"/>
  <c r="F172" i="37" s="1"/>
  <c r="H12" i="37"/>
  <c r="E128" i="37"/>
  <c r="E24" i="37"/>
  <c r="K102" i="37"/>
  <c r="E68" i="37"/>
  <c r="F133" i="37"/>
  <c r="F128" i="37" s="1"/>
  <c r="F134" i="37" s="1"/>
  <c r="F190" i="37"/>
  <c r="F29" i="37"/>
  <c r="F27" i="37"/>
  <c r="H85" i="37"/>
  <c r="I220" i="37"/>
  <c r="H64" i="37"/>
  <c r="G65" i="37"/>
  <c r="H176" i="37"/>
  <c r="I175" i="37"/>
  <c r="L199" i="37"/>
  <c r="H130" i="37"/>
  <c r="I92" i="37"/>
  <c r="J147" i="37"/>
  <c r="F95" i="37"/>
  <c r="F93" i="37"/>
  <c r="F90" i="37" s="1"/>
  <c r="F96" i="37" s="1"/>
  <c r="G195" i="37"/>
  <c r="G188" i="37"/>
  <c r="G193" i="37"/>
  <c r="I161" i="37"/>
  <c r="J33" i="37"/>
  <c r="G230" i="37"/>
  <c r="E135" i="37"/>
  <c r="E141" i="37" s="1"/>
  <c r="G157" i="37"/>
  <c r="F88" i="37"/>
  <c r="F83" i="37" s="1"/>
  <c r="F89" i="37" s="1"/>
  <c r="F223" i="37"/>
  <c r="F221" i="37"/>
  <c r="F218" i="37" s="1"/>
  <c r="F224" i="37" s="1"/>
  <c r="F43" i="37"/>
  <c r="F41" i="37"/>
  <c r="G178" i="37"/>
  <c r="G173" i="37" s="1"/>
  <c r="G179" i="37" s="1"/>
  <c r="G228" i="37"/>
  <c r="G225" i="37" s="1"/>
  <c r="G231" i="37" s="1"/>
  <c r="H227" i="37"/>
  <c r="E145" i="37"/>
  <c r="E61" i="37"/>
  <c r="E52" i="37"/>
  <c r="J109" i="37"/>
  <c r="G72" i="37"/>
  <c r="H71" i="37"/>
  <c r="F143" i="37"/>
  <c r="F150" i="37"/>
  <c r="F148" i="37"/>
  <c r="H47" i="37"/>
  <c r="G48" i="37"/>
  <c r="J192" i="37"/>
  <c r="J78" i="37"/>
  <c r="F180" i="37"/>
  <c r="E231" i="37"/>
  <c r="F173" i="37"/>
  <c r="I213" i="37"/>
  <c r="E211" i="37"/>
  <c r="E217" i="37" s="1"/>
  <c r="K137" i="37"/>
  <c r="G183" i="37"/>
  <c r="H182" i="37"/>
  <c r="E51" i="37"/>
  <c r="I26" i="37"/>
  <c r="I123" i="37"/>
  <c r="I206" i="37"/>
  <c r="D189" i="37"/>
  <c r="I40" i="37"/>
  <c r="F216" i="37"/>
  <c r="F214" i="37"/>
  <c r="F211" i="37" s="1"/>
  <c r="F217" i="37" s="1"/>
  <c r="E83" i="37"/>
  <c r="F60" i="42"/>
  <c r="G59" i="42"/>
  <c r="G133" i="42"/>
  <c r="G128" i="42" s="1"/>
  <c r="H132" i="42"/>
  <c r="B144" i="42"/>
  <c r="E196" i="42"/>
  <c r="E223" i="42"/>
  <c r="E218" i="42" s="1"/>
  <c r="F222" i="42"/>
  <c r="G194" i="42"/>
  <c r="F195" i="42"/>
  <c r="F190" i="42" s="1"/>
  <c r="E164" i="42"/>
  <c r="E159" i="42" s="1"/>
  <c r="F163" i="42"/>
  <c r="E140" i="42"/>
  <c r="E135" i="42" s="1"/>
  <c r="F139" i="42"/>
  <c r="E88" i="42"/>
  <c r="E83" i="42" s="1"/>
  <c r="F87" i="42"/>
  <c r="F73" i="42"/>
  <c r="E74" i="42"/>
  <c r="E69" i="42" s="1"/>
  <c r="D69" i="42"/>
  <c r="E166" i="42"/>
  <c r="F171" i="42"/>
  <c r="F166" i="42" s="1"/>
  <c r="G170" i="42"/>
  <c r="D159" i="42"/>
  <c r="B54" i="42"/>
  <c r="F177" i="42"/>
  <c r="E178" i="42"/>
  <c r="E173" i="42" s="1"/>
  <c r="H229" i="42"/>
  <c r="G230" i="42"/>
  <c r="G225" i="42" s="1"/>
  <c r="E126" i="42"/>
  <c r="E121" i="42" s="1"/>
  <c r="F125" i="42"/>
  <c r="F119" i="42"/>
  <c r="F114" i="42" s="1"/>
  <c r="G118" i="42"/>
  <c r="F150" i="42"/>
  <c r="F145" i="42" s="1"/>
  <c r="G149" i="42"/>
  <c r="E29" i="42"/>
  <c r="E24" i="42" s="1"/>
  <c r="F28" i="42"/>
  <c r="E114" i="42"/>
  <c r="E145" i="42"/>
  <c r="G143" i="42"/>
  <c r="E43" i="42"/>
  <c r="E38" i="42" s="1"/>
  <c r="F42" i="42"/>
  <c r="F49" i="42"/>
  <c r="E50" i="42"/>
  <c r="E45" i="42" s="1"/>
  <c r="E202" i="42"/>
  <c r="E197" i="42" s="1"/>
  <c r="E187" i="42" s="1"/>
  <c r="E189" i="42" s="1"/>
  <c r="F201" i="42"/>
  <c r="G185" i="42"/>
  <c r="G180" i="42" s="1"/>
  <c r="H184" i="42"/>
  <c r="F66" i="42"/>
  <c r="E67" i="42"/>
  <c r="E62" i="42" s="1"/>
  <c r="E52" i="42" s="1"/>
  <c r="E54" i="42" s="1"/>
  <c r="G216" i="42"/>
  <c r="H215" i="42"/>
  <c r="D31" i="42"/>
  <c r="F128" i="42"/>
  <c r="F188" i="42"/>
  <c r="D197" i="42"/>
  <c r="D218" i="42"/>
  <c r="H53" i="42"/>
  <c r="F180" i="42"/>
  <c r="G95" i="42"/>
  <c r="H94" i="42"/>
  <c r="E157" i="42"/>
  <c r="E152" i="42" s="1"/>
  <c r="F156" i="42"/>
  <c r="D62" i="42"/>
  <c r="E61" i="42"/>
  <c r="F35" i="42"/>
  <c r="E36" i="42"/>
  <c r="E31" i="42" s="1"/>
  <c r="H208" i="42"/>
  <c r="G209" i="42"/>
  <c r="D42" i="35"/>
  <c r="F70" i="35"/>
  <c r="F68" i="35" s="1"/>
  <c r="G159" i="35"/>
  <c r="G157" i="35" s="1"/>
  <c r="D141" i="35"/>
  <c r="G116" i="35"/>
  <c r="G114" i="35" s="1"/>
  <c r="H88" i="35"/>
  <c r="H86" i="35" s="1"/>
  <c r="G154" i="35"/>
  <c r="G152" i="35" s="1"/>
  <c r="F144" i="35"/>
  <c r="F142" i="35" s="1"/>
  <c r="F140" i="35"/>
  <c r="F45" i="35"/>
  <c r="F43" i="35" s="1"/>
  <c r="F41" i="35"/>
  <c r="F60" i="35"/>
  <c r="F58" i="35" s="1"/>
  <c r="G83" i="35"/>
  <c r="G81" i="35" s="1"/>
  <c r="F93" i="35"/>
  <c r="F91" i="35" s="1"/>
  <c r="G32" i="35"/>
  <c r="G30" i="35" s="1"/>
  <c r="H55" i="35"/>
  <c r="H53" i="35" s="1"/>
  <c r="F169" i="35"/>
  <c r="F167" i="35" s="1"/>
  <c r="H37" i="35"/>
  <c r="H35" i="35" s="1"/>
  <c r="F27" i="35"/>
  <c r="F25" i="35" s="1"/>
  <c r="E139" i="35"/>
  <c r="E141" i="35" s="1"/>
  <c r="F136" i="35"/>
  <c r="F134" i="35" s="1"/>
  <c r="F78" i="35"/>
  <c r="F76" i="35" s="1"/>
  <c r="F65" i="35"/>
  <c r="F63" i="35" s="1"/>
  <c r="F149" i="35"/>
  <c r="F147" i="35" s="1"/>
  <c r="F121" i="35"/>
  <c r="F119" i="35" s="1"/>
  <c r="H164" i="35"/>
  <c r="H162" i="35" s="1"/>
  <c r="F126" i="35"/>
  <c r="F124" i="35" s="1"/>
  <c r="J131" i="35"/>
  <c r="J129" i="35" s="1"/>
  <c r="E40" i="35"/>
  <c r="E42" i="35" s="1"/>
  <c r="F71" i="71"/>
  <c r="F73" i="71"/>
  <c r="F43" i="71"/>
  <c r="F79" i="71"/>
  <c r="G34" i="71"/>
  <c r="G88" i="71"/>
  <c r="E70" i="71"/>
  <c r="F82" i="71"/>
  <c r="F61" i="71"/>
  <c r="G76" i="71"/>
  <c r="D30" i="71"/>
  <c r="F50" i="71"/>
  <c r="G52" i="71"/>
  <c r="D51" i="71"/>
  <c r="F55" i="71"/>
  <c r="E28" i="33"/>
  <c r="E30" i="33" s="1"/>
  <c r="F52" i="33"/>
  <c r="F50" i="33"/>
  <c r="E49" i="33"/>
  <c r="G85" i="33"/>
  <c r="F46" i="33"/>
  <c r="G37" i="33"/>
  <c r="F79" i="33"/>
  <c r="H82" i="33"/>
  <c r="F58" i="33"/>
  <c r="F34" i="33"/>
  <c r="G55" i="33"/>
  <c r="G76" i="33"/>
  <c r="F67" i="33"/>
  <c r="F71" i="33"/>
  <c r="F73" i="33"/>
  <c r="F70" i="33" s="1"/>
  <c r="G88" i="33"/>
  <c r="F31" i="33"/>
  <c r="F29" i="33"/>
  <c r="F88" i="32"/>
  <c r="G34" i="32"/>
  <c r="F61" i="32"/>
  <c r="F43" i="32"/>
  <c r="F76" i="32"/>
  <c r="H40" i="32"/>
  <c r="F46" i="32"/>
  <c r="F71" i="32"/>
  <c r="F73" i="32"/>
  <c r="D72" i="32"/>
  <c r="E28" i="32"/>
  <c r="E30" i="32" s="1"/>
  <c r="J64" i="32"/>
  <c r="F29" i="32"/>
  <c r="F31" i="32"/>
  <c r="F37" i="32"/>
  <c r="K155" i="31"/>
  <c r="H61" i="31"/>
  <c r="H45" i="31"/>
  <c r="H43" i="31" s="1"/>
  <c r="I46" i="31"/>
  <c r="H165" i="31"/>
  <c r="F83" i="31"/>
  <c r="F81" i="31" s="1"/>
  <c r="I122" i="31"/>
  <c r="H121" i="31"/>
  <c r="H119" i="31" s="1"/>
  <c r="I38" i="31"/>
  <c r="I170" i="31"/>
  <c r="J150" i="31"/>
  <c r="G93" i="31"/>
  <c r="G91" i="31" s="1"/>
  <c r="H18" i="31"/>
  <c r="H117" i="31"/>
  <c r="G116" i="31"/>
  <c r="G114" i="31" s="1"/>
  <c r="J84" i="31"/>
  <c r="I160" i="31"/>
  <c r="I89" i="31"/>
  <c r="M94" i="31"/>
  <c r="H65" i="31"/>
  <c r="H63" i="31" s="1"/>
  <c r="I66" i="31"/>
  <c r="E73" i="31"/>
  <c r="I13" i="31"/>
  <c r="J112" i="31"/>
  <c r="I111" i="31"/>
  <c r="I109" i="31" s="1"/>
  <c r="G136" i="31"/>
  <c r="G134" i="31" s="1"/>
  <c r="H137" i="31"/>
  <c r="H79" i="31"/>
  <c r="L28" i="31"/>
  <c r="I145" i="31"/>
  <c r="L127" i="31"/>
  <c r="K126" i="31"/>
  <c r="K124" i="31" s="1"/>
  <c r="F103" i="31"/>
  <c r="F101" i="31" s="1"/>
  <c r="J33" i="31"/>
  <c r="I51" i="31"/>
  <c r="J104" i="31"/>
  <c r="H71" i="31"/>
  <c r="H56" i="31"/>
  <c r="G98" i="31"/>
  <c r="G96" i="31" s="1"/>
  <c r="H99" i="31"/>
  <c r="F74" i="31"/>
  <c r="G78" i="31"/>
  <c r="G76" i="31" s="1"/>
  <c r="I132" i="31"/>
  <c r="J23" i="31"/>
  <c r="D211" i="41" l="1"/>
  <c r="D213" i="41" s="1"/>
  <c r="G197" i="37"/>
  <c r="G203" i="37" s="1"/>
  <c r="H99" i="74"/>
  <c r="I96" i="74"/>
  <c r="K111" i="74"/>
  <c r="K109" i="74" s="1"/>
  <c r="L108" i="74"/>
  <c r="I105" i="74"/>
  <c r="J102" i="74"/>
  <c r="H78" i="74"/>
  <c r="I75" i="74"/>
  <c r="K90" i="74"/>
  <c r="L87" i="74"/>
  <c r="I84" i="74"/>
  <c r="J81" i="74"/>
  <c r="I69" i="74"/>
  <c r="J66" i="74"/>
  <c r="H63" i="74"/>
  <c r="I60" i="74"/>
  <c r="H57" i="74"/>
  <c r="I54" i="74"/>
  <c r="H36" i="74"/>
  <c r="I33" i="74"/>
  <c r="H42" i="74"/>
  <c r="I39" i="74"/>
  <c r="I48" i="74"/>
  <c r="J45" i="74"/>
  <c r="I27" i="74"/>
  <c r="J24" i="74"/>
  <c r="I21" i="74"/>
  <c r="J18" i="74"/>
  <c r="F211" i="38"/>
  <c r="F213" i="38" s="1"/>
  <c r="G209" i="37"/>
  <c r="G207" i="37"/>
  <c r="G204" i="37" s="1"/>
  <c r="K223" i="41"/>
  <c r="J225" i="41"/>
  <c r="G185" i="37"/>
  <c r="G180" i="37" s="1"/>
  <c r="G186" i="37" s="1"/>
  <c r="F72" i="33"/>
  <c r="F85" i="32"/>
  <c r="F85" i="71"/>
  <c r="F107" i="31"/>
  <c r="F131" i="31"/>
  <c r="F129" i="31" s="1"/>
  <c r="F106" i="31" s="1"/>
  <c r="F108" i="31" s="1"/>
  <c r="E70" i="32"/>
  <c r="E72" i="32" s="1"/>
  <c r="L188" i="41"/>
  <c r="M188" i="41" s="1"/>
  <c r="K190" i="41"/>
  <c r="N190" i="41" s="1"/>
  <c r="F82" i="32"/>
  <c r="G164" i="37"/>
  <c r="G162" i="37"/>
  <c r="G159" i="37" s="1"/>
  <c r="G165" i="37" s="1"/>
  <c r="F79" i="32"/>
  <c r="F70" i="32" s="1"/>
  <c r="F72" i="32" s="1"/>
  <c r="F145" i="37"/>
  <c r="F142" i="37" s="1"/>
  <c r="F144" i="37" s="1"/>
  <c r="E49" i="71"/>
  <c r="E51" i="71" s="1"/>
  <c r="F67" i="71"/>
  <c r="F67" i="32"/>
  <c r="F50" i="32"/>
  <c r="F64" i="33"/>
  <c r="H64" i="71"/>
  <c r="F121" i="37"/>
  <c r="F127" i="37" s="1"/>
  <c r="G126" i="37"/>
  <c r="G124" i="37"/>
  <c r="G121" i="37" s="1"/>
  <c r="F61" i="33"/>
  <c r="F119" i="37"/>
  <c r="F117" i="37"/>
  <c r="F114" i="37" s="1"/>
  <c r="E114" i="37"/>
  <c r="E120" i="37" s="1"/>
  <c r="D122" i="41"/>
  <c r="C126" i="41"/>
  <c r="C120" i="41" s="1"/>
  <c r="B120" i="41"/>
  <c r="D123" i="41"/>
  <c r="E121" i="41"/>
  <c r="F121" i="41" s="1"/>
  <c r="G121" i="41" s="1"/>
  <c r="G88" i="31"/>
  <c r="G86" i="31" s="1"/>
  <c r="F73" i="31"/>
  <c r="F75" i="31" s="1"/>
  <c r="E49" i="32"/>
  <c r="E51" i="32" s="1"/>
  <c r="F58" i="71"/>
  <c r="F49" i="71" s="1"/>
  <c r="F51" i="71" s="1"/>
  <c r="F58" i="32"/>
  <c r="F55" i="32"/>
  <c r="H113" i="38"/>
  <c r="G112" i="38"/>
  <c r="G119" i="38" s="1"/>
  <c r="G110" i="38"/>
  <c r="F52" i="32"/>
  <c r="F49" i="32" s="1"/>
  <c r="F51" i="32" s="1"/>
  <c r="F46" i="71"/>
  <c r="F70" i="31"/>
  <c r="F68" i="31" s="1"/>
  <c r="F94" i="36"/>
  <c r="F43" i="33"/>
  <c r="D72" i="36"/>
  <c r="E79" i="36"/>
  <c r="E70" i="36" s="1"/>
  <c r="E71" i="36"/>
  <c r="G40" i="71"/>
  <c r="F60" i="31"/>
  <c r="F58" i="31" s="1"/>
  <c r="E40" i="31"/>
  <c r="E42" i="31" s="1"/>
  <c r="F40" i="33"/>
  <c r="G74" i="37"/>
  <c r="E30" i="71"/>
  <c r="F28" i="32"/>
  <c r="F30" i="32" s="1"/>
  <c r="F37" i="71"/>
  <c r="F55" i="31"/>
  <c r="F53" i="31" s="1"/>
  <c r="G67" i="37"/>
  <c r="H49" i="35"/>
  <c r="G50" i="35"/>
  <c r="G48" i="35" s="1"/>
  <c r="F41" i="31"/>
  <c r="F50" i="31"/>
  <c r="F48" i="31" s="1"/>
  <c r="F61" i="36"/>
  <c r="E55" i="36"/>
  <c r="E49" i="36" s="1"/>
  <c r="E50" i="36"/>
  <c r="D51" i="36"/>
  <c r="F61" i="37"/>
  <c r="F52" i="37"/>
  <c r="F54" i="37" s="1"/>
  <c r="G60" i="37"/>
  <c r="G53" i="37"/>
  <c r="G55" i="37"/>
  <c r="F31" i="71"/>
  <c r="F28" i="71" s="1"/>
  <c r="F30" i="71" s="1"/>
  <c r="G50" i="37"/>
  <c r="G45" i="37" s="1"/>
  <c r="G51" i="37" s="1"/>
  <c r="B50" i="38"/>
  <c r="H37" i="36"/>
  <c r="D30" i="36"/>
  <c r="G34" i="37"/>
  <c r="G36" i="37"/>
  <c r="F24" i="37"/>
  <c r="F30" i="37" s="1"/>
  <c r="E31" i="36"/>
  <c r="E28" i="36" s="1"/>
  <c r="E29" i="36"/>
  <c r="J91" i="38"/>
  <c r="J85" i="38" s="1"/>
  <c r="K87" i="38"/>
  <c r="B160" i="38"/>
  <c r="G56" i="38"/>
  <c r="H52" i="38"/>
  <c r="N251" i="38"/>
  <c r="J83" i="38"/>
  <c r="J77" i="38" s="1"/>
  <c r="K79" i="38"/>
  <c r="J126" i="38"/>
  <c r="J120" i="38" s="1"/>
  <c r="K122" i="38"/>
  <c r="J240" i="38"/>
  <c r="I244" i="38"/>
  <c r="M250" i="38"/>
  <c r="M251" i="38" s="1"/>
  <c r="L251" i="38"/>
  <c r="I85" i="38"/>
  <c r="I77" i="38"/>
  <c r="H44" i="38"/>
  <c r="G48" i="38"/>
  <c r="G42" i="38" s="1"/>
  <c r="G193" i="38"/>
  <c r="G187" i="38" s="1"/>
  <c r="H189" i="38"/>
  <c r="G40" i="38"/>
  <c r="H36" i="38"/>
  <c r="G209" i="38"/>
  <c r="G203" i="38" s="1"/>
  <c r="H205" i="38"/>
  <c r="B213" i="38"/>
  <c r="G75" i="38"/>
  <c r="H71" i="38"/>
  <c r="H154" i="38"/>
  <c r="G158" i="38"/>
  <c r="G152" i="38" s="1"/>
  <c r="F163" i="38"/>
  <c r="H134" i="38"/>
  <c r="H128" i="38" s="1"/>
  <c r="I130" i="38"/>
  <c r="F179" i="38"/>
  <c r="F109" i="38"/>
  <c r="F111" i="38" s="1"/>
  <c r="H165" i="38"/>
  <c r="G169" i="38"/>
  <c r="G163" i="38" s="1"/>
  <c r="M243" i="38"/>
  <c r="N243" i="38" s="1"/>
  <c r="N242" i="38"/>
  <c r="N106" i="38"/>
  <c r="H181" i="38"/>
  <c r="G185" i="38"/>
  <c r="G179" i="38" s="1"/>
  <c r="G32" i="38"/>
  <c r="G26" i="38" s="1"/>
  <c r="H28" i="38"/>
  <c r="G161" i="38"/>
  <c r="G171" i="38"/>
  <c r="E109" i="38"/>
  <c r="E111" i="38" s="1"/>
  <c r="H177" i="38"/>
  <c r="H171" i="38" s="1"/>
  <c r="I173" i="38"/>
  <c r="E68" i="38"/>
  <c r="G221" i="38"/>
  <c r="G252" i="38"/>
  <c r="H248" i="38"/>
  <c r="H232" i="38"/>
  <c r="G236" i="38"/>
  <c r="G230" i="38" s="1"/>
  <c r="H212" i="38"/>
  <c r="H214" i="38"/>
  <c r="H95" i="38"/>
  <c r="G99" i="38"/>
  <c r="G16" i="38"/>
  <c r="H12" i="38"/>
  <c r="G142" i="38"/>
  <c r="H138" i="38"/>
  <c r="H20" i="38"/>
  <c r="G24" i="38"/>
  <c r="G260" i="38"/>
  <c r="H256" i="38"/>
  <c r="F68" i="38"/>
  <c r="N46" i="38"/>
  <c r="M54" i="38"/>
  <c r="M55" i="38" s="1"/>
  <c r="N55" i="38" s="1"/>
  <c r="L55" i="38"/>
  <c r="N54" i="38"/>
  <c r="G228" i="38"/>
  <c r="H224" i="38"/>
  <c r="B109" i="38"/>
  <c r="H63" i="38"/>
  <c r="G67" i="38"/>
  <c r="K259" i="38"/>
  <c r="L258" i="38"/>
  <c r="H107" i="38"/>
  <c r="I103" i="38"/>
  <c r="N250" i="38"/>
  <c r="I120" i="38"/>
  <c r="K150" i="38"/>
  <c r="K144" i="38" s="1"/>
  <c r="L146" i="38"/>
  <c r="I197" i="38"/>
  <c r="H201" i="38"/>
  <c r="G73" i="36"/>
  <c r="L100" i="36"/>
  <c r="B30" i="36"/>
  <c r="H52" i="36"/>
  <c r="C30" i="36"/>
  <c r="L34" i="36"/>
  <c r="H170" i="41"/>
  <c r="K131" i="41"/>
  <c r="N131" i="41" s="1"/>
  <c r="G195" i="41"/>
  <c r="G260" i="41"/>
  <c r="G254" i="41" s="1"/>
  <c r="H256" i="41"/>
  <c r="J63" i="41"/>
  <c r="N63" i="41" s="1"/>
  <c r="I67" i="41"/>
  <c r="I61" i="41" s="1"/>
  <c r="J249" i="41"/>
  <c r="H93" i="41"/>
  <c r="I99" i="41"/>
  <c r="I93" i="41" s="1"/>
  <c r="J95" i="41"/>
  <c r="H146" i="41"/>
  <c r="G150" i="41"/>
  <c r="G144" i="41" s="1"/>
  <c r="G209" i="41"/>
  <c r="G203" i="41" s="1"/>
  <c r="H205" i="41"/>
  <c r="I170" i="41"/>
  <c r="F128" i="41"/>
  <c r="G181" i="41"/>
  <c r="F185" i="41"/>
  <c r="F179" i="41" s="1"/>
  <c r="E211" i="41"/>
  <c r="E213" i="41" s="1"/>
  <c r="G56" i="41"/>
  <c r="H52" i="41"/>
  <c r="G91" i="41"/>
  <c r="H87" i="41"/>
  <c r="F32" i="41"/>
  <c r="F26" i="41" s="1"/>
  <c r="G28" i="41"/>
  <c r="G138" i="41"/>
  <c r="F142" i="41"/>
  <c r="F221" i="41"/>
  <c r="G40" i="41"/>
  <c r="G34" i="41" s="1"/>
  <c r="H36" i="41"/>
  <c r="J155" i="41"/>
  <c r="F75" i="41"/>
  <c r="G71" i="41"/>
  <c r="F177" i="41"/>
  <c r="G173" i="41"/>
  <c r="J37" i="41"/>
  <c r="J29" i="41"/>
  <c r="F34" i="41"/>
  <c r="G72" i="41"/>
  <c r="G59" i="41"/>
  <c r="G48" i="41"/>
  <c r="H44" i="41"/>
  <c r="J53" i="41"/>
  <c r="G163" i="41"/>
  <c r="K96" i="41"/>
  <c r="N96" i="41" s="1"/>
  <c r="E152" i="41"/>
  <c r="F230" i="41"/>
  <c r="G154" i="41"/>
  <c r="F158" i="41"/>
  <c r="F152" i="41" s="1"/>
  <c r="G240" i="41"/>
  <c r="F244" i="41"/>
  <c r="F238" i="41" s="1"/>
  <c r="H201" i="41"/>
  <c r="H195" i="41" s="1"/>
  <c r="I197" i="41"/>
  <c r="K257" i="41"/>
  <c r="N257" i="41" s="1"/>
  <c r="H61" i="41"/>
  <c r="G221" i="41"/>
  <c r="I216" i="41"/>
  <c r="G174" i="41"/>
  <c r="G161" i="41"/>
  <c r="H130" i="41"/>
  <c r="G134" i="41"/>
  <c r="G128" i="41" s="1"/>
  <c r="G228" i="41"/>
  <c r="H224" i="41"/>
  <c r="J241" i="41"/>
  <c r="K182" i="41"/>
  <c r="N182" i="41" s="1"/>
  <c r="I189" i="41"/>
  <c r="H193" i="41"/>
  <c r="H187" i="41" s="1"/>
  <c r="H212" i="41"/>
  <c r="H217" i="41"/>
  <c r="H220" i="41" s="1"/>
  <c r="H214" i="41" s="1"/>
  <c r="G187" i="41"/>
  <c r="K206" i="41"/>
  <c r="N206" i="41" s="1"/>
  <c r="E160" i="41"/>
  <c r="F252" i="41"/>
  <c r="F246" i="41" s="1"/>
  <c r="G248" i="41"/>
  <c r="K198" i="41"/>
  <c r="N198" i="41" s="1"/>
  <c r="H232" i="41"/>
  <c r="G236" i="41"/>
  <c r="G230" i="41" s="1"/>
  <c r="J139" i="41"/>
  <c r="G150" i="37"/>
  <c r="G143" i="37"/>
  <c r="G148" i="37"/>
  <c r="E30" i="37"/>
  <c r="G171" i="37"/>
  <c r="G169" i="37"/>
  <c r="I71" i="37"/>
  <c r="H72" i="37"/>
  <c r="K78" i="37"/>
  <c r="G127" i="37"/>
  <c r="F158" i="37"/>
  <c r="I154" i="37"/>
  <c r="H155" i="37"/>
  <c r="G43" i="37"/>
  <c r="G41" i="37"/>
  <c r="G223" i="37"/>
  <c r="G221" i="37"/>
  <c r="G29" i="37"/>
  <c r="G27" i="37"/>
  <c r="G24" i="37" s="1"/>
  <c r="G30" i="37" s="1"/>
  <c r="F186" i="37"/>
  <c r="G95" i="37"/>
  <c r="G93" i="37"/>
  <c r="G88" i="37"/>
  <c r="G133" i="37"/>
  <c r="J161" i="37"/>
  <c r="I19" i="37"/>
  <c r="K147" i="37"/>
  <c r="E142" i="37"/>
  <c r="E151" i="37"/>
  <c r="G62" i="37"/>
  <c r="H228" i="37"/>
  <c r="I227" i="37"/>
  <c r="G190" i="37"/>
  <c r="H202" i="37"/>
  <c r="H200" i="37"/>
  <c r="G216" i="37"/>
  <c r="G214" i="37"/>
  <c r="J26" i="37"/>
  <c r="K109" i="37"/>
  <c r="H178" i="37"/>
  <c r="H173" i="37" s="1"/>
  <c r="H179" i="37" s="1"/>
  <c r="H230" i="37"/>
  <c r="H195" i="37"/>
  <c r="H188" i="37"/>
  <c r="H193" i="37"/>
  <c r="J92" i="37"/>
  <c r="J220" i="37"/>
  <c r="J168" i="37"/>
  <c r="I12" i="37"/>
  <c r="L137" i="37"/>
  <c r="J40" i="37"/>
  <c r="M199" i="37"/>
  <c r="G210" i="37"/>
  <c r="H183" i="37"/>
  <c r="I182" i="37"/>
  <c r="F196" i="37"/>
  <c r="F187" i="37"/>
  <c r="F120" i="37"/>
  <c r="G61" i="37"/>
  <c r="G52" i="37"/>
  <c r="E54" i="37"/>
  <c r="K33" i="37"/>
  <c r="I57" i="37"/>
  <c r="H58" i="37"/>
  <c r="G69" i="37"/>
  <c r="H157" i="37"/>
  <c r="J175" i="37"/>
  <c r="E134" i="37"/>
  <c r="J206" i="37"/>
  <c r="K192" i="37"/>
  <c r="E89" i="37"/>
  <c r="J213" i="37"/>
  <c r="I64" i="37"/>
  <c r="H65" i="37"/>
  <c r="J123" i="37"/>
  <c r="G140" i="37"/>
  <c r="G138" i="37"/>
  <c r="G135" i="37" s="1"/>
  <c r="G141" i="37" s="1"/>
  <c r="F179" i="37"/>
  <c r="I47" i="37"/>
  <c r="H48" i="37"/>
  <c r="G131" i="37"/>
  <c r="H86" i="37"/>
  <c r="I85" i="37"/>
  <c r="L102" i="37"/>
  <c r="E44" i="37"/>
  <c r="F38" i="37"/>
  <c r="F44" i="37" s="1"/>
  <c r="I130" i="37"/>
  <c r="H131" i="37"/>
  <c r="G86" i="37"/>
  <c r="G152" i="37"/>
  <c r="G158" i="37" s="1"/>
  <c r="G163" i="42"/>
  <c r="F164" i="42"/>
  <c r="I94" i="42"/>
  <c r="H95" i="42"/>
  <c r="H90" i="42" s="1"/>
  <c r="E142" i="42"/>
  <c r="E151" i="42"/>
  <c r="G66" i="42"/>
  <c r="F67" i="42"/>
  <c r="F62" i="42" s="1"/>
  <c r="I132" i="42"/>
  <c r="H133" i="42"/>
  <c r="G90" i="42"/>
  <c r="F43" i="42"/>
  <c r="F38" i="42" s="1"/>
  <c r="G42" i="42"/>
  <c r="F178" i="42"/>
  <c r="G177" i="42"/>
  <c r="G73" i="42"/>
  <c r="F74" i="42"/>
  <c r="F196" i="42"/>
  <c r="I229" i="42"/>
  <c r="H230" i="42"/>
  <c r="H225" i="42" s="1"/>
  <c r="H59" i="42"/>
  <c r="G60" i="42"/>
  <c r="G55" i="42" s="1"/>
  <c r="G204" i="42"/>
  <c r="G211" i="42"/>
  <c r="F157" i="42"/>
  <c r="G156" i="42"/>
  <c r="H194" i="42"/>
  <c r="G195" i="42"/>
  <c r="F55" i="42"/>
  <c r="G222" i="42"/>
  <c r="F223" i="42"/>
  <c r="F218" i="42" s="1"/>
  <c r="I184" i="42"/>
  <c r="H185" i="42"/>
  <c r="H180" i="42" s="1"/>
  <c r="I53" i="42"/>
  <c r="F29" i="42"/>
  <c r="F24" i="42" s="1"/>
  <c r="G28" i="42"/>
  <c r="I208" i="42"/>
  <c r="H209" i="42"/>
  <c r="H204" i="42" s="1"/>
  <c r="F140" i="42"/>
  <c r="G139" i="42"/>
  <c r="G201" i="42"/>
  <c r="F202" i="42"/>
  <c r="F197" i="42" s="1"/>
  <c r="F187" i="42" s="1"/>
  <c r="F189" i="42" s="1"/>
  <c r="G150" i="42"/>
  <c r="G145" i="42" s="1"/>
  <c r="H149" i="42"/>
  <c r="F151" i="42"/>
  <c r="G171" i="42"/>
  <c r="G166" i="42" s="1"/>
  <c r="H170" i="42"/>
  <c r="G119" i="42"/>
  <c r="G114" i="42" s="1"/>
  <c r="H118" i="42"/>
  <c r="D187" i="42"/>
  <c r="H143" i="42"/>
  <c r="G188" i="42"/>
  <c r="G125" i="42"/>
  <c r="F126" i="42"/>
  <c r="F121" i="42" s="1"/>
  <c r="G87" i="42"/>
  <c r="F88" i="42"/>
  <c r="F83" i="42" s="1"/>
  <c r="F36" i="42"/>
  <c r="F31" i="42" s="1"/>
  <c r="G35" i="42"/>
  <c r="D52" i="42"/>
  <c r="H216" i="42"/>
  <c r="H211" i="42" s="1"/>
  <c r="I215" i="42"/>
  <c r="F50" i="42"/>
  <c r="G49" i="42"/>
  <c r="G41" i="35"/>
  <c r="G45" i="35"/>
  <c r="G43" i="35" s="1"/>
  <c r="G121" i="35"/>
  <c r="G119" i="35" s="1"/>
  <c r="G136" i="35"/>
  <c r="G134" i="35" s="1"/>
  <c r="G149" i="35"/>
  <c r="G147" i="35" s="1"/>
  <c r="H32" i="35"/>
  <c r="H30" i="35" s="1"/>
  <c r="H154" i="35"/>
  <c r="H152" i="35" s="1"/>
  <c r="G70" i="35"/>
  <c r="G68" i="35" s="1"/>
  <c r="I164" i="35"/>
  <c r="I162" i="35" s="1"/>
  <c r="G169" i="35"/>
  <c r="G167" i="35" s="1"/>
  <c r="H116" i="35"/>
  <c r="H114" i="35" s="1"/>
  <c r="F40" i="35"/>
  <c r="F139" i="35"/>
  <c r="G126" i="35"/>
  <c r="G124" i="35" s="1"/>
  <c r="H83" i="35"/>
  <c r="H81" i="35" s="1"/>
  <c r="I55" i="35"/>
  <c r="I53" i="35" s="1"/>
  <c r="G144" i="35"/>
  <c r="G142" i="35" s="1"/>
  <c r="G140" i="35"/>
  <c r="H159" i="35"/>
  <c r="H157" i="35" s="1"/>
  <c r="G65" i="35"/>
  <c r="G63" i="35" s="1"/>
  <c r="G93" i="35"/>
  <c r="G91" i="35" s="1"/>
  <c r="I88" i="35"/>
  <c r="I86" i="35" s="1"/>
  <c r="K131" i="35"/>
  <c r="K129" i="35" s="1"/>
  <c r="G27" i="35"/>
  <c r="G25" i="35" s="1"/>
  <c r="I37" i="35"/>
  <c r="I35" i="35" s="1"/>
  <c r="G60" i="35"/>
  <c r="G58" i="35" s="1"/>
  <c r="G78" i="35"/>
  <c r="G76" i="35" s="1"/>
  <c r="H76" i="71"/>
  <c r="G43" i="71"/>
  <c r="G55" i="71"/>
  <c r="G73" i="71"/>
  <c r="G71" i="71"/>
  <c r="H88" i="71"/>
  <c r="F70" i="71"/>
  <c r="F72" i="71" s="1"/>
  <c r="H34" i="71"/>
  <c r="G61" i="71"/>
  <c r="E72" i="71"/>
  <c r="G79" i="71"/>
  <c r="H52" i="71"/>
  <c r="G29" i="71"/>
  <c r="G82" i="71"/>
  <c r="G58" i="33"/>
  <c r="I82" i="33"/>
  <c r="H85" i="33"/>
  <c r="G34" i="33"/>
  <c r="G46" i="33"/>
  <c r="G71" i="33"/>
  <c r="G73" i="33"/>
  <c r="H76" i="33"/>
  <c r="F49" i="33"/>
  <c r="F51" i="33" s="1"/>
  <c r="H55" i="33"/>
  <c r="E51" i="33"/>
  <c r="H37" i="33"/>
  <c r="G31" i="33"/>
  <c r="H88" i="33"/>
  <c r="G67" i="33"/>
  <c r="G79" i="33"/>
  <c r="F28" i="33"/>
  <c r="G52" i="33"/>
  <c r="G50" i="33"/>
  <c r="G31" i="32"/>
  <c r="G29" i="32"/>
  <c r="K64" i="32"/>
  <c r="H34" i="32"/>
  <c r="G88" i="32"/>
  <c r="G43" i="32"/>
  <c r="G61" i="32"/>
  <c r="G37" i="32"/>
  <c r="I40" i="32"/>
  <c r="G73" i="32"/>
  <c r="G71" i="32"/>
  <c r="G46" i="32"/>
  <c r="G76" i="32"/>
  <c r="I165" i="31"/>
  <c r="H136" i="31"/>
  <c r="H134" i="31" s="1"/>
  <c r="I137" i="31"/>
  <c r="I18" i="31"/>
  <c r="I71" i="31"/>
  <c r="K104" i="31"/>
  <c r="K112" i="31"/>
  <c r="I61" i="31"/>
  <c r="M127" i="31"/>
  <c r="M126" i="31" s="1"/>
  <c r="M124" i="31" s="1"/>
  <c r="L126" i="31"/>
  <c r="L124" i="31" s="1"/>
  <c r="J170" i="31"/>
  <c r="K84" i="31"/>
  <c r="L155" i="31"/>
  <c r="E75" i="31"/>
  <c r="J111" i="31"/>
  <c r="J109" i="31" s="1"/>
  <c r="I65" i="31"/>
  <c r="I63" i="31" s="1"/>
  <c r="J66" i="31"/>
  <c r="J38" i="31"/>
  <c r="H98" i="31"/>
  <c r="H96" i="31" s="1"/>
  <c r="I99" i="31"/>
  <c r="H116" i="31"/>
  <c r="H114" i="31" s="1"/>
  <c r="I117" i="31"/>
  <c r="J122" i="31"/>
  <c r="I121" i="31"/>
  <c r="I119" i="31" s="1"/>
  <c r="I45" i="31"/>
  <c r="I43" i="31" s="1"/>
  <c r="J46" i="31"/>
  <c r="H93" i="31"/>
  <c r="H91" i="31" s="1"/>
  <c r="I56" i="31"/>
  <c r="J89" i="31"/>
  <c r="J160" i="31"/>
  <c r="K150" i="31"/>
  <c r="J51" i="31"/>
  <c r="K23" i="31"/>
  <c r="J145" i="31"/>
  <c r="J13" i="31"/>
  <c r="K33" i="31"/>
  <c r="J132" i="31"/>
  <c r="M28" i="31"/>
  <c r="G74" i="31"/>
  <c r="G103" i="31"/>
  <c r="G101" i="31" s="1"/>
  <c r="H78" i="31"/>
  <c r="H76" i="31" s="1"/>
  <c r="I79" i="31"/>
  <c r="G83" i="31"/>
  <c r="G81" i="31" s="1"/>
  <c r="H152" i="37" l="1"/>
  <c r="H158" i="37" s="1"/>
  <c r="F151" i="37"/>
  <c r="G145" i="37"/>
  <c r="H190" i="37"/>
  <c r="H196" i="37" s="1"/>
  <c r="L111" i="74"/>
  <c r="L109" i="74" s="1"/>
  <c r="M108" i="74"/>
  <c r="J105" i="74"/>
  <c r="K102" i="74"/>
  <c r="J96" i="74"/>
  <c r="I99" i="74"/>
  <c r="J84" i="74"/>
  <c r="K81" i="74"/>
  <c r="L90" i="74"/>
  <c r="M87" i="74"/>
  <c r="J75" i="74"/>
  <c r="I78" i="74"/>
  <c r="J54" i="74"/>
  <c r="I57" i="74"/>
  <c r="I63" i="74"/>
  <c r="J60" i="74"/>
  <c r="J69" i="74"/>
  <c r="K66" i="74"/>
  <c r="J48" i="74"/>
  <c r="K45" i="74"/>
  <c r="I42" i="74"/>
  <c r="J39" i="74"/>
  <c r="J33" i="74"/>
  <c r="I36" i="74"/>
  <c r="J27" i="74"/>
  <c r="K24" i="74"/>
  <c r="J21" i="74"/>
  <c r="K18" i="74"/>
  <c r="H209" i="37"/>
  <c r="H207" i="37"/>
  <c r="H204" i="37" s="1"/>
  <c r="H210" i="37" s="1"/>
  <c r="L223" i="41"/>
  <c r="M223" i="41" s="1"/>
  <c r="K225" i="41"/>
  <c r="N225" i="41" s="1"/>
  <c r="G139" i="35"/>
  <c r="G141" i="35" s="1"/>
  <c r="E162" i="41"/>
  <c r="H185" i="37"/>
  <c r="H180" i="37" s="1"/>
  <c r="H186" i="37" s="1"/>
  <c r="G131" i="31"/>
  <c r="G129" i="31" s="1"/>
  <c r="G106" i="31" s="1"/>
  <c r="G108" i="31" s="1"/>
  <c r="G107" i="31"/>
  <c r="G85" i="71"/>
  <c r="G85" i="32"/>
  <c r="G82" i="32"/>
  <c r="H164" i="37"/>
  <c r="H162" i="37"/>
  <c r="H159" i="37" s="1"/>
  <c r="H165" i="37" s="1"/>
  <c r="G79" i="32"/>
  <c r="G67" i="32"/>
  <c r="G67" i="71"/>
  <c r="I64" i="71"/>
  <c r="G64" i="33"/>
  <c r="H126" i="37"/>
  <c r="H124" i="37"/>
  <c r="G61" i="33"/>
  <c r="G123" i="41"/>
  <c r="H121" i="41"/>
  <c r="E122" i="41"/>
  <c r="D126" i="41"/>
  <c r="G119" i="37"/>
  <c r="G117" i="37"/>
  <c r="G114" i="37" s="1"/>
  <c r="G120" i="37" s="1"/>
  <c r="G58" i="71"/>
  <c r="G50" i="71"/>
  <c r="G49" i="33"/>
  <c r="G51" i="33" s="1"/>
  <c r="G73" i="31"/>
  <c r="G75" i="31" s="1"/>
  <c r="G49" i="71"/>
  <c r="G58" i="32"/>
  <c r="H88" i="31"/>
  <c r="H86" i="31" s="1"/>
  <c r="G55" i="32"/>
  <c r="I113" i="38"/>
  <c r="H110" i="38"/>
  <c r="H112" i="38"/>
  <c r="G50" i="32"/>
  <c r="G52" i="32"/>
  <c r="G70" i="31"/>
  <c r="G68" i="31" s="1"/>
  <c r="G46" i="71"/>
  <c r="G94" i="36"/>
  <c r="G43" i="33"/>
  <c r="F79" i="36"/>
  <c r="F70" i="36" s="1"/>
  <c r="F71" i="36"/>
  <c r="E72" i="36"/>
  <c r="G40" i="33"/>
  <c r="G28" i="33" s="1"/>
  <c r="G29" i="33"/>
  <c r="G60" i="31"/>
  <c r="G58" i="31" s="1"/>
  <c r="F40" i="31"/>
  <c r="F42" i="31" s="1"/>
  <c r="H40" i="71"/>
  <c r="H74" i="37"/>
  <c r="H69" i="37" s="1"/>
  <c r="H75" i="37" s="1"/>
  <c r="G55" i="31"/>
  <c r="G53" i="31" s="1"/>
  <c r="G28" i="32"/>
  <c r="G30" i="32" s="1"/>
  <c r="G37" i="71"/>
  <c r="G28" i="71" s="1"/>
  <c r="G30" i="71" s="1"/>
  <c r="G54" i="37"/>
  <c r="H67" i="37"/>
  <c r="H62" i="37" s="1"/>
  <c r="H68" i="37" s="1"/>
  <c r="I49" i="35"/>
  <c r="H50" i="35"/>
  <c r="H48" i="35" s="1"/>
  <c r="G50" i="31"/>
  <c r="G48" i="31" s="1"/>
  <c r="G41" i="31"/>
  <c r="F55" i="36"/>
  <c r="F49" i="36" s="1"/>
  <c r="F50" i="36"/>
  <c r="E51" i="36"/>
  <c r="G61" i="36"/>
  <c r="H60" i="37"/>
  <c r="H53" i="37"/>
  <c r="G31" i="71"/>
  <c r="C50" i="38"/>
  <c r="H50" i="37"/>
  <c r="H45" i="37" s="1"/>
  <c r="H51" i="37" s="1"/>
  <c r="I37" i="36"/>
  <c r="H34" i="37"/>
  <c r="H31" i="37" s="1"/>
  <c r="H37" i="37" s="1"/>
  <c r="H36" i="37"/>
  <c r="G31" i="37"/>
  <c r="G37" i="37" s="1"/>
  <c r="F29" i="36"/>
  <c r="F31" i="36"/>
  <c r="F28" i="36" s="1"/>
  <c r="E30" i="36"/>
  <c r="I95" i="38"/>
  <c r="H99" i="38"/>
  <c r="H93" i="38" s="1"/>
  <c r="B111" i="38"/>
  <c r="J197" i="38"/>
  <c r="I201" i="38"/>
  <c r="I195" i="38" s="1"/>
  <c r="I248" i="38"/>
  <c r="H252" i="38"/>
  <c r="H246" i="38" s="1"/>
  <c r="H169" i="38"/>
  <c r="I165" i="38"/>
  <c r="H158" i="38"/>
  <c r="H152" i="38" s="1"/>
  <c r="I154" i="38"/>
  <c r="I238" i="38"/>
  <c r="G246" i="38"/>
  <c r="H75" i="38"/>
  <c r="H69" i="38" s="1"/>
  <c r="I71" i="38"/>
  <c r="J244" i="38"/>
  <c r="J238" i="38" s="1"/>
  <c r="K240" i="38"/>
  <c r="H32" i="38"/>
  <c r="H26" i="38" s="1"/>
  <c r="I28" i="38"/>
  <c r="H48" i="38"/>
  <c r="H42" i="38" s="1"/>
  <c r="I44" i="38"/>
  <c r="G254" i="38"/>
  <c r="I212" i="38"/>
  <c r="I214" i="38"/>
  <c r="H185" i="38"/>
  <c r="H179" i="38" s="1"/>
  <c r="I181" i="38"/>
  <c r="G222" i="38"/>
  <c r="G93" i="38"/>
  <c r="G61" i="38"/>
  <c r="K83" i="38"/>
  <c r="K77" i="38" s="1"/>
  <c r="L79" i="38"/>
  <c r="H67" i="38"/>
  <c r="H61" i="38" s="1"/>
  <c r="I63" i="38"/>
  <c r="I256" i="38"/>
  <c r="H260" i="38"/>
  <c r="H254" i="38" s="1"/>
  <c r="H221" i="38"/>
  <c r="J130" i="38"/>
  <c r="I134" i="38"/>
  <c r="I128" i="38" s="1"/>
  <c r="H56" i="38"/>
  <c r="I52" i="38"/>
  <c r="I224" i="38"/>
  <c r="H228" i="38"/>
  <c r="H222" i="38" s="1"/>
  <c r="B162" i="38"/>
  <c r="H24" i="38"/>
  <c r="I20" i="38"/>
  <c r="F170" i="38"/>
  <c r="F160" i="38"/>
  <c r="F162" i="38" s="1"/>
  <c r="J103" i="38"/>
  <c r="I107" i="38"/>
  <c r="I177" i="38"/>
  <c r="I171" i="38" s="1"/>
  <c r="J173" i="38"/>
  <c r="H209" i="38"/>
  <c r="I205" i="38"/>
  <c r="I138" i="38"/>
  <c r="H142" i="38"/>
  <c r="H136" i="38" s="1"/>
  <c r="I232" i="38"/>
  <c r="H236" i="38"/>
  <c r="H230" i="38" s="1"/>
  <c r="L87" i="38"/>
  <c r="K91" i="38"/>
  <c r="G136" i="38"/>
  <c r="H195" i="38"/>
  <c r="H16" i="38"/>
  <c r="I12" i="38"/>
  <c r="G170" i="38"/>
  <c r="G160" i="38"/>
  <c r="G162" i="38" s="1"/>
  <c r="H40" i="38"/>
  <c r="I36" i="38"/>
  <c r="L150" i="38"/>
  <c r="M146" i="38"/>
  <c r="M150" i="38" s="1"/>
  <c r="M144" i="38" s="1"/>
  <c r="G69" i="38"/>
  <c r="I189" i="38"/>
  <c r="H193" i="38"/>
  <c r="K126" i="38"/>
  <c r="L122" i="38"/>
  <c r="L259" i="38"/>
  <c r="M258" i="38"/>
  <c r="H161" i="38"/>
  <c r="M100" i="36"/>
  <c r="N100" i="36" s="1"/>
  <c r="M34" i="36"/>
  <c r="N34" i="36" s="1"/>
  <c r="N36" i="36" s="1"/>
  <c r="I52" i="36"/>
  <c r="H73" i="36"/>
  <c r="K53" i="41"/>
  <c r="N53" i="41" s="1"/>
  <c r="I68" i="41"/>
  <c r="H209" i="41"/>
  <c r="I205" i="41"/>
  <c r="I36" i="41"/>
  <c r="H40" i="41"/>
  <c r="K29" i="41"/>
  <c r="N29" i="41" s="1"/>
  <c r="K241" i="41"/>
  <c r="N241" i="41" s="1"/>
  <c r="I52" i="41"/>
  <c r="H56" i="41"/>
  <c r="H50" i="41" s="1"/>
  <c r="H150" i="41"/>
  <c r="H144" i="41" s="1"/>
  <c r="I146" i="41"/>
  <c r="I224" i="41"/>
  <c r="H228" i="41"/>
  <c r="H222" i="41" s="1"/>
  <c r="H68" i="41"/>
  <c r="I44" i="41"/>
  <c r="H48" i="41"/>
  <c r="H42" i="41" s="1"/>
  <c r="K37" i="41"/>
  <c r="N37" i="41" s="1"/>
  <c r="G50" i="41"/>
  <c r="H221" i="41"/>
  <c r="G32" i="41"/>
  <c r="H28" i="41"/>
  <c r="J216" i="41"/>
  <c r="I220" i="41"/>
  <c r="I214" i="41" s="1"/>
  <c r="N216" i="41"/>
  <c r="G158" i="41"/>
  <c r="G152" i="41" s="1"/>
  <c r="H154" i="41"/>
  <c r="K139" i="41"/>
  <c r="N139" i="41" s="1"/>
  <c r="H248" i="41"/>
  <c r="G252" i="41"/>
  <c r="H91" i="41"/>
  <c r="H85" i="41" s="1"/>
  <c r="I87" i="41"/>
  <c r="G85" i="41"/>
  <c r="H260" i="41"/>
  <c r="I256" i="41"/>
  <c r="G222" i="41"/>
  <c r="G42" i="41"/>
  <c r="G177" i="41"/>
  <c r="G171" i="41" s="1"/>
  <c r="H173" i="41"/>
  <c r="I130" i="41"/>
  <c r="H134" i="41"/>
  <c r="F171" i="41"/>
  <c r="G170" i="41"/>
  <c r="H72" i="41"/>
  <c r="H59" i="41"/>
  <c r="F136" i="41"/>
  <c r="J166" i="41"/>
  <c r="J64" i="41"/>
  <c r="N64" i="41" s="1"/>
  <c r="I212" i="41"/>
  <c r="H174" i="41"/>
  <c r="H161" i="41"/>
  <c r="G244" i="41"/>
  <c r="H240" i="41"/>
  <c r="G75" i="41"/>
  <c r="G69" i="41" s="1"/>
  <c r="H71" i="41"/>
  <c r="G142" i="41"/>
  <c r="G136" i="41" s="1"/>
  <c r="H138" i="41"/>
  <c r="H181" i="41"/>
  <c r="G185" i="41"/>
  <c r="G179" i="41" s="1"/>
  <c r="J189" i="41"/>
  <c r="I193" i="41"/>
  <c r="K155" i="41"/>
  <c r="N155" i="41" s="1"/>
  <c r="I232" i="41"/>
  <c r="H236" i="41"/>
  <c r="J99" i="41"/>
  <c r="J93" i="41" s="1"/>
  <c r="K95" i="41"/>
  <c r="I201" i="41"/>
  <c r="I195" i="41" s="1"/>
  <c r="J197" i="41"/>
  <c r="F211" i="41"/>
  <c r="F213" i="41" s="1"/>
  <c r="F69" i="41"/>
  <c r="K249" i="41"/>
  <c r="N249" i="41" s="1"/>
  <c r="L33" i="37"/>
  <c r="G83" i="37"/>
  <c r="G128" i="37"/>
  <c r="J57" i="37"/>
  <c r="I58" i="37"/>
  <c r="H95" i="37"/>
  <c r="H93" i="37"/>
  <c r="H90" i="37" s="1"/>
  <c r="H96" i="37" s="1"/>
  <c r="G38" i="37"/>
  <c r="G44" i="37" s="1"/>
  <c r="L78" i="37"/>
  <c r="H43" i="37"/>
  <c r="H41" i="37"/>
  <c r="H38" i="37" s="1"/>
  <c r="H44" i="37" s="1"/>
  <c r="J47" i="37"/>
  <c r="I48" i="37"/>
  <c r="F189" i="37"/>
  <c r="J64" i="37"/>
  <c r="I230" i="37"/>
  <c r="I183" i="37"/>
  <c r="J182" i="37"/>
  <c r="L109" i="37"/>
  <c r="H223" i="37"/>
  <c r="H221" i="37"/>
  <c r="K123" i="37"/>
  <c r="K168" i="37"/>
  <c r="K26" i="37"/>
  <c r="H133" i="37"/>
  <c r="K92" i="37"/>
  <c r="I202" i="37"/>
  <c r="I200" i="37"/>
  <c r="I197" i="37" s="1"/>
  <c r="I203" i="37" s="1"/>
  <c r="H171" i="37"/>
  <c r="H169" i="37"/>
  <c r="H166" i="37" s="1"/>
  <c r="H172" i="37" s="1"/>
  <c r="G187" i="37"/>
  <c r="G189" i="37" s="1"/>
  <c r="G196" i="37"/>
  <c r="H140" i="37"/>
  <c r="H138" i="37"/>
  <c r="H135" i="37" s="1"/>
  <c r="H141" i="37" s="1"/>
  <c r="K40" i="37"/>
  <c r="J19" i="37"/>
  <c r="H225" i="37"/>
  <c r="K175" i="37"/>
  <c r="J176" i="37"/>
  <c r="I178" i="37"/>
  <c r="I157" i="37"/>
  <c r="M102" i="37"/>
  <c r="H128" i="37"/>
  <c r="H134" i="37" s="1"/>
  <c r="H197" i="37"/>
  <c r="H187" i="37" s="1"/>
  <c r="H189" i="37" s="1"/>
  <c r="J130" i="37"/>
  <c r="J71" i="37"/>
  <c r="I72" i="37"/>
  <c r="I188" i="37"/>
  <c r="I195" i="37"/>
  <c r="I193" i="37"/>
  <c r="L147" i="37"/>
  <c r="G166" i="37"/>
  <c r="K206" i="37"/>
  <c r="K213" i="37"/>
  <c r="I228" i="37"/>
  <c r="J227" i="37"/>
  <c r="H29" i="37"/>
  <c r="H27" i="37"/>
  <c r="M137" i="37"/>
  <c r="K161" i="37"/>
  <c r="G218" i="37"/>
  <c r="I176" i="37"/>
  <c r="J12" i="37"/>
  <c r="H150" i="37"/>
  <c r="H143" i="37"/>
  <c r="H148" i="37"/>
  <c r="J85" i="37"/>
  <c r="L192" i="37"/>
  <c r="G75" i="37"/>
  <c r="G211" i="37"/>
  <c r="G68" i="37"/>
  <c r="I86" i="37"/>
  <c r="H88" i="37"/>
  <c r="H83" i="37" s="1"/>
  <c r="H89" i="37" s="1"/>
  <c r="E144" i="37"/>
  <c r="I155" i="37"/>
  <c r="I152" i="37" s="1"/>
  <c r="I158" i="37" s="1"/>
  <c r="J154" i="37"/>
  <c r="G142" i="37"/>
  <c r="G144" i="37" s="1"/>
  <c r="G151" i="37"/>
  <c r="H55" i="37"/>
  <c r="K220" i="37"/>
  <c r="H216" i="37"/>
  <c r="H214" i="37"/>
  <c r="G90" i="37"/>
  <c r="H125" i="42"/>
  <c r="G126" i="42"/>
  <c r="H128" i="42"/>
  <c r="F45" i="42"/>
  <c r="F152" i="42"/>
  <c r="J132" i="42"/>
  <c r="I133" i="42"/>
  <c r="I128" i="42" s="1"/>
  <c r="J94" i="42"/>
  <c r="I95" i="42"/>
  <c r="G50" i="42"/>
  <c r="G45" i="42" s="1"/>
  <c r="H49" i="42"/>
  <c r="G157" i="42"/>
  <c r="G152" i="42" s="1"/>
  <c r="G142" i="42" s="1"/>
  <c r="G144" i="42" s="1"/>
  <c r="H156" i="42"/>
  <c r="I216" i="42"/>
  <c r="I211" i="42" s="1"/>
  <c r="J215" i="42"/>
  <c r="G202" i="42"/>
  <c r="H201" i="42"/>
  <c r="J184" i="42"/>
  <c r="I185" i="42"/>
  <c r="I180" i="42" s="1"/>
  <c r="H195" i="42"/>
  <c r="H190" i="42" s="1"/>
  <c r="I194" i="42"/>
  <c r="J229" i="42"/>
  <c r="I230" i="42"/>
  <c r="I225" i="42" s="1"/>
  <c r="F159" i="42"/>
  <c r="H188" i="42"/>
  <c r="H163" i="42"/>
  <c r="G164" i="42"/>
  <c r="G159" i="42" s="1"/>
  <c r="E144" i="42"/>
  <c r="I118" i="42"/>
  <c r="H119" i="42"/>
  <c r="H114" i="42" s="1"/>
  <c r="G140" i="42"/>
  <c r="G135" i="42" s="1"/>
  <c r="H139" i="42"/>
  <c r="F69" i="42"/>
  <c r="I143" i="42"/>
  <c r="H177" i="42"/>
  <c r="G178" i="42"/>
  <c r="G173" i="42" s="1"/>
  <c r="H150" i="42"/>
  <c r="H145" i="42" s="1"/>
  <c r="I149" i="42"/>
  <c r="G151" i="42"/>
  <c r="J53" i="42"/>
  <c r="D54" i="42"/>
  <c r="G223" i="42"/>
  <c r="G218" i="42" s="1"/>
  <c r="H222" i="42"/>
  <c r="H66" i="42"/>
  <c r="G67" i="42"/>
  <c r="H35" i="42"/>
  <c r="G36" i="42"/>
  <c r="G31" i="42" s="1"/>
  <c r="F135" i="42"/>
  <c r="F61" i="42"/>
  <c r="F52" i="42"/>
  <c r="F54" i="42" s="1"/>
  <c r="G74" i="42"/>
  <c r="G69" i="42" s="1"/>
  <c r="H73" i="42"/>
  <c r="I170" i="42"/>
  <c r="H171" i="42"/>
  <c r="G61" i="42"/>
  <c r="H60" i="42"/>
  <c r="I59" i="42"/>
  <c r="I209" i="42"/>
  <c r="J208" i="42"/>
  <c r="F173" i="42"/>
  <c r="H87" i="42"/>
  <c r="G88" i="42"/>
  <c r="H28" i="42"/>
  <c r="G29" i="42"/>
  <c r="G43" i="42"/>
  <c r="H42" i="42"/>
  <c r="D189" i="42"/>
  <c r="G190" i="42"/>
  <c r="J55" i="35"/>
  <c r="J53" i="35" s="1"/>
  <c r="H93" i="35"/>
  <c r="H91" i="35" s="1"/>
  <c r="I116" i="35"/>
  <c r="I114" i="35" s="1"/>
  <c r="H169" i="35"/>
  <c r="H167" i="35" s="1"/>
  <c r="J37" i="35"/>
  <c r="J35" i="35" s="1"/>
  <c r="I83" i="35"/>
  <c r="I81" i="35" s="1"/>
  <c r="J164" i="35"/>
  <c r="J162" i="35" s="1"/>
  <c r="H70" i="35"/>
  <c r="H68" i="35" s="1"/>
  <c r="H121" i="35"/>
  <c r="H119" i="35" s="1"/>
  <c r="H78" i="35"/>
  <c r="H76" i="35" s="1"/>
  <c r="H136" i="35"/>
  <c r="H134" i="35" s="1"/>
  <c r="F42" i="35"/>
  <c r="H149" i="35"/>
  <c r="H147" i="35" s="1"/>
  <c r="H60" i="35"/>
  <c r="H58" i="35" s="1"/>
  <c r="I154" i="35"/>
  <c r="I152" i="35" s="1"/>
  <c r="H65" i="35"/>
  <c r="H63" i="35" s="1"/>
  <c r="I159" i="35"/>
  <c r="I157" i="35" s="1"/>
  <c r="H41" i="35"/>
  <c r="H45" i="35"/>
  <c r="H43" i="35" s="1"/>
  <c r="H144" i="35"/>
  <c r="H142" i="35" s="1"/>
  <c r="H140" i="35"/>
  <c r="I32" i="35"/>
  <c r="I30" i="35" s="1"/>
  <c r="G40" i="35"/>
  <c r="G42" i="35" s="1"/>
  <c r="J88" i="35"/>
  <c r="J86" i="35" s="1"/>
  <c r="H27" i="35"/>
  <c r="H25" i="35" s="1"/>
  <c r="H126" i="35"/>
  <c r="H124" i="35" s="1"/>
  <c r="L131" i="35"/>
  <c r="L129" i="35" s="1"/>
  <c r="F141" i="35"/>
  <c r="I88" i="71"/>
  <c r="I34" i="71"/>
  <c r="H82" i="71"/>
  <c r="H43" i="71"/>
  <c r="I52" i="71"/>
  <c r="H79" i="71"/>
  <c r="H55" i="71"/>
  <c r="I76" i="71"/>
  <c r="H61" i="71"/>
  <c r="H73" i="71"/>
  <c r="H71" i="71"/>
  <c r="G70" i="71"/>
  <c r="G72" i="71" s="1"/>
  <c r="H50" i="71"/>
  <c r="H50" i="33"/>
  <c r="H52" i="33"/>
  <c r="H79" i="33"/>
  <c r="I37" i="33"/>
  <c r="I76" i="33"/>
  <c r="H58" i="33"/>
  <c r="H46" i="33"/>
  <c r="H34" i="33"/>
  <c r="I85" i="33"/>
  <c r="J82" i="33"/>
  <c r="H71" i="33"/>
  <c r="H73" i="33"/>
  <c r="H29" i="33"/>
  <c r="H31" i="33"/>
  <c r="F30" i="33"/>
  <c r="I55" i="33"/>
  <c r="H67" i="33"/>
  <c r="I88" i="33"/>
  <c r="G70" i="33"/>
  <c r="H61" i="32"/>
  <c r="H76" i="32"/>
  <c r="H88" i="32"/>
  <c r="H29" i="32"/>
  <c r="H31" i="32"/>
  <c r="H73" i="32"/>
  <c r="I34" i="32"/>
  <c r="J40" i="32"/>
  <c r="H46" i="32"/>
  <c r="H37" i="32"/>
  <c r="L64" i="32"/>
  <c r="H43" i="32"/>
  <c r="K89" i="31"/>
  <c r="K145" i="31"/>
  <c r="J56" i="31"/>
  <c r="J18" i="31"/>
  <c r="N124" i="31"/>
  <c r="N126" i="31" s="1"/>
  <c r="K51" i="31"/>
  <c r="J165" i="31"/>
  <c r="L112" i="31"/>
  <c r="J71" i="31"/>
  <c r="K13" i="31"/>
  <c r="L84" i="31"/>
  <c r="K170" i="31"/>
  <c r="I93" i="31"/>
  <c r="I91" i="31" s="1"/>
  <c r="I136" i="31"/>
  <c r="I134" i="31" s="1"/>
  <c r="J137" i="31"/>
  <c r="J45" i="31"/>
  <c r="J43" i="31" s="1"/>
  <c r="K46" i="31"/>
  <c r="J65" i="31"/>
  <c r="J63" i="31" s="1"/>
  <c r="K66" i="31"/>
  <c r="J61" i="31"/>
  <c r="H83" i="31"/>
  <c r="H81" i="31" s="1"/>
  <c r="L150" i="31"/>
  <c r="K132" i="31"/>
  <c r="K160" i="31"/>
  <c r="K122" i="31"/>
  <c r="J121" i="31"/>
  <c r="J119" i="31" s="1"/>
  <c r="J79" i="31"/>
  <c r="L33" i="31"/>
  <c r="M155" i="31"/>
  <c r="J99" i="31"/>
  <c r="I98" i="31"/>
  <c r="I96" i="31" s="1"/>
  <c r="H103" i="31"/>
  <c r="H101" i="31" s="1"/>
  <c r="L23" i="31"/>
  <c r="K38" i="31"/>
  <c r="H74" i="31"/>
  <c r="I116" i="31"/>
  <c r="I114" i="31" s="1"/>
  <c r="J117" i="31"/>
  <c r="L104" i="31"/>
  <c r="I190" i="37" l="1"/>
  <c r="G70" i="32"/>
  <c r="G49" i="32"/>
  <c r="G51" i="32" s="1"/>
  <c r="K96" i="74"/>
  <c r="J99" i="74"/>
  <c r="K105" i="74"/>
  <c r="L102" i="74"/>
  <c r="M111" i="74"/>
  <c r="M109" i="74" s="1"/>
  <c r="N109" i="74" s="1"/>
  <c r="N111" i="74" s="1"/>
  <c r="M90" i="74"/>
  <c r="K84" i="74"/>
  <c r="L81" i="74"/>
  <c r="K75" i="74"/>
  <c r="J78" i="74"/>
  <c r="L66" i="74"/>
  <c r="K69" i="74"/>
  <c r="J63" i="74"/>
  <c r="K60" i="74"/>
  <c r="K54" i="74"/>
  <c r="J57" i="74"/>
  <c r="J42" i="74"/>
  <c r="K39" i="74"/>
  <c r="K33" i="74"/>
  <c r="J36" i="74"/>
  <c r="K48" i="74"/>
  <c r="L45" i="74"/>
  <c r="K27" i="74"/>
  <c r="L24" i="74"/>
  <c r="K21" i="74"/>
  <c r="L18" i="74"/>
  <c r="I225" i="37"/>
  <c r="I231" i="37" s="1"/>
  <c r="H218" i="37"/>
  <c r="H224" i="37" s="1"/>
  <c r="H211" i="37"/>
  <c r="H217" i="37" s="1"/>
  <c r="I209" i="37"/>
  <c r="I207" i="37"/>
  <c r="I204" i="37" s="1"/>
  <c r="H211" i="38"/>
  <c r="H213" i="38" s="1"/>
  <c r="H139" i="35"/>
  <c r="H141" i="35" s="1"/>
  <c r="H203" i="41"/>
  <c r="I185" i="37"/>
  <c r="I180" i="37"/>
  <c r="I173" i="37"/>
  <c r="I179" i="37" s="1"/>
  <c r="H85" i="71"/>
  <c r="H85" i="32"/>
  <c r="H71" i="32"/>
  <c r="H131" i="31"/>
  <c r="H129" i="31" s="1"/>
  <c r="H106" i="31" s="1"/>
  <c r="H107" i="31"/>
  <c r="H82" i="32"/>
  <c r="G160" i="41"/>
  <c r="G162" i="41" s="1"/>
  <c r="I164" i="37"/>
  <c r="I162" i="37"/>
  <c r="I159" i="37" s="1"/>
  <c r="I165" i="37" s="1"/>
  <c r="H70" i="33"/>
  <c r="H72" i="33" s="1"/>
  <c r="H79" i="32"/>
  <c r="H109" i="38"/>
  <c r="H67" i="71"/>
  <c r="H67" i="32"/>
  <c r="H64" i="33"/>
  <c r="G51" i="71"/>
  <c r="J64" i="71"/>
  <c r="H121" i="37"/>
  <c r="H127" i="37" s="1"/>
  <c r="I126" i="37"/>
  <c r="I124" i="37"/>
  <c r="H61" i="33"/>
  <c r="H49" i="33" s="1"/>
  <c r="H111" i="38"/>
  <c r="I121" i="41"/>
  <c r="J121" i="41" s="1"/>
  <c r="H123" i="41"/>
  <c r="H119" i="37"/>
  <c r="H117" i="37"/>
  <c r="H114" i="37" s="1"/>
  <c r="H120" i="37" s="1"/>
  <c r="D120" i="41"/>
  <c r="F122" i="41"/>
  <c r="E126" i="41"/>
  <c r="E120" i="41" s="1"/>
  <c r="I88" i="31"/>
  <c r="I86" i="31" s="1"/>
  <c r="H58" i="32"/>
  <c r="H73" i="31"/>
  <c r="H75" i="31" s="1"/>
  <c r="H58" i="71"/>
  <c r="H49" i="71" s="1"/>
  <c r="H51" i="71" s="1"/>
  <c r="H55" i="32"/>
  <c r="H119" i="38"/>
  <c r="J113" i="38"/>
  <c r="I112" i="38"/>
  <c r="I119" i="38" s="1"/>
  <c r="I110" i="38"/>
  <c r="H52" i="32"/>
  <c r="H50" i="32"/>
  <c r="H49" i="32"/>
  <c r="H46" i="71"/>
  <c r="H70" i="31"/>
  <c r="H68" i="31" s="1"/>
  <c r="H94" i="36"/>
  <c r="F72" i="36"/>
  <c r="G30" i="33"/>
  <c r="H43" i="33"/>
  <c r="G79" i="36"/>
  <c r="G70" i="36" s="1"/>
  <c r="G71" i="36"/>
  <c r="I40" i="71"/>
  <c r="H60" i="31"/>
  <c r="H58" i="31" s="1"/>
  <c r="G40" i="31"/>
  <c r="G42" i="31" s="1"/>
  <c r="H40" i="33"/>
  <c r="I74" i="37"/>
  <c r="I69" i="37"/>
  <c r="I75" i="37" s="1"/>
  <c r="H37" i="71"/>
  <c r="H55" i="31"/>
  <c r="H53" i="31" s="1"/>
  <c r="I67" i="37"/>
  <c r="I65" i="37"/>
  <c r="I62" i="37" s="1"/>
  <c r="I68" i="37" s="1"/>
  <c r="J49" i="35"/>
  <c r="I50" i="35"/>
  <c r="I48" i="35" s="1"/>
  <c r="H41" i="31"/>
  <c r="H50" i="31"/>
  <c r="H48" i="31" s="1"/>
  <c r="H61" i="36"/>
  <c r="G55" i="36"/>
  <c r="G49" i="36" s="1"/>
  <c r="G50" i="36"/>
  <c r="F51" i="36"/>
  <c r="I60" i="37"/>
  <c r="I55" i="37" s="1"/>
  <c r="I53" i="37"/>
  <c r="H31" i="71"/>
  <c r="H29" i="71"/>
  <c r="I50" i="37"/>
  <c r="I45" i="37"/>
  <c r="I51" i="37" s="1"/>
  <c r="D50" i="38"/>
  <c r="J37" i="36"/>
  <c r="F30" i="36"/>
  <c r="I34" i="37"/>
  <c r="I36" i="37"/>
  <c r="G29" i="36"/>
  <c r="G31" i="36"/>
  <c r="G28" i="36" s="1"/>
  <c r="B34" i="38"/>
  <c r="I161" i="38"/>
  <c r="J161" i="38"/>
  <c r="N161" i="38" s="1"/>
  <c r="K130" i="38"/>
  <c r="J134" i="38"/>
  <c r="J128" i="38" s="1"/>
  <c r="J256" i="38"/>
  <c r="I260" i="38"/>
  <c r="I254" i="38" s="1"/>
  <c r="K120" i="38"/>
  <c r="H187" i="38"/>
  <c r="J189" i="38"/>
  <c r="I193" i="38"/>
  <c r="I187" i="38" s="1"/>
  <c r="H68" i="38"/>
  <c r="M79" i="38"/>
  <c r="M83" i="38" s="1"/>
  <c r="M77" i="38" s="1"/>
  <c r="L83" i="38"/>
  <c r="N79" i="38"/>
  <c r="K173" i="38"/>
  <c r="J177" i="38"/>
  <c r="I169" i="38"/>
  <c r="I163" i="38" s="1"/>
  <c r="J165" i="38"/>
  <c r="J169" i="38" s="1"/>
  <c r="N165" i="38"/>
  <c r="G109" i="38"/>
  <c r="H163" i="38"/>
  <c r="J224" i="38"/>
  <c r="I228" i="38"/>
  <c r="I222" i="38" s="1"/>
  <c r="L91" i="38"/>
  <c r="L85" i="38" s="1"/>
  <c r="M87" i="38"/>
  <c r="K197" i="38"/>
  <c r="J201" i="38"/>
  <c r="J195" i="38" s="1"/>
  <c r="G211" i="38"/>
  <c r="I16" i="38"/>
  <c r="J12" i="38"/>
  <c r="I185" i="38"/>
  <c r="I179" i="38" s="1"/>
  <c r="J181" i="38"/>
  <c r="I32" i="38"/>
  <c r="J28" i="38"/>
  <c r="I67" i="38"/>
  <c r="I61" i="38" s="1"/>
  <c r="J63" i="38"/>
  <c r="I99" i="38"/>
  <c r="J95" i="38"/>
  <c r="H203" i="38"/>
  <c r="K244" i="38"/>
  <c r="L240" i="38"/>
  <c r="L144" i="38"/>
  <c r="N144" i="38" s="1"/>
  <c r="N151" i="38" s="1"/>
  <c r="N150" i="38"/>
  <c r="J71" i="38"/>
  <c r="I75" i="38"/>
  <c r="I69" i="38" s="1"/>
  <c r="I40" i="38"/>
  <c r="J36" i="38"/>
  <c r="J20" i="38"/>
  <c r="I24" i="38"/>
  <c r="M259" i="38"/>
  <c r="N259" i="38" s="1"/>
  <c r="N258" i="38"/>
  <c r="I236" i="38"/>
  <c r="I230" i="38" s="1"/>
  <c r="J232" i="38"/>
  <c r="J44" i="38"/>
  <c r="I48" i="38"/>
  <c r="I42" i="38" s="1"/>
  <c r="L126" i="38"/>
  <c r="L120" i="38" s="1"/>
  <c r="M122" i="38"/>
  <c r="J138" i="38"/>
  <c r="I142" i="38"/>
  <c r="I136" i="38" s="1"/>
  <c r="I209" i="38"/>
  <c r="I203" i="38" s="1"/>
  <c r="J205" i="38"/>
  <c r="I221" i="38"/>
  <c r="I158" i="38"/>
  <c r="I152" i="38" s="1"/>
  <c r="J154" i="38"/>
  <c r="J212" i="38"/>
  <c r="N212" i="38" s="1"/>
  <c r="J214" i="38"/>
  <c r="I56" i="38"/>
  <c r="J52" i="38"/>
  <c r="N146" i="38"/>
  <c r="K85" i="38"/>
  <c r="K103" i="38"/>
  <c r="J107" i="38"/>
  <c r="G68" i="38"/>
  <c r="J248" i="38"/>
  <c r="I252" i="38"/>
  <c r="I73" i="36"/>
  <c r="J52" i="36"/>
  <c r="N102" i="36"/>
  <c r="J87" i="41"/>
  <c r="I91" i="41"/>
  <c r="I85" i="41" s="1"/>
  <c r="K197" i="41"/>
  <c r="J201" i="41"/>
  <c r="J195" i="41" s="1"/>
  <c r="H244" i="41"/>
  <c r="H238" i="41" s="1"/>
  <c r="I240" i="41"/>
  <c r="I221" i="41"/>
  <c r="I48" i="41"/>
  <c r="J44" i="41"/>
  <c r="I209" i="41"/>
  <c r="I203" i="41" s="1"/>
  <c r="J205" i="41"/>
  <c r="G238" i="41"/>
  <c r="I59" i="41"/>
  <c r="J169" i="41"/>
  <c r="N166" i="41"/>
  <c r="J217" i="41"/>
  <c r="N217" i="41" s="1"/>
  <c r="J212" i="41"/>
  <c r="I28" i="41"/>
  <c r="H32" i="41"/>
  <c r="H26" i="41" s="1"/>
  <c r="H230" i="41"/>
  <c r="H185" i="41"/>
  <c r="H179" i="41" s="1"/>
  <c r="I181" i="41"/>
  <c r="F160" i="41"/>
  <c r="G26" i="41"/>
  <c r="J224" i="41"/>
  <c r="I228" i="41"/>
  <c r="I236" i="41"/>
  <c r="I230" i="41" s="1"/>
  <c r="J232" i="41"/>
  <c r="J146" i="41"/>
  <c r="I150" i="41"/>
  <c r="I144" i="41" s="1"/>
  <c r="I71" i="41"/>
  <c r="H75" i="41"/>
  <c r="H69" i="41" s="1"/>
  <c r="I154" i="41"/>
  <c r="H158" i="41"/>
  <c r="H152" i="41" s="1"/>
  <c r="J52" i="41"/>
  <c r="I56" i="41"/>
  <c r="H34" i="41"/>
  <c r="I173" i="41"/>
  <c r="H177" i="41"/>
  <c r="H171" i="41" s="1"/>
  <c r="H160" i="41" s="1"/>
  <c r="H162" i="41" s="1"/>
  <c r="I40" i="41"/>
  <c r="I34" i="41" s="1"/>
  <c r="J36" i="41"/>
  <c r="K99" i="41"/>
  <c r="K93" i="41" s="1"/>
  <c r="L95" i="41"/>
  <c r="G246" i="41"/>
  <c r="I187" i="41"/>
  <c r="I161" i="41"/>
  <c r="I248" i="41"/>
  <c r="H252" i="41"/>
  <c r="H246" i="41" s="1"/>
  <c r="K189" i="41"/>
  <c r="J193" i="41"/>
  <c r="J187" i="41" s="1"/>
  <c r="I138" i="41"/>
  <c r="H142" i="41"/>
  <c r="K68" i="41"/>
  <c r="H128" i="41"/>
  <c r="I260" i="41"/>
  <c r="I254" i="41" s="1"/>
  <c r="J256" i="41"/>
  <c r="I134" i="41"/>
  <c r="I128" i="41" s="1"/>
  <c r="J130" i="41"/>
  <c r="H254" i="41"/>
  <c r="K170" i="41"/>
  <c r="J67" i="41"/>
  <c r="G96" i="37"/>
  <c r="L168" i="37"/>
  <c r="K154" i="37"/>
  <c r="J155" i="37"/>
  <c r="J178" i="37"/>
  <c r="J173" i="37" s="1"/>
  <c r="J179" i="37" s="1"/>
  <c r="J131" i="37"/>
  <c r="I133" i="37"/>
  <c r="L26" i="37"/>
  <c r="J183" i="37"/>
  <c r="K182" i="37"/>
  <c r="G134" i="37"/>
  <c r="I223" i="37"/>
  <c r="I221" i="37"/>
  <c r="I218" i="37" s="1"/>
  <c r="I224" i="37" s="1"/>
  <c r="H61" i="37"/>
  <c r="H52" i="37"/>
  <c r="K130" i="37"/>
  <c r="M33" i="37"/>
  <c r="K12" i="37"/>
  <c r="M147" i="37"/>
  <c r="J202" i="37"/>
  <c r="J200" i="37"/>
  <c r="J197" i="37" s="1"/>
  <c r="J203" i="37" s="1"/>
  <c r="L161" i="37"/>
  <c r="J230" i="37"/>
  <c r="L92" i="37"/>
  <c r="M109" i="37"/>
  <c r="K64" i="37"/>
  <c r="J65" i="37"/>
  <c r="I29" i="37"/>
  <c r="I27" i="37"/>
  <c r="I24" i="37" s="1"/>
  <c r="I30" i="37" s="1"/>
  <c r="K47" i="37"/>
  <c r="J48" i="37"/>
  <c r="M192" i="37"/>
  <c r="L175" i="37"/>
  <c r="I83" i="37"/>
  <c r="I89" i="37" s="1"/>
  <c r="I43" i="37"/>
  <c r="I41" i="37"/>
  <c r="I216" i="37"/>
  <c r="I214" i="37"/>
  <c r="I211" i="37" s="1"/>
  <c r="I217" i="37" s="1"/>
  <c r="K85" i="37"/>
  <c r="J188" i="37"/>
  <c r="J195" i="37"/>
  <c r="J193" i="37"/>
  <c r="L123" i="37"/>
  <c r="J86" i="37"/>
  <c r="I88" i="37"/>
  <c r="H145" i="37"/>
  <c r="L40" i="37"/>
  <c r="L213" i="37"/>
  <c r="K71" i="37"/>
  <c r="J72" i="37"/>
  <c r="I210" i="37"/>
  <c r="I143" i="37"/>
  <c r="I150" i="37"/>
  <c r="I148" i="37"/>
  <c r="L206" i="37"/>
  <c r="H203" i="37"/>
  <c r="J157" i="37"/>
  <c r="I95" i="37"/>
  <c r="I93" i="37"/>
  <c r="G172" i="37"/>
  <c r="K57" i="37"/>
  <c r="J58" i="37"/>
  <c r="J228" i="37"/>
  <c r="J225" i="37" s="1"/>
  <c r="J231" i="37" s="1"/>
  <c r="K227" i="37"/>
  <c r="I196" i="37"/>
  <c r="I187" i="37"/>
  <c r="I189" i="37" s="1"/>
  <c r="H231" i="37"/>
  <c r="I171" i="37"/>
  <c r="I169" i="37"/>
  <c r="I186" i="37"/>
  <c r="K19" i="37"/>
  <c r="L220" i="37"/>
  <c r="G224" i="37"/>
  <c r="G89" i="37"/>
  <c r="M78" i="37"/>
  <c r="G217" i="37"/>
  <c r="I131" i="37"/>
  <c r="I128" i="37" s="1"/>
  <c r="I134" i="37" s="1"/>
  <c r="I140" i="37"/>
  <c r="I138" i="37"/>
  <c r="I135" i="37" s="1"/>
  <c r="I141" i="37" s="1"/>
  <c r="H24" i="37"/>
  <c r="H36" i="42"/>
  <c r="I35" i="42"/>
  <c r="G196" i="42"/>
  <c r="G62" i="42"/>
  <c r="J194" i="42"/>
  <c r="I195" i="42"/>
  <c r="I190" i="42" s="1"/>
  <c r="H223" i="42"/>
  <c r="I222" i="42"/>
  <c r="H157" i="42"/>
  <c r="I156" i="42"/>
  <c r="J118" i="42"/>
  <c r="I119" i="42"/>
  <c r="I114" i="42" s="1"/>
  <c r="I177" i="42"/>
  <c r="H178" i="42"/>
  <c r="H173" i="42" s="1"/>
  <c r="G83" i="42"/>
  <c r="I66" i="42"/>
  <c r="H67" i="42"/>
  <c r="H62" i="42" s="1"/>
  <c r="H166" i="42"/>
  <c r="K132" i="42"/>
  <c r="J133" i="42"/>
  <c r="K229" i="42"/>
  <c r="J230" i="42"/>
  <c r="J225" i="42" s="1"/>
  <c r="H196" i="42"/>
  <c r="F142" i="42"/>
  <c r="H88" i="42"/>
  <c r="H83" i="42" s="1"/>
  <c r="I87" i="42"/>
  <c r="I171" i="42"/>
  <c r="I166" i="42" s="1"/>
  <c r="J170" i="42"/>
  <c r="H50" i="42"/>
  <c r="H45" i="42" s="1"/>
  <c r="I49" i="42"/>
  <c r="J209" i="42"/>
  <c r="J204" i="42" s="1"/>
  <c r="K208" i="42"/>
  <c r="J185" i="42"/>
  <c r="K184" i="42"/>
  <c r="H43" i="42"/>
  <c r="H38" i="42" s="1"/>
  <c r="I42" i="42"/>
  <c r="H164" i="42"/>
  <c r="H159" i="42" s="1"/>
  <c r="I163" i="42"/>
  <c r="I188" i="42"/>
  <c r="G197" i="42"/>
  <c r="G187" i="42" s="1"/>
  <c r="G121" i="42"/>
  <c r="H126" i="42"/>
  <c r="H121" i="42" s="1"/>
  <c r="I125" i="42"/>
  <c r="I90" i="42"/>
  <c r="J59" i="42"/>
  <c r="I60" i="42"/>
  <c r="I55" i="42" s="1"/>
  <c r="K94" i="42"/>
  <c r="J95" i="42"/>
  <c r="J90" i="42" s="1"/>
  <c r="I204" i="42"/>
  <c r="J143" i="42"/>
  <c r="G38" i="42"/>
  <c r="G24" i="42"/>
  <c r="I150" i="42"/>
  <c r="J149" i="42"/>
  <c r="I139" i="42"/>
  <c r="H140" i="42"/>
  <c r="H135" i="42" s="1"/>
  <c r="H74" i="42"/>
  <c r="H69" i="42" s="1"/>
  <c r="I73" i="42"/>
  <c r="H202" i="42"/>
  <c r="H197" i="42" s="1"/>
  <c r="H187" i="42" s="1"/>
  <c r="H189" i="42" s="1"/>
  <c r="I201" i="42"/>
  <c r="K53" i="42"/>
  <c r="H55" i="42"/>
  <c r="J216" i="42"/>
  <c r="J211" i="42" s="1"/>
  <c r="K215" i="42"/>
  <c r="I28" i="42"/>
  <c r="H29" i="42"/>
  <c r="H24" i="42" s="1"/>
  <c r="H151" i="42"/>
  <c r="J159" i="35"/>
  <c r="J157" i="35" s="1"/>
  <c r="K55" i="35"/>
  <c r="K53" i="35" s="1"/>
  <c r="K88" i="35"/>
  <c r="K86" i="35" s="1"/>
  <c r="K37" i="35"/>
  <c r="K35" i="35" s="1"/>
  <c r="I65" i="35"/>
  <c r="I63" i="35" s="1"/>
  <c r="J32" i="35"/>
  <c r="J30" i="35" s="1"/>
  <c r="I70" i="35"/>
  <c r="I68" i="35" s="1"/>
  <c r="M131" i="35"/>
  <c r="M129" i="35" s="1"/>
  <c r="N129" i="35" s="1"/>
  <c r="N131" i="35" s="1"/>
  <c r="I136" i="35"/>
  <c r="I134" i="35" s="1"/>
  <c r="I78" i="35"/>
  <c r="I76" i="35" s="1"/>
  <c r="J154" i="35"/>
  <c r="J152" i="35" s="1"/>
  <c r="I169" i="35"/>
  <c r="I167" i="35" s="1"/>
  <c r="I121" i="35"/>
  <c r="I119" i="35" s="1"/>
  <c r="I60" i="35"/>
  <c r="I58" i="35" s="1"/>
  <c r="I149" i="35"/>
  <c r="I147" i="35" s="1"/>
  <c r="I144" i="35"/>
  <c r="I142" i="35" s="1"/>
  <c r="I140" i="35"/>
  <c r="I126" i="35"/>
  <c r="I124" i="35" s="1"/>
  <c r="I45" i="35"/>
  <c r="I43" i="35" s="1"/>
  <c r="I41" i="35"/>
  <c r="J116" i="35"/>
  <c r="J114" i="35" s="1"/>
  <c r="H40" i="35"/>
  <c r="H42" i="35" s="1"/>
  <c r="K164" i="35"/>
  <c r="K162" i="35" s="1"/>
  <c r="I27" i="35"/>
  <c r="I25" i="35" s="1"/>
  <c r="I93" i="35"/>
  <c r="I91" i="35" s="1"/>
  <c r="J83" i="35"/>
  <c r="J81" i="35" s="1"/>
  <c r="I43" i="71"/>
  <c r="J88" i="71"/>
  <c r="I82" i="71"/>
  <c r="J76" i="71"/>
  <c r="H70" i="71"/>
  <c r="H72" i="71" s="1"/>
  <c r="I73" i="71"/>
  <c r="I61" i="71"/>
  <c r="J34" i="71"/>
  <c r="I79" i="71"/>
  <c r="I55" i="71"/>
  <c r="J52" i="71"/>
  <c r="I31" i="33"/>
  <c r="G72" i="33"/>
  <c r="J88" i="33"/>
  <c r="I71" i="33"/>
  <c r="I73" i="33"/>
  <c r="I70" i="33" s="1"/>
  <c r="I72" i="33" s="1"/>
  <c r="I46" i="33"/>
  <c r="J55" i="33"/>
  <c r="K82" i="33"/>
  <c r="I34" i="33"/>
  <c r="J37" i="33"/>
  <c r="I67" i="33"/>
  <c r="I79" i="33"/>
  <c r="I58" i="33"/>
  <c r="I52" i="33"/>
  <c r="I50" i="33"/>
  <c r="J76" i="33"/>
  <c r="H28" i="33"/>
  <c r="H30" i="33" s="1"/>
  <c r="J85" i="33"/>
  <c r="I43" i="32"/>
  <c r="I73" i="32"/>
  <c r="I46" i="32"/>
  <c r="I76" i="32"/>
  <c r="M64" i="32"/>
  <c r="N64" i="32" s="1"/>
  <c r="N66" i="32" s="1"/>
  <c r="I37" i="32"/>
  <c r="J34" i="32"/>
  <c r="H28" i="32"/>
  <c r="I61" i="32"/>
  <c r="I31" i="32"/>
  <c r="I29" i="32"/>
  <c r="K40" i="32"/>
  <c r="G72" i="32"/>
  <c r="I88" i="32"/>
  <c r="I103" i="31"/>
  <c r="I101" i="31" s="1"/>
  <c r="K56" i="31"/>
  <c r="M112" i="31"/>
  <c r="L145" i="31"/>
  <c r="M150" i="31"/>
  <c r="J93" i="31"/>
  <c r="J91" i="31" s="1"/>
  <c r="M104" i="31"/>
  <c r="L132" i="31"/>
  <c r="K117" i="31"/>
  <c r="J116" i="31"/>
  <c r="J114" i="31" s="1"/>
  <c r="K111" i="31"/>
  <c r="K109" i="31" s="1"/>
  <c r="I83" i="31"/>
  <c r="I81" i="31" s="1"/>
  <c r="L38" i="31"/>
  <c r="M33" i="31"/>
  <c r="M84" i="31"/>
  <c r="M23" i="31"/>
  <c r="L122" i="31"/>
  <c r="K121" i="31"/>
  <c r="K119" i="31" s="1"/>
  <c r="K71" i="31"/>
  <c r="K18" i="31"/>
  <c r="J136" i="31"/>
  <c r="J134" i="31" s="1"/>
  <c r="K137" i="31"/>
  <c r="K99" i="31"/>
  <c r="J98" i="31"/>
  <c r="J96" i="31" s="1"/>
  <c r="I74" i="31"/>
  <c r="J78" i="31"/>
  <c r="J76" i="31" s="1"/>
  <c r="K165" i="31"/>
  <c r="L170" i="31"/>
  <c r="L51" i="31"/>
  <c r="L89" i="31"/>
  <c r="K79" i="31"/>
  <c r="K61" i="31"/>
  <c r="I78" i="31"/>
  <c r="I76" i="31" s="1"/>
  <c r="I73" i="31" s="1"/>
  <c r="L13" i="31"/>
  <c r="K65" i="31"/>
  <c r="K63" i="31" s="1"/>
  <c r="L66" i="31"/>
  <c r="L160" i="31"/>
  <c r="K45" i="31"/>
  <c r="K43" i="31" s="1"/>
  <c r="L46" i="31"/>
  <c r="H70" i="32" l="1"/>
  <c r="H72" i="32" s="1"/>
  <c r="L96" i="74"/>
  <c r="K99" i="74"/>
  <c r="M102" i="74"/>
  <c r="L105" i="74"/>
  <c r="L75" i="74"/>
  <c r="K78" i="74"/>
  <c r="M81" i="74"/>
  <c r="L84" i="74"/>
  <c r="L54" i="74"/>
  <c r="K57" i="74"/>
  <c r="K63" i="74"/>
  <c r="L60" i="74"/>
  <c r="M66" i="74"/>
  <c r="L69" i="74"/>
  <c r="L48" i="74"/>
  <c r="M45" i="74"/>
  <c r="K42" i="74"/>
  <c r="L39" i="74"/>
  <c r="L33" i="74"/>
  <c r="K36" i="74"/>
  <c r="L27" i="74"/>
  <c r="M24" i="74"/>
  <c r="L21" i="74"/>
  <c r="M18" i="74"/>
  <c r="G211" i="41"/>
  <c r="H211" i="41"/>
  <c r="H213" i="41" s="1"/>
  <c r="J209" i="37"/>
  <c r="J207" i="37"/>
  <c r="J204" i="37" s="1"/>
  <c r="J210" i="37" s="1"/>
  <c r="J220" i="41"/>
  <c r="J214" i="41" s="1"/>
  <c r="F162" i="41"/>
  <c r="J185" i="37"/>
  <c r="J180" i="37" s="1"/>
  <c r="J186" i="37" s="1"/>
  <c r="I131" i="31"/>
  <c r="I129" i="31" s="1"/>
  <c r="I106" i="31" s="1"/>
  <c r="I107" i="31"/>
  <c r="I85" i="32"/>
  <c r="H108" i="31"/>
  <c r="I85" i="71"/>
  <c r="I70" i="71" s="1"/>
  <c r="I71" i="71"/>
  <c r="I166" i="37"/>
  <c r="I172" i="37" s="1"/>
  <c r="I82" i="32"/>
  <c r="J162" i="37"/>
  <c r="J164" i="37"/>
  <c r="J71" i="32"/>
  <c r="I79" i="32"/>
  <c r="I71" i="32"/>
  <c r="J152" i="37"/>
  <c r="J158" i="37" s="1"/>
  <c r="I145" i="37"/>
  <c r="I151" i="37" s="1"/>
  <c r="I109" i="38"/>
  <c r="I111" i="38" s="1"/>
  <c r="I67" i="32"/>
  <c r="I67" i="71"/>
  <c r="K64" i="71"/>
  <c r="I64" i="33"/>
  <c r="I121" i="37"/>
  <c r="I127" i="37" s="1"/>
  <c r="J126" i="37"/>
  <c r="J124" i="37"/>
  <c r="J121" i="37" s="1"/>
  <c r="H51" i="32"/>
  <c r="I61" i="33"/>
  <c r="I49" i="33" s="1"/>
  <c r="I51" i="33" s="1"/>
  <c r="J123" i="41"/>
  <c r="K121" i="41"/>
  <c r="G122" i="41"/>
  <c r="F126" i="41"/>
  <c r="F120" i="41" s="1"/>
  <c r="I119" i="37"/>
  <c r="I117" i="37"/>
  <c r="I114" i="37" s="1"/>
  <c r="I120" i="37" s="1"/>
  <c r="I58" i="71"/>
  <c r="I50" i="71"/>
  <c r="I58" i="32"/>
  <c r="J88" i="31"/>
  <c r="J86" i="31" s="1"/>
  <c r="I75" i="31"/>
  <c r="I55" i="32"/>
  <c r="K113" i="38"/>
  <c r="J112" i="38"/>
  <c r="J119" i="38" s="1"/>
  <c r="J110" i="38"/>
  <c r="I50" i="32"/>
  <c r="I52" i="32"/>
  <c r="I49" i="32" s="1"/>
  <c r="H28" i="71"/>
  <c r="I70" i="31"/>
  <c r="I68" i="31" s="1"/>
  <c r="I46" i="71"/>
  <c r="I94" i="36"/>
  <c r="I43" i="33"/>
  <c r="G72" i="36"/>
  <c r="H79" i="36"/>
  <c r="H70" i="36" s="1"/>
  <c r="H71" i="36"/>
  <c r="I40" i="33"/>
  <c r="I29" i="33"/>
  <c r="I60" i="31"/>
  <c r="I58" i="31" s="1"/>
  <c r="J40" i="71"/>
  <c r="J74" i="37"/>
  <c r="J69" i="37" s="1"/>
  <c r="J75" i="37" s="1"/>
  <c r="H40" i="31"/>
  <c r="H42" i="31" s="1"/>
  <c r="I55" i="31"/>
  <c r="I53" i="31" s="1"/>
  <c r="I37" i="71"/>
  <c r="J67" i="37"/>
  <c r="K49" i="35"/>
  <c r="J50" i="35"/>
  <c r="J48" i="35" s="1"/>
  <c r="H30" i="71"/>
  <c r="I50" i="31"/>
  <c r="I48" i="31" s="1"/>
  <c r="I40" i="31" s="1"/>
  <c r="I41" i="31"/>
  <c r="G51" i="36"/>
  <c r="H55" i="36"/>
  <c r="H49" i="36" s="1"/>
  <c r="H50" i="36"/>
  <c r="I61" i="36"/>
  <c r="I61" i="37"/>
  <c r="I52" i="37"/>
  <c r="I54" i="37" s="1"/>
  <c r="J53" i="37"/>
  <c r="J60" i="37"/>
  <c r="J55" i="37" s="1"/>
  <c r="I31" i="71"/>
  <c r="I29" i="71"/>
  <c r="E50" i="38"/>
  <c r="J50" i="37"/>
  <c r="J45" i="37" s="1"/>
  <c r="J51" i="37" s="1"/>
  <c r="K37" i="36"/>
  <c r="G30" i="36"/>
  <c r="J36" i="37"/>
  <c r="J34" i="37"/>
  <c r="J31" i="37" s="1"/>
  <c r="J37" i="37" s="1"/>
  <c r="I31" i="37"/>
  <c r="I37" i="37" s="1"/>
  <c r="C34" i="38"/>
  <c r="H29" i="36"/>
  <c r="H31" i="36"/>
  <c r="H28" i="36" s="1"/>
  <c r="K44" i="38"/>
  <c r="J48" i="38"/>
  <c r="J42" i="38" s="1"/>
  <c r="J171" i="38"/>
  <c r="L244" i="38"/>
  <c r="L238" i="38" s="1"/>
  <c r="M240" i="38"/>
  <c r="J158" i="38"/>
  <c r="J152" i="38" s="1"/>
  <c r="K154" i="38"/>
  <c r="K238" i="38"/>
  <c r="J16" i="38"/>
  <c r="N12" i="38"/>
  <c r="J209" i="38"/>
  <c r="K205" i="38"/>
  <c r="J56" i="38"/>
  <c r="K52" i="38"/>
  <c r="J40" i="38"/>
  <c r="K36" i="38"/>
  <c r="K189" i="38"/>
  <c r="J193" i="38"/>
  <c r="J187" i="38" s="1"/>
  <c r="J67" i="38"/>
  <c r="N63" i="38"/>
  <c r="J142" i="38"/>
  <c r="K138" i="38"/>
  <c r="I68" i="38"/>
  <c r="M126" i="38"/>
  <c r="M120" i="38" s="1"/>
  <c r="N122" i="38"/>
  <c r="K71" i="38"/>
  <c r="J75" i="38"/>
  <c r="J69" i="38" s="1"/>
  <c r="M91" i="38"/>
  <c r="N87" i="38"/>
  <c r="G111" i="38"/>
  <c r="K248" i="38"/>
  <c r="J252" i="38"/>
  <c r="J246" i="38" s="1"/>
  <c r="I26" i="38"/>
  <c r="I170" i="38"/>
  <c r="I160" i="38"/>
  <c r="I162" i="38" s="1"/>
  <c r="K256" i="38"/>
  <c r="J260" i="38"/>
  <c r="J254" i="38" s="1"/>
  <c r="J185" i="38"/>
  <c r="J179" i="38" s="1"/>
  <c r="K181" i="38"/>
  <c r="K177" i="38"/>
  <c r="K171" i="38" s="1"/>
  <c r="L173" i="38"/>
  <c r="J236" i="38"/>
  <c r="J230" i="38" s="1"/>
  <c r="K232" i="38"/>
  <c r="L103" i="38"/>
  <c r="K107" i="38"/>
  <c r="L77" i="38"/>
  <c r="N77" i="38" s="1"/>
  <c r="N84" i="38" s="1"/>
  <c r="N83" i="38"/>
  <c r="G213" i="38"/>
  <c r="K20" i="38"/>
  <c r="J24" i="38"/>
  <c r="K224" i="38"/>
  <c r="J228" i="38"/>
  <c r="J222" i="38" s="1"/>
  <c r="N169" i="38"/>
  <c r="H170" i="38"/>
  <c r="H160" i="38"/>
  <c r="N163" i="38"/>
  <c r="N170" i="38" s="1"/>
  <c r="K95" i="38"/>
  <c r="J99" i="38"/>
  <c r="J93" i="38" s="1"/>
  <c r="I93" i="38"/>
  <c r="K201" i="38"/>
  <c r="L197" i="38"/>
  <c r="L130" i="38"/>
  <c r="K134" i="38"/>
  <c r="K128" i="38" s="1"/>
  <c r="I246" i="38"/>
  <c r="I211" i="38" s="1"/>
  <c r="J221" i="38"/>
  <c r="N214" i="38"/>
  <c r="N221" i="38" s="1"/>
  <c r="K28" i="38"/>
  <c r="J32" i="38"/>
  <c r="J26" i="38" s="1"/>
  <c r="J163" i="38"/>
  <c r="J73" i="36"/>
  <c r="K52" i="36"/>
  <c r="G213" i="41"/>
  <c r="L189" i="41"/>
  <c r="K193" i="41"/>
  <c r="K187" i="41" s="1"/>
  <c r="K36" i="41"/>
  <c r="J40" i="41"/>
  <c r="J181" i="41"/>
  <c r="I185" i="41"/>
  <c r="I179" i="41" s="1"/>
  <c r="J240" i="41"/>
  <c r="I244" i="41"/>
  <c r="L170" i="41"/>
  <c r="K146" i="41"/>
  <c r="J150" i="41"/>
  <c r="J144" i="41" s="1"/>
  <c r="J56" i="41"/>
  <c r="J50" i="41" s="1"/>
  <c r="K52" i="41"/>
  <c r="J228" i="41"/>
  <c r="J222" i="41" s="1"/>
  <c r="K224" i="41"/>
  <c r="L99" i="41"/>
  <c r="N95" i="41"/>
  <c r="J260" i="41"/>
  <c r="J254" i="41" s="1"/>
  <c r="K256" i="41"/>
  <c r="J61" i="41"/>
  <c r="N67" i="41"/>
  <c r="I75" i="41"/>
  <c r="J71" i="41"/>
  <c r="J163" i="41"/>
  <c r="N169" i="41"/>
  <c r="L68" i="41"/>
  <c r="I252" i="41"/>
  <c r="I246" i="41" s="1"/>
  <c r="J248" i="41"/>
  <c r="K232" i="41"/>
  <c r="J236" i="41"/>
  <c r="J230" i="41" s="1"/>
  <c r="I177" i="41"/>
  <c r="I171" i="41" s="1"/>
  <c r="J173" i="41"/>
  <c r="H136" i="41"/>
  <c r="J174" i="41"/>
  <c r="J161" i="41"/>
  <c r="I32" i="41"/>
  <c r="I26" i="41" s="1"/>
  <c r="J28" i="41"/>
  <c r="J72" i="41"/>
  <c r="J59" i="41"/>
  <c r="L197" i="41"/>
  <c r="K201" i="41"/>
  <c r="K195" i="41" s="1"/>
  <c r="I142" i="41"/>
  <c r="I136" i="41" s="1"/>
  <c r="J138" i="41"/>
  <c r="I50" i="41"/>
  <c r="I222" i="41"/>
  <c r="K212" i="41"/>
  <c r="K221" i="41"/>
  <c r="J209" i="41"/>
  <c r="J203" i="41" s="1"/>
  <c r="K205" i="41"/>
  <c r="K87" i="41"/>
  <c r="J91" i="41"/>
  <c r="J85" i="41" s="1"/>
  <c r="J48" i="41"/>
  <c r="J42" i="41" s="1"/>
  <c r="K44" i="41"/>
  <c r="J134" i="41"/>
  <c r="J128" i="41" s="1"/>
  <c r="K130" i="41"/>
  <c r="I42" i="41"/>
  <c r="J154" i="41"/>
  <c r="I158" i="41"/>
  <c r="I152" i="41" s="1"/>
  <c r="L227" i="37"/>
  <c r="K228" i="37"/>
  <c r="L12" i="37"/>
  <c r="K58" i="37"/>
  <c r="L57" i="37"/>
  <c r="M123" i="37"/>
  <c r="L64" i="37"/>
  <c r="K65" i="37"/>
  <c r="H30" i="37"/>
  <c r="J190" i="37"/>
  <c r="K183" i="37"/>
  <c r="L182" i="37"/>
  <c r="L154" i="37"/>
  <c r="K155" i="37"/>
  <c r="H151" i="37"/>
  <c r="H142" i="37"/>
  <c r="K178" i="37"/>
  <c r="K202" i="37"/>
  <c r="K200" i="37"/>
  <c r="I90" i="37"/>
  <c r="L71" i="37"/>
  <c r="K72" i="37"/>
  <c r="M213" i="37"/>
  <c r="J171" i="37"/>
  <c r="J169" i="37"/>
  <c r="K157" i="37"/>
  <c r="L130" i="37"/>
  <c r="K131" i="37"/>
  <c r="J140" i="37"/>
  <c r="J138" i="37"/>
  <c r="J135" i="37" s="1"/>
  <c r="J141" i="37" s="1"/>
  <c r="M206" i="37"/>
  <c r="M92" i="37"/>
  <c r="M40" i="37"/>
  <c r="J216" i="37"/>
  <c r="J214" i="37"/>
  <c r="J211" i="37" s="1"/>
  <c r="K48" i="37"/>
  <c r="L47" i="37"/>
  <c r="J133" i="37"/>
  <c r="J128" i="37" s="1"/>
  <c r="J134" i="37" s="1"/>
  <c r="J43" i="37"/>
  <c r="J41" i="37"/>
  <c r="J38" i="37" s="1"/>
  <c r="J44" i="37" s="1"/>
  <c r="J29" i="37"/>
  <c r="J27" i="37"/>
  <c r="J24" i="37" s="1"/>
  <c r="J30" i="37" s="1"/>
  <c r="J143" i="37"/>
  <c r="J150" i="37"/>
  <c r="J148" i="37"/>
  <c r="J145" i="37" s="1"/>
  <c r="J223" i="37"/>
  <c r="J221" i="37"/>
  <c r="K86" i="37"/>
  <c r="J88" i="37"/>
  <c r="J83" i="37" s="1"/>
  <c r="J89" i="37" s="1"/>
  <c r="J62" i="37"/>
  <c r="K195" i="37"/>
  <c r="K188" i="37"/>
  <c r="K193" i="37"/>
  <c r="J95" i="37"/>
  <c r="J93" i="37"/>
  <c r="J90" i="37" s="1"/>
  <c r="J96" i="37" s="1"/>
  <c r="J127" i="37"/>
  <c r="K176" i="37"/>
  <c r="M26" i="37"/>
  <c r="M175" i="37"/>
  <c r="M168" i="37"/>
  <c r="M220" i="37"/>
  <c r="L85" i="37"/>
  <c r="K230" i="37"/>
  <c r="L19" i="37"/>
  <c r="I38" i="37"/>
  <c r="I44" i="37" s="1"/>
  <c r="M161" i="37"/>
  <c r="H54" i="37"/>
  <c r="G189" i="42"/>
  <c r="J128" i="42"/>
  <c r="J87" i="42"/>
  <c r="I88" i="42"/>
  <c r="I83" i="42" s="1"/>
  <c r="L184" i="42"/>
  <c r="K185" i="42"/>
  <c r="K180" i="42" s="1"/>
  <c r="J28" i="42"/>
  <c r="I29" i="42"/>
  <c r="I24" i="42" s="1"/>
  <c r="K216" i="42"/>
  <c r="K211" i="42" s="1"/>
  <c r="L215" i="42"/>
  <c r="I145" i="42"/>
  <c r="L208" i="42"/>
  <c r="K209" i="42"/>
  <c r="F144" i="42"/>
  <c r="H218" i="42"/>
  <c r="J188" i="42"/>
  <c r="J156" i="42"/>
  <c r="I157" i="42"/>
  <c r="I152" i="42" s="1"/>
  <c r="J139" i="42"/>
  <c r="I140" i="42"/>
  <c r="I135" i="42" s="1"/>
  <c r="K149" i="42"/>
  <c r="J150" i="42"/>
  <c r="J145" i="42" s="1"/>
  <c r="J180" i="42"/>
  <c r="J222" i="42"/>
  <c r="I223" i="42"/>
  <c r="I218" i="42" s="1"/>
  <c r="I61" i="42"/>
  <c r="I67" i="42"/>
  <c r="J66" i="42"/>
  <c r="I196" i="42"/>
  <c r="L229" i="42"/>
  <c r="K230" i="42"/>
  <c r="K225" i="42" s="1"/>
  <c r="L94" i="42"/>
  <c r="K95" i="42"/>
  <c r="K90" i="42" s="1"/>
  <c r="H152" i="42"/>
  <c r="H142" i="42" s="1"/>
  <c r="H144" i="42" s="1"/>
  <c r="K59" i="42"/>
  <c r="J60" i="42"/>
  <c r="J195" i="42"/>
  <c r="J190" i="42" s="1"/>
  <c r="K194" i="42"/>
  <c r="L53" i="42"/>
  <c r="L132" i="42"/>
  <c r="K133" i="42"/>
  <c r="K128" i="42" s="1"/>
  <c r="H61" i="42"/>
  <c r="H52" i="42"/>
  <c r="H54" i="42" s="1"/>
  <c r="G52" i="42"/>
  <c r="K143" i="42"/>
  <c r="J177" i="42"/>
  <c r="I178" i="42"/>
  <c r="I173" i="42" s="1"/>
  <c r="I74" i="42"/>
  <c r="J73" i="42"/>
  <c r="J171" i="42"/>
  <c r="J166" i="42" s="1"/>
  <c r="K170" i="42"/>
  <c r="I126" i="42"/>
  <c r="I121" i="42" s="1"/>
  <c r="J125" i="42"/>
  <c r="I50" i="42"/>
  <c r="I45" i="42" s="1"/>
  <c r="J49" i="42"/>
  <c r="I202" i="42"/>
  <c r="I197" i="42" s="1"/>
  <c r="I187" i="42" s="1"/>
  <c r="J201" i="42"/>
  <c r="I164" i="42"/>
  <c r="I159" i="42" s="1"/>
  <c r="J163" i="42"/>
  <c r="I36" i="42"/>
  <c r="I31" i="42" s="1"/>
  <c r="J35" i="42"/>
  <c r="H31" i="42"/>
  <c r="I43" i="42"/>
  <c r="I38" i="42" s="1"/>
  <c r="J42" i="42"/>
  <c r="K118" i="42"/>
  <c r="J119" i="42"/>
  <c r="J114" i="42" s="1"/>
  <c r="K116" i="35"/>
  <c r="K114" i="35" s="1"/>
  <c r="J41" i="35"/>
  <c r="J45" i="35"/>
  <c r="J43" i="35" s="1"/>
  <c r="K154" i="35"/>
  <c r="K152" i="35" s="1"/>
  <c r="J78" i="35"/>
  <c r="J76" i="35" s="1"/>
  <c r="K83" i="35"/>
  <c r="K81" i="35" s="1"/>
  <c r="I40" i="35"/>
  <c r="I42" i="35" s="1"/>
  <c r="J65" i="35"/>
  <c r="J63" i="35" s="1"/>
  <c r="J93" i="35"/>
  <c r="J91" i="35" s="1"/>
  <c r="J126" i="35"/>
  <c r="J124" i="35" s="1"/>
  <c r="J60" i="35"/>
  <c r="J58" i="35" s="1"/>
  <c r="J136" i="35"/>
  <c r="J134" i="35" s="1"/>
  <c r="L37" i="35"/>
  <c r="L35" i="35" s="1"/>
  <c r="J70" i="35"/>
  <c r="J68" i="35" s="1"/>
  <c r="K32" i="35"/>
  <c r="K30" i="35" s="1"/>
  <c r="L164" i="35"/>
  <c r="L162" i="35" s="1"/>
  <c r="I139" i="35"/>
  <c r="J169" i="35"/>
  <c r="J167" i="35" s="1"/>
  <c r="K159" i="35"/>
  <c r="K157" i="35" s="1"/>
  <c r="J149" i="35"/>
  <c r="J147" i="35" s="1"/>
  <c r="L88" i="35"/>
  <c r="L86" i="35" s="1"/>
  <c r="J27" i="35"/>
  <c r="J25" i="35" s="1"/>
  <c r="J121" i="35"/>
  <c r="J119" i="35" s="1"/>
  <c r="L55" i="35"/>
  <c r="L53" i="35" s="1"/>
  <c r="J140" i="35"/>
  <c r="J144" i="35"/>
  <c r="J142" i="35" s="1"/>
  <c r="J61" i="71"/>
  <c r="K76" i="71"/>
  <c r="K88" i="71"/>
  <c r="J79" i="71"/>
  <c r="J73" i="71"/>
  <c r="J71" i="71"/>
  <c r="K52" i="71"/>
  <c r="J50" i="71"/>
  <c r="K34" i="71"/>
  <c r="J55" i="71"/>
  <c r="J82" i="71"/>
  <c r="J43" i="71"/>
  <c r="J73" i="33"/>
  <c r="J71" i="33"/>
  <c r="K76" i="33"/>
  <c r="J58" i="33"/>
  <c r="K37" i="33"/>
  <c r="J46" i="33"/>
  <c r="J79" i="33"/>
  <c r="L82" i="33"/>
  <c r="H51" i="33"/>
  <c r="K88" i="33"/>
  <c r="J34" i="33"/>
  <c r="J29" i="33"/>
  <c r="J31" i="33"/>
  <c r="J52" i="33"/>
  <c r="J50" i="33"/>
  <c r="J67" i="33"/>
  <c r="K85" i="33"/>
  <c r="K55" i="33"/>
  <c r="I28" i="33"/>
  <c r="J37" i="32"/>
  <c r="J31" i="32"/>
  <c r="J29" i="32"/>
  <c r="I28" i="32"/>
  <c r="I30" i="32" s="1"/>
  <c r="J76" i="32"/>
  <c r="J73" i="32"/>
  <c r="J88" i="32"/>
  <c r="I70" i="32"/>
  <c r="J61" i="32"/>
  <c r="L40" i="32"/>
  <c r="H30" i="32"/>
  <c r="K34" i="32"/>
  <c r="J46" i="32"/>
  <c r="J43" i="32"/>
  <c r="K93" i="31"/>
  <c r="K91" i="31" s="1"/>
  <c r="M170" i="31"/>
  <c r="K116" i="31"/>
  <c r="K114" i="31" s="1"/>
  <c r="L117" i="31"/>
  <c r="L165" i="31"/>
  <c r="M122" i="31"/>
  <c r="M121" i="31" s="1"/>
  <c r="M119" i="31" s="1"/>
  <c r="L121" i="31"/>
  <c r="L119" i="31" s="1"/>
  <c r="M145" i="31"/>
  <c r="J74" i="31"/>
  <c r="L111" i="31"/>
  <c r="L109" i="31" s="1"/>
  <c r="I108" i="31"/>
  <c r="L56" i="31"/>
  <c r="L79" i="31"/>
  <c r="K78" i="31"/>
  <c r="K76" i="31" s="1"/>
  <c r="L99" i="31"/>
  <c r="K98" i="31"/>
  <c r="K96" i="31" s="1"/>
  <c r="M38" i="31"/>
  <c r="M89" i="31"/>
  <c r="J103" i="31"/>
  <c r="J101" i="31" s="1"/>
  <c r="M13" i="31"/>
  <c r="L71" i="31"/>
  <c r="M132" i="31"/>
  <c r="L45" i="31"/>
  <c r="L43" i="31" s="1"/>
  <c r="M46" i="31"/>
  <c r="M45" i="31" s="1"/>
  <c r="M43" i="31" s="1"/>
  <c r="L61" i="31"/>
  <c r="M160" i="31"/>
  <c r="K136" i="31"/>
  <c r="K134" i="31" s="1"/>
  <c r="L137" i="31"/>
  <c r="L65" i="31"/>
  <c r="L63" i="31" s="1"/>
  <c r="M66" i="31"/>
  <c r="M65" i="31" s="1"/>
  <c r="M63" i="31" s="1"/>
  <c r="L18" i="31"/>
  <c r="M51" i="31"/>
  <c r="J83" i="31"/>
  <c r="J81" i="31" s="1"/>
  <c r="I142" i="37" l="1"/>
  <c r="I144" i="37" s="1"/>
  <c r="J166" i="37"/>
  <c r="J172" i="37" s="1"/>
  <c r="N220" i="41"/>
  <c r="M105" i="74"/>
  <c r="M96" i="74"/>
  <c r="L99" i="74"/>
  <c r="M84" i="74"/>
  <c r="M75" i="74"/>
  <c r="L78" i="74"/>
  <c r="M69" i="74"/>
  <c r="L57" i="74"/>
  <c r="M54" i="74"/>
  <c r="M60" i="74"/>
  <c r="L63" i="74"/>
  <c r="M39" i="74"/>
  <c r="L42" i="74"/>
  <c r="M48" i="74"/>
  <c r="M33" i="74"/>
  <c r="L36" i="74"/>
  <c r="M27" i="74"/>
  <c r="M21" i="74"/>
  <c r="J218" i="37"/>
  <c r="J224" i="37" s="1"/>
  <c r="J211" i="38"/>
  <c r="J213" i="38" s="1"/>
  <c r="K209" i="37"/>
  <c r="K207" i="37"/>
  <c r="K190" i="37"/>
  <c r="K185" i="37"/>
  <c r="K180" i="37" s="1"/>
  <c r="K186" i="37" s="1"/>
  <c r="I72" i="71"/>
  <c r="J85" i="32"/>
  <c r="J85" i="71"/>
  <c r="J107" i="31"/>
  <c r="J131" i="31"/>
  <c r="J129" i="31" s="1"/>
  <c r="J106" i="31" s="1"/>
  <c r="J70" i="71"/>
  <c r="J72" i="71" s="1"/>
  <c r="J82" i="32"/>
  <c r="K164" i="37"/>
  <c r="K162" i="37"/>
  <c r="K159" i="37" s="1"/>
  <c r="K165" i="37" s="1"/>
  <c r="J159" i="37"/>
  <c r="J165" i="37" s="1"/>
  <c r="J79" i="32"/>
  <c r="K152" i="37"/>
  <c r="K158" i="37" s="1"/>
  <c r="K50" i="71"/>
  <c r="J67" i="71"/>
  <c r="J73" i="31"/>
  <c r="I49" i="71"/>
  <c r="I51" i="71" s="1"/>
  <c r="J67" i="32"/>
  <c r="J64" i="33"/>
  <c r="L64" i="71"/>
  <c r="K126" i="37"/>
  <c r="K124" i="37"/>
  <c r="K121" i="37" s="1"/>
  <c r="K127" i="37" s="1"/>
  <c r="I51" i="32"/>
  <c r="J61" i="33"/>
  <c r="J119" i="37"/>
  <c r="J117" i="37"/>
  <c r="J114" i="37" s="1"/>
  <c r="J120" i="37" s="1"/>
  <c r="H122" i="41"/>
  <c r="G126" i="41"/>
  <c r="L121" i="41"/>
  <c r="M121" i="41" s="1"/>
  <c r="N121" i="41" s="1"/>
  <c r="K123" i="41"/>
  <c r="N123" i="41" s="1"/>
  <c r="J58" i="71"/>
  <c r="J49" i="71"/>
  <c r="J51" i="71" s="1"/>
  <c r="K88" i="31"/>
  <c r="K86" i="31" s="1"/>
  <c r="J58" i="32"/>
  <c r="J55" i="32"/>
  <c r="L113" i="38"/>
  <c r="K112" i="38"/>
  <c r="K119" i="38" s="1"/>
  <c r="K110" i="38"/>
  <c r="J75" i="31"/>
  <c r="J50" i="32"/>
  <c r="J52" i="32"/>
  <c r="J46" i="71"/>
  <c r="J70" i="31"/>
  <c r="J68" i="31" s="1"/>
  <c r="J94" i="36"/>
  <c r="I30" i="33"/>
  <c r="J43" i="33"/>
  <c r="H72" i="36"/>
  <c r="I79" i="36"/>
  <c r="I70" i="36" s="1"/>
  <c r="I71" i="36"/>
  <c r="K40" i="71"/>
  <c r="J60" i="31"/>
  <c r="J58" i="31" s="1"/>
  <c r="J40" i="33"/>
  <c r="K74" i="37"/>
  <c r="K69" i="37" s="1"/>
  <c r="K75" i="37" s="1"/>
  <c r="I28" i="71"/>
  <c r="I30" i="71" s="1"/>
  <c r="J37" i="71"/>
  <c r="J55" i="31"/>
  <c r="J53" i="31" s="1"/>
  <c r="K62" i="37"/>
  <c r="K68" i="37" s="1"/>
  <c r="K67" i="37"/>
  <c r="L49" i="35"/>
  <c r="K50" i="35"/>
  <c r="K48" i="35" s="1"/>
  <c r="I42" i="31"/>
  <c r="J41" i="31"/>
  <c r="J50" i="31"/>
  <c r="J48" i="31" s="1"/>
  <c r="J61" i="36"/>
  <c r="I55" i="36"/>
  <c r="I49" i="36" s="1"/>
  <c r="I50" i="36"/>
  <c r="H51" i="36"/>
  <c r="J52" i="37"/>
  <c r="J54" i="37" s="1"/>
  <c r="J61" i="37"/>
  <c r="K53" i="37"/>
  <c r="K60" i="37"/>
  <c r="K55" i="37" s="1"/>
  <c r="J29" i="71"/>
  <c r="J31" i="71"/>
  <c r="K50" i="37"/>
  <c r="K45" i="37" s="1"/>
  <c r="K51" i="37" s="1"/>
  <c r="F50" i="38"/>
  <c r="L37" i="36"/>
  <c r="H30" i="36"/>
  <c r="K36" i="37"/>
  <c r="K34" i="37"/>
  <c r="D34" i="38"/>
  <c r="I29" i="36"/>
  <c r="I31" i="36"/>
  <c r="I28" i="36" s="1"/>
  <c r="I30" i="36" s="1"/>
  <c r="I213" i="38"/>
  <c r="K24" i="38"/>
  <c r="L20" i="38"/>
  <c r="J61" i="38"/>
  <c r="N67" i="38"/>
  <c r="K158" i="38"/>
  <c r="K152" i="38" s="1"/>
  <c r="L154" i="38"/>
  <c r="H162" i="38"/>
  <c r="L36" i="38"/>
  <c r="K40" i="38"/>
  <c r="J170" i="38"/>
  <c r="N126" i="38"/>
  <c r="J136" i="38"/>
  <c r="J109" i="38" s="1"/>
  <c r="L95" i="38"/>
  <c r="K99" i="38"/>
  <c r="K93" i="38" s="1"/>
  <c r="K32" i="38"/>
  <c r="K26" i="38" s="1"/>
  <c r="L28" i="38"/>
  <c r="K185" i="38"/>
  <c r="K179" i="38" s="1"/>
  <c r="L181" i="38"/>
  <c r="M85" i="38"/>
  <c r="N85" i="38" s="1"/>
  <c r="N92" i="38" s="1"/>
  <c r="N91" i="38"/>
  <c r="L189" i="38"/>
  <c r="K193" i="38"/>
  <c r="K187" i="38" s="1"/>
  <c r="L71" i="38"/>
  <c r="K75" i="38"/>
  <c r="K69" i="38" s="1"/>
  <c r="M244" i="38"/>
  <c r="N240" i="38"/>
  <c r="K260" i="38"/>
  <c r="K254" i="38" s="1"/>
  <c r="L256" i="38"/>
  <c r="L52" i="38"/>
  <c r="K56" i="38"/>
  <c r="N16" i="38"/>
  <c r="L134" i="38"/>
  <c r="L128" i="38" s="1"/>
  <c r="M130" i="38"/>
  <c r="M134" i="38" s="1"/>
  <c r="N130" i="38"/>
  <c r="L224" i="38"/>
  <c r="K228" i="38"/>
  <c r="K222" i="38" s="1"/>
  <c r="L205" i="38"/>
  <c r="K209" i="38"/>
  <c r="K203" i="38" s="1"/>
  <c r="M103" i="38"/>
  <c r="L107" i="38"/>
  <c r="J203" i="38"/>
  <c r="L44" i="38"/>
  <c r="K48" i="38"/>
  <c r="K42" i="38" s="1"/>
  <c r="L201" i="38"/>
  <c r="L195" i="38" s="1"/>
  <c r="M197" i="38"/>
  <c r="N120" i="38"/>
  <c r="N127" i="38" s="1"/>
  <c r="K195" i="38"/>
  <c r="K236" i="38"/>
  <c r="K230" i="38" s="1"/>
  <c r="L232" i="38"/>
  <c r="K252" i="38"/>
  <c r="L248" i="38"/>
  <c r="K142" i="38"/>
  <c r="K136" i="38" s="1"/>
  <c r="L138" i="38"/>
  <c r="L177" i="38"/>
  <c r="L171" i="38" s="1"/>
  <c r="M173" i="38"/>
  <c r="L52" i="36"/>
  <c r="K73" i="36"/>
  <c r="J170" i="41"/>
  <c r="N163" i="41"/>
  <c r="K174" i="41"/>
  <c r="N174" i="41" s="1"/>
  <c r="K161" i="41"/>
  <c r="J75" i="41"/>
  <c r="J69" i="41" s="1"/>
  <c r="K71" i="41"/>
  <c r="K181" i="41"/>
  <c r="J185" i="41"/>
  <c r="J179" i="41" s="1"/>
  <c r="I69" i="41"/>
  <c r="K91" i="41"/>
  <c r="K85" i="41" s="1"/>
  <c r="L87" i="41"/>
  <c r="K138" i="41"/>
  <c r="J142" i="41"/>
  <c r="K209" i="41"/>
  <c r="K203" i="41" s="1"/>
  <c r="L205" i="41"/>
  <c r="J68" i="41"/>
  <c r="N61" i="41"/>
  <c r="L146" i="41"/>
  <c r="K150" i="41"/>
  <c r="K144" i="41" s="1"/>
  <c r="L193" i="41"/>
  <c r="N189" i="41"/>
  <c r="L130" i="41"/>
  <c r="K134" i="41"/>
  <c r="K128" i="41" s="1"/>
  <c r="L201" i="41"/>
  <c r="N197" i="41"/>
  <c r="L232" i="41"/>
  <c r="K236" i="41"/>
  <c r="K230" i="41" s="1"/>
  <c r="M170" i="41"/>
  <c r="J252" i="41"/>
  <c r="J246" i="41" s="1"/>
  <c r="K248" i="41"/>
  <c r="L93" i="41"/>
  <c r="N93" i="41" s="1"/>
  <c r="N100" i="41" s="1"/>
  <c r="N99" i="41"/>
  <c r="J158" i="41"/>
  <c r="J152" i="41" s="1"/>
  <c r="K154" i="41"/>
  <c r="K240" i="41"/>
  <c r="J244" i="41"/>
  <c r="J238" i="41" s="1"/>
  <c r="J211" i="41" s="1"/>
  <c r="J213" i="41" s="1"/>
  <c r="K173" i="41"/>
  <c r="J177" i="41"/>
  <c r="J171" i="41" s="1"/>
  <c r="J34" i="41"/>
  <c r="I160" i="41"/>
  <c r="L36" i="41"/>
  <c r="L40" i="41" s="1"/>
  <c r="L34" i="41" s="1"/>
  <c r="K40" i="41"/>
  <c r="K34" i="41" s="1"/>
  <c r="N36" i="41"/>
  <c r="L212" i="41"/>
  <c r="L221" i="41"/>
  <c r="K260" i="41"/>
  <c r="K254" i="41" s="1"/>
  <c r="L256" i="41"/>
  <c r="L44" i="41"/>
  <c r="K48" i="41"/>
  <c r="K42" i="41" s="1"/>
  <c r="K72" i="41"/>
  <c r="N72" i="41" s="1"/>
  <c r="K59" i="41"/>
  <c r="L224" i="41"/>
  <c r="K228" i="41"/>
  <c r="K222" i="41" s="1"/>
  <c r="J221" i="41"/>
  <c r="N214" i="41"/>
  <c r="K28" i="41"/>
  <c r="J32" i="41"/>
  <c r="J26" i="41" s="1"/>
  <c r="M68" i="41"/>
  <c r="K56" i="41"/>
  <c r="K50" i="41" s="1"/>
  <c r="L52" i="41"/>
  <c r="I238" i="41"/>
  <c r="I211" i="41" s="1"/>
  <c r="I213" i="41" s="1"/>
  <c r="K140" i="37"/>
  <c r="K138" i="37"/>
  <c r="J196" i="37"/>
  <c r="J187" i="37"/>
  <c r="L58" i="37"/>
  <c r="M57" i="37"/>
  <c r="K143" i="37"/>
  <c r="K150" i="37"/>
  <c r="K148" i="37"/>
  <c r="K145" i="37" s="1"/>
  <c r="M182" i="37"/>
  <c r="L183" i="37"/>
  <c r="K225" i="37"/>
  <c r="K231" i="37" s="1"/>
  <c r="I96" i="37"/>
  <c r="L228" i="37"/>
  <c r="M227" i="37"/>
  <c r="K29" i="37"/>
  <c r="K27" i="37"/>
  <c r="K24" i="37" s="1"/>
  <c r="K30" i="37" s="1"/>
  <c r="K95" i="37"/>
  <c r="K93" i="37"/>
  <c r="K90" i="37" s="1"/>
  <c r="K96" i="37" s="1"/>
  <c r="J217" i="37"/>
  <c r="M64" i="37"/>
  <c r="L65" i="37"/>
  <c r="K216" i="37"/>
  <c r="K214" i="37"/>
  <c r="K211" i="37" s="1"/>
  <c r="K217" i="37" s="1"/>
  <c r="K43" i="37"/>
  <c r="K41" i="37"/>
  <c r="M130" i="37"/>
  <c r="H144" i="37"/>
  <c r="K133" i="37"/>
  <c r="K128" i="37" s="1"/>
  <c r="K134" i="37" s="1"/>
  <c r="L131" i="37"/>
  <c r="J151" i="37"/>
  <c r="J142" i="37"/>
  <c r="J144" i="37" s="1"/>
  <c r="M12" i="37"/>
  <c r="L157" i="37"/>
  <c r="K197" i="37"/>
  <c r="K203" i="37" s="1"/>
  <c r="K88" i="37"/>
  <c r="K83" i="37" s="1"/>
  <c r="K89" i="37" s="1"/>
  <c r="L86" i="37"/>
  <c r="M85" i="37"/>
  <c r="L48" i="37"/>
  <c r="M47" i="37"/>
  <c r="M71" i="37"/>
  <c r="L178" i="37"/>
  <c r="K223" i="37"/>
  <c r="K221" i="37"/>
  <c r="K196" i="37"/>
  <c r="L176" i="37"/>
  <c r="M19" i="37"/>
  <c r="L195" i="37"/>
  <c r="L188" i="37"/>
  <c r="L193" i="37"/>
  <c r="K173" i="37"/>
  <c r="K179" i="37" s="1"/>
  <c r="J68" i="37"/>
  <c r="K171" i="37"/>
  <c r="K169" i="37"/>
  <c r="K166" i="37" s="1"/>
  <c r="K172" i="37" s="1"/>
  <c r="L202" i="37"/>
  <c r="L200" i="37"/>
  <c r="L155" i="37"/>
  <c r="M154" i="37"/>
  <c r="L230" i="37"/>
  <c r="I189" i="42"/>
  <c r="K195" i="42"/>
  <c r="K190" i="42" s="1"/>
  <c r="L194" i="42"/>
  <c r="I69" i="42"/>
  <c r="L95" i="42"/>
  <c r="L90" i="42" s="1"/>
  <c r="M94" i="42"/>
  <c r="K28" i="42"/>
  <c r="J29" i="42"/>
  <c r="J24" i="42" s="1"/>
  <c r="K119" i="42"/>
  <c r="K114" i="42" s="1"/>
  <c r="L118" i="42"/>
  <c r="J178" i="42"/>
  <c r="J173" i="42" s="1"/>
  <c r="K177" i="42"/>
  <c r="L230" i="42"/>
  <c r="L225" i="42" s="1"/>
  <c r="M229" i="42"/>
  <c r="K156" i="42"/>
  <c r="J157" i="42"/>
  <c r="J152" i="42" s="1"/>
  <c r="J142" i="42" s="1"/>
  <c r="J144" i="42" s="1"/>
  <c r="I62" i="42"/>
  <c r="G54" i="42"/>
  <c r="M184" i="42"/>
  <c r="L185" i="42"/>
  <c r="L180" i="42" s="1"/>
  <c r="J196" i="42"/>
  <c r="J74" i="42"/>
  <c r="J69" i="42" s="1"/>
  <c r="K73" i="42"/>
  <c r="K139" i="42"/>
  <c r="J140" i="42"/>
  <c r="J135" i="42" s="1"/>
  <c r="L133" i="42"/>
  <c r="L128" i="42" s="1"/>
  <c r="M132" i="42"/>
  <c r="J43" i="42"/>
  <c r="J38" i="42" s="1"/>
  <c r="K42" i="42"/>
  <c r="K188" i="42"/>
  <c r="J55" i="42"/>
  <c r="L59" i="42"/>
  <c r="K60" i="42"/>
  <c r="K55" i="42" s="1"/>
  <c r="J202" i="42"/>
  <c r="J197" i="42" s="1"/>
  <c r="J187" i="42" s="1"/>
  <c r="K201" i="42"/>
  <c r="J50" i="42"/>
  <c r="J45" i="42" s="1"/>
  <c r="K49" i="42"/>
  <c r="L143" i="42"/>
  <c r="M53" i="42"/>
  <c r="N53" i="42" s="1"/>
  <c r="J67" i="42"/>
  <c r="J62" i="42" s="1"/>
  <c r="K66" i="42"/>
  <c r="J88" i="42"/>
  <c r="J83" i="42" s="1"/>
  <c r="K87" i="42"/>
  <c r="J126" i="42"/>
  <c r="J121" i="42" s="1"/>
  <c r="K125" i="42"/>
  <c r="J223" i="42"/>
  <c r="J218" i="42" s="1"/>
  <c r="K222" i="42"/>
  <c r="K204" i="42"/>
  <c r="J164" i="42"/>
  <c r="J159" i="42" s="1"/>
  <c r="K163" i="42"/>
  <c r="L170" i="42"/>
  <c r="K171" i="42"/>
  <c r="K166" i="42" s="1"/>
  <c r="J151" i="42"/>
  <c r="I151" i="42"/>
  <c r="I142" i="42"/>
  <c r="K35" i="42"/>
  <c r="J36" i="42"/>
  <c r="J31" i="42" s="1"/>
  <c r="L209" i="42"/>
  <c r="L204" i="42" s="1"/>
  <c r="M208" i="42"/>
  <c r="L149" i="42"/>
  <c r="K150" i="42"/>
  <c r="K145" i="42" s="1"/>
  <c r="L216" i="42"/>
  <c r="L211" i="42" s="1"/>
  <c r="M215" i="42"/>
  <c r="M37" i="35"/>
  <c r="M35" i="35" s="1"/>
  <c r="N35" i="35" s="1"/>
  <c r="N37" i="35" s="1"/>
  <c r="K78" i="35"/>
  <c r="K76" i="35" s="1"/>
  <c r="M164" i="35"/>
  <c r="M162" i="35" s="1"/>
  <c r="N162" i="35" s="1"/>
  <c r="M88" i="35"/>
  <c r="M86" i="35" s="1"/>
  <c r="N86" i="35" s="1"/>
  <c r="N88" i="35" s="1"/>
  <c r="L32" i="35"/>
  <c r="L30" i="35" s="1"/>
  <c r="K65" i="35"/>
  <c r="K63" i="35" s="1"/>
  <c r="K149" i="35"/>
  <c r="K147" i="35" s="1"/>
  <c r="K70" i="35"/>
  <c r="K68" i="35" s="1"/>
  <c r="J40" i="35"/>
  <c r="J42" i="35" s="1"/>
  <c r="K144" i="35"/>
  <c r="K142" i="35" s="1"/>
  <c r="K140" i="35"/>
  <c r="L83" i="35"/>
  <c r="L81" i="35" s="1"/>
  <c r="L159" i="35"/>
  <c r="L157" i="35" s="1"/>
  <c r="J139" i="35"/>
  <c r="J141" i="35" s="1"/>
  <c r="K41" i="35"/>
  <c r="K45" i="35"/>
  <c r="K43" i="35" s="1"/>
  <c r="K136" i="35"/>
  <c r="K134" i="35" s="1"/>
  <c r="K121" i="35"/>
  <c r="K119" i="35" s="1"/>
  <c r="K60" i="35"/>
  <c r="K58" i="35" s="1"/>
  <c r="K169" i="35"/>
  <c r="K167" i="35" s="1"/>
  <c r="I141" i="35"/>
  <c r="L116" i="35"/>
  <c r="L114" i="35" s="1"/>
  <c r="M55" i="35"/>
  <c r="M53" i="35" s="1"/>
  <c r="N53" i="35" s="1"/>
  <c r="K126" i="35"/>
  <c r="K124" i="35" s="1"/>
  <c r="K27" i="35"/>
  <c r="K25" i="35" s="1"/>
  <c r="K93" i="35"/>
  <c r="K91" i="35" s="1"/>
  <c r="L154" i="35"/>
  <c r="L152" i="35" s="1"/>
  <c r="K73" i="71"/>
  <c r="K71" i="71"/>
  <c r="K79" i="71"/>
  <c r="L34" i="71"/>
  <c r="L76" i="71"/>
  <c r="L88" i="71"/>
  <c r="K43" i="71"/>
  <c r="L52" i="71"/>
  <c r="K61" i="71"/>
  <c r="K82" i="71"/>
  <c r="K55" i="71"/>
  <c r="K58" i="33"/>
  <c r="K79" i="33"/>
  <c r="K73" i="33"/>
  <c r="K71" i="33"/>
  <c r="L88" i="33"/>
  <c r="J28" i="33"/>
  <c r="J30" i="33" s="1"/>
  <c r="L37" i="33"/>
  <c r="J70" i="33"/>
  <c r="J72" i="33" s="1"/>
  <c r="L85" i="33"/>
  <c r="K34" i="33"/>
  <c r="K67" i="33"/>
  <c r="K52" i="33"/>
  <c r="K50" i="33"/>
  <c r="K29" i="33"/>
  <c r="K31" i="33"/>
  <c r="J49" i="33"/>
  <c r="J51" i="33" s="1"/>
  <c r="L76" i="33"/>
  <c r="K46" i="33"/>
  <c r="L55" i="33"/>
  <c r="M82" i="33"/>
  <c r="N82" i="33" s="1"/>
  <c r="K76" i="32"/>
  <c r="M40" i="32"/>
  <c r="N40" i="32" s="1"/>
  <c r="K37" i="32"/>
  <c r="K43" i="32"/>
  <c r="K31" i="32"/>
  <c r="K29" i="32"/>
  <c r="I72" i="32"/>
  <c r="J28" i="32"/>
  <c r="J30" i="32" s="1"/>
  <c r="K88" i="32"/>
  <c r="K46" i="32"/>
  <c r="K61" i="32"/>
  <c r="K71" i="32"/>
  <c r="K73" i="32"/>
  <c r="L34" i="32"/>
  <c r="J70" i="32"/>
  <c r="J72" i="32" s="1"/>
  <c r="M99" i="31"/>
  <c r="M98" i="31" s="1"/>
  <c r="M96" i="31" s="1"/>
  <c r="L98" i="31"/>
  <c r="L96" i="31" s="1"/>
  <c r="M117" i="31"/>
  <c r="M116" i="31" s="1"/>
  <c r="M114" i="31" s="1"/>
  <c r="L116" i="31"/>
  <c r="L114" i="31" s="1"/>
  <c r="K83" i="31"/>
  <c r="K81" i="31" s="1"/>
  <c r="K74" i="31"/>
  <c r="K103" i="31"/>
  <c r="K101" i="31" s="1"/>
  <c r="N43" i="31"/>
  <c r="M71" i="31"/>
  <c r="N119" i="31"/>
  <c r="N121" i="31" s="1"/>
  <c r="M79" i="31"/>
  <c r="M165" i="31"/>
  <c r="M56" i="31"/>
  <c r="L136" i="31"/>
  <c r="L134" i="31" s="1"/>
  <c r="M137" i="31"/>
  <c r="M136" i="31" s="1"/>
  <c r="M134" i="31" s="1"/>
  <c r="N134" i="31" s="1"/>
  <c r="N136" i="31" s="1"/>
  <c r="M61" i="31"/>
  <c r="M18" i="31"/>
  <c r="L93" i="31"/>
  <c r="L91" i="31" s="1"/>
  <c r="N63" i="31"/>
  <c r="N65" i="31" s="1"/>
  <c r="M111" i="31"/>
  <c r="M109" i="31" s="1"/>
  <c r="L197" i="37" l="1"/>
  <c r="L203" i="37" s="1"/>
  <c r="J49" i="32"/>
  <c r="J51" i="32" s="1"/>
  <c r="M99" i="74"/>
  <c r="M78" i="74"/>
  <c r="M57" i="74"/>
  <c r="M63" i="74"/>
  <c r="M36" i="74"/>
  <c r="M42" i="74"/>
  <c r="L225" i="37"/>
  <c r="L231" i="37" s="1"/>
  <c r="M228" i="37"/>
  <c r="K218" i="37"/>
  <c r="K224" i="37" s="1"/>
  <c r="K204" i="37"/>
  <c r="L209" i="37"/>
  <c r="L207" i="37"/>
  <c r="L204" i="37" s="1"/>
  <c r="L210" i="37" s="1"/>
  <c r="I162" i="41"/>
  <c r="L209" i="41"/>
  <c r="N205" i="41"/>
  <c r="L185" i="37"/>
  <c r="L180" i="37"/>
  <c r="L186" i="37" s="1"/>
  <c r="L173" i="37"/>
  <c r="L179" i="37" s="1"/>
  <c r="J108" i="31"/>
  <c r="K85" i="71"/>
  <c r="K70" i="71" s="1"/>
  <c r="K72" i="71" s="1"/>
  <c r="K107" i="31"/>
  <c r="K131" i="31"/>
  <c r="K129" i="31" s="1"/>
  <c r="K106" i="31" s="1"/>
  <c r="K85" i="32"/>
  <c r="K160" i="38"/>
  <c r="K162" i="38" s="1"/>
  <c r="N84" i="33"/>
  <c r="K82" i="32"/>
  <c r="J160" i="41"/>
  <c r="J162" i="41" s="1"/>
  <c r="L162" i="37"/>
  <c r="L164" i="37"/>
  <c r="K79" i="32"/>
  <c r="K70" i="32" s="1"/>
  <c r="K72" i="32" s="1"/>
  <c r="M155" i="37"/>
  <c r="N155" i="37" s="1"/>
  <c r="K109" i="38"/>
  <c r="K67" i="32"/>
  <c r="K67" i="71"/>
  <c r="L150" i="41"/>
  <c r="N146" i="41"/>
  <c r="M64" i="71"/>
  <c r="N64" i="71" s="1"/>
  <c r="K64" i="33"/>
  <c r="L126" i="37"/>
  <c r="L124" i="37"/>
  <c r="K61" i="33"/>
  <c r="K49" i="33" s="1"/>
  <c r="K51" i="33" s="1"/>
  <c r="G120" i="41"/>
  <c r="H126" i="41"/>
  <c r="H120" i="41" s="1"/>
  <c r="I122" i="41"/>
  <c r="K119" i="37"/>
  <c r="K117" i="37"/>
  <c r="K114" i="37" s="1"/>
  <c r="K120" i="37" s="1"/>
  <c r="K58" i="32"/>
  <c r="L88" i="31"/>
  <c r="L86" i="31" s="1"/>
  <c r="K73" i="31"/>
  <c r="K75" i="31" s="1"/>
  <c r="K58" i="71"/>
  <c r="K49" i="71" s="1"/>
  <c r="K51" i="71" s="1"/>
  <c r="K111" i="38"/>
  <c r="L50" i="71"/>
  <c r="K55" i="32"/>
  <c r="M113" i="38"/>
  <c r="L112" i="38"/>
  <c r="L110" i="38"/>
  <c r="K50" i="32"/>
  <c r="K52" i="32"/>
  <c r="K70" i="31"/>
  <c r="K68" i="31" s="1"/>
  <c r="K46" i="71"/>
  <c r="K94" i="36"/>
  <c r="K43" i="33"/>
  <c r="I72" i="36"/>
  <c r="J79" i="36"/>
  <c r="J70" i="36" s="1"/>
  <c r="J71" i="36"/>
  <c r="K40" i="33"/>
  <c r="K60" i="31"/>
  <c r="K58" i="31" s="1"/>
  <c r="L40" i="71"/>
  <c r="J40" i="31"/>
  <c r="J42" i="31" s="1"/>
  <c r="L74" i="37"/>
  <c r="L72" i="37"/>
  <c r="L69" i="37" s="1"/>
  <c r="L75" i="37" s="1"/>
  <c r="M72" i="37"/>
  <c r="K28" i="32"/>
  <c r="K30" i="32" s="1"/>
  <c r="J28" i="71"/>
  <c r="J30" i="71" s="1"/>
  <c r="K55" i="31"/>
  <c r="K53" i="31" s="1"/>
  <c r="K37" i="71"/>
  <c r="L67" i="37"/>
  <c r="L62" i="37" s="1"/>
  <c r="L68" i="37" s="1"/>
  <c r="M65" i="37"/>
  <c r="M49" i="35"/>
  <c r="M50" i="35" s="1"/>
  <c r="M48" i="35" s="1"/>
  <c r="N48" i="35" s="1"/>
  <c r="N50" i="35" s="1"/>
  <c r="L50" i="35"/>
  <c r="L48" i="35" s="1"/>
  <c r="K41" i="31"/>
  <c r="K50" i="31"/>
  <c r="K48" i="31" s="1"/>
  <c r="K40" i="31" s="1"/>
  <c r="K42" i="31" s="1"/>
  <c r="J55" i="36"/>
  <c r="J49" i="36" s="1"/>
  <c r="J50" i="36"/>
  <c r="I51" i="36"/>
  <c r="K61" i="36"/>
  <c r="K52" i="37"/>
  <c r="K54" i="37" s="1"/>
  <c r="K61" i="37"/>
  <c r="L60" i="37"/>
  <c r="L55" i="37" s="1"/>
  <c r="L53" i="37"/>
  <c r="L29" i="71"/>
  <c r="K31" i="71"/>
  <c r="K29" i="71"/>
  <c r="G50" i="38"/>
  <c r="L50" i="37"/>
  <c r="L45" i="37" s="1"/>
  <c r="L51" i="37" s="1"/>
  <c r="M37" i="36"/>
  <c r="N37" i="36" s="1"/>
  <c r="N39" i="36" s="1"/>
  <c r="N40" i="41"/>
  <c r="K31" i="37"/>
  <c r="K37" i="37" s="1"/>
  <c r="L34" i="37"/>
  <c r="L36" i="37"/>
  <c r="J31" i="36"/>
  <c r="J29" i="36"/>
  <c r="E34" i="38"/>
  <c r="L260" i="38"/>
  <c r="L254" i="38" s="1"/>
  <c r="M256" i="38"/>
  <c r="M28" i="38"/>
  <c r="L32" i="38"/>
  <c r="L26" i="38" s="1"/>
  <c r="M107" i="38"/>
  <c r="N103" i="38"/>
  <c r="M154" i="38"/>
  <c r="L158" i="38"/>
  <c r="L152" i="38" s="1"/>
  <c r="L48" i="38"/>
  <c r="L42" i="38" s="1"/>
  <c r="M44" i="38"/>
  <c r="M52" i="38"/>
  <c r="L56" i="38"/>
  <c r="L185" i="38"/>
  <c r="L179" i="38" s="1"/>
  <c r="M181" i="38"/>
  <c r="L40" i="38"/>
  <c r="M36" i="38"/>
  <c r="M138" i="38"/>
  <c r="L142" i="38"/>
  <c r="L136" i="38" s="1"/>
  <c r="M248" i="38"/>
  <c r="L252" i="38"/>
  <c r="L246" i="38" s="1"/>
  <c r="K246" i="38"/>
  <c r="K211" i="38" s="1"/>
  <c r="M205" i="38"/>
  <c r="L209" i="38"/>
  <c r="M238" i="38"/>
  <c r="N238" i="38" s="1"/>
  <c r="N245" i="38" s="1"/>
  <c r="N244" i="38"/>
  <c r="M232" i="38"/>
  <c r="L236" i="38"/>
  <c r="L230" i="38" s="1"/>
  <c r="M224" i="38"/>
  <c r="L228" i="38"/>
  <c r="L222" i="38" s="1"/>
  <c r="M95" i="38"/>
  <c r="L99" i="38"/>
  <c r="L93" i="38" s="1"/>
  <c r="J68" i="38"/>
  <c r="N61" i="38"/>
  <c r="N68" i="38" s="1"/>
  <c r="M71" i="38"/>
  <c r="L75" i="38"/>
  <c r="L69" i="38" s="1"/>
  <c r="M20" i="38"/>
  <c r="L24" i="38"/>
  <c r="M128" i="38"/>
  <c r="N134" i="38"/>
  <c r="J111" i="38"/>
  <c r="M189" i="38"/>
  <c r="L193" i="38"/>
  <c r="L187" i="38" s="1"/>
  <c r="M177" i="38"/>
  <c r="N173" i="38"/>
  <c r="M201" i="38"/>
  <c r="N197" i="38"/>
  <c r="J160" i="38"/>
  <c r="L73" i="36"/>
  <c r="M52" i="36"/>
  <c r="L48" i="41"/>
  <c r="N44" i="41"/>
  <c r="L28" i="41"/>
  <c r="K32" i="41"/>
  <c r="K26" i="41" s="1"/>
  <c r="L260" i="41"/>
  <c r="N256" i="41"/>
  <c r="L173" i="41"/>
  <c r="K177" i="41"/>
  <c r="K171" i="41" s="1"/>
  <c r="L236" i="41"/>
  <c r="N232" i="41"/>
  <c r="K244" i="41"/>
  <c r="K238" i="41" s="1"/>
  <c r="K211" i="41" s="1"/>
  <c r="K213" i="41" s="1"/>
  <c r="L240" i="41"/>
  <c r="L71" i="41"/>
  <c r="K75" i="41"/>
  <c r="K69" i="41" s="1"/>
  <c r="L195" i="41"/>
  <c r="N195" i="41" s="1"/>
  <c r="N202" i="41" s="1"/>
  <c r="N201" i="41"/>
  <c r="J136" i="41"/>
  <c r="K158" i="41"/>
  <c r="K152" i="41" s="1"/>
  <c r="L154" i="41"/>
  <c r="L134" i="41"/>
  <c r="N130" i="41"/>
  <c r="L161" i="41"/>
  <c r="N170" i="41"/>
  <c r="L59" i="41"/>
  <c r="L181" i="41"/>
  <c r="K185" i="41"/>
  <c r="K179" i="41" s="1"/>
  <c r="L138" i="41"/>
  <c r="K142" i="41"/>
  <c r="K136" i="41" s="1"/>
  <c r="M212" i="41"/>
  <c r="N221" i="41"/>
  <c r="M221" i="41"/>
  <c r="L91" i="41"/>
  <c r="N87" i="41"/>
  <c r="L187" i="41"/>
  <c r="N187" i="41" s="1"/>
  <c r="N194" i="41" s="1"/>
  <c r="N193" i="41"/>
  <c r="L56" i="41"/>
  <c r="N52" i="41"/>
  <c r="L228" i="41"/>
  <c r="N224" i="41"/>
  <c r="N34" i="41"/>
  <c r="N41" i="41" s="1"/>
  <c r="K252" i="41"/>
  <c r="K246" i="41" s="1"/>
  <c r="L248" i="41"/>
  <c r="N68" i="41"/>
  <c r="N72" i="37"/>
  <c r="L152" i="37"/>
  <c r="L158" i="37" s="1"/>
  <c r="L95" i="37"/>
  <c r="L93" i="37"/>
  <c r="L90" i="37" s="1"/>
  <c r="L96" i="37" s="1"/>
  <c r="K135" i="37"/>
  <c r="K141" i="37" s="1"/>
  <c r="L43" i="37"/>
  <c r="L41" i="37"/>
  <c r="L38" i="37" s="1"/>
  <c r="L44" i="37" s="1"/>
  <c r="M202" i="37"/>
  <c r="N202" i="37" s="1"/>
  <c r="M200" i="37"/>
  <c r="K187" i="37"/>
  <c r="K189" i="37" s="1"/>
  <c r="N65" i="37"/>
  <c r="J189" i="37"/>
  <c r="K142" i="37"/>
  <c r="K144" i="37" s="1"/>
  <c r="K151" i="37"/>
  <c r="N228" i="37"/>
  <c r="L223" i="37"/>
  <c r="L221" i="37"/>
  <c r="M178" i="37"/>
  <c r="N178" i="37" s="1"/>
  <c r="M131" i="37"/>
  <c r="L133" i="37"/>
  <c r="L128" i="37" s="1"/>
  <c r="L134" i="37" s="1"/>
  <c r="L190" i="37"/>
  <c r="M176" i="37"/>
  <c r="L140" i="37"/>
  <c r="L138" i="37"/>
  <c r="L135" i="37" s="1"/>
  <c r="L141" i="37" s="1"/>
  <c r="L29" i="37"/>
  <c r="L27" i="37"/>
  <c r="L24" i="37" s="1"/>
  <c r="L30" i="37" s="1"/>
  <c r="M188" i="37"/>
  <c r="N188" i="37" s="1"/>
  <c r="M195" i="37"/>
  <c r="N195" i="37" s="1"/>
  <c r="N194" i="37" s="1"/>
  <c r="M193" i="37"/>
  <c r="L150" i="37"/>
  <c r="L143" i="37"/>
  <c r="L148" i="37"/>
  <c r="L216" i="37"/>
  <c r="L214" i="37"/>
  <c r="L171" i="37"/>
  <c r="L169" i="37"/>
  <c r="L166" i="37" s="1"/>
  <c r="L172" i="37" s="1"/>
  <c r="M230" i="37"/>
  <c r="N230" i="37" s="1"/>
  <c r="M157" i="37"/>
  <c r="N157" i="37" s="1"/>
  <c r="N156" i="37" s="1"/>
  <c r="L88" i="37"/>
  <c r="L83" i="37" s="1"/>
  <c r="L89" i="37" s="1"/>
  <c r="M86" i="37"/>
  <c r="K38" i="37"/>
  <c r="K44" i="37" s="1"/>
  <c r="J189" i="42"/>
  <c r="K140" i="42"/>
  <c r="K135" i="42" s="1"/>
  <c r="L139" i="42"/>
  <c r="L171" i="42"/>
  <c r="L166" i="42" s="1"/>
  <c r="M170" i="42"/>
  <c r="L188" i="42"/>
  <c r="L222" i="42"/>
  <c r="K223" i="42"/>
  <c r="K218" i="42" s="1"/>
  <c r="L201" i="42"/>
  <c r="K202" i="42"/>
  <c r="K197" i="42" s="1"/>
  <c r="K187" i="42" s="1"/>
  <c r="K189" i="42" s="1"/>
  <c r="L177" i="42"/>
  <c r="K178" i="42"/>
  <c r="K173" i="42" s="1"/>
  <c r="L119" i="42"/>
  <c r="L114" i="42" s="1"/>
  <c r="M118" i="42"/>
  <c r="M185" i="42"/>
  <c r="N184" i="42"/>
  <c r="I144" i="42"/>
  <c r="M143" i="42"/>
  <c r="N143" i="42" s="1"/>
  <c r="K29" i="42"/>
  <c r="K24" i="42" s="1"/>
  <c r="L28" i="42"/>
  <c r="K157" i="42"/>
  <c r="K152" i="42" s="1"/>
  <c r="K142" i="42" s="1"/>
  <c r="L156" i="42"/>
  <c r="M59" i="42"/>
  <c r="L60" i="42"/>
  <c r="L55" i="42" s="1"/>
  <c r="K36" i="42"/>
  <c r="K31" i="42" s="1"/>
  <c r="L35" i="42"/>
  <c r="M216" i="42"/>
  <c r="N215" i="42"/>
  <c r="K50" i="42"/>
  <c r="K45" i="42" s="1"/>
  <c r="L49" i="42"/>
  <c r="M95" i="42"/>
  <c r="N94" i="42"/>
  <c r="M133" i="42"/>
  <c r="N132" i="42"/>
  <c r="K61" i="42"/>
  <c r="L125" i="42"/>
  <c r="K126" i="42"/>
  <c r="K121" i="42" s="1"/>
  <c r="L42" i="42"/>
  <c r="K43" i="42"/>
  <c r="K38" i="42" s="1"/>
  <c r="K151" i="42"/>
  <c r="L150" i="42"/>
  <c r="L145" i="42" s="1"/>
  <c r="M149" i="42"/>
  <c r="I52" i="42"/>
  <c r="K74" i="42"/>
  <c r="K69" i="42" s="1"/>
  <c r="L73" i="42"/>
  <c r="M194" i="42"/>
  <c r="L195" i="42"/>
  <c r="L190" i="42" s="1"/>
  <c r="M209" i="42"/>
  <c r="N208" i="42"/>
  <c r="L87" i="42"/>
  <c r="K88" i="42"/>
  <c r="K83" i="42" s="1"/>
  <c r="J61" i="42"/>
  <c r="J52" i="42"/>
  <c r="J54" i="42" s="1"/>
  <c r="K196" i="42"/>
  <c r="M230" i="42"/>
  <c r="N229" i="42"/>
  <c r="K164" i="42"/>
  <c r="K159" i="42" s="1"/>
  <c r="L163" i="42"/>
  <c r="L66" i="42"/>
  <c r="K67" i="42"/>
  <c r="K62" i="42" s="1"/>
  <c r="K52" i="42" s="1"/>
  <c r="K54" i="42" s="1"/>
  <c r="L169" i="35"/>
  <c r="L167" i="35" s="1"/>
  <c r="M83" i="35"/>
  <c r="M81" i="35" s="1"/>
  <c r="N81" i="35" s="1"/>
  <c r="N83" i="35" s="1"/>
  <c r="L121" i="35"/>
  <c r="L119" i="35" s="1"/>
  <c r="M32" i="35"/>
  <c r="M30" i="35" s="1"/>
  <c r="N30" i="35" s="1"/>
  <c r="N32" i="35" s="1"/>
  <c r="L70" i="35"/>
  <c r="L68" i="35" s="1"/>
  <c r="L27" i="35"/>
  <c r="L25" i="35" s="1"/>
  <c r="L149" i="35"/>
  <c r="L147" i="35" s="1"/>
  <c r="L126" i="35"/>
  <c r="L124" i="35" s="1"/>
  <c r="L60" i="35"/>
  <c r="L58" i="35" s="1"/>
  <c r="L65" i="35"/>
  <c r="L63" i="35" s="1"/>
  <c r="N55" i="35"/>
  <c r="L93" i="35"/>
  <c r="L91" i="35" s="1"/>
  <c r="M159" i="35"/>
  <c r="M157" i="35" s="1"/>
  <c r="N157" i="35" s="1"/>
  <c r="N159" i="35" s="1"/>
  <c r="M116" i="35"/>
  <c r="M114" i="35" s="1"/>
  <c r="N114" i="35" s="1"/>
  <c r="N116" i="35" s="1"/>
  <c r="L41" i="35"/>
  <c r="L45" i="35"/>
  <c r="L43" i="35" s="1"/>
  <c r="L136" i="35"/>
  <c r="L134" i="35" s="1"/>
  <c r="K139" i="35"/>
  <c r="K141" i="35" s="1"/>
  <c r="M154" i="35"/>
  <c r="M152" i="35" s="1"/>
  <c r="N152" i="35" s="1"/>
  <c r="K40" i="35"/>
  <c r="K42" i="35" s="1"/>
  <c r="L140" i="35"/>
  <c r="L144" i="35"/>
  <c r="L142" i="35" s="1"/>
  <c r="N164" i="35"/>
  <c r="L78" i="35"/>
  <c r="L76" i="35" s="1"/>
  <c r="M52" i="71"/>
  <c r="M34" i="71"/>
  <c r="N34" i="71" s="1"/>
  <c r="M88" i="71"/>
  <c r="N88" i="71" s="1"/>
  <c r="N90" i="71" s="1"/>
  <c r="L61" i="71"/>
  <c r="L43" i="71"/>
  <c r="L79" i="71"/>
  <c r="L55" i="71"/>
  <c r="L73" i="71"/>
  <c r="L71" i="71"/>
  <c r="L82" i="71"/>
  <c r="M76" i="71"/>
  <c r="N76" i="71" s="1"/>
  <c r="M88" i="33"/>
  <c r="N88" i="33" s="1"/>
  <c r="L52" i="33"/>
  <c r="L50" i="33"/>
  <c r="L58" i="33"/>
  <c r="L29" i="33"/>
  <c r="L31" i="33"/>
  <c r="L46" i="33"/>
  <c r="M76" i="33"/>
  <c r="N76" i="33" s="1"/>
  <c r="N78" i="33" s="1"/>
  <c r="L67" i="33"/>
  <c r="L34" i="33"/>
  <c r="M37" i="33"/>
  <c r="N37" i="33" s="1"/>
  <c r="K28" i="33"/>
  <c r="K30" i="33" s="1"/>
  <c r="M55" i="33"/>
  <c r="N55" i="33" s="1"/>
  <c r="L79" i="33"/>
  <c r="L71" i="33"/>
  <c r="L73" i="33"/>
  <c r="K70" i="33"/>
  <c r="K72" i="33" s="1"/>
  <c r="M85" i="33"/>
  <c r="N85" i="33" s="1"/>
  <c r="L31" i="32"/>
  <c r="L29" i="32"/>
  <c r="L73" i="32"/>
  <c r="L71" i="32"/>
  <c r="N42" i="32"/>
  <c r="L61" i="32"/>
  <c r="L88" i="32"/>
  <c r="L46" i="32"/>
  <c r="L43" i="32"/>
  <c r="L76" i="32"/>
  <c r="L37" i="32"/>
  <c r="L50" i="32"/>
  <c r="M34" i="32"/>
  <c r="N34" i="32" s="1"/>
  <c r="N36" i="32" s="1"/>
  <c r="L103" i="31"/>
  <c r="L101" i="31" s="1"/>
  <c r="N109" i="31"/>
  <c r="N111" i="31" s="1"/>
  <c r="L74" i="31"/>
  <c r="M78" i="31"/>
  <c r="M76" i="31" s="1"/>
  <c r="N114" i="31"/>
  <c r="N116" i="31" s="1"/>
  <c r="L83" i="31"/>
  <c r="L81" i="31" s="1"/>
  <c r="L78" i="31"/>
  <c r="L76" i="31" s="1"/>
  <c r="M93" i="31"/>
  <c r="M91" i="31" s="1"/>
  <c r="N91" i="31" s="1"/>
  <c r="N93" i="31" s="1"/>
  <c r="N96" i="31"/>
  <c r="N98" i="31" s="1"/>
  <c r="N45" i="31"/>
  <c r="K108" i="31" l="1"/>
  <c r="L211" i="37"/>
  <c r="L217" i="37" s="1"/>
  <c r="M209" i="37"/>
  <c r="N209" i="37" s="1"/>
  <c r="N208" i="37" s="1"/>
  <c r="M207" i="37"/>
  <c r="K210" i="37"/>
  <c r="L203" i="41"/>
  <c r="N203" i="41" s="1"/>
  <c r="N210" i="41" s="1"/>
  <c r="N209" i="41"/>
  <c r="M185" i="37"/>
  <c r="N185" i="37" s="1"/>
  <c r="M183" i="37"/>
  <c r="N90" i="33"/>
  <c r="L85" i="32"/>
  <c r="L131" i="31"/>
  <c r="L129" i="31" s="1"/>
  <c r="L106" i="31" s="1"/>
  <c r="L107" i="31"/>
  <c r="M71" i="71"/>
  <c r="N71" i="71" s="1"/>
  <c r="L85" i="71"/>
  <c r="L82" i="32"/>
  <c r="L185" i="41"/>
  <c r="N181" i="41"/>
  <c r="K160" i="41"/>
  <c r="K162" i="41" s="1"/>
  <c r="L159" i="37"/>
  <c r="M162" i="37"/>
  <c r="M164" i="37"/>
  <c r="N164" i="37" s="1"/>
  <c r="L70" i="33"/>
  <c r="L72" i="33" s="1"/>
  <c r="L79" i="32"/>
  <c r="N78" i="71"/>
  <c r="L145" i="37"/>
  <c r="L151" i="37" s="1"/>
  <c r="L109" i="38"/>
  <c r="L73" i="31"/>
  <c r="L75" i="31" s="1"/>
  <c r="L67" i="32"/>
  <c r="L67" i="71"/>
  <c r="L144" i="41"/>
  <c r="N144" i="41" s="1"/>
  <c r="N151" i="41" s="1"/>
  <c r="N150" i="41"/>
  <c r="L64" i="33"/>
  <c r="L49" i="33" s="1"/>
  <c r="L51" i="33" s="1"/>
  <c r="N66" i="71"/>
  <c r="L121" i="37"/>
  <c r="M126" i="37"/>
  <c r="N126" i="37" s="1"/>
  <c r="N125" i="37" s="1"/>
  <c r="M124" i="37"/>
  <c r="L61" i="33"/>
  <c r="L119" i="37"/>
  <c r="L117" i="37"/>
  <c r="I126" i="41"/>
  <c r="J122" i="41"/>
  <c r="L58" i="71"/>
  <c r="M88" i="31"/>
  <c r="M86" i="31" s="1"/>
  <c r="N86" i="31" s="1"/>
  <c r="N88" i="31" s="1"/>
  <c r="L58" i="32"/>
  <c r="K49" i="32"/>
  <c r="K51" i="32" s="1"/>
  <c r="L55" i="32"/>
  <c r="L119" i="38"/>
  <c r="M112" i="38"/>
  <c r="M119" i="38" s="1"/>
  <c r="M110" i="38"/>
  <c r="N110" i="38" s="1"/>
  <c r="L52" i="32"/>
  <c r="L46" i="71"/>
  <c r="L70" i="31"/>
  <c r="L68" i="31" s="1"/>
  <c r="L94" i="36"/>
  <c r="L43" i="33"/>
  <c r="K79" i="36"/>
  <c r="K70" i="36" s="1"/>
  <c r="K71" i="36"/>
  <c r="J72" i="36"/>
  <c r="M40" i="71"/>
  <c r="N40" i="71" s="1"/>
  <c r="L60" i="31"/>
  <c r="L58" i="31" s="1"/>
  <c r="L40" i="33"/>
  <c r="L28" i="33" s="1"/>
  <c r="L30" i="33" s="1"/>
  <c r="M74" i="37"/>
  <c r="N71" i="37"/>
  <c r="K28" i="71"/>
  <c r="L37" i="71"/>
  <c r="L55" i="31"/>
  <c r="L53" i="31" s="1"/>
  <c r="N64" i="37"/>
  <c r="M67" i="37"/>
  <c r="L41" i="31"/>
  <c r="L50" i="31"/>
  <c r="L48" i="31" s="1"/>
  <c r="L61" i="36"/>
  <c r="J51" i="36"/>
  <c r="K55" i="36"/>
  <c r="K49" i="36" s="1"/>
  <c r="K50" i="36"/>
  <c r="L52" i="37"/>
  <c r="L54" i="37" s="1"/>
  <c r="L61" i="37"/>
  <c r="M53" i="37"/>
  <c r="N53" i="37" s="1"/>
  <c r="M60" i="37"/>
  <c r="N60" i="37" s="1"/>
  <c r="N59" i="37" s="1"/>
  <c r="M58" i="37"/>
  <c r="K30" i="71"/>
  <c r="L31" i="71"/>
  <c r="L28" i="71" s="1"/>
  <c r="L30" i="71" s="1"/>
  <c r="M50" i="37"/>
  <c r="N50" i="37" s="1"/>
  <c r="H50" i="38"/>
  <c r="M48" i="37"/>
  <c r="L31" i="37"/>
  <c r="M36" i="37"/>
  <c r="N36" i="37" s="1"/>
  <c r="N35" i="37" s="1"/>
  <c r="M34" i="37"/>
  <c r="M31" i="37" s="1"/>
  <c r="M37" i="37" s="1"/>
  <c r="N34" i="37"/>
  <c r="N33" i="37" s="1"/>
  <c r="J28" i="36"/>
  <c r="J30" i="36" s="1"/>
  <c r="F34" i="38"/>
  <c r="K31" i="36"/>
  <c r="K28" i="36" s="1"/>
  <c r="K29" i="36"/>
  <c r="L111" i="38"/>
  <c r="M236" i="38"/>
  <c r="N232" i="38"/>
  <c r="M56" i="38"/>
  <c r="N52" i="38"/>
  <c r="M24" i="38"/>
  <c r="N20" i="38"/>
  <c r="L203" i="38"/>
  <c r="L160" i="38" s="1"/>
  <c r="L162" i="38" s="1"/>
  <c r="M75" i="38"/>
  <c r="N71" i="38"/>
  <c r="M252" i="38"/>
  <c r="N248" i="38"/>
  <c r="M171" i="38"/>
  <c r="N177" i="38"/>
  <c r="J162" i="38"/>
  <c r="N128" i="38"/>
  <c r="N135" i="38" s="1"/>
  <c r="M48" i="38"/>
  <c r="N44" i="38"/>
  <c r="K213" i="38"/>
  <c r="M209" i="38"/>
  <c r="M203" i="38" s="1"/>
  <c r="N205" i="38"/>
  <c r="M195" i="38"/>
  <c r="N195" i="38" s="1"/>
  <c r="N202" i="38" s="1"/>
  <c r="N201" i="38"/>
  <c r="M158" i="38"/>
  <c r="N154" i="38"/>
  <c r="N107" i="38"/>
  <c r="M99" i="38"/>
  <c r="N95" i="38"/>
  <c r="M142" i="38"/>
  <c r="N138" i="38"/>
  <c r="M32" i="38"/>
  <c r="N28" i="38"/>
  <c r="M193" i="38"/>
  <c r="N189" i="38"/>
  <c r="M40" i="38"/>
  <c r="N36" i="38"/>
  <c r="M260" i="38"/>
  <c r="N256" i="38"/>
  <c r="L211" i="38"/>
  <c r="L213" i="38" s="1"/>
  <c r="M228" i="38"/>
  <c r="N224" i="38"/>
  <c r="M185" i="38"/>
  <c r="N181" i="38"/>
  <c r="M73" i="36"/>
  <c r="N52" i="36"/>
  <c r="M161" i="41"/>
  <c r="N212" i="41"/>
  <c r="M213" i="41"/>
  <c r="L252" i="41"/>
  <c r="N248" i="41"/>
  <c r="L142" i="41"/>
  <c r="N138" i="41"/>
  <c r="L230" i="41"/>
  <c r="N230" i="41" s="1"/>
  <c r="N237" i="41" s="1"/>
  <c r="N236" i="41"/>
  <c r="L85" i="41"/>
  <c r="N85" i="41" s="1"/>
  <c r="N92" i="41" s="1"/>
  <c r="N91" i="41"/>
  <c r="L42" i="41"/>
  <c r="N42" i="41" s="1"/>
  <c r="N49" i="41" s="1"/>
  <c r="N48" i="41"/>
  <c r="L75" i="41"/>
  <c r="N71" i="41"/>
  <c r="L158" i="41"/>
  <c r="N154" i="41"/>
  <c r="L222" i="41"/>
  <c r="N228" i="41"/>
  <c r="L32" i="41"/>
  <c r="N28" i="41"/>
  <c r="L128" i="41"/>
  <c r="N134" i="41"/>
  <c r="L244" i="41"/>
  <c r="N240" i="41"/>
  <c r="L177" i="41"/>
  <c r="N173" i="41"/>
  <c r="L50" i="41"/>
  <c r="N50" i="41" s="1"/>
  <c r="N57" i="41" s="1"/>
  <c r="N56" i="41"/>
  <c r="M59" i="41"/>
  <c r="L254" i="41"/>
  <c r="N254" i="41" s="1"/>
  <c r="N261" i="41" s="1"/>
  <c r="N260" i="41"/>
  <c r="N131" i="37"/>
  <c r="N229" i="37"/>
  <c r="L218" i="37"/>
  <c r="L224" i="37" s="1"/>
  <c r="M223" i="37"/>
  <c r="N223" i="37" s="1"/>
  <c r="N222" i="37" s="1"/>
  <c r="M221" i="37"/>
  <c r="N177" i="37"/>
  <c r="N201" i="37"/>
  <c r="M171" i="37"/>
  <c r="N171" i="37" s="1"/>
  <c r="N170" i="37" s="1"/>
  <c r="M169" i="37"/>
  <c r="M140" i="37"/>
  <c r="N140" i="37" s="1"/>
  <c r="M138" i="37"/>
  <c r="M216" i="37"/>
  <c r="N216" i="37" s="1"/>
  <c r="N215" i="37" s="1"/>
  <c r="M214" i="37"/>
  <c r="M95" i="37"/>
  <c r="N95" i="37" s="1"/>
  <c r="M93" i="37"/>
  <c r="M150" i="37"/>
  <c r="N150" i="37" s="1"/>
  <c r="M143" i="37"/>
  <c r="N143" i="37" s="1"/>
  <c r="M148" i="37"/>
  <c r="M190" i="37"/>
  <c r="N193" i="37"/>
  <c r="N192" i="37" s="1"/>
  <c r="N86" i="37"/>
  <c r="N154" i="37"/>
  <c r="M88" i="37"/>
  <c r="N88" i="37" s="1"/>
  <c r="N87" i="37" s="1"/>
  <c r="M133" i="37"/>
  <c r="N133" i="37" s="1"/>
  <c r="M43" i="37"/>
  <c r="N43" i="37" s="1"/>
  <c r="M41" i="37"/>
  <c r="M173" i="37"/>
  <c r="N176" i="37"/>
  <c r="N175" i="37" s="1"/>
  <c r="L187" i="37"/>
  <c r="L189" i="37" s="1"/>
  <c r="L196" i="37"/>
  <c r="M197" i="37"/>
  <c r="N200" i="37"/>
  <c r="N199" i="37" s="1"/>
  <c r="N227" i="37"/>
  <c r="M225" i="37"/>
  <c r="M152" i="37"/>
  <c r="M29" i="37"/>
  <c r="N29" i="37" s="1"/>
  <c r="N28" i="37" s="1"/>
  <c r="M27" i="37"/>
  <c r="K144" i="42"/>
  <c r="M204" i="42"/>
  <c r="N204" i="42" s="1"/>
  <c r="N210" i="42" s="1"/>
  <c r="N209" i="42"/>
  <c r="L196" i="42"/>
  <c r="M125" i="42"/>
  <c r="L126" i="42"/>
  <c r="L121" i="42" s="1"/>
  <c r="I54" i="42"/>
  <c r="M28" i="42"/>
  <c r="L29" i="42"/>
  <c r="L24" i="42" s="1"/>
  <c r="L202" i="42"/>
  <c r="L197" i="42" s="1"/>
  <c r="L187" i="42" s="1"/>
  <c r="L189" i="42" s="1"/>
  <c r="M201" i="42"/>
  <c r="M150" i="42"/>
  <c r="N149" i="42"/>
  <c r="L50" i="42"/>
  <c r="L45" i="42" s="1"/>
  <c r="M49" i="42"/>
  <c r="M42" i="42"/>
  <c r="L43" i="42"/>
  <c r="L38" i="42" s="1"/>
  <c r="M195" i="42"/>
  <c r="N194" i="42"/>
  <c r="L74" i="42"/>
  <c r="L69" i="42" s="1"/>
  <c r="M73" i="42"/>
  <c r="M128" i="42"/>
  <c r="N128" i="42" s="1"/>
  <c r="N134" i="42" s="1"/>
  <c r="N133" i="42"/>
  <c r="L151" i="42"/>
  <c r="M156" i="42"/>
  <c r="L157" i="42"/>
  <c r="L152" i="42" s="1"/>
  <c r="L142" i="42" s="1"/>
  <c r="L144" i="42" s="1"/>
  <c r="M90" i="42"/>
  <c r="N90" i="42" s="1"/>
  <c r="N96" i="42" s="1"/>
  <c r="N95" i="42"/>
  <c r="M87" i="42"/>
  <c r="L88" i="42"/>
  <c r="L83" i="42" s="1"/>
  <c r="M171" i="42"/>
  <c r="N170" i="42"/>
  <c r="M180" i="42"/>
  <c r="N180" i="42" s="1"/>
  <c r="N186" i="42" s="1"/>
  <c r="N185" i="42"/>
  <c r="M163" i="42"/>
  <c r="L164" i="42"/>
  <c r="L159" i="42" s="1"/>
  <c r="L140" i="42"/>
  <c r="L135" i="42" s="1"/>
  <c r="M139" i="42"/>
  <c r="M222" i="42"/>
  <c r="L223" i="42"/>
  <c r="L218" i="42" s="1"/>
  <c r="M66" i="42"/>
  <c r="L67" i="42"/>
  <c r="L62" i="42" s="1"/>
  <c r="L52" i="42" s="1"/>
  <c r="L54" i="42" s="1"/>
  <c r="M119" i="42"/>
  <c r="N118" i="42"/>
  <c r="L61" i="42"/>
  <c r="M211" i="42"/>
  <c r="N211" i="42" s="1"/>
  <c r="N217" i="42" s="1"/>
  <c r="N216" i="42"/>
  <c r="M188" i="42"/>
  <c r="N188" i="42" s="1"/>
  <c r="L36" i="42"/>
  <c r="L31" i="42" s="1"/>
  <c r="M35" i="42"/>
  <c r="M225" i="42"/>
  <c r="N225" i="42" s="1"/>
  <c r="N231" i="42" s="1"/>
  <c r="N230" i="42"/>
  <c r="M60" i="42"/>
  <c r="N59" i="42"/>
  <c r="L178" i="42"/>
  <c r="L173" i="42" s="1"/>
  <c r="M177" i="42"/>
  <c r="M169" i="35"/>
  <c r="M167" i="35" s="1"/>
  <c r="N167" i="35" s="1"/>
  <c r="N169" i="35" s="1"/>
  <c r="M93" i="35"/>
  <c r="M91" i="35" s="1"/>
  <c r="N91" i="35" s="1"/>
  <c r="M136" i="35"/>
  <c r="M134" i="35" s="1"/>
  <c r="N134" i="35" s="1"/>
  <c r="M121" i="35"/>
  <c r="M119" i="35" s="1"/>
  <c r="N119" i="35" s="1"/>
  <c r="M60" i="35"/>
  <c r="M58" i="35" s="1"/>
  <c r="N58" i="35" s="1"/>
  <c r="N60" i="35" s="1"/>
  <c r="M41" i="35"/>
  <c r="N41" i="35" s="1"/>
  <c r="M45" i="35"/>
  <c r="M43" i="35" s="1"/>
  <c r="M126" i="35"/>
  <c r="M124" i="35" s="1"/>
  <c r="N124" i="35" s="1"/>
  <c r="N154" i="35"/>
  <c r="M65" i="35"/>
  <c r="M63" i="35" s="1"/>
  <c r="N63" i="35" s="1"/>
  <c r="L40" i="35"/>
  <c r="L42" i="35" s="1"/>
  <c r="M78" i="35"/>
  <c r="M76" i="35" s="1"/>
  <c r="M70" i="35"/>
  <c r="M68" i="35" s="1"/>
  <c r="N68" i="35" s="1"/>
  <c r="N70" i="35" s="1"/>
  <c r="M149" i="35"/>
  <c r="M147" i="35" s="1"/>
  <c r="N147" i="35" s="1"/>
  <c r="M27" i="35"/>
  <c r="M25" i="35" s="1"/>
  <c r="N25" i="35" s="1"/>
  <c r="N27" i="35" s="1"/>
  <c r="L139" i="35"/>
  <c r="L141" i="35" s="1"/>
  <c r="M144" i="35"/>
  <c r="M142" i="35" s="1"/>
  <c r="M140" i="35"/>
  <c r="N140" i="35" s="1"/>
  <c r="N36" i="71"/>
  <c r="M73" i="71"/>
  <c r="M79" i="71"/>
  <c r="N79" i="71" s="1"/>
  <c r="N52" i="71"/>
  <c r="N54" i="71" s="1"/>
  <c r="L70" i="71"/>
  <c r="L72" i="71" s="1"/>
  <c r="M82" i="71"/>
  <c r="N82" i="71" s="1"/>
  <c r="N84" i="71" s="1"/>
  <c r="M55" i="71"/>
  <c r="N55" i="71" s="1"/>
  <c r="N57" i="71" s="1"/>
  <c r="M43" i="71"/>
  <c r="N43" i="71" s="1"/>
  <c r="N45" i="71" s="1"/>
  <c r="M61" i="71"/>
  <c r="N61" i="71" s="1"/>
  <c r="N63" i="71" s="1"/>
  <c r="N57" i="33"/>
  <c r="M34" i="33"/>
  <c r="N34" i="33" s="1"/>
  <c r="N36" i="33" s="1"/>
  <c r="M67" i="33"/>
  <c r="N67" i="33" s="1"/>
  <c r="M52" i="33"/>
  <c r="M50" i="33"/>
  <c r="N50" i="33" s="1"/>
  <c r="M46" i="33"/>
  <c r="N46" i="33" s="1"/>
  <c r="M73" i="33"/>
  <c r="M71" i="33"/>
  <c r="N71" i="33" s="1"/>
  <c r="M79" i="33"/>
  <c r="N79" i="33" s="1"/>
  <c r="M58" i="33"/>
  <c r="N58" i="33" s="1"/>
  <c r="N60" i="33" s="1"/>
  <c r="N87" i="33"/>
  <c r="N39" i="33"/>
  <c r="M31" i="33"/>
  <c r="M37" i="32"/>
  <c r="N37" i="32" s="1"/>
  <c r="N39" i="32" s="1"/>
  <c r="M71" i="32"/>
  <c r="N71" i="32" s="1"/>
  <c r="M73" i="32"/>
  <c r="M76" i="32"/>
  <c r="N76" i="32" s="1"/>
  <c r="N78" i="32" s="1"/>
  <c r="L28" i="32"/>
  <c r="L30" i="32" s="1"/>
  <c r="M31" i="32"/>
  <c r="M29" i="32"/>
  <c r="N29" i="32" s="1"/>
  <c r="M61" i="32"/>
  <c r="N61" i="32" s="1"/>
  <c r="N63" i="32" s="1"/>
  <c r="M43" i="32"/>
  <c r="N43" i="32" s="1"/>
  <c r="M46" i="32"/>
  <c r="N46" i="32" s="1"/>
  <c r="M88" i="32"/>
  <c r="N88" i="32" s="1"/>
  <c r="N90" i="32" s="1"/>
  <c r="N76" i="31"/>
  <c r="M74" i="31"/>
  <c r="N74" i="31" s="1"/>
  <c r="M83" i="31"/>
  <c r="M81" i="31" s="1"/>
  <c r="N81" i="31" s="1"/>
  <c r="N83" i="31" s="1"/>
  <c r="M103" i="31"/>
  <c r="M101" i="31" s="1"/>
  <c r="N101" i="31" s="1"/>
  <c r="N103" i="31" s="1"/>
  <c r="L142" i="37" l="1"/>
  <c r="L144" i="37" s="1"/>
  <c r="L70" i="32"/>
  <c r="L72" i="32" s="1"/>
  <c r="L49" i="32"/>
  <c r="L51" i="32" s="1"/>
  <c r="M204" i="37"/>
  <c r="N207" i="37"/>
  <c r="N206" i="37" s="1"/>
  <c r="N203" i="38"/>
  <c r="N210" i="38" s="1"/>
  <c r="M180" i="37"/>
  <c r="N183" i="37"/>
  <c r="N182" i="37" s="1"/>
  <c r="N184" i="37"/>
  <c r="L108" i="31"/>
  <c r="M85" i="71"/>
  <c r="N85" i="71" s="1"/>
  <c r="M107" i="31"/>
  <c r="N107" i="31" s="1"/>
  <c r="M131" i="31"/>
  <c r="M129" i="31" s="1"/>
  <c r="M85" i="32"/>
  <c r="N85" i="32" s="1"/>
  <c r="N87" i="32" s="1"/>
  <c r="M82" i="32"/>
  <c r="N82" i="32" s="1"/>
  <c r="N84" i="32" s="1"/>
  <c r="L179" i="41"/>
  <c r="N179" i="41" s="1"/>
  <c r="N186" i="41" s="1"/>
  <c r="N185" i="41"/>
  <c r="N163" i="37"/>
  <c r="M159" i="37"/>
  <c r="M165" i="37" s="1"/>
  <c r="N162" i="37"/>
  <c r="N161" i="37" s="1"/>
  <c r="L165" i="37"/>
  <c r="N159" i="37"/>
  <c r="N165" i="37" s="1"/>
  <c r="M79" i="32"/>
  <c r="N79" i="32" s="1"/>
  <c r="N81" i="33"/>
  <c r="N139" i="37"/>
  <c r="M67" i="71"/>
  <c r="N67" i="71" s="1"/>
  <c r="M67" i="32"/>
  <c r="N67" i="32" s="1"/>
  <c r="L49" i="71"/>
  <c r="L51" i="71" s="1"/>
  <c r="N130" i="37"/>
  <c r="N132" i="37"/>
  <c r="M64" i="33"/>
  <c r="N64" i="33" s="1"/>
  <c r="M121" i="37"/>
  <c r="M127" i="37" s="1"/>
  <c r="N124" i="37"/>
  <c r="N123" i="37" s="1"/>
  <c r="L127" i="37"/>
  <c r="N121" i="37"/>
  <c r="N127" i="37" s="1"/>
  <c r="M61" i="33"/>
  <c r="N61" i="33" s="1"/>
  <c r="N63" i="33" s="1"/>
  <c r="M117" i="37"/>
  <c r="M119" i="37"/>
  <c r="N119" i="37" s="1"/>
  <c r="N118" i="37" s="1"/>
  <c r="K122" i="41"/>
  <c r="J126" i="41"/>
  <c r="J120" i="41" s="1"/>
  <c r="I120" i="41"/>
  <c r="L114" i="37"/>
  <c r="L120" i="37" s="1"/>
  <c r="M58" i="32"/>
  <c r="N58" i="32" s="1"/>
  <c r="N60" i="32" s="1"/>
  <c r="M50" i="32"/>
  <c r="N50" i="32" s="1"/>
  <c r="M58" i="71"/>
  <c r="N58" i="71" s="1"/>
  <c r="M50" i="71"/>
  <c r="N50" i="71" s="1"/>
  <c r="M55" i="32"/>
  <c r="N55" i="32" s="1"/>
  <c r="N112" i="38"/>
  <c r="N119" i="38" s="1"/>
  <c r="M52" i="32"/>
  <c r="N94" i="37"/>
  <c r="M70" i="31"/>
  <c r="M68" i="31" s="1"/>
  <c r="N68" i="31" s="1"/>
  <c r="N70" i="31" s="1"/>
  <c r="M46" i="71"/>
  <c r="N46" i="71" s="1"/>
  <c r="N48" i="71" s="1"/>
  <c r="M94" i="36"/>
  <c r="M43" i="33"/>
  <c r="N43" i="33" s="1"/>
  <c r="N45" i="33" s="1"/>
  <c r="K72" i="36"/>
  <c r="L79" i="36"/>
  <c r="L70" i="36" s="1"/>
  <c r="L71" i="36"/>
  <c r="M40" i="33"/>
  <c r="N40" i="33" s="1"/>
  <c r="M60" i="31"/>
  <c r="M58" i="31" s="1"/>
  <c r="N58" i="31" s="1"/>
  <c r="N60" i="31" s="1"/>
  <c r="M29" i="33"/>
  <c r="N29" i="33" s="1"/>
  <c r="N42" i="71"/>
  <c r="N74" i="37"/>
  <c r="N73" i="37" s="1"/>
  <c r="M69" i="37"/>
  <c r="M55" i="31"/>
  <c r="M53" i="31" s="1"/>
  <c r="N53" i="31" s="1"/>
  <c r="M37" i="71"/>
  <c r="N37" i="71" s="1"/>
  <c r="N67" i="37"/>
  <c r="N66" i="37" s="1"/>
  <c r="M62" i="37"/>
  <c r="L40" i="31"/>
  <c r="M41" i="31"/>
  <c r="N41" i="31" s="1"/>
  <c r="M50" i="31"/>
  <c r="M48" i="31" s="1"/>
  <c r="M40" i="31" s="1"/>
  <c r="M42" i="31" s="1"/>
  <c r="K51" i="36"/>
  <c r="L55" i="36"/>
  <c r="L49" i="36" s="1"/>
  <c r="L50" i="36"/>
  <c r="M61" i="36"/>
  <c r="N61" i="36" s="1"/>
  <c r="N63" i="36" s="1"/>
  <c r="N58" i="37"/>
  <c r="N57" i="37" s="1"/>
  <c r="M55" i="37"/>
  <c r="M31" i="71"/>
  <c r="M29" i="71"/>
  <c r="N29" i="71" s="1"/>
  <c r="I50" i="38"/>
  <c r="M45" i="37"/>
  <c r="N48" i="37"/>
  <c r="N47" i="37" s="1"/>
  <c r="N49" i="37"/>
  <c r="L37" i="37"/>
  <c r="N31" i="37"/>
  <c r="N37" i="37" s="1"/>
  <c r="L31" i="36"/>
  <c r="L28" i="36" s="1"/>
  <c r="L29" i="36"/>
  <c r="K30" i="36"/>
  <c r="G34" i="38"/>
  <c r="N171" i="38"/>
  <c r="N178" i="38" s="1"/>
  <c r="M254" i="38"/>
  <c r="N254" i="38" s="1"/>
  <c r="N261" i="38" s="1"/>
  <c r="N260" i="38"/>
  <c r="M152" i="38"/>
  <c r="N152" i="38" s="1"/>
  <c r="N159" i="38" s="1"/>
  <c r="N158" i="38"/>
  <c r="M246" i="38"/>
  <c r="N246" i="38" s="1"/>
  <c r="N253" i="38" s="1"/>
  <c r="N252" i="38"/>
  <c r="N40" i="38"/>
  <c r="M69" i="38"/>
  <c r="N75" i="38"/>
  <c r="M187" i="38"/>
  <c r="N187" i="38" s="1"/>
  <c r="N194" i="38" s="1"/>
  <c r="N193" i="38"/>
  <c r="N209" i="38"/>
  <c r="M26" i="38"/>
  <c r="N26" i="38" s="1"/>
  <c r="N33" i="38" s="1"/>
  <c r="N32" i="38"/>
  <c r="N24" i="38"/>
  <c r="M136" i="38"/>
  <c r="N142" i="38"/>
  <c r="M179" i="38"/>
  <c r="N179" i="38" s="1"/>
  <c r="N186" i="38" s="1"/>
  <c r="N185" i="38"/>
  <c r="M42" i="38"/>
  <c r="N42" i="38" s="1"/>
  <c r="N49" i="38" s="1"/>
  <c r="N48" i="38"/>
  <c r="M93" i="38"/>
  <c r="N93" i="38" s="1"/>
  <c r="N100" i="38" s="1"/>
  <c r="N99" i="38"/>
  <c r="N56" i="38"/>
  <c r="M222" i="38"/>
  <c r="N228" i="38"/>
  <c r="M230" i="38"/>
  <c r="N230" i="38" s="1"/>
  <c r="N237" i="38" s="1"/>
  <c r="N236" i="38"/>
  <c r="N54" i="36"/>
  <c r="N73" i="36"/>
  <c r="L69" i="41"/>
  <c r="N75" i="41"/>
  <c r="L238" i="41"/>
  <c r="N238" i="41" s="1"/>
  <c r="N245" i="41" s="1"/>
  <c r="N244" i="41"/>
  <c r="N59" i="41"/>
  <c r="M60" i="41"/>
  <c r="N128" i="41"/>
  <c r="N135" i="41" s="1"/>
  <c r="L26" i="41"/>
  <c r="N26" i="41" s="1"/>
  <c r="N33" i="41" s="1"/>
  <c r="N32" i="41"/>
  <c r="N161" i="41"/>
  <c r="M162" i="41"/>
  <c r="L171" i="41"/>
  <c r="N177" i="41"/>
  <c r="N222" i="41"/>
  <c r="N229" i="41" s="1"/>
  <c r="L136" i="41"/>
  <c r="N136" i="41" s="1"/>
  <c r="N143" i="41" s="1"/>
  <c r="N142" i="41"/>
  <c r="L152" i="41"/>
  <c r="N152" i="41" s="1"/>
  <c r="N159" i="41" s="1"/>
  <c r="N158" i="41"/>
  <c r="L246" i="41"/>
  <c r="N246" i="41" s="1"/>
  <c r="N253" i="41" s="1"/>
  <c r="N252" i="41"/>
  <c r="M38" i="37"/>
  <c r="N41" i="37"/>
  <c r="N40" i="37" s="1"/>
  <c r="N42" i="37"/>
  <c r="M83" i="37"/>
  <c r="M211" i="37"/>
  <c r="N214" i="37"/>
  <c r="N213" i="37" s="1"/>
  <c r="M231" i="37"/>
  <c r="N225" i="37"/>
  <c r="N231" i="37" s="1"/>
  <c r="M196" i="37"/>
  <c r="M187" i="37"/>
  <c r="N190" i="37"/>
  <c r="N196" i="37" s="1"/>
  <c r="M145" i="37"/>
  <c r="N148" i="37"/>
  <c r="N147" i="37" s="1"/>
  <c r="M203" i="37"/>
  <c r="N197" i="37"/>
  <c r="N203" i="37" s="1"/>
  <c r="N149" i="37"/>
  <c r="M128" i="37"/>
  <c r="M158" i="37"/>
  <c r="N152" i="37"/>
  <c r="N158" i="37" s="1"/>
  <c r="M90" i="37"/>
  <c r="N93" i="37"/>
  <c r="N92" i="37" s="1"/>
  <c r="M218" i="37"/>
  <c r="N221" i="37"/>
  <c r="N220" i="37" s="1"/>
  <c r="M179" i="37"/>
  <c r="N173" i="37"/>
  <c r="N179" i="37" s="1"/>
  <c r="N85" i="37"/>
  <c r="M135" i="37"/>
  <c r="N138" i="37"/>
  <c r="N137" i="37" s="1"/>
  <c r="M166" i="37"/>
  <c r="N169" i="37"/>
  <c r="N168" i="37" s="1"/>
  <c r="M24" i="37"/>
  <c r="N27" i="37"/>
  <c r="N26" i="37" s="1"/>
  <c r="M164" i="42"/>
  <c r="N163" i="42"/>
  <c r="M29" i="42"/>
  <c r="N28" i="42"/>
  <c r="M88" i="42"/>
  <c r="N87" i="42"/>
  <c r="M74" i="42"/>
  <c r="N73" i="42"/>
  <c r="M55" i="42"/>
  <c r="N60" i="42"/>
  <c r="M43" i="42"/>
  <c r="N42" i="42"/>
  <c r="M178" i="42"/>
  <c r="N177" i="42"/>
  <c r="M114" i="42"/>
  <c r="N114" i="42" s="1"/>
  <c r="N120" i="42" s="1"/>
  <c r="N119" i="42"/>
  <c r="M166" i="42"/>
  <c r="N166" i="42" s="1"/>
  <c r="N172" i="42" s="1"/>
  <c r="N171" i="42"/>
  <c r="M223" i="42"/>
  <c r="N222" i="42"/>
  <c r="M36" i="42"/>
  <c r="N35" i="42"/>
  <c r="M190" i="42"/>
  <c r="N195" i="42"/>
  <c r="M126" i="42"/>
  <c r="N125" i="42"/>
  <c r="M67" i="42"/>
  <c r="N66" i="42"/>
  <c r="M50" i="42"/>
  <c r="N49" i="42"/>
  <c r="M157" i="42"/>
  <c r="N156" i="42"/>
  <c r="M145" i="42"/>
  <c r="N150" i="42"/>
  <c r="M140" i="42"/>
  <c r="N139" i="42"/>
  <c r="M202" i="42"/>
  <c r="N201" i="42"/>
  <c r="M139" i="35"/>
  <c r="N142" i="35"/>
  <c r="N144" i="35" s="1"/>
  <c r="N76" i="35"/>
  <c r="N78" i="35" s="1"/>
  <c r="N149" i="35"/>
  <c r="N93" i="35"/>
  <c r="N126" i="35"/>
  <c r="M40" i="35"/>
  <c r="N43" i="35"/>
  <c r="N45" i="35" s="1"/>
  <c r="N121" i="35"/>
  <c r="N65" i="35"/>
  <c r="N136" i="35"/>
  <c r="M70" i="71"/>
  <c r="N73" i="71"/>
  <c r="N75" i="71" s="1"/>
  <c r="N81" i="71"/>
  <c r="M70" i="33"/>
  <c r="N73" i="33"/>
  <c r="N75" i="33" s="1"/>
  <c r="M49" i="33"/>
  <c r="N52" i="33"/>
  <c r="N54" i="33" s="1"/>
  <c r="N48" i="33"/>
  <c r="N69" i="33"/>
  <c r="M28" i="33"/>
  <c r="N31" i="33"/>
  <c r="N33" i="33" s="1"/>
  <c r="N45" i="32"/>
  <c r="N73" i="32"/>
  <c r="N75" i="32" s="1"/>
  <c r="N48" i="32"/>
  <c r="M28" i="32"/>
  <c r="N31" i="32"/>
  <c r="N33" i="32" s="1"/>
  <c r="N78" i="31"/>
  <c r="M73" i="31"/>
  <c r="M210" i="37" l="1"/>
  <c r="N204" i="37"/>
  <c r="N210" i="37" s="1"/>
  <c r="M186" i="37"/>
  <c r="N180" i="37"/>
  <c r="N186" i="37" s="1"/>
  <c r="N129" i="31"/>
  <c r="N131" i="31" s="1"/>
  <c r="M106" i="31"/>
  <c r="M70" i="32"/>
  <c r="N87" i="71"/>
  <c r="N81" i="32"/>
  <c r="M49" i="71"/>
  <c r="M51" i="71" s="1"/>
  <c r="M49" i="32"/>
  <c r="N49" i="32" s="1"/>
  <c r="N51" i="32" s="1"/>
  <c r="N69" i="32"/>
  <c r="N69" i="71"/>
  <c r="M51" i="32"/>
  <c r="N66" i="33"/>
  <c r="L122" i="41"/>
  <c r="K126" i="41"/>
  <c r="K120" i="41" s="1"/>
  <c r="K109" i="41" s="1"/>
  <c r="M114" i="37"/>
  <c r="N117" i="37"/>
  <c r="N116" i="37" s="1"/>
  <c r="N60" i="71"/>
  <c r="N57" i="32"/>
  <c r="N52" i="32"/>
  <c r="N54" i="32" s="1"/>
  <c r="N94" i="36"/>
  <c r="L72" i="36"/>
  <c r="N71" i="36"/>
  <c r="M79" i="36"/>
  <c r="M71" i="36"/>
  <c r="N42" i="33"/>
  <c r="M75" i="37"/>
  <c r="N69" i="37"/>
  <c r="N75" i="37" s="1"/>
  <c r="N39" i="71"/>
  <c r="N55" i="31"/>
  <c r="M68" i="37"/>
  <c r="N62" i="37"/>
  <c r="N68" i="37" s="1"/>
  <c r="L42" i="31"/>
  <c r="N40" i="31"/>
  <c r="N42" i="31" s="1"/>
  <c r="N48" i="31"/>
  <c r="N50" i="31" s="1"/>
  <c r="N50" i="36"/>
  <c r="M55" i="36"/>
  <c r="M50" i="36"/>
  <c r="L51" i="36"/>
  <c r="N55" i="37"/>
  <c r="N61" i="37" s="1"/>
  <c r="M61" i="37"/>
  <c r="M52" i="37"/>
  <c r="M28" i="71"/>
  <c r="N31" i="71"/>
  <c r="N33" i="71" s="1"/>
  <c r="M51" i="37"/>
  <c r="N45" i="37"/>
  <c r="N51" i="37" s="1"/>
  <c r="J50" i="38"/>
  <c r="H34" i="38"/>
  <c r="M29" i="36"/>
  <c r="M31" i="36"/>
  <c r="N29" i="36"/>
  <c r="L30" i="36"/>
  <c r="N69" i="38"/>
  <c r="N76" i="38" s="1"/>
  <c r="N136" i="38"/>
  <c r="N143" i="38" s="1"/>
  <c r="M109" i="38"/>
  <c r="M211" i="38"/>
  <c r="N222" i="38"/>
  <c r="N229" i="38" s="1"/>
  <c r="M160" i="38"/>
  <c r="N75" i="36"/>
  <c r="N69" i="41"/>
  <c r="N76" i="41" s="1"/>
  <c r="L160" i="41"/>
  <c r="N171" i="41"/>
  <c r="N178" i="41" s="1"/>
  <c r="L211" i="41"/>
  <c r="M141" i="37"/>
  <c r="N135" i="37"/>
  <c r="N141" i="37" s="1"/>
  <c r="M151" i="37"/>
  <c r="M142" i="37"/>
  <c r="N145" i="37"/>
  <c r="N151" i="37" s="1"/>
  <c r="M172" i="37"/>
  <c r="N166" i="37"/>
  <c r="N172" i="37" s="1"/>
  <c r="M30" i="37"/>
  <c r="N24" i="37"/>
  <c r="N30" i="37" s="1"/>
  <c r="M189" i="37"/>
  <c r="N187" i="37"/>
  <c r="N189" i="37" s="1"/>
  <c r="M134" i="37"/>
  <c r="N128" i="37"/>
  <c r="N134" i="37" s="1"/>
  <c r="M217" i="37"/>
  <c r="N211" i="37"/>
  <c r="N217" i="37" s="1"/>
  <c r="M89" i="37"/>
  <c r="N83" i="37"/>
  <c r="N89" i="37" s="1"/>
  <c r="M224" i="37"/>
  <c r="N218" i="37"/>
  <c r="N224" i="37" s="1"/>
  <c r="M96" i="37"/>
  <c r="N90" i="37"/>
  <c r="N96" i="37" s="1"/>
  <c r="M44" i="37"/>
  <c r="N38" i="37"/>
  <c r="N44" i="37" s="1"/>
  <c r="M173" i="42"/>
  <c r="N173" i="42" s="1"/>
  <c r="N179" i="42" s="1"/>
  <c r="N178" i="42"/>
  <c r="M69" i="42"/>
  <c r="N69" i="42" s="1"/>
  <c r="N75" i="42" s="1"/>
  <c r="N74" i="42"/>
  <c r="M135" i="42"/>
  <c r="N135" i="42" s="1"/>
  <c r="N141" i="42" s="1"/>
  <c r="N140" i="42"/>
  <c r="M31" i="42"/>
  <c r="N31" i="42" s="1"/>
  <c r="N37" i="42" s="1"/>
  <c r="N36" i="42"/>
  <c r="M83" i="42"/>
  <c r="N83" i="42" s="1"/>
  <c r="N89" i="42" s="1"/>
  <c r="N88" i="42"/>
  <c r="M24" i="42"/>
  <c r="N24" i="42" s="1"/>
  <c r="N30" i="42" s="1"/>
  <c r="N29" i="42"/>
  <c r="M159" i="42"/>
  <c r="N159" i="42" s="1"/>
  <c r="N165" i="42" s="1"/>
  <c r="N164" i="42"/>
  <c r="M62" i="42"/>
  <c r="N62" i="42" s="1"/>
  <c r="N68" i="42" s="1"/>
  <c r="N67" i="42"/>
  <c r="M61" i="42"/>
  <c r="M52" i="42"/>
  <c r="N55" i="42"/>
  <c r="N61" i="42" s="1"/>
  <c r="M196" i="42"/>
  <c r="M187" i="42"/>
  <c r="N190" i="42"/>
  <c r="N196" i="42" s="1"/>
  <c r="M151" i="42"/>
  <c r="N145" i="42"/>
  <c r="N151" i="42" s="1"/>
  <c r="M152" i="42"/>
  <c r="N152" i="42" s="1"/>
  <c r="N158" i="42" s="1"/>
  <c r="N157" i="42"/>
  <c r="M45" i="42"/>
  <c r="N45" i="42" s="1"/>
  <c r="N51" i="42" s="1"/>
  <c r="N50" i="42"/>
  <c r="M38" i="42"/>
  <c r="N38" i="42" s="1"/>
  <c r="N44" i="42" s="1"/>
  <c r="N43" i="42"/>
  <c r="M121" i="42"/>
  <c r="N121" i="42" s="1"/>
  <c r="N127" i="42" s="1"/>
  <c r="N126" i="42"/>
  <c r="M197" i="42"/>
  <c r="N197" i="42" s="1"/>
  <c r="N203" i="42" s="1"/>
  <c r="N202" i="42"/>
  <c r="M218" i="42"/>
  <c r="N218" i="42" s="1"/>
  <c r="N224" i="42" s="1"/>
  <c r="N223" i="42"/>
  <c r="M141" i="35"/>
  <c r="N139" i="35"/>
  <c r="N141" i="35" s="1"/>
  <c r="M42" i="35"/>
  <c r="N40" i="35"/>
  <c r="N42" i="35" s="1"/>
  <c r="M72" i="71"/>
  <c r="N70" i="71"/>
  <c r="N72" i="71" s="1"/>
  <c r="M51" i="33"/>
  <c r="N49" i="33"/>
  <c r="N51" i="33" s="1"/>
  <c r="M30" i="33"/>
  <c r="N28" i="33"/>
  <c r="N30" i="33" s="1"/>
  <c r="M72" i="33"/>
  <c r="N70" i="33"/>
  <c r="N72" i="33" s="1"/>
  <c r="M30" i="32"/>
  <c r="N28" i="32"/>
  <c r="N30" i="32" s="1"/>
  <c r="M72" i="32"/>
  <c r="N70" i="32"/>
  <c r="N72" i="32" s="1"/>
  <c r="M75" i="31"/>
  <c r="N73" i="31"/>
  <c r="L162" i="41" l="1"/>
  <c r="N160" i="41"/>
  <c r="N162" i="41" s="1"/>
  <c r="N106" i="31"/>
  <c r="N108" i="31" s="1"/>
  <c r="M108" i="31"/>
  <c r="N49" i="71"/>
  <c r="N51" i="71" s="1"/>
  <c r="N114" i="37"/>
  <c r="N120" i="37" s="1"/>
  <c r="M120" i="37"/>
  <c r="L126" i="41"/>
  <c r="N122" i="41"/>
  <c r="N96" i="36"/>
  <c r="N79" i="36"/>
  <c r="M70" i="36"/>
  <c r="M72" i="36" s="1"/>
  <c r="N55" i="36"/>
  <c r="M49" i="36"/>
  <c r="M51" i="36" s="1"/>
  <c r="M54" i="37"/>
  <c r="N52" i="37"/>
  <c r="N54" i="37" s="1"/>
  <c r="N28" i="71"/>
  <c r="N30" i="71" s="1"/>
  <c r="M30" i="71"/>
  <c r="K50" i="38"/>
  <c r="M28" i="36"/>
  <c r="M30" i="36" s="1"/>
  <c r="N31" i="36"/>
  <c r="I34" i="38"/>
  <c r="M162" i="38"/>
  <c r="N160" i="38"/>
  <c r="N162" i="38" s="1"/>
  <c r="M213" i="38"/>
  <c r="N211" i="38"/>
  <c r="N213" i="38" s="1"/>
  <c r="M111" i="38"/>
  <c r="N109" i="38"/>
  <c r="N111" i="38" s="1"/>
  <c r="L213" i="41"/>
  <c r="N211" i="41"/>
  <c r="N213" i="41" s="1"/>
  <c r="M144" i="37"/>
  <c r="N142" i="37"/>
  <c r="N144" i="37" s="1"/>
  <c r="M189" i="42"/>
  <c r="N187" i="42"/>
  <c r="N189" i="42" s="1"/>
  <c r="M142" i="42"/>
  <c r="M54" i="42"/>
  <c r="N52" i="42"/>
  <c r="N54" i="42" s="1"/>
  <c r="N75" i="31"/>
  <c r="L120" i="41" l="1"/>
  <c r="N126" i="41"/>
  <c r="N81" i="36"/>
  <c r="N70" i="36"/>
  <c r="N72" i="36" s="1"/>
  <c r="N57" i="36"/>
  <c r="N49" i="36"/>
  <c r="N51" i="36" s="1"/>
  <c r="L50" i="38"/>
  <c r="J34" i="38"/>
  <c r="N33" i="36"/>
  <c r="N28" i="36"/>
  <c r="N30" i="36" s="1"/>
  <c r="M144" i="42"/>
  <c r="N142" i="42"/>
  <c r="N144" i="42" s="1"/>
  <c r="C170" i="29"/>
  <c r="D165" i="29"/>
  <c r="C165" i="29"/>
  <c r="C160" i="29"/>
  <c r="D160" i="29" s="1"/>
  <c r="C155" i="29"/>
  <c r="D155" i="29" s="1"/>
  <c r="E155" i="29" s="1"/>
  <c r="F155" i="29" s="1"/>
  <c r="E150" i="29"/>
  <c r="F150" i="29" s="1"/>
  <c r="G150" i="29" s="1"/>
  <c r="H150" i="29" s="1"/>
  <c r="D150" i="29"/>
  <c r="C150" i="29"/>
  <c r="D145" i="29"/>
  <c r="C145" i="29"/>
  <c r="B142" i="29"/>
  <c r="C137" i="29"/>
  <c r="B136" i="29"/>
  <c r="B134" i="29" s="1"/>
  <c r="C132" i="29"/>
  <c r="C131" i="29" s="1"/>
  <c r="C129" i="29" s="1"/>
  <c r="B131" i="29"/>
  <c r="B129" i="29" s="1"/>
  <c r="E127" i="29"/>
  <c r="C127" i="29"/>
  <c r="D127" i="29" s="1"/>
  <c r="B126" i="29"/>
  <c r="B124" i="29" s="1"/>
  <c r="C122" i="29"/>
  <c r="B121" i="29"/>
  <c r="B119" i="29" s="1"/>
  <c r="C117" i="29"/>
  <c r="C112" i="29"/>
  <c r="D112" i="29" s="1"/>
  <c r="C111" i="29"/>
  <c r="C109" i="29" s="1"/>
  <c r="B111" i="29"/>
  <c r="B109" i="29"/>
  <c r="D104" i="29"/>
  <c r="E104" i="29" s="1"/>
  <c r="F104" i="29" s="1"/>
  <c r="G104" i="29" s="1"/>
  <c r="C104" i="29"/>
  <c r="D103" i="29"/>
  <c r="D101" i="29" s="1"/>
  <c r="C103" i="29"/>
  <c r="C101" i="29" s="1"/>
  <c r="B103" i="29"/>
  <c r="B101" i="29" s="1"/>
  <c r="E99" i="29"/>
  <c r="F99" i="29" s="1"/>
  <c r="G99" i="29" s="1"/>
  <c r="H99" i="29" s="1"/>
  <c r="D99" i="29"/>
  <c r="C99" i="29"/>
  <c r="F98" i="29"/>
  <c r="F96" i="29" s="1"/>
  <c r="E98" i="29"/>
  <c r="E96" i="29" s="1"/>
  <c r="D98" i="29"/>
  <c r="D96" i="29" s="1"/>
  <c r="C98" i="29"/>
  <c r="C96" i="29" s="1"/>
  <c r="B98" i="29"/>
  <c r="B96" i="29" s="1"/>
  <c r="C94" i="29"/>
  <c r="D94" i="29" s="1"/>
  <c r="B93" i="29"/>
  <c r="B91" i="29" s="1"/>
  <c r="D89" i="29"/>
  <c r="E89" i="29" s="1"/>
  <c r="F89" i="29" s="1"/>
  <c r="G89" i="29" s="1"/>
  <c r="H89" i="29" s="1"/>
  <c r="C89" i="29"/>
  <c r="G88" i="29"/>
  <c r="G86" i="29" s="1"/>
  <c r="E88" i="29"/>
  <c r="E86" i="29" s="1"/>
  <c r="D88" i="29"/>
  <c r="B88" i="29"/>
  <c r="D86" i="29"/>
  <c r="B86" i="29"/>
  <c r="D84" i="29"/>
  <c r="C84" i="29"/>
  <c r="B83" i="29"/>
  <c r="B81" i="29"/>
  <c r="C79" i="29"/>
  <c r="B76" i="29"/>
  <c r="B74" i="29"/>
  <c r="C71" i="29"/>
  <c r="D71" i="29" s="1"/>
  <c r="E71" i="29" s="1"/>
  <c r="F71" i="29" s="1"/>
  <c r="C70" i="29"/>
  <c r="C68" i="29" s="1"/>
  <c r="B70" i="29"/>
  <c r="B68" i="29" s="1"/>
  <c r="D70" i="29"/>
  <c r="D68" i="29" s="1"/>
  <c r="C66" i="29"/>
  <c r="D66" i="29" s="1"/>
  <c r="B65" i="29"/>
  <c r="B63" i="29" s="1"/>
  <c r="C61" i="29"/>
  <c r="B60" i="29"/>
  <c r="B58" i="29" s="1"/>
  <c r="D56" i="29"/>
  <c r="C56" i="29"/>
  <c r="D51" i="29"/>
  <c r="E51" i="29" s="1"/>
  <c r="C51" i="29"/>
  <c r="B50" i="29"/>
  <c r="B48" i="29" s="1"/>
  <c r="C50" i="29"/>
  <c r="C48" i="29"/>
  <c r="C46" i="29"/>
  <c r="D46" i="29" s="1"/>
  <c r="E46" i="29" s="1"/>
  <c r="F46" i="29" s="1"/>
  <c r="C45" i="29"/>
  <c r="C43" i="29" s="1"/>
  <c r="B45" i="29"/>
  <c r="B43" i="29"/>
  <c r="D38" i="29"/>
  <c r="E38" i="29" s="1"/>
  <c r="F38" i="29" s="1"/>
  <c r="G38" i="29" s="1"/>
  <c r="H38" i="29" s="1"/>
  <c r="C38" i="29"/>
  <c r="C33" i="29"/>
  <c r="C28" i="29"/>
  <c r="D28" i="29" s="1"/>
  <c r="C23" i="29"/>
  <c r="C18" i="29"/>
  <c r="C13" i="29"/>
  <c r="B10" i="29"/>
  <c r="B3" i="29"/>
  <c r="C3" i="29" s="1"/>
  <c r="D3" i="29" s="1"/>
  <c r="E3" i="29" s="1"/>
  <c r="F3" i="29" s="1"/>
  <c r="G3" i="29" s="1"/>
  <c r="H3" i="29" s="1"/>
  <c r="I3" i="29" s="1"/>
  <c r="J3" i="29" s="1"/>
  <c r="K3" i="29" s="1"/>
  <c r="L3" i="29" s="1"/>
  <c r="M3" i="29" s="1"/>
  <c r="N120" i="41" l="1"/>
  <c r="N127" i="41" s="1"/>
  <c r="L109" i="41"/>
  <c r="M50" i="38"/>
  <c r="N50" i="38" s="1"/>
  <c r="N57" i="38" s="1"/>
  <c r="K34" i="38"/>
  <c r="F51" i="29"/>
  <c r="B73" i="29"/>
  <c r="G98" i="29"/>
  <c r="G96" i="29" s="1"/>
  <c r="I38" i="29"/>
  <c r="G103" i="29"/>
  <c r="G101" i="29" s="1"/>
  <c r="H104" i="29"/>
  <c r="D13" i="29"/>
  <c r="E94" i="29"/>
  <c r="E28" i="29"/>
  <c r="D117" i="29"/>
  <c r="C116" i="29"/>
  <c r="C114" i="29" s="1"/>
  <c r="E66" i="29"/>
  <c r="H98" i="29"/>
  <c r="H96" i="29" s="1"/>
  <c r="I99" i="29"/>
  <c r="B55" i="29"/>
  <c r="B53" i="29" s="1"/>
  <c r="B40" i="29" s="1"/>
  <c r="D23" i="29"/>
  <c r="B116" i="29"/>
  <c r="B114" i="29" s="1"/>
  <c r="B107" i="29"/>
  <c r="H88" i="29"/>
  <c r="H86" i="29" s="1"/>
  <c r="I89" i="29"/>
  <c r="E145" i="29"/>
  <c r="E56" i="29"/>
  <c r="F127" i="29"/>
  <c r="E103" i="29"/>
  <c r="E101" i="29" s="1"/>
  <c r="D122" i="29"/>
  <c r="D18" i="29"/>
  <c r="D33" i="29"/>
  <c r="F103" i="29"/>
  <c r="F101" i="29" s="1"/>
  <c r="I150" i="29"/>
  <c r="D45" i="29"/>
  <c r="D43" i="29" s="1"/>
  <c r="D132" i="29"/>
  <c r="G71" i="29"/>
  <c r="G46" i="29"/>
  <c r="F88" i="29"/>
  <c r="F86" i="29" s="1"/>
  <c r="B78" i="29"/>
  <c r="C136" i="29"/>
  <c r="C134" i="29" s="1"/>
  <c r="D137" i="29"/>
  <c r="E160" i="29"/>
  <c r="E112" i="29"/>
  <c r="D170" i="29"/>
  <c r="C88" i="29"/>
  <c r="C86" i="29" s="1"/>
  <c r="D79" i="29"/>
  <c r="D61" i="29"/>
  <c r="C60" i="29"/>
  <c r="C58" i="29" s="1"/>
  <c r="B41" i="29"/>
  <c r="E84" i="29"/>
  <c r="D83" i="29"/>
  <c r="D81" i="29" s="1"/>
  <c r="G155" i="29"/>
  <c r="E165" i="29"/>
  <c r="C83" i="29"/>
  <c r="C81" i="29" s="1"/>
  <c r="L34" i="38" l="1"/>
  <c r="B42" i="29"/>
  <c r="G127" i="29"/>
  <c r="H103" i="29"/>
  <c r="H101" i="29" s="1"/>
  <c r="I104" i="29"/>
  <c r="F165" i="29"/>
  <c r="C74" i="29"/>
  <c r="H71" i="29"/>
  <c r="C55" i="29"/>
  <c r="C53" i="29" s="1"/>
  <c r="C41" i="29"/>
  <c r="E117" i="29"/>
  <c r="D116" i="29"/>
  <c r="D114" i="29" s="1"/>
  <c r="J38" i="29"/>
  <c r="E170" i="29"/>
  <c r="D50" i="29"/>
  <c r="D48" i="29" s="1"/>
  <c r="F160" i="29"/>
  <c r="C121" i="29"/>
  <c r="C119" i="29" s="1"/>
  <c r="E70" i="29"/>
  <c r="E68" i="29" s="1"/>
  <c r="E13" i="29"/>
  <c r="F50" i="29"/>
  <c r="F48" i="29" s="1"/>
  <c r="G51" i="29"/>
  <c r="C93" i="29"/>
  <c r="C91" i="29" s="1"/>
  <c r="E79" i="29"/>
  <c r="D78" i="29"/>
  <c r="D76" i="29" s="1"/>
  <c r="F56" i="29"/>
  <c r="H155" i="29"/>
  <c r="C78" i="29"/>
  <c r="C76" i="29" s="1"/>
  <c r="E132" i="29"/>
  <c r="D131" i="29"/>
  <c r="D129" i="29" s="1"/>
  <c r="C65" i="29"/>
  <c r="C63" i="29" s="1"/>
  <c r="F145" i="29"/>
  <c r="D41" i="29"/>
  <c r="J150" i="29"/>
  <c r="I88" i="29"/>
  <c r="I86" i="29" s="1"/>
  <c r="J89" i="29"/>
  <c r="E45" i="29"/>
  <c r="E43" i="29" s="1"/>
  <c r="I98" i="29"/>
  <c r="I96" i="29" s="1"/>
  <c r="J99" i="29"/>
  <c r="F28" i="29"/>
  <c r="E83" i="29"/>
  <c r="E81" i="29" s="1"/>
  <c r="F84" i="29"/>
  <c r="F112" i="29"/>
  <c r="C107" i="29"/>
  <c r="E33" i="29"/>
  <c r="E18" i="29"/>
  <c r="B106" i="29"/>
  <c r="D111" i="29"/>
  <c r="D109" i="29" s="1"/>
  <c r="H46" i="29"/>
  <c r="D107" i="29"/>
  <c r="C126" i="29"/>
  <c r="C124" i="29" s="1"/>
  <c r="F66" i="29"/>
  <c r="F94" i="29"/>
  <c r="D60" i="29"/>
  <c r="D58" i="29" s="1"/>
  <c r="E61" i="29"/>
  <c r="B75" i="29"/>
  <c r="D121" i="29"/>
  <c r="D119" i="29" s="1"/>
  <c r="E122" i="29"/>
  <c r="E23" i="29"/>
  <c r="E137" i="29"/>
  <c r="D136" i="29"/>
  <c r="D134" i="29" s="1"/>
  <c r="E50" i="29"/>
  <c r="E48" i="29" s="1"/>
  <c r="M34" i="38" l="1"/>
  <c r="N34" i="38" s="1"/>
  <c r="G94" i="29"/>
  <c r="D93" i="29"/>
  <c r="D91" i="29" s="1"/>
  <c r="K38" i="29"/>
  <c r="I103" i="29"/>
  <c r="I101" i="29" s="1"/>
  <c r="J104" i="29"/>
  <c r="F170" i="29"/>
  <c r="F18" i="29"/>
  <c r="E78" i="29"/>
  <c r="E76" i="29" s="1"/>
  <c r="D74" i="29"/>
  <c r="E60" i="29"/>
  <c r="E58" i="29" s="1"/>
  <c r="F61" i="29"/>
  <c r="G165" i="29"/>
  <c r="K150" i="29"/>
  <c r="G56" i="29"/>
  <c r="B108" i="29"/>
  <c r="J98" i="29"/>
  <c r="J96" i="29" s="1"/>
  <c r="K99" i="29"/>
  <c r="F79" i="29"/>
  <c r="G66" i="29"/>
  <c r="D65" i="29"/>
  <c r="D63" i="29" s="1"/>
  <c r="D40" i="29" s="1"/>
  <c r="D42" i="29" s="1"/>
  <c r="F13" i="29"/>
  <c r="E136" i="29"/>
  <c r="E134" i="29" s="1"/>
  <c r="F137" i="29"/>
  <c r="F45" i="29"/>
  <c r="F43" i="29" s="1"/>
  <c r="F117" i="29"/>
  <c r="E116" i="29"/>
  <c r="E114" i="29" s="1"/>
  <c r="F111" i="29"/>
  <c r="F109" i="29" s="1"/>
  <c r="G112" i="29"/>
  <c r="D55" i="29"/>
  <c r="D53" i="29" s="1"/>
  <c r="I46" i="29"/>
  <c r="I155" i="29"/>
  <c r="C40" i="29"/>
  <c r="G145" i="29"/>
  <c r="H51" i="29"/>
  <c r="G50" i="29"/>
  <c r="G48" i="29" s="1"/>
  <c r="F33" i="29"/>
  <c r="H127" i="29"/>
  <c r="E107" i="29"/>
  <c r="D126" i="29"/>
  <c r="D124" i="29" s="1"/>
  <c r="E111" i="29"/>
  <c r="E109" i="29" s="1"/>
  <c r="E131" i="29"/>
  <c r="E129" i="29" s="1"/>
  <c r="F132" i="29"/>
  <c r="F70" i="29"/>
  <c r="F68" i="29" s="1"/>
  <c r="C73" i="29"/>
  <c r="F23" i="29"/>
  <c r="F83" i="29"/>
  <c r="F81" i="29" s="1"/>
  <c r="G84" i="29"/>
  <c r="J88" i="29"/>
  <c r="J86" i="29" s="1"/>
  <c r="K89" i="29"/>
  <c r="E121" i="29"/>
  <c r="E119" i="29" s="1"/>
  <c r="F122" i="29"/>
  <c r="G28" i="29"/>
  <c r="G160" i="29"/>
  <c r="I71" i="29"/>
  <c r="C106" i="29"/>
  <c r="C108" i="29" s="1"/>
  <c r="N41" i="38" l="1"/>
  <c r="H145" i="29"/>
  <c r="L38" i="29"/>
  <c r="J71" i="29"/>
  <c r="C75" i="29"/>
  <c r="D73" i="29"/>
  <c r="D75" i="29" s="1"/>
  <c r="H165" i="29"/>
  <c r="C42" i="29"/>
  <c r="F60" i="29"/>
  <c r="F58" i="29" s="1"/>
  <c r="G61" i="29"/>
  <c r="D106" i="29"/>
  <c r="J155" i="29"/>
  <c r="G79" i="29"/>
  <c r="F78" i="29"/>
  <c r="F76" i="29" s="1"/>
  <c r="G18" i="29"/>
  <c r="J103" i="29"/>
  <c r="J101" i="29" s="1"/>
  <c r="K104" i="29"/>
  <c r="H56" i="29"/>
  <c r="L150" i="29"/>
  <c r="E93" i="29"/>
  <c r="E91" i="29" s="1"/>
  <c r="E73" i="29" s="1"/>
  <c r="H66" i="29"/>
  <c r="I127" i="29"/>
  <c r="G70" i="29"/>
  <c r="G68" i="29" s="1"/>
  <c r="F121" i="29"/>
  <c r="F119" i="29" s="1"/>
  <c r="G122" i="29"/>
  <c r="K88" i="29"/>
  <c r="K86" i="29" s="1"/>
  <c r="L89" i="29"/>
  <c r="G13" i="29"/>
  <c r="K98" i="29"/>
  <c r="K96" i="29" s="1"/>
  <c r="L99" i="29"/>
  <c r="G170" i="29"/>
  <c r="G83" i="29"/>
  <c r="G81" i="29" s="1"/>
  <c r="H84" i="29"/>
  <c r="H112" i="29"/>
  <c r="G111" i="29"/>
  <c r="G109" i="29" s="1"/>
  <c r="E65" i="29"/>
  <c r="E63" i="29" s="1"/>
  <c r="G23" i="29"/>
  <c r="E126" i="29"/>
  <c r="E124" i="29" s="1"/>
  <c r="E106" i="29" s="1"/>
  <c r="E108" i="29" s="1"/>
  <c r="F116" i="29"/>
  <c r="F114" i="29" s="1"/>
  <c r="G117" i="29"/>
  <c r="H160" i="29"/>
  <c r="G45" i="29"/>
  <c r="G43" i="29" s="1"/>
  <c r="H94" i="29"/>
  <c r="H28" i="29"/>
  <c r="G33" i="29"/>
  <c r="F136" i="29"/>
  <c r="F134" i="29" s="1"/>
  <c r="G137" i="29"/>
  <c r="G132" i="29"/>
  <c r="F131" i="29"/>
  <c r="F129" i="29" s="1"/>
  <c r="E74" i="29"/>
  <c r="J46" i="29"/>
  <c r="H50" i="29"/>
  <c r="H48" i="29" s="1"/>
  <c r="I51" i="29"/>
  <c r="E55" i="29"/>
  <c r="E53" i="29" s="1"/>
  <c r="E40" i="29" s="1"/>
  <c r="E41" i="29"/>
  <c r="E75" i="29" l="1"/>
  <c r="G136" i="29"/>
  <c r="G134" i="29" s="1"/>
  <c r="H137" i="29"/>
  <c r="K103" i="29"/>
  <c r="K101" i="29" s="1"/>
  <c r="L104" i="29"/>
  <c r="I84" i="29"/>
  <c r="H83" i="29"/>
  <c r="H81" i="29" s="1"/>
  <c r="J127" i="29"/>
  <c r="H18" i="29"/>
  <c r="H33" i="29"/>
  <c r="E42" i="29"/>
  <c r="G116" i="29"/>
  <c r="G114" i="29" s="1"/>
  <c r="H117" i="29"/>
  <c r="H170" i="29"/>
  <c r="I66" i="29"/>
  <c r="G78" i="29"/>
  <c r="G76" i="29" s="1"/>
  <c r="H79" i="29"/>
  <c r="F55" i="29"/>
  <c r="F53" i="29" s="1"/>
  <c r="F41" i="29"/>
  <c r="L98" i="29"/>
  <c r="L96" i="29" s="1"/>
  <c r="M99" i="29"/>
  <c r="M98" i="29" s="1"/>
  <c r="M96" i="29" s="1"/>
  <c r="K71" i="29"/>
  <c r="I50" i="29"/>
  <c r="I48" i="29" s="1"/>
  <c r="J51" i="29"/>
  <c r="N96" i="29"/>
  <c r="N98" i="29" s="1"/>
  <c r="F93" i="29"/>
  <c r="F91" i="29" s="1"/>
  <c r="F73" i="29" s="1"/>
  <c r="I28" i="29"/>
  <c r="F126" i="29"/>
  <c r="F124" i="29" s="1"/>
  <c r="M150" i="29"/>
  <c r="M38" i="29"/>
  <c r="H13" i="29"/>
  <c r="K155" i="29"/>
  <c r="F107" i="29"/>
  <c r="K46" i="29"/>
  <c r="I94" i="29"/>
  <c r="H23" i="29"/>
  <c r="L88" i="29"/>
  <c r="L86" i="29" s="1"/>
  <c r="M89" i="29"/>
  <c r="M88" i="29" s="1"/>
  <c r="M86" i="29" s="1"/>
  <c r="N86" i="29" s="1"/>
  <c r="N88" i="29" s="1"/>
  <c r="H111" i="29"/>
  <c r="H109" i="29" s="1"/>
  <c r="D108" i="29"/>
  <c r="I145" i="29"/>
  <c r="F74" i="29"/>
  <c r="H45" i="29"/>
  <c r="H43" i="29" s="1"/>
  <c r="H122" i="29"/>
  <c r="G121" i="29"/>
  <c r="G119" i="29" s="1"/>
  <c r="H61" i="29"/>
  <c r="G60" i="29"/>
  <c r="G58" i="29" s="1"/>
  <c r="H132" i="29"/>
  <c r="G131" i="29"/>
  <c r="G129" i="29" s="1"/>
  <c r="I160" i="29"/>
  <c r="H70" i="29"/>
  <c r="H68" i="29" s="1"/>
  <c r="I112" i="29"/>
  <c r="I165" i="29"/>
  <c r="F65" i="29"/>
  <c r="F63" i="29" s="1"/>
  <c r="I56" i="29"/>
  <c r="F75" i="29" l="1"/>
  <c r="J56" i="29"/>
  <c r="I13" i="29"/>
  <c r="G93" i="29"/>
  <c r="G91" i="29" s="1"/>
  <c r="G65" i="29"/>
  <c r="G63" i="29" s="1"/>
  <c r="J66" i="29"/>
  <c r="I122" i="29"/>
  <c r="H121" i="29"/>
  <c r="H119" i="29" s="1"/>
  <c r="J50" i="29"/>
  <c r="J48" i="29" s="1"/>
  <c r="K51" i="29"/>
  <c r="I170" i="29"/>
  <c r="I83" i="29"/>
  <c r="I81" i="29" s="1"/>
  <c r="J84" i="29"/>
  <c r="I45" i="29"/>
  <c r="I43" i="29" s="1"/>
  <c r="L71" i="29"/>
  <c r="H116" i="29"/>
  <c r="H114" i="29" s="1"/>
  <c r="I117" i="29"/>
  <c r="J94" i="29"/>
  <c r="J165" i="29"/>
  <c r="L46" i="29"/>
  <c r="J112" i="29"/>
  <c r="G74" i="29"/>
  <c r="F106" i="29"/>
  <c r="M104" i="29"/>
  <c r="M103" i="29" s="1"/>
  <c r="M101" i="29" s="1"/>
  <c r="L103" i="29"/>
  <c r="L101" i="29" s="1"/>
  <c r="G126" i="29"/>
  <c r="G124" i="29" s="1"/>
  <c r="G106" i="29" s="1"/>
  <c r="I33" i="29"/>
  <c r="J145" i="29"/>
  <c r="L155" i="29"/>
  <c r="J28" i="29"/>
  <c r="I70" i="29"/>
  <c r="I68" i="29" s="1"/>
  <c r="I137" i="29"/>
  <c r="H136" i="29"/>
  <c r="H134" i="29" s="1"/>
  <c r="J160" i="29"/>
  <c r="I18" i="29"/>
  <c r="F40" i="29"/>
  <c r="K127" i="29"/>
  <c r="H131" i="29"/>
  <c r="H129" i="29" s="1"/>
  <c r="I132" i="29"/>
  <c r="I111" i="29"/>
  <c r="I109" i="29" s="1"/>
  <c r="I79" i="29"/>
  <c r="H78" i="29"/>
  <c r="H76" i="29" s="1"/>
  <c r="G73" i="29"/>
  <c r="G75" i="29" s="1"/>
  <c r="I61" i="29"/>
  <c r="H60" i="29"/>
  <c r="H58" i="29" s="1"/>
  <c r="I23" i="29"/>
  <c r="G107" i="29"/>
  <c r="G41" i="29"/>
  <c r="G55" i="29"/>
  <c r="G53" i="29" s="1"/>
  <c r="G108" i="29" l="1"/>
  <c r="M155" i="29"/>
  <c r="F42" i="29"/>
  <c r="K66" i="29"/>
  <c r="J61" i="29"/>
  <c r="I60" i="29"/>
  <c r="I58" i="29" s="1"/>
  <c r="J18" i="29"/>
  <c r="J45" i="29"/>
  <c r="J43" i="29" s="1"/>
  <c r="M46" i="29"/>
  <c r="K84" i="29"/>
  <c r="J83" i="29"/>
  <c r="J81" i="29" s="1"/>
  <c r="H126" i="29"/>
  <c r="H124" i="29" s="1"/>
  <c r="H106" i="29" s="1"/>
  <c r="K165" i="29"/>
  <c r="J79" i="29"/>
  <c r="H93" i="29"/>
  <c r="H91" i="29" s="1"/>
  <c r="H73" i="29" s="1"/>
  <c r="H75" i="29" s="1"/>
  <c r="J13" i="29"/>
  <c r="H55" i="29"/>
  <c r="H53" i="29" s="1"/>
  <c r="H41" i="29"/>
  <c r="F108" i="29"/>
  <c r="J70" i="29"/>
  <c r="J68" i="29" s="1"/>
  <c r="K56" i="29"/>
  <c r="K145" i="29"/>
  <c r="K160" i="29"/>
  <c r="J33" i="29"/>
  <c r="H65" i="29"/>
  <c r="H63" i="29" s="1"/>
  <c r="J137" i="29"/>
  <c r="I136" i="29"/>
  <c r="I134" i="29" s="1"/>
  <c r="G40" i="29"/>
  <c r="N101" i="29"/>
  <c r="N103" i="29" s="1"/>
  <c r="J170" i="29"/>
  <c r="L51" i="29"/>
  <c r="K50" i="29"/>
  <c r="K48" i="29" s="1"/>
  <c r="K94" i="29"/>
  <c r="H107" i="29"/>
  <c r="H74" i="29"/>
  <c r="J132" i="29"/>
  <c r="I131" i="29"/>
  <c r="I129" i="29" s="1"/>
  <c r="J117" i="29"/>
  <c r="I116" i="29"/>
  <c r="I114" i="29" s="1"/>
  <c r="I121" i="29"/>
  <c r="I119" i="29" s="1"/>
  <c r="J122" i="29"/>
  <c r="J23" i="29"/>
  <c r="L127" i="29"/>
  <c r="K28" i="29"/>
  <c r="K112" i="29"/>
  <c r="J111" i="29"/>
  <c r="J109" i="29" s="1"/>
  <c r="M71" i="29"/>
  <c r="H40" i="29" l="1"/>
  <c r="H108" i="29"/>
  <c r="K79" i="29"/>
  <c r="K23" i="29"/>
  <c r="K70" i="29"/>
  <c r="K68" i="29" s="1"/>
  <c r="K170" i="29"/>
  <c r="I126" i="29"/>
  <c r="I124" i="29" s="1"/>
  <c r="I106" i="29" s="1"/>
  <c r="K117" i="29"/>
  <c r="J116" i="29"/>
  <c r="J114" i="29" s="1"/>
  <c r="G42" i="29"/>
  <c r="H42" i="29"/>
  <c r="I55" i="29"/>
  <c r="I53" i="29" s="1"/>
  <c r="I41" i="29"/>
  <c r="L84" i="29"/>
  <c r="K83" i="29"/>
  <c r="K81" i="29" s="1"/>
  <c r="K132" i="29"/>
  <c r="J131" i="29"/>
  <c r="J129" i="29" s="1"/>
  <c r="J136" i="29"/>
  <c r="J134" i="29" s="1"/>
  <c r="K137" i="29"/>
  <c r="K13" i="29"/>
  <c r="I74" i="29"/>
  <c r="I65" i="29"/>
  <c r="I63" i="29" s="1"/>
  <c r="L112" i="29"/>
  <c r="K111" i="29"/>
  <c r="K109" i="29" s="1"/>
  <c r="L56" i="29"/>
  <c r="K45" i="29"/>
  <c r="K43" i="29" s="1"/>
  <c r="L28" i="29"/>
  <c r="L94" i="29"/>
  <c r="I93" i="29"/>
  <c r="I91" i="29" s="1"/>
  <c r="K33" i="29"/>
  <c r="I107" i="29"/>
  <c r="K18" i="29"/>
  <c r="M127" i="29"/>
  <c r="L160" i="29"/>
  <c r="I78" i="29"/>
  <c r="I76" i="29" s="1"/>
  <c r="K61" i="29"/>
  <c r="J60" i="29"/>
  <c r="J58" i="29" s="1"/>
  <c r="M51" i="29"/>
  <c r="M50" i="29" s="1"/>
  <c r="M48" i="29" s="1"/>
  <c r="L50" i="29"/>
  <c r="L48" i="29" s="1"/>
  <c r="L145" i="29"/>
  <c r="L165" i="29"/>
  <c r="L66" i="29"/>
  <c r="K122" i="29"/>
  <c r="J121" i="29"/>
  <c r="J119" i="29" s="1"/>
  <c r="I73" i="29" l="1"/>
  <c r="I75" i="29" s="1"/>
  <c r="I108" i="29"/>
  <c r="L18" i="29"/>
  <c r="L45" i="29"/>
  <c r="L43" i="29" s="1"/>
  <c r="L61" i="29"/>
  <c r="K60" i="29"/>
  <c r="K58" i="29" s="1"/>
  <c r="M56" i="29"/>
  <c r="L132" i="29"/>
  <c r="K131" i="29"/>
  <c r="K129" i="29" s="1"/>
  <c r="J126" i="29"/>
  <c r="J124" i="29" s="1"/>
  <c r="J106" i="29" s="1"/>
  <c r="L111" i="29"/>
  <c r="L109" i="29" s="1"/>
  <c r="M112" i="29"/>
  <c r="L33" i="29"/>
  <c r="L83" i="29"/>
  <c r="L81" i="29" s="1"/>
  <c r="M84" i="29"/>
  <c r="M83" i="29" s="1"/>
  <c r="M81" i="29" s="1"/>
  <c r="N81" i="29" s="1"/>
  <c r="N83" i="29" s="1"/>
  <c r="L170" i="29"/>
  <c r="L122" i="29"/>
  <c r="K121" i="29"/>
  <c r="K119" i="29" s="1"/>
  <c r="J65" i="29"/>
  <c r="J63" i="29" s="1"/>
  <c r="M66" i="29"/>
  <c r="J93" i="29"/>
  <c r="J91" i="29" s="1"/>
  <c r="I40" i="29"/>
  <c r="L70" i="29"/>
  <c r="L68" i="29" s="1"/>
  <c r="M160" i="29"/>
  <c r="J41" i="29"/>
  <c r="J55" i="29"/>
  <c r="J53" i="29" s="1"/>
  <c r="J40" i="29" s="1"/>
  <c r="J42" i="29" s="1"/>
  <c r="L23" i="29"/>
  <c r="M94" i="29"/>
  <c r="M165" i="29"/>
  <c r="J107" i="29"/>
  <c r="J74" i="29"/>
  <c r="J78" i="29"/>
  <c r="J76" i="29" s="1"/>
  <c r="M145" i="29"/>
  <c r="K107" i="29"/>
  <c r="M28" i="29"/>
  <c r="L79" i="29"/>
  <c r="K78" i="29"/>
  <c r="K76" i="29" s="1"/>
  <c r="L13" i="29"/>
  <c r="K116" i="29"/>
  <c r="K114" i="29" s="1"/>
  <c r="L117" i="29"/>
  <c r="N48" i="29"/>
  <c r="N50" i="29" s="1"/>
  <c r="L137" i="29"/>
  <c r="K136" i="29"/>
  <c r="K134" i="29" s="1"/>
  <c r="J108" i="29" l="1"/>
  <c r="M70" i="29"/>
  <c r="M68" i="29" s="1"/>
  <c r="N68" i="29" s="1"/>
  <c r="N70" i="29" s="1"/>
  <c r="L131" i="29"/>
  <c r="L129" i="29" s="1"/>
  <c r="M132" i="29"/>
  <c r="M131" i="29" s="1"/>
  <c r="M129" i="29" s="1"/>
  <c r="N129" i="29" s="1"/>
  <c r="N131" i="29" s="1"/>
  <c r="I42" i="29"/>
  <c r="M33" i="29"/>
  <c r="M13" i="29"/>
  <c r="K93" i="29"/>
  <c r="K91" i="29" s="1"/>
  <c r="K73" i="29"/>
  <c r="M23" i="29"/>
  <c r="M79" i="29"/>
  <c r="L78" i="29"/>
  <c r="L76" i="29" s="1"/>
  <c r="M61" i="29"/>
  <c r="M60" i="29" s="1"/>
  <c r="M58" i="29" s="1"/>
  <c r="L60" i="29"/>
  <c r="L58" i="29" s="1"/>
  <c r="K41" i="29"/>
  <c r="K55" i="29"/>
  <c r="K53" i="29" s="1"/>
  <c r="K65" i="29"/>
  <c r="K63" i="29" s="1"/>
  <c r="K126" i="29"/>
  <c r="K124" i="29" s="1"/>
  <c r="K106" i="29" s="1"/>
  <c r="K108" i="29" s="1"/>
  <c r="L107" i="29"/>
  <c r="M45" i="29"/>
  <c r="M43" i="29" s="1"/>
  <c r="L121" i="29"/>
  <c r="L119" i="29" s="1"/>
  <c r="M122" i="29"/>
  <c r="M121" i="29" s="1"/>
  <c r="M119" i="29" s="1"/>
  <c r="N119" i="29" s="1"/>
  <c r="N121" i="29" s="1"/>
  <c r="L136" i="29"/>
  <c r="L134" i="29" s="1"/>
  <c r="M137" i="29"/>
  <c r="M136" i="29" s="1"/>
  <c r="M134" i="29" s="1"/>
  <c r="N134" i="29" s="1"/>
  <c r="N136" i="29" s="1"/>
  <c r="M18" i="29"/>
  <c r="J73" i="29"/>
  <c r="J75" i="29" s="1"/>
  <c r="M170" i="29"/>
  <c r="M117" i="29"/>
  <c r="M116" i="29" s="1"/>
  <c r="M114" i="29" s="1"/>
  <c r="L116" i="29"/>
  <c r="L114" i="29" s="1"/>
  <c r="K74" i="29"/>
  <c r="K75" i="29" l="1"/>
  <c r="N43" i="29"/>
  <c r="N45" i="29" s="1"/>
  <c r="L93" i="29"/>
  <c r="L91" i="29" s="1"/>
  <c r="L73" i="29" s="1"/>
  <c r="N114" i="29"/>
  <c r="N116" i="29" s="1"/>
  <c r="M107" i="29"/>
  <c r="N107" i="29" s="1"/>
  <c r="M111" i="29"/>
  <c r="M109" i="29" s="1"/>
  <c r="L126" i="29"/>
  <c r="L124" i="29" s="1"/>
  <c r="L106" i="29" s="1"/>
  <c r="L108" i="29" s="1"/>
  <c r="L65" i="29"/>
  <c r="L63" i="29" s="1"/>
  <c r="K40" i="29"/>
  <c r="L41" i="29"/>
  <c r="L55" i="29"/>
  <c r="L53" i="29" s="1"/>
  <c r="L40" i="29" s="1"/>
  <c r="L42" i="29" s="1"/>
  <c r="L74" i="29"/>
  <c r="N58" i="29"/>
  <c r="N60" i="29" s="1"/>
  <c r="L75" i="29" l="1"/>
  <c r="M74" i="29"/>
  <c r="N74" i="29" s="1"/>
  <c r="M78" i="29"/>
  <c r="M76" i="29" s="1"/>
  <c r="M55" i="29"/>
  <c r="M53" i="29" s="1"/>
  <c r="M41" i="29"/>
  <c r="N41" i="29" s="1"/>
  <c r="K42" i="29"/>
  <c r="M93" i="29"/>
  <c r="M91" i="29" s="1"/>
  <c r="N91" i="29" s="1"/>
  <c r="M65" i="29"/>
  <c r="M63" i="29" s="1"/>
  <c r="N63" i="29" s="1"/>
  <c r="N65" i="29" s="1"/>
  <c r="M126" i="29"/>
  <c r="M124" i="29" s="1"/>
  <c r="N124" i="29" s="1"/>
  <c r="N126" i="29" s="1"/>
  <c r="M106" i="29"/>
  <c r="N109" i="29"/>
  <c r="N111" i="29" s="1"/>
  <c r="M108" i="29" l="1"/>
  <c r="N106" i="29"/>
  <c r="N108" i="29" s="1"/>
  <c r="N53" i="29"/>
  <c r="N55" i="29" s="1"/>
  <c r="M40" i="29"/>
  <c r="M73" i="29"/>
  <c r="N76" i="29"/>
  <c r="N78" i="29" s="1"/>
  <c r="N93" i="29"/>
  <c r="M75" i="29" l="1"/>
  <c r="N73" i="29"/>
  <c r="N75" i="29" s="1"/>
  <c r="M42" i="29"/>
  <c r="N40" i="29"/>
  <c r="N42" i="29" s="1"/>
  <c r="D23" i="26" l="1"/>
  <c r="E23" i="26"/>
  <c r="B3" i="28"/>
  <c r="C3" i="28" s="1"/>
  <c r="D3" i="28" s="1"/>
  <c r="E3" i="28" s="1"/>
  <c r="F3" i="28" s="1"/>
  <c r="G3" i="28" s="1"/>
  <c r="H3" i="28" s="1"/>
  <c r="I3" i="28" s="1"/>
  <c r="J3" i="28" s="1"/>
  <c r="K3" i="28" s="1"/>
  <c r="L3" i="28" s="1"/>
  <c r="M3" i="28" s="1"/>
  <c r="X41" i="65" l="1"/>
  <c r="Y41" i="65"/>
  <c r="X35" i="65"/>
  <c r="Y35" i="65"/>
  <c r="X29" i="65"/>
  <c r="Y29" i="65"/>
  <c r="X23" i="65"/>
  <c r="Y23" i="65"/>
  <c r="X17" i="65"/>
  <c r="Y17" i="65"/>
  <c r="X11" i="65"/>
  <c r="Y11" i="65"/>
  <c r="B52" i="27"/>
  <c r="B55" i="27"/>
  <c r="B56" i="28" s="1"/>
  <c r="B55" i="28" s="1"/>
  <c r="B58" i="27"/>
  <c r="B61" i="27"/>
  <c r="B62" i="28" s="1"/>
  <c r="B61" i="28" s="1"/>
  <c r="B67" i="27"/>
  <c r="B68" i="28" s="1"/>
  <c r="B67" i="28" s="1"/>
  <c r="B73" i="27"/>
  <c r="B76" i="27"/>
  <c r="B77" i="28" s="1"/>
  <c r="B76" i="28" s="1"/>
  <c r="B79" i="27"/>
  <c r="B82" i="27"/>
  <c r="B83" i="28" s="1"/>
  <c r="B82" i="28" s="1"/>
  <c r="B85" i="27"/>
  <c r="B88" i="27"/>
  <c r="B89" i="28" s="1"/>
  <c r="B88" i="28" s="1"/>
  <c r="X41" i="64"/>
  <c r="Y41" i="64"/>
  <c r="X35" i="64"/>
  <c r="Y35" i="64"/>
  <c r="X29" i="64"/>
  <c r="Y29" i="64"/>
  <c r="X23" i="64"/>
  <c r="Y23" i="64"/>
  <c r="X17" i="64"/>
  <c r="Y17" i="64"/>
  <c r="X11" i="64"/>
  <c r="Y11" i="64"/>
  <c r="I41" i="26"/>
  <c r="I35" i="26"/>
  <c r="I29" i="26"/>
  <c r="I17" i="26"/>
  <c r="I11" i="26"/>
  <c r="I23" i="26"/>
  <c r="E106" i="27"/>
  <c r="F100" i="27"/>
  <c r="E85" i="27"/>
  <c r="F79" i="27"/>
  <c r="E79" i="27"/>
  <c r="F61" i="27"/>
  <c r="F62" i="28" s="1"/>
  <c r="F61" i="28" s="1"/>
  <c r="I19" i="25"/>
  <c r="I13" i="25"/>
  <c r="I7" i="25"/>
  <c r="B17" i="25"/>
  <c r="C17" i="25"/>
  <c r="D17" i="25"/>
  <c r="E17" i="25"/>
  <c r="F17" i="25"/>
  <c r="G17" i="25"/>
  <c r="H17" i="25"/>
  <c r="E41" i="28"/>
  <c r="E40" i="28" s="1"/>
  <c r="B41" i="28"/>
  <c r="B40" i="28" s="1"/>
  <c r="B35" i="28"/>
  <c r="E25" i="27"/>
  <c r="W41" i="65"/>
  <c r="V41" i="65"/>
  <c r="U41" i="65"/>
  <c r="T41" i="65"/>
  <c r="S41" i="65"/>
  <c r="R41" i="65"/>
  <c r="Q41" i="65"/>
  <c r="P41" i="65"/>
  <c r="O41" i="65"/>
  <c r="N41" i="65"/>
  <c r="M41" i="65"/>
  <c r="L41" i="65"/>
  <c r="K41" i="65"/>
  <c r="J41" i="65"/>
  <c r="I41" i="65"/>
  <c r="H41" i="65"/>
  <c r="G41" i="65"/>
  <c r="F41" i="65"/>
  <c r="E41" i="65"/>
  <c r="D41" i="65"/>
  <c r="C41" i="65"/>
  <c r="B41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H35" i="65"/>
  <c r="G35" i="65"/>
  <c r="F35" i="65"/>
  <c r="E35" i="65"/>
  <c r="D35" i="65"/>
  <c r="C35" i="65"/>
  <c r="B35" i="65"/>
  <c r="W29" i="65"/>
  <c r="V29" i="65"/>
  <c r="U29" i="65"/>
  <c r="T29" i="65"/>
  <c r="S29" i="65"/>
  <c r="R29" i="65"/>
  <c r="Q29" i="65"/>
  <c r="P29" i="65"/>
  <c r="O29" i="65"/>
  <c r="N29" i="65"/>
  <c r="M29" i="65"/>
  <c r="L29" i="65"/>
  <c r="K29" i="65"/>
  <c r="J29" i="65"/>
  <c r="I29" i="65"/>
  <c r="H29" i="65"/>
  <c r="G29" i="65"/>
  <c r="F29" i="65"/>
  <c r="E29" i="65"/>
  <c r="D29" i="65"/>
  <c r="C29" i="65"/>
  <c r="B29" i="65"/>
  <c r="W23" i="65"/>
  <c r="V23" i="65"/>
  <c r="U23" i="65"/>
  <c r="T23" i="65"/>
  <c r="S23" i="65"/>
  <c r="R23" i="65"/>
  <c r="Q23" i="65"/>
  <c r="P23" i="65"/>
  <c r="O23" i="65"/>
  <c r="N23" i="65"/>
  <c r="M23" i="65"/>
  <c r="L23" i="65"/>
  <c r="K23" i="65"/>
  <c r="J23" i="65"/>
  <c r="I23" i="65"/>
  <c r="H23" i="65"/>
  <c r="G23" i="65"/>
  <c r="F23" i="65"/>
  <c r="E23" i="65"/>
  <c r="C23" i="65"/>
  <c r="B23" i="65"/>
  <c r="W17" i="65"/>
  <c r="V17" i="65"/>
  <c r="U17" i="65"/>
  <c r="T17" i="65"/>
  <c r="S17" i="65"/>
  <c r="R17" i="65"/>
  <c r="Q17" i="65"/>
  <c r="P17" i="65"/>
  <c r="O17" i="65"/>
  <c r="N17" i="65"/>
  <c r="M17" i="65"/>
  <c r="L17" i="65"/>
  <c r="K17" i="65"/>
  <c r="J17" i="65"/>
  <c r="I17" i="65"/>
  <c r="H17" i="65"/>
  <c r="G17" i="65"/>
  <c r="F17" i="65"/>
  <c r="E17" i="65"/>
  <c r="D17" i="65"/>
  <c r="C17" i="65"/>
  <c r="B17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H11" i="65"/>
  <c r="G11" i="65"/>
  <c r="F11" i="65"/>
  <c r="E11" i="65"/>
  <c r="D11" i="65"/>
  <c r="C11" i="65"/>
  <c r="B11" i="65"/>
  <c r="Z4" i="64"/>
  <c r="W41" i="64"/>
  <c r="V41" i="64"/>
  <c r="U41" i="64"/>
  <c r="T41" i="64"/>
  <c r="S41" i="64"/>
  <c r="R41" i="64"/>
  <c r="Q41" i="64"/>
  <c r="P41" i="64"/>
  <c r="O41" i="64"/>
  <c r="N41" i="64"/>
  <c r="M41" i="64"/>
  <c r="L41" i="64"/>
  <c r="K41" i="64"/>
  <c r="J41" i="64"/>
  <c r="I41" i="64"/>
  <c r="H41" i="64"/>
  <c r="G41" i="64"/>
  <c r="F41" i="64"/>
  <c r="E41" i="64"/>
  <c r="D41" i="64"/>
  <c r="C41" i="64"/>
  <c r="B41" i="64"/>
  <c r="Z37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H35" i="64"/>
  <c r="G35" i="64"/>
  <c r="F35" i="64"/>
  <c r="E35" i="64"/>
  <c r="D35" i="64"/>
  <c r="C35" i="64"/>
  <c r="B35" i="64"/>
  <c r="Z31" i="64"/>
  <c r="W29" i="64"/>
  <c r="V29" i="64"/>
  <c r="U29" i="64"/>
  <c r="T29" i="64"/>
  <c r="S29" i="64"/>
  <c r="R29" i="64"/>
  <c r="Q29" i="64"/>
  <c r="P29" i="64"/>
  <c r="O29" i="64"/>
  <c r="N29" i="64"/>
  <c r="M29" i="64"/>
  <c r="L29" i="64"/>
  <c r="K29" i="64"/>
  <c r="J29" i="64"/>
  <c r="I29" i="64"/>
  <c r="H29" i="64"/>
  <c r="G29" i="64"/>
  <c r="F29" i="64"/>
  <c r="E29" i="64"/>
  <c r="D29" i="64"/>
  <c r="C29" i="64"/>
  <c r="B29" i="64"/>
  <c r="Z25" i="64"/>
  <c r="W23" i="64"/>
  <c r="V23" i="64"/>
  <c r="U23" i="64"/>
  <c r="T23" i="64"/>
  <c r="S23" i="64"/>
  <c r="R23" i="64"/>
  <c r="Q23" i="64"/>
  <c r="P23" i="64"/>
  <c r="O23" i="64"/>
  <c r="N23" i="64"/>
  <c r="M23" i="64"/>
  <c r="L23" i="64"/>
  <c r="K23" i="64"/>
  <c r="J23" i="64"/>
  <c r="I23" i="64"/>
  <c r="H23" i="64"/>
  <c r="G23" i="64"/>
  <c r="F23" i="64"/>
  <c r="E23" i="64"/>
  <c r="C23" i="64"/>
  <c r="B23" i="64"/>
  <c r="Z19" i="64"/>
  <c r="W17" i="64"/>
  <c r="V17" i="64"/>
  <c r="U17" i="64"/>
  <c r="T17" i="64"/>
  <c r="S17" i="64"/>
  <c r="R17" i="64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C17" i="64"/>
  <c r="B17" i="64"/>
  <c r="Z13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G11" i="64"/>
  <c r="F11" i="64"/>
  <c r="E11" i="64"/>
  <c r="D11" i="64"/>
  <c r="C11" i="64"/>
  <c r="B11" i="64"/>
  <c r="Z7" i="64"/>
  <c r="J4" i="26"/>
  <c r="H41" i="26"/>
  <c r="G41" i="26"/>
  <c r="F41" i="26"/>
  <c r="E41" i="26"/>
  <c r="D41" i="26"/>
  <c r="C41" i="26"/>
  <c r="B41" i="26"/>
  <c r="J37" i="26"/>
  <c r="H35" i="26"/>
  <c r="G35" i="26"/>
  <c r="F35" i="26"/>
  <c r="E35" i="26"/>
  <c r="D35" i="26"/>
  <c r="C35" i="26"/>
  <c r="B35" i="26"/>
  <c r="J31" i="26"/>
  <c r="H29" i="26"/>
  <c r="G29" i="26"/>
  <c r="F29" i="26"/>
  <c r="E29" i="26"/>
  <c r="D29" i="26"/>
  <c r="C29" i="26"/>
  <c r="B29" i="26"/>
  <c r="J25" i="26"/>
  <c r="H23" i="26"/>
  <c r="G23" i="26"/>
  <c r="F23" i="26"/>
  <c r="C23" i="26"/>
  <c r="B23" i="26"/>
  <c r="J19" i="26"/>
  <c r="H17" i="26"/>
  <c r="G17" i="26"/>
  <c r="F17" i="26"/>
  <c r="E17" i="26"/>
  <c r="D17" i="26"/>
  <c r="C17" i="26"/>
  <c r="B17" i="26"/>
  <c r="J13" i="26"/>
  <c r="H11" i="26"/>
  <c r="G11" i="26"/>
  <c r="F11" i="26"/>
  <c r="E11" i="26"/>
  <c r="D11" i="26"/>
  <c r="C11" i="26"/>
  <c r="B11" i="26"/>
  <c r="J7" i="26"/>
  <c r="I4" i="25"/>
  <c r="H41" i="25"/>
  <c r="G41" i="25"/>
  <c r="F41" i="25"/>
  <c r="E41" i="25"/>
  <c r="D41" i="25"/>
  <c r="C41" i="25"/>
  <c r="B41" i="25"/>
  <c r="I37" i="25"/>
  <c r="H35" i="25"/>
  <c r="G35" i="25"/>
  <c r="F35" i="25"/>
  <c r="E35" i="25"/>
  <c r="D35" i="25"/>
  <c r="C35" i="25"/>
  <c r="B35" i="25"/>
  <c r="I31" i="25"/>
  <c r="H29" i="25"/>
  <c r="G29" i="25"/>
  <c r="F29" i="25"/>
  <c r="E29" i="25"/>
  <c r="D29" i="25"/>
  <c r="C29" i="25"/>
  <c r="B29" i="25"/>
  <c r="I25" i="25"/>
  <c r="H23" i="25"/>
  <c r="G23" i="25"/>
  <c r="F23" i="25"/>
  <c r="E23" i="25"/>
  <c r="C23" i="25"/>
  <c r="B23" i="25"/>
  <c r="H11" i="25"/>
  <c r="G11" i="25"/>
  <c r="F11" i="25"/>
  <c r="E11" i="25"/>
  <c r="D11" i="25"/>
  <c r="C11" i="25"/>
  <c r="B11" i="25"/>
  <c r="X4" i="24"/>
  <c r="X7" i="24"/>
  <c r="F41" i="24"/>
  <c r="G41" i="24"/>
  <c r="H41" i="24"/>
  <c r="I41" i="24"/>
  <c r="J41" i="24"/>
  <c r="K41" i="24"/>
  <c r="L41" i="24"/>
  <c r="M41" i="24"/>
  <c r="N41" i="24"/>
  <c r="O41" i="24"/>
  <c r="P41" i="24"/>
  <c r="Q41" i="24"/>
  <c r="R41" i="24"/>
  <c r="S41" i="24"/>
  <c r="T41" i="24"/>
  <c r="U41" i="24"/>
  <c r="V41" i="24"/>
  <c r="W41" i="24"/>
  <c r="D41" i="24"/>
  <c r="F35" i="24"/>
  <c r="G35" i="24"/>
  <c r="H35" i="24"/>
  <c r="I35" i="24"/>
  <c r="J35" i="24"/>
  <c r="K35" i="24"/>
  <c r="L35" i="24"/>
  <c r="M35" i="24"/>
  <c r="N35" i="24"/>
  <c r="O35" i="24"/>
  <c r="P35" i="24"/>
  <c r="Q35" i="24"/>
  <c r="R35" i="24"/>
  <c r="S35" i="24"/>
  <c r="T35" i="24"/>
  <c r="U35" i="24"/>
  <c r="V35" i="24"/>
  <c r="W35" i="24"/>
  <c r="D35" i="24"/>
  <c r="F29" i="24"/>
  <c r="G29" i="24"/>
  <c r="H29" i="24"/>
  <c r="I29" i="24"/>
  <c r="J29" i="24"/>
  <c r="K29" i="24"/>
  <c r="L29" i="24"/>
  <c r="M29" i="24"/>
  <c r="N29" i="24"/>
  <c r="O29" i="24"/>
  <c r="P29" i="24"/>
  <c r="Q29" i="24"/>
  <c r="R29" i="24"/>
  <c r="S29" i="24"/>
  <c r="T29" i="24"/>
  <c r="U29" i="24"/>
  <c r="V29" i="24"/>
  <c r="W29" i="24"/>
  <c r="D29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F17" i="24"/>
  <c r="H17" i="24"/>
  <c r="I17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F11" i="24"/>
  <c r="G11" i="24"/>
  <c r="H11" i="24"/>
  <c r="I11" i="24"/>
  <c r="J11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37" i="24"/>
  <c r="X31" i="24"/>
  <c r="X25" i="24"/>
  <c r="X19" i="24"/>
  <c r="X13" i="24"/>
  <c r="B11" i="24"/>
  <c r="B17" i="24"/>
  <c r="B23" i="24"/>
  <c r="C11" i="24"/>
  <c r="D11" i="24"/>
  <c r="E11" i="24"/>
  <c r="C17" i="24"/>
  <c r="D17" i="24"/>
  <c r="E17" i="24"/>
  <c r="C23" i="24"/>
  <c r="E23" i="24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35" i="67"/>
  <c r="O34" i="67"/>
  <c r="R28" i="67"/>
  <c r="M28" i="67"/>
  <c r="L28" i="67"/>
  <c r="K28" i="67"/>
  <c r="J28" i="67"/>
  <c r="I28" i="67"/>
  <c r="H28" i="67"/>
  <c r="G28" i="67"/>
  <c r="F28" i="67"/>
  <c r="E28" i="67"/>
  <c r="D28" i="67"/>
  <c r="C28" i="67"/>
  <c r="B28" i="67"/>
  <c r="R26" i="67"/>
  <c r="M26" i="67"/>
  <c r="L26" i="67"/>
  <c r="K26" i="67"/>
  <c r="J26" i="67"/>
  <c r="I26" i="67"/>
  <c r="H26" i="67"/>
  <c r="G26" i="67"/>
  <c r="F26" i="67"/>
  <c r="E26" i="67"/>
  <c r="D26" i="67"/>
  <c r="C26" i="67"/>
  <c r="B26" i="67"/>
  <c r="M24" i="67"/>
  <c r="M22" i="67"/>
  <c r="L22" i="67"/>
  <c r="K22" i="67"/>
  <c r="J22" i="67"/>
  <c r="I22" i="67"/>
  <c r="H22" i="67"/>
  <c r="G22" i="67"/>
  <c r="F22" i="67"/>
  <c r="E22" i="67"/>
  <c r="D22" i="67"/>
  <c r="B22" i="67"/>
  <c r="O21" i="67"/>
  <c r="O18" i="67"/>
  <c r="O11" i="67"/>
  <c r="O6" i="67"/>
  <c r="C2" i="67"/>
  <c r="D2" i="67" s="1"/>
  <c r="E2" i="67" s="1"/>
  <c r="F2" i="67" s="1"/>
  <c r="G2" i="67" s="1"/>
  <c r="H2" i="67" s="1"/>
  <c r="I2" i="67" s="1"/>
  <c r="J2" i="67" s="1"/>
  <c r="K2" i="67" s="1"/>
  <c r="L2" i="67" s="1"/>
  <c r="M2" i="67" s="1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36" i="68"/>
  <c r="O35" i="68"/>
  <c r="R29" i="68"/>
  <c r="M29" i="68"/>
  <c r="L29" i="68"/>
  <c r="K29" i="68"/>
  <c r="J29" i="68"/>
  <c r="I29" i="68"/>
  <c r="H29" i="68"/>
  <c r="G29" i="68"/>
  <c r="F29" i="68"/>
  <c r="E29" i="68"/>
  <c r="D29" i="68"/>
  <c r="C29" i="68"/>
  <c r="B29" i="68"/>
  <c r="R27" i="68"/>
  <c r="M27" i="68"/>
  <c r="L27" i="68"/>
  <c r="K27" i="68"/>
  <c r="J27" i="68"/>
  <c r="I27" i="68"/>
  <c r="H27" i="68"/>
  <c r="G27" i="68"/>
  <c r="F27" i="68"/>
  <c r="E27" i="68"/>
  <c r="D27" i="68"/>
  <c r="C27" i="68"/>
  <c r="B27" i="68"/>
  <c r="R26" i="68"/>
  <c r="M26" i="68"/>
  <c r="L26" i="68"/>
  <c r="K26" i="68"/>
  <c r="J26" i="68"/>
  <c r="I26" i="68"/>
  <c r="H26" i="68"/>
  <c r="G26" i="68"/>
  <c r="F26" i="68"/>
  <c r="E26" i="68"/>
  <c r="D26" i="68"/>
  <c r="C26" i="68"/>
  <c r="B26" i="68"/>
  <c r="M24" i="68"/>
  <c r="M22" i="68"/>
  <c r="L22" i="68"/>
  <c r="K22" i="68"/>
  <c r="J22" i="68"/>
  <c r="I22" i="68"/>
  <c r="H22" i="68"/>
  <c r="G22" i="68"/>
  <c r="F22" i="68"/>
  <c r="E22" i="68"/>
  <c r="D22" i="68"/>
  <c r="B22" i="68"/>
  <c r="O21" i="68"/>
  <c r="O30" i="68" s="1"/>
  <c r="O42" i="68" s="1"/>
  <c r="O18" i="68"/>
  <c r="O11" i="68"/>
  <c r="N9" i="68"/>
  <c r="P9" i="68" s="1"/>
  <c r="Q9" i="68" s="1"/>
  <c r="O6" i="68"/>
  <c r="C2" i="68"/>
  <c r="D2" i="68" s="1"/>
  <c r="E2" i="68" s="1"/>
  <c r="F2" i="68" s="1"/>
  <c r="G2" i="68" s="1"/>
  <c r="H2" i="68" s="1"/>
  <c r="I2" i="68" s="1"/>
  <c r="J2" i="68" s="1"/>
  <c r="K2" i="68" s="1"/>
  <c r="L2" i="68" s="1"/>
  <c r="M2" i="68" s="1"/>
  <c r="B31" i="39"/>
  <c r="O31" i="68" l="1"/>
  <c r="B70" i="27"/>
  <c r="B72" i="27" s="1"/>
  <c r="E107" i="28"/>
  <c r="E106" i="28" s="1"/>
  <c r="E104" i="74"/>
  <c r="E103" i="74" s="1"/>
  <c r="E107" i="74"/>
  <c r="E106" i="74" s="1"/>
  <c r="F101" i="28"/>
  <c r="F100" i="28" s="1"/>
  <c r="F101" i="74"/>
  <c r="F100" i="74" s="1"/>
  <c r="F98" i="74"/>
  <c r="B86" i="28"/>
  <c r="B85" i="28" s="1"/>
  <c r="B83" i="74"/>
  <c r="B82" i="74" s="1"/>
  <c r="B86" i="74"/>
  <c r="E86" i="28"/>
  <c r="E85" i="28" s="1"/>
  <c r="E86" i="74"/>
  <c r="E85" i="74" s="1"/>
  <c r="E83" i="74"/>
  <c r="E82" i="74" s="1"/>
  <c r="E80" i="28"/>
  <c r="E79" i="28" s="1"/>
  <c r="E77" i="74"/>
  <c r="E76" i="74" s="1"/>
  <c r="E80" i="74"/>
  <c r="E79" i="74" s="1"/>
  <c r="F80" i="28"/>
  <c r="F79" i="28" s="1"/>
  <c r="F80" i="74"/>
  <c r="F79" i="74" s="1"/>
  <c r="F77" i="74"/>
  <c r="B80" i="28"/>
  <c r="B79" i="28" s="1"/>
  <c r="B80" i="74"/>
  <c r="B77" i="74"/>
  <c r="B76" i="74" s="1"/>
  <c r="B74" i="28"/>
  <c r="B73" i="28" s="1"/>
  <c r="B74" i="74"/>
  <c r="B59" i="28"/>
  <c r="B58" i="28" s="1"/>
  <c r="B59" i="74"/>
  <c r="B56" i="74"/>
  <c r="B53" i="28"/>
  <c r="B52" i="28" s="1"/>
  <c r="B53" i="74"/>
  <c r="E44" i="28"/>
  <c r="E43" i="28" s="1"/>
  <c r="E41" i="74"/>
  <c r="E40" i="74" s="1"/>
  <c r="E44" i="74"/>
  <c r="E43" i="74" s="1"/>
  <c r="D44" i="28"/>
  <c r="D43" i="28" s="1"/>
  <c r="D44" i="74"/>
  <c r="D43" i="74" s="1"/>
  <c r="D41" i="74"/>
  <c r="D40" i="74" s="1"/>
  <c r="B38" i="28"/>
  <c r="B37" i="28" s="1"/>
  <c r="B35" i="74"/>
  <c r="B38" i="74"/>
  <c r="E38" i="28"/>
  <c r="E37" i="28" s="1"/>
  <c r="E38" i="74"/>
  <c r="E37" i="74" s="1"/>
  <c r="E35" i="74"/>
  <c r="E34" i="74" s="1"/>
  <c r="B32" i="28"/>
  <c r="B31" i="28" s="1"/>
  <c r="B32" i="74"/>
  <c r="E26" i="28"/>
  <c r="E25" i="28" s="1"/>
  <c r="B97" i="27"/>
  <c r="B98" i="28" s="1"/>
  <c r="B97" i="28" s="1"/>
  <c r="B149" i="29"/>
  <c r="B147" i="29" s="1"/>
  <c r="B144" i="29"/>
  <c r="B140" i="29"/>
  <c r="B154" i="29"/>
  <c r="B152" i="29" s="1"/>
  <c r="B159" i="29"/>
  <c r="B157" i="29" s="1"/>
  <c r="B164" i="29"/>
  <c r="B162" i="29" s="1"/>
  <c r="B169" i="29"/>
  <c r="B167" i="29" s="1"/>
  <c r="B100" i="27"/>
  <c r="B103" i="27"/>
  <c r="B104" i="28" s="1"/>
  <c r="B103" i="28" s="1"/>
  <c r="B106" i="27"/>
  <c r="E61" i="27"/>
  <c r="E62" i="28" s="1"/>
  <c r="E61" i="28" s="1"/>
  <c r="E103" i="27"/>
  <c r="E104" i="28" s="1"/>
  <c r="E103" i="28" s="1"/>
  <c r="B27" i="29"/>
  <c r="B25" i="29" s="1"/>
  <c r="B22" i="29"/>
  <c r="B20" i="29" s="1"/>
  <c r="B32" i="29"/>
  <c r="B30" i="29" s="1"/>
  <c r="B12" i="29"/>
  <c r="B19" i="27"/>
  <c r="B37" i="29"/>
  <c r="B35" i="29" s="1"/>
  <c r="B25" i="27"/>
  <c r="E100" i="27"/>
  <c r="C3" i="65"/>
  <c r="B64" i="27"/>
  <c r="C3" i="64"/>
  <c r="C3" i="26"/>
  <c r="G103" i="27"/>
  <c r="G104" i="28" s="1"/>
  <c r="G103" i="28" s="1"/>
  <c r="F109" i="27"/>
  <c r="F110" i="28" s="1"/>
  <c r="F109" i="28" s="1"/>
  <c r="F103" i="27"/>
  <c r="F104" i="28" s="1"/>
  <c r="F103" i="28" s="1"/>
  <c r="E109" i="27"/>
  <c r="E110" i="28" s="1"/>
  <c r="E109" i="28" s="1"/>
  <c r="E88" i="27"/>
  <c r="E89" i="28" s="1"/>
  <c r="E88" i="28" s="1"/>
  <c r="F67" i="27"/>
  <c r="F68" i="28" s="1"/>
  <c r="F67" i="28" s="1"/>
  <c r="F64" i="27"/>
  <c r="E64" i="27"/>
  <c r="E67" i="27"/>
  <c r="E68" i="28" s="1"/>
  <c r="E67" i="28" s="1"/>
  <c r="E19" i="27"/>
  <c r="B47" i="28"/>
  <c r="B46" i="28" s="1"/>
  <c r="D47" i="28"/>
  <c r="D46" i="28" s="1"/>
  <c r="F47" i="28"/>
  <c r="F46" i="28" s="1"/>
  <c r="E47" i="28"/>
  <c r="E46" i="28" s="1"/>
  <c r="D41" i="28"/>
  <c r="D40" i="28" s="1"/>
  <c r="B13" i="27"/>
  <c r="B14" i="28" s="1"/>
  <c r="C13" i="27"/>
  <c r="C14" i="28" s="1"/>
  <c r="C13" i="28" s="1"/>
  <c r="O29" i="67"/>
  <c r="N28" i="67"/>
  <c r="S28" i="67" s="1"/>
  <c r="O42" i="67"/>
  <c r="O41" i="67"/>
  <c r="O38" i="67"/>
  <c r="O36" i="67"/>
  <c r="O30" i="67"/>
  <c r="N26" i="67"/>
  <c r="O33" i="68"/>
  <c r="O40" i="68" s="1"/>
  <c r="O34" i="68"/>
  <c r="N29" i="68"/>
  <c r="N27" i="68"/>
  <c r="N26" i="68"/>
  <c r="O39" i="68"/>
  <c r="O37" i="68"/>
  <c r="O38" i="68"/>
  <c r="O43" i="68"/>
  <c r="B22" i="3"/>
  <c r="O18" i="45"/>
  <c r="N92" i="76" l="1"/>
  <c r="B107" i="28"/>
  <c r="B106" i="28" s="1"/>
  <c r="B104" i="74"/>
  <c r="B103" i="74" s="1"/>
  <c r="B107" i="74"/>
  <c r="E101" i="28"/>
  <c r="E100" i="28" s="1"/>
  <c r="E98" i="74"/>
  <c r="E97" i="74" s="1"/>
  <c r="E101" i="74"/>
  <c r="E100" i="74" s="1"/>
  <c r="F97" i="74"/>
  <c r="B101" i="28"/>
  <c r="B100" i="28" s="1"/>
  <c r="B98" i="74"/>
  <c r="B97" i="74" s="1"/>
  <c r="B101" i="74"/>
  <c r="B85" i="74"/>
  <c r="F76" i="74"/>
  <c r="B79" i="74"/>
  <c r="B71" i="74"/>
  <c r="B73" i="74"/>
  <c r="B68" i="74"/>
  <c r="B67" i="74" s="1"/>
  <c r="F65" i="28"/>
  <c r="F64" i="28" s="1"/>
  <c r="F62" i="74"/>
  <c r="F61" i="74" s="1"/>
  <c r="F65" i="74"/>
  <c r="F64" i="74" s="1"/>
  <c r="E65" i="28"/>
  <c r="E64" i="28" s="1"/>
  <c r="E62" i="74"/>
  <c r="E61" i="74" s="1"/>
  <c r="E65" i="74"/>
  <c r="E64" i="74" s="1"/>
  <c r="B65" i="28"/>
  <c r="B64" i="28" s="1"/>
  <c r="B62" i="74"/>
  <c r="B61" i="74" s="1"/>
  <c r="B65" i="74"/>
  <c r="B55" i="74"/>
  <c r="B58" i="74"/>
  <c r="B50" i="74"/>
  <c r="B52" i="74"/>
  <c r="C44" i="28"/>
  <c r="C43" i="28" s="1"/>
  <c r="C44" i="74"/>
  <c r="C43" i="74" s="1"/>
  <c r="C41" i="74"/>
  <c r="C40" i="74" s="1"/>
  <c r="B44" i="28"/>
  <c r="B43" i="28" s="1"/>
  <c r="B41" i="74"/>
  <c r="B44" i="74"/>
  <c r="B37" i="74"/>
  <c r="D38" i="28"/>
  <c r="D37" i="28" s="1"/>
  <c r="D35" i="74"/>
  <c r="D34" i="74" s="1"/>
  <c r="D38" i="74"/>
  <c r="D37" i="74" s="1"/>
  <c r="B34" i="74"/>
  <c r="C32" i="28"/>
  <c r="C31" i="28" s="1"/>
  <c r="C32" i="74"/>
  <c r="D32" i="28"/>
  <c r="D31" i="28" s="1"/>
  <c r="D32" i="74"/>
  <c r="B29" i="74"/>
  <c r="B31" i="74"/>
  <c r="B26" i="28"/>
  <c r="B25" i="28" s="1"/>
  <c r="B20" i="28"/>
  <c r="B19" i="28" s="1"/>
  <c r="E20" i="28"/>
  <c r="E19" i="28" s="1"/>
  <c r="B71" i="28"/>
  <c r="B49" i="27"/>
  <c r="B26" i="74"/>
  <c r="B25" i="74" s="1"/>
  <c r="C97" i="27"/>
  <c r="C98" i="28" s="1"/>
  <c r="C97" i="28" s="1"/>
  <c r="D103" i="27"/>
  <c r="D104" i="28" s="1"/>
  <c r="D103" i="28" s="1"/>
  <c r="C164" i="29"/>
  <c r="C162" i="29" s="1"/>
  <c r="B106" i="32"/>
  <c r="B106" i="71"/>
  <c r="B94" i="27"/>
  <c r="B106" i="33"/>
  <c r="B92" i="71"/>
  <c r="B94" i="71"/>
  <c r="B164" i="31"/>
  <c r="B162" i="31" s="1"/>
  <c r="B94" i="32"/>
  <c r="B92" i="32"/>
  <c r="C159" i="29"/>
  <c r="C157" i="29" s="1"/>
  <c r="C149" i="29"/>
  <c r="C147" i="29" s="1"/>
  <c r="B103" i="32"/>
  <c r="B109" i="33"/>
  <c r="C154" i="29"/>
  <c r="C152" i="29" s="1"/>
  <c r="C144" i="29"/>
  <c r="C142" i="29" s="1"/>
  <c r="C140" i="29"/>
  <c r="B94" i="33"/>
  <c r="B92" i="33"/>
  <c r="B97" i="71"/>
  <c r="B109" i="32"/>
  <c r="B97" i="32"/>
  <c r="B109" i="71"/>
  <c r="B100" i="33"/>
  <c r="B169" i="31"/>
  <c r="B167" i="31" s="1"/>
  <c r="B100" i="32"/>
  <c r="B97" i="33"/>
  <c r="C169" i="29"/>
  <c r="C167" i="29" s="1"/>
  <c r="B100" i="71"/>
  <c r="B144" i="31"/>
  <c r="B140" i="31"/>
  <c r="B159" i="31"/>
  <c r="B157" i="31" s="1"/>
  <c r="B103" i="33"/>
  <c r="B139" i="29"/>
  <c r="B103" i="71"/>
  <c r="B149" i="31"/>
  <c r="B147" i="31" s="1"/>
  <c r="B154" i="31"/>
  <c r="B152" i="31" s="1"/>
  <c r="B37" i="31"/>
  <c r="B35" i="31" s="1"/>
  <c r="B32" i="31"/>
  <c r="B30" i="31" s="1"/>
  <c r="B16" i="33"/>
  <c r="B22" i="31"/>
  <c r="B20" i="31" s="1"/>
  <c r="B25" i="71"/>
  <c r="C22" i="29"/>
  <c r="C20" i="29" s="1"/>
  <c r="B16" i="32"/>
  <c r="B10" i="33"/>
  <c r="B19" i="71"/>
  <c r="B16" i="71"/>
  <c r="B12" i="31"/>
  <c r="B19" i="33"/>
  <c r="B19" i="32"/>
  <c r="B22" i="71"/>
  <c r="C27" i="29"/>
  <c r="C25" i="29" s="1"/>
  <c r="D19" i="27"/>
  <c r="E22" i="27"/>
  <c r="B25" i="33"/>
  <c r="B22" i="32"/>
  <c r="B27" i="31"/>
  <c r="B25" i="31" s="1"/>
  <c r="B10" i="32"/>
  <c r="B25" i="32"/>
  <c r="B22" i="33"/>
  <c r="C12" i="29"/>
  <c r="C10" i="29" s="1"/>
  <c r="C8" i="29"/>
  <c r="B10" i="71"/>
  <c r="B22" i="27"/>
  <c r="C37" i="29"/>
  <c r="C35" i="29" s="1"/>
  <c r="C32" i="29"/>
  <c r="C30" i="29" s="1"/>
  <c r="B17" i="29"/>
  <c r="B15" i="29" s="1"/>
  <c r="B8" i="29"/>
  <c r="B5" i="29" s="1"/>
  <c r="B109" i="27"/>
  <c r="B110" i="28" s="1"/>
  <c r="B109" i="28" s="1"/>
  <c r="D106" i="27"/>
  <c r="C100" i="27"/>
  <c r="E3" i="68"/>
  <c r="H3" i="68"/>
  <c r="M3" i="68"/>
  <c r="N3" i="68"/>
  <c r="C3" i="68"/>
  <c r="F3" i="68"/>
  <c r="G3" i="68"/>
  <c r="I3" i="68"/>
  <c r="J3" i="68"/>
  <c r="K3" i="68"/>
  <c r="L3" i="68"/>
  <c r="B3" i="68"/>
  <c r="D3" i="68"/>
  <c r="G109" i="27"/>
  <c r="G110" i="28" s="1"/>
  <c r="G109" i="28" s="1"/>
  <c r="C94" i="27"/>
  <c r="H103" i="27"/>
  <c r="H104" i="28" s="1"/>
  <c r="H103" i="28" s="1"/>
  <c r="F106" i="27"/>
  <c r="G100" i="27"/>
  <c r="F85" i="27"/>
  <c r="G79" i="27"/>
  <c r="F88" i="27"/>
  <c r="F89" i="28" s="1"/>
  <c r="F88" i="28" s="1"/>
  <c r="G61" i="27"/>
  <c r="G62" i="28" s="1"/>
  <c r="G61" i="28" s="1"/>
  <c r="G64" i="27"/>
  <c r="G67" i="27"/>
  <c r="G68" i="28" s="1"/>
  <c r="G67" i="28" s="1"/>
  <c r="C41" i="28"/>
  <c r="C40" i="28" s="1"/>
  <c r="D26" i="74"/>
  <c r="D25" i="74" s="1"/>
  <c r="C47" i="28"/>
  <c r="C46" i="28" s="1"/>
  <c r="F41" i="28"/>
  <c r="F40" i="28" s="1"/>
  <c r="G47" i="28"/>
  <c r="G46" i="28" s="1"/>
  <c r="C19" i="27"/>
  <c r="C20" i="28" s="1"/>
  <c r="C19" i="28" s="1"/>
  <c r="F25" i="27"/>
  <c r="F22" i="27"/>
  <c r="F19" i="27"/>
  <c r="D13" i="27"/>
  <c r="D14" i="28" s="1"/>
  <c r="D13" i="28" s="1"/>
  <c r="E13" i="27"/>
  <c r="E14" i="28" s="1"/>
  <c r="E13" i="28" s="1"/>
  <c r="P28" i="67"/>
  <c r="Q28" i="67" s="1"/>
  <c r="S26" i="67"/>
  <c r="P26" i="67"/>
  <c r="Q26" i="67" s="1"/>
  <c r="O33" i="67"/>
  <c r="O37" i="67"/>
  <c r="O32" i="67"/>
  <c r="O39" i="67" s="1"/>
  <c r="P27" i="68"/>
  <c r="Q27" i="68" s="1"/>
  <c r="S27" i="68"/>
  <c r="S26" i="68"/>
  <c r="P26" i="68"/>
  <c r="Q26" i="68" s="1"/>
  <c r="P29" i="68"/>
  <c r="Q29" i="68" s="1"/>
  <c r="S29" i="68"/>
  <c r="G242" i="61"/>
  <c r="C55" i="51"/>
  <c r="D55" i="51" s="1"/>
  <c r="E55" i="51" s="1"/>
  <c r="F55" i="51" s="1"/>
  <c r="G55" i="51" s="1"/>
  <c r="H55" i="51" s="1"/>
  <c r="I55" i="51" s="1"/>
  <c r="J55" i="51" s="1"/>
  <c r="K55" i="51" s="1"/>
  <c r="L55" i="51" s="1"/>
  <c r="M55" i="51" s="1"/>
  <c r="C33" i="53"/>
  <c r="D33" i="53" s="1"/>
  <c r="E33" i="53" s="1"/>
  <c r="F33" i="53" s="1"/>
  <c r="G33" i="53" s="1"/>
  <c r="H33" i="53" s="1"/>
  <c r="I33" i="53" s="1"/>
  <c r="J33" i="53" s="1"/>
  <c r="K33" i="53" s="1"/>
  <c r="L33" i="53" s="1"/>
  <c r="M33" i="53" s="1"/>
  <c r="C29" i="53"/>
  <c r="D29" i="53" s="1"/>
  <c r="E29" i="53" s="1"/>
  <c r="F29" i="53" s="1"/>
  <c r="G29" i="53" s="1"/>
  <c r="H29" i="53" s="1"/>
  <c r="I29" i="53" s="1"/>
  <c r="J29" i="53" s="1"/>
  <c r="K29" i="53" s="1"/>
  <c r="L29" i="53" s="1"/>
  <c r="M29" i="53" s="1"/>
  <c r="C29" i="54"/>
  <c r="D29" i="54" s="1"/>
  <c r="E29" i="54" s="1"/>
  <c r="F29" i="54" s="1"/>
  <c r="G29" i="54" s="1"/>
  <c r="H29" i="54" s="1"/>
  <c r="I29" i="54" s="1"/>
  <c r="J29" i="54" s="1"/>
  <c r="K29" i="54" s="1"/>
  <c r="L29" i="54" s="1"/>
  <c r="M29" i="54" s="1"/>
  <c r="D55" i="50"/>
  <c r="E55" i="50" s="1"/>
  <c r="F55" i="50" s="1"/>
  <c r="G55" i="50" s="1"/>
  <c r="H55" i="50" s="1"/>
  <c r="I55" i="50" s="1"/>
  <c r="J55" i="50" s="1"/>
  <c r="K55" i="50" s="1"/>
  <c r="L55" i="50" s="1"/>
  <c r="M55" i="50" s="1"/>
  <c r="C55" i="50"/>
  <c r="C41" i="50"/>
  <c r="D41" i="50" s="1"/>
  <c r="E41" i="50" s="1"/>
  <c r="F41" i="50" s="1"/>
  <c r="G41" i="50" s="1"/>
  <c r="H41" i="50" s="1"/>
  <c r="I41" i="50" s="1"/>
  <c r="J41" i="50" s="1"/>
  <c r="K41" i="50" s="1"/>
  <c r="L41" i="50" s="1"/>
  <c r="M41" i="50" s="1"/>
  <c r="C27" i="50"/>
  <c r="D27" i="50" s="1"/>
  <c r="E27" i="50" s="1"/>
  <c r="F27" i="50" s="1"/>
  <c r="G27" i="50" s="1"/>
  <c r="H27" i="50" s="1"/>
  <c r="I27" i="50" s="1"/>
  <c r="J27" i="50" s="1"/>
  <c r="K27" i="50" s="1"/>
  <c r="L27" i="50" s="1"/>
  <c r="M27" i="50" s="1"/>
  <c r="C86" i="51"/>
  <c r="D86" i="51" s="1"/>
  <c r="E86" i="51" s="1"/>
  <c r="F86" i="51" s="1"/>
  <c r="G86" i="51" s="1"/>
  <c r="H86" i="51" s="1"/>
  <c r="I86" i="51" s="1"/>
  <c r="J86" i="51" s="1"/>
  <c r="K86" i="51" s="1"/>
  <c r="L86" i="51" s="1"/>
  <c r="M86" i="51" s="1"/>
  <c r="C72" i="51"/>
  <c r="D72" i="51" s="1"/>
  <c r="E72" i="51" s="1"/>
  <c r="F72" i="51" s="1"/>
  <c r="G72" i="51" s="1"/>
  <c r="H72" i="51" s="1"/>
  <c r="I72" i="51" s="1"/>
  <c r="J72" i="51" s="1"/>
  <c r="K72" i="51" s="1"/>
  <c r="L72" i="51" s="1"/>
  <c r="M72" i="51" s="1"/>
  <c r="C58" i="51"/>
  <c r="D58" i="51" s="1"/>
  <c r="E58" i="51" s="1"/>
  <c r="F58" i="51" s="1"/>
  <c r="G58" i="51" s="1"/>
  <c r="H58" i="51" s="1"/>
  <c r="I58" i="51" s="1"/>
  <c r="J58" i="51" s="1"/>
  <c r="K58" i="51" s="1"/>
  <c r="L58" i="51" s="1"/>
  <c r="M58" i="51" s="1"/>
  <c r="C64" i="52"/>
  <c r="D64" i="52" s="1"/>
  <c r="E64" i="52" s="1"/>
  <c r="F64" i="52" s="1"/>
  <c r="G64" i="52" s="1"/>
  <c r="H64" i="52" s="1"/>
  <c r="I64" i="52" s="1"/>
  <c r="J64" i="52" s="1"/>
  <c r="K64" i="52" s="1"/>
  <c r="L64" i="52" s="1"/>
  <c r="M64" i="52" s="1"/>
  <c r="C50" i="52"/>
  <c r="D50" i="52" s="1"/>
  <c r="E50" i="52" s="1"/>
  <c r="F50" i="52" s="1"/>
  <c r="G50" i="52" s="1"/>
  <c r="H50" i="52" s="1"/>
  <c r="I50" i="52" s="1"/>
  <c r="J50" i="52" s="1"/>
  <c r="K50" i="52" s="1"/>
  <c r="L50" i="52" s="1"/>
  <c r="M50" i="52" s="1"/>
  <c r="C36" i="52"/>
  <c r="D36" i="52" s="1"/>
  <c r="E36" i="52" s="1"/>
  <c r="F36" i="52" s="1"/>
  <c r="G36" i="52" s="1"/>
  <c r="H36" i="52" s="1"/>
  <c r="I36" i="52" s="1"/>
  <c r="J36" i="52" s="1"/>
  <c r="K36" i="52" s="1"/>
  <c r="L36" i="52" s="1"/>
  <c r="M36" i="52" s="1"/>
  <c r="C64" i="53"/>
  <c r="D64" i="53" s="1"/>
  <c r="E64" i="53" s="1"/>
  <c r="F64" i="53" s="1"/>
  <c r="G64" i="53" s="1"/>
  <c r="H64" i="53" s="1"/>
  <c r="I64" i="53" s="1"/>
  <c r="J64" i="53" s="1"/>
  <c r="K64" i="53" s="1"/>
  <c r="L64" i="53" s="1"/>
  <c r="M64" i="53" s="1"/>
  <c r="C50" i="53"/>
  <c r="D50" i="53" s="1"/>
  <c r="E50" i="53" s="1"/>
  <c r="F50" i="53" s="1"/>
  <c r="G50" i="53" s="1"/>
  <c r="H50" i="53" s="1"/>
  <c r="I50" i="53" s="1"/>
  <c r="J50" i="53" s="1"/>
  <c r="K50" i="53" s="1"/>
  <c r="L50" i="53" s="1"/>
  <c r="M50" i="53" s="1"/>
  <c r="C36" i="53"/>
  <c r="D36" i="53" s="1"/>
  <c r="E36" i="53" s="1"/>
  <c r="F36" i="53" s="1"/>
  <c r="G36" i="53" s="1"/>
  <c r="H36" i="53" s="1"/>
  <c r="I36" i="53" s="1"/>
  <c r="J36" i="53" s="1"/>
  <c r="K36" i="53" s="1"/>
  <c r="L36" i="53" s="1"/>
  <c r="M36" i="53" s="1"/>
  <c r="C64" i="54"/>
  <c r="D64" i="54" s="1"/>
  <c r="E64" i="54" s="1"/>
  <c r="F64" i="54" s="1"/>
  <c r="G64" i="54" s="1"/>
  <c r="H64" i="54" s="1"/>
  <c r="I64" i="54" s="1"/>
  <c r="J64" i="54" s="1"/>
  <c r="K64" i="54" s="1"/>
  <c r="L64" i="54" s="1"/>
  <c r="M64" i="54" s="1"/>
  <c r="C50" i="54"/>
  <c r="D50" i="54" s="1"/>
  <c r="E50" i="54" s="1"/>
  <c r="F50" i="54" s="1"/>
  <c r="G50" i="54" s="1"/>
  <c r="H50" i="54" s="1"/>
  <c r="I50" i="54" s="1"/>
  <c r="J50" i="54" s="1"/>
  <c r="K50" i="54" s="1"/>
  <c r="L50" i="54" s="1"/>
  <c r="M50" i="54" s="1"/>
  <c r="D36" i="54"/>
  <c r="E36" i="54" s="1"/>
  <c r="F36" i="54" s="1"/>
  <c r="G36" i="54" s="1"/>
  <c r="H36" i="54" s="1"/>
  <c r="I36" i="54" s="1"/>
  <c r="J36" i="54" s="1"/>
  <c r="K36" i="54" s="1"/>
  <c r="L36" i="54" s="1"/>
  <c r="M36" i="54" s="1"/>
  <c r="C36" i="54"/>
  <c r="C55" i="55"/>
  <c r="D55" i="55" s="1"/>
  <c r="E55" i="55" s="1"/>
  <c r="F55" i="55" s="1"/>
  <c r="G55" i="55" s="1"/>
  <c r="H55" i="55" s="1"/>
  <c r="I55" i="55" s="1"/>
  <c r="J55" i="55" s="1"/>
  <c r="K55" i="55" s="1"/>
  <c r="L55" i="55" s="1"/>
  <c r="M55" i="55" s="1"/>
  <c r="C41" i="55"/>
  <c r="D41" i="55" s="1"/>
  <c r="E41" i="55" s="1"/>
  <c r="F41" i="55" s="1"/>
  <c r="G41" i="55" s="1"/>
  <c r="H41" i="55" s="1"/>
  <c r="I41" i="55" s="1"/>
  <c r="J41" i="55" s="1"/>
  <c r="K41" i="55" s="1"/>
  <c r="L41" i="55" s="1"/>
  <c r="M41" i="55" s="1"/>
  <c r="C27" i="55"/>
  <c r="D27" i="55" s="1"/>
  <c r="E27" i="55" s="1"/>
  <c r="F27" i="55" s="1"/>
  <c r="G27" i="55" s="1"/>
  <c r="H27" i="55" s="1"/>
  <c r="I27" i="55" s="1"/>
  <c r="J27" i="55" s="1"/>
  <c r="K27" i="55" s="1"/>
  <c r="L27" i="55" s="1"/>
  <c r="M27" i="55" s="1"/>
  <c r="A58" i="55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45" i="55"/>
  <c r="A46" i="55" s="1"/>
  <c r="A47" i="55" s="1"/>
  <c r="A48" i="55" s="1"/>
  <c r="A49" i="55" s="1"/>
  <c r="A50" i="55" s="1"/>
  <c r="A51" i="55" s="1"/>
  <c r="A52" i="55" s="1"/>
  <c r="A53" i="55" s="1"/>
  <c r="A54" i="55" s="1"/>
  <c r="A44" i="55"/>
  <c r="A30" i="55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67" i="54"/>
  <c r="A68" i="54" s="1"/>
  <c r="A69" i="54" s="1"/>
  <c r="A70" i="54" s="1"/>
  <c r="A71" i="54" s="1"/>
  <c r="A72" i="54" s="1"/>
  <c r="A73" i="54" s="1"/>
  <c r="A74" i="54" s="1"/>
  <c r="A75" i="54" s="1"/>
  <c r="A76" i="54" s="1"/>
  <c r="A77" i="54" s="1"/>
  <c r="A53" i="54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39" i="54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67" i="53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53" i="53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39" i="53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67" i="52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53" i="52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39" i="52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61" i="51"/>
  <c r="A62" i="51" s="1"/>
  <c r="A63" i="51" s="1"/>
  <c r="A64" i="51" s="1"/>
  <c r="A65" i="51" s="1"/>
  <c r="A66" i="51" s="1"/>
  <c r="A67" i="51" s="1"/>
  <c r="A68" i="51" s="1"/>
  <c r="A69" i="51" s="1"/>
  <c r="A70" i="51" s="1"/>
  <c r="A71" i="51" s="1"/>
  <c r="A75" i="51"/>
  <c r="A76" i="51" s="1"/>
  <c r="A77" i="51" s="1"/>
  <c r="A78" i="51" s="1"/>
  <c r="A79" i="51" s="1"/>
  <c r="A80" i="51" s="1"/>
  <c r="A81" i="51" s="1"/>
  <c r="A82" i="51" s="1"/>
  <c r="A83" i="51" s="1"/>
  <c r="A84" i="51" s="1"/>
  <c r="A85" i="51" s="1"/>
  <c r="A89" i="51"/>
  <c r="A90" i="51" s="1"/>
  <c r="A91" i="51" s="1"/>
  <c r="A92" i="51" s="1"/>
  <c r="A93" i="51" s="1"/>
  <c r="A94" i="51" s="1"/>
  <c r="A95" i="51" s="1"/>
  <c r="A96" i="51" s="1"/>
  <c r="A97" i="51" s="1"/>
  <c r="A98" i="51" s="1"/>
  <c r="A99" i="51" s="1"/>
  <c r="A30" i="49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5" i="49"/>
  <c r="A46" i="49" s="1"/>
  <c r="A47" i="49" s="1"/>
  <c r="A48" i="49" s="1"/>
  <c r="A49" i="49" s="1"/>
  <c r="A50" i="49" s="1"/>
  <c r="A51" i="49" s="1"/>
  <c r="A52" i="49" s="1"/>
  <c r="A53" i="49" s="1"/>
  <c r="A54" i="49" s="1"/>
  <c r="A44" i="49"/>
  <c r="A59" i="49"/>
  <c r="A60" i="49" s="1"/>
  <c r="A61" i="49" s="1"/>
  <c r="A62" i="49" s="1"/>
  <c r="A63" i="49" s="1"/>
  <c r="A64" i="49" s="1"/>
  <c r="A65" i="49" s="1"/>
  <c r="A66" i="49" s="1"/>
  <c r="A67" i="49" s="1"/>
  <c r="A68" i="49" s="1"/>
  <c r="A58" i="49"/>
  <c r="C55" i="49"/>
  <c r="D55" i="49" s="1"/>
  <c r="E55" i="49" s="1"/>
  <c r="F55" i="49" s="1"/>
  <c r="G55" i="49" s="1"/>
  <c r="H55" i="49" s="1"/>
  <c r="I55" i="49" s="1"/>
  <c r="J55" i="49" s="1"/>
  <c r="K55" i="49" s="1"/>
  <c r="L55" i="49" s="1"/>
  <c r="M55" i="49" s="1"/>
  <c r="D41" i="49"/>
  <c r="E41" i="49" s="1"/>
  <c r="F41" i="49" s="1"/>
  <c r="G41" i="49" s="1"/>
  <c r="H41" i="49" s="1"/>
  <c r="I41" i="49" s="1"/>
  <c r="J41" i="49" s="1"/>
  <c r="K41" i="49" s="1"/>
  <c r="L41" i="49" s="1"/>
  <c r="M41" i="49" s="1"/>
  <c r="C41" i="49"/>
  <c r="C27" i="49"/>
  <c r="D27" i="49" s="1"/>
  <c r="E27" i="49" s="1"/>
  <c r="F27" i="49" s="1"/>
  <c r="G27" i="49" s="1"/>
  <c r="H27" i="49" s="1"/>
  <c r="I27" i="49" s="1"/>
  <c r="J27" i="49" s="1"/>
  <c r="K27" i="49" s="1"/>
  <c r="L27" i="49" s="1"/>
  <c r="M27" i="49" s="1"/>
  <c r="C38" i="47"/>
  <c r="D38" i="47" s="1"/>
  <c r="E38" i="47" s="1"/>
  <c r="F38" i="47" s="1"/>
  <c r="G38" i="47" s="1"/>
  <c r="H38" i="47" s="1"/>
  <c r="I38" i="47" s="1"/>
  <c r="J38" i="47" s="1"/>
  <c r="K38" i="47" s="1"/>
  <c r="L38" i="47" s="1"/>
  <c r="M38" i="47" s="1"/>
  <c r="C34" i="47"/>
  <c r="D34" i="47" s="1"/>
  <c r="E34" i="47" s="1"/>
  <c r="F34" i="47" s="1"/>
  <c r="G34" i="47" s="1"/>
  <c r="H34" i="47" s="1"/>
  <c r="I34" i="47" s="1"/>
  <c r="J34" i="47" s="1"/>
  <c r="K34" i="47" s="1"/>
  <c r="L34" i="47" s="1"/>
  <c r="M34" i="47" s="1"/>
  <c r="A76" i="47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C73" i="47"/>
  <c r="D73" i="47" s="1"/>
  <c r="E73" i="47" s="1"/>
  <c r="F73" i="47" s="1"/>
  <c r="G73" i="47" s="1"/>
  <c r="H73" i="47" s="1"/>
  <c r="I73" i="47" s="1"/>
  <c r="J73" i="47" s="1"/>
  <c r="K73" i="47" s="1"/>
  <c r="L73" i="47" s="1"/>
  <c r="M73" i="47" s="1"/>
  <c r="C59" i="47"/>
  <c r="D59" i="47" s="1"/>
  <c r="E59" i="47" s="1"/>
  <c r="F59" i="47" s="1"/>
  <c r="G59" i="47" s="1"/>
  <c r="H59" i="47" s="1"/>
  <c r="I59" i="47" s="1"/>
  <c r="J59" i="47" s="1"/>
  <c r="K59" i="47" s="1"/>
  <c r="L59" i="47" s="1"/>
  <c r="M59" i="47" s="1"/>
  <c r="A62" i="47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48" i="47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C45" i="47"/>
  <c r="D45" i="47" s="1"/>
  <c r="E45" i="47" s="1"/>
  <c r="F45" i="47" s="1"/>
  <c r="G45" i="47" s="1"/>
  <c r="H45" i="47" s="1"/>
  <c r="I45" i="47" s="1"/>
  <c r="J45" i="47" s="1"/>
  <c r="K45" i="47" s="1"/>
  <c r="L45" i="47" s="1"/>
  <c r="M45" i="47" s="1"/>
  <c r="A30" i="56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4" i="56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9" i="56"/>
  <c r="A60" i="56" s="1"/>
  <c r="A61" i="56" s="1"/>
  <c r="A62" i="56" s="1"/>
  <c r="A63" i="56" s="1"/>
  <c r="A64" i="56" s="1"/>
  <c r="A65" i="56" s="1"/>
  <c r="A66" i="56" s="1"/>
  <c r="A67" i="56" s="1"/>
  <c r="A68" i="56" s="1"/>
  <c r="A58" i="56"/>
  <c r="C41" i="56"/>
  <c r="D41" i="56" s="1"/>
  <c r="E41" i="56" s="1"/>
  <c r="F41" i="56" s="1"/>
  <c r="G41" i="56" s="1"/>
  <c r="H41" i="56" s="1"/>
  <c r="I41" i="56" s="1"/>
  <c r="J41" i="56" s="1"/>
  <c r="K41" i="56" s="1"/>
  <c r="L41" i="56" s="1"/>
  <c r="M41" i="56" s="1"/>
  <c r="D55" i="56"/>
  <c r="E55" i="56" s="1"/>
  <c r="F55" i="56" s="1"/>
  <c r="G55" i="56" s="1"/>
  <c r="H55" i="56" s="1"/>
  <c r="I55" i="56" s="1"/>
  <c r="J55" i="56" s="1"/>
  <c r="K55" i="56" s="1"/>
  <c r="L55" i="56" s="1"/>
  <c r="M55" i="56" s="1"/>
  <c r="C55" i="56"/>
  <c r="E27" i="56"/>
  <c r="F27" i="56" s="1"/>
  <c r="G27" i="56" s="1"/>
  <c r="H27" i="56" s="1"/>
  <c r="I27" i="56" s="1"/>
  <c r="J27" i="56" s="1"/>
  <c r="K27" i="56" s="1"/>
  <c r="L27" i="56" s="1"/>
  <c r="M27" i="56" s="1"/>
  <c r="D27" i="56"/>
  <c r="C27" i="56"/>
  <c r="L231" i="61"/>
  <c r="M231" i="61" s="1"/>
  <c r="N231" i="61" s="1"/>
  <c r="L186" i="61"/>
  <c r="M186" i="61" s="1"/>
  <c r="N186" i="61" s="1"/>
  <c r="L187" i="61"/>
  <c r="M187" i="61" s="1"/>
  <c r="N187" i="61" s="1"/>
  <c r="L188" i="61"/>
  <c r="M188" i="61" s="1"/>
  <c r="N188" i="61" s="1"/>
  <c r="L212" i="61"/>
  <c r="M212" i="61" s="1"/>
  <c r="N212" i="61" s="1"/>
  <c r="L100" i="61"/>
  <c r="M100" i="61" s="1"/>
  <c r="N100" i="61" s="1"/>
  <c r="L240" i="61"/>
  <c r="M240" i="61" s="1"/>
  <c r="N240" i="61" s="1"/>
  <c r="L239" i="61"/>
  <c r="M239" i="61" s="1"/>
  <c r="N239" i="61" s="1"/>
  <c r="L238" i="61"/>
  <c r="M238" i="61" s="1"/>
  <c r="N238" i="61" s="1"/>
  <c r="L237" i="61"/>
  <c r="M237" i="61" s="1"/>
  <c r="N237" i="61" s="1"/>
  <c r="L236" i="61"/>
  <c r="M236" i="61" s="1"/>
  <c r="N236" i="61" s="1"/>
  <c r="L235" i="61"/>
  <c r="M235" i="61" s="1"/>
  <c r="N235" i="61" s="1"/>
  <c r="M234" i="61"/>
  <c r="N234" i="61" s="1"/>
  <c r="L233" i="61"/>
  <c r="M233" i="61" s="1"/>
  <c r="N233" i="61" s="1"/>
  <c r="L232" i="61"/>
  <c r="M232" i="61" s="1"/>
  <c r="N232" i="61" s="1"/>
  <c r="M230" i="61"/>
  <c r="N230" i="61" s="1"/>
  <c r="M229" i="61"/>
  <c r="N229" i="61" s="1"/>
  <c r="L228" i="61"/>
  <c r="M228" i="61" s="1"/>
  <c r="N228" i="61" s="1"/>
  <c r="M227" i="61"/>
  <c r="N227" i="61" s="1"/>
  <c r="M226" i="61"/>
  <c r="N226" i="61" s="1"/>
  <c r="M225" i="61"/>
  <c r="N225" i="61" s="1"/>
  <c r="M224" i="61"/>
  <c r="N224" i="61" s="1"/>
  <c r="L223" i="61"/>
  <c r="M223" i="61" s="1"/>
  <c r="N223" i="61" s="1"/>
  <c r="L222" i="61"/>
  <c r="M222" i="61" s="1"/>
  <c r="N222" i="61" s="1"/>
  <c r="L221" i="61"/>
  <c r="M221" i="61" s="1"/>
  <c r="N221" i="61" s="1"/>
  <c r="L220" i="61"/>
  <c r="M220" i="61" s="1"/>
  <c r="N220" i="61" s="1"/>
  <c r="L219" i="61"/>
  <c r="M219" i="61" s="1"/>
  <c r="N219" i="61" s="1"/>
  <c r="L218" i="61"/>
  <c r="M218" i="61" s="1"/>
  <c r="N218" i="61" s="1"/>
  <c r="L217" i="61"/>
  <c r="M217" i="61" s="1"/>
  <c r="N217" i="61" s="1"/>
  <c r="L216" i="61"/>
  <c r="M216" i="61" s="1"/>
  <c r="N216" i="61" s="1"/>
  <c r="L215" i="61"/>
  <c r="M215" i="61" s="1"/>
  <c r="N215" i="61" s="1"/>
  <c r="L214" i="61"/>
  <c r="M214" i="61" s="1"/>
  <c r="N214" i="61" s="1"/>
  <c r="L213" i="61"/>
  <c r="M213" i="61" s="1"/>
  <c r="N213" i="61" s="1"/>
  <c r="L211" i="61"/>
  <c r="M211" i="61" s="1"/>
  <c r="N211" i="61" s="1"/>
  <c r="L210" i="61"/>
  <c r="M210" i="61" s="1"/>
  <c r="N210" i="61" s="1"/>
  <c r="L209" i="61"/>
  <c r="M209" i="61" s="1"/>
  <c r="N209" i="61" s="1"/>
  <c r="L208" i="61"/>
  <c r="M208" i="61" s="1"/>
  <c r="N208" i="61" s="1"/>
  <c r="L207" i="61"/>
  <c r="M207" i="61" s="1"/>
  <c r="N207" i="61" s="1"/>
  <c r="M206" i="61"/>
  <c r="N206" i="61" s="1"/>
  <c r="M205" i="61"/>
  <c r="N205" i="61" s="1"/>
  <c r="L204" i="61"/>
  <c r="M204" i="61" s="1"/>
  <c r="N204" i="61" s="1"/>
  <c r="L203" i="61"/>
  <c r="M203" i="61" s="1"/>
  <c r="N203" i="61" s="1"/>
  <c r="L202" i="61"/>
  <c r="M202" i="61" s="1"/>
  <c r="N202" i="61" s="1"/>
  <c r="L201" i="61"/>
  <c r="M201" i="61" s="1"/>
  <c r="N201" i="61" s="1"/>
  <c r="L200" i="61"/>
  <c r="M200" i="61" s="1"/>
  <c r="N200" i="61" s="1"/>
  <c r="L199" i="61"/>
  <c r="M199" i="61" s="1"/>
  <c r="N199" i="61" s="1"/>
  <c r="L198" i="61"/>
  <c r="M198" i="61" s="1"/>
  <c r="N198" i="61" s="1"/>
  <c r="L197" i="61"/>
  <c r="M197" i="61" s="1"/>
  <c r="N197" i="61" s="1"/>
  <c r="L196" i="61"/>
  <c r="M196" i="61" s="1"/>
  <c r="N196" i="61" s="1"/>
  <c r="L195" i="61"/>
  <c r="M195" i="61" s="1"/>
  <c r="N195" i="61" s="1"/>
  <c r="L194" i="61"/>
  <c r="M194" i="61" s="1"/>
  <c r="N194" i="61" s="1"/>
  <c r="L193" i="61"/>
  <c r="M193" i="61" s="1"/>
  <c r="N193" i="61" s="1"/>
  <c r="L192" i="61"/>
  <c r="M192" i="61" s="1"/>
  <c r="N192" i="61" s="1"/>
  <c r="L191" i="61"/>
  <c r="M191" i="61" s="1"/>
  <c r="N191" i="61" s="1"/>
  <c r="L190" i="61"/>
  <c r="M190" i="61" s="1"/>
  <c r="N190" i="61" s="1"/>
  <c r="L189" i="61"/>
  <c r="M189" i="61" s="1"/>
  <c r="N189" i="61" s="1"/>
  <c r="M185" i="61"/>
  <c r="N185" i="61" s="1"/>
  <c r="M184" i="61"/>
  <c r="N184" i="61" s="1"/>
  <c r="M183" i="61"/>
  <c r="N183" i="61" s="1"/>
  <c r="M182" i="61"/>
  <c r="N182" i="61" s="1"/>
  <c r="M181" i="61"/>
  <c r="N181" i="61" s="1"/>
  <c r="M180" i="61"/>
  <c r="N180" i="61" s="1"/>
  <c r="L179" i="61"/>
  <c r="M179" i="61" s="1"/>
  <c r="N179" i="61" s="1"/>
  <c r="L178" i="61"/>
  <c r="M178" i="61" s="1"/>
  <c r="N178" i="61" s="1"/>
  <c r="L177" i="61"/>
  <c r="M177" i="61" s="1"/>
  <c r="N177" i="61" s="1"/>
  <c r="L176" i="61"/>
  <c r="M176" i="61" s="1"/>
  <c r="N176" i="61" s="1"/>
  <c r="L175" i="61"/>
  <c r="M175" i="61" s="1"/>
  <c r="N175" i="61" s="1"/>
  <c r="L174" i="61"/>
  <c r="M174" i="61" s="1"/>
  <c r="N174" i="61" s="1"/>
  <c r="L173" i="61"/>
  <c r="M173" i="61" s="1"/>
  <c r="N173" i="61" s="1"/>
  <c r="L172" i="61"/>
  <c r="M172" i="61" s="1"/>
  <c r="N172" i="61" s="1"/>
  <c r="L171" i="61"/>
  <c r="M171" i="61" s="1"/>
  <c r="N171" i="61" s="1"/>
  <c r="L170" i="61"/>
  <c r="M170" i="61" s="1"/>
  <c r="N170" i="61" s="1"/>
  <c r="L169" i="61"/>
  <c r="M169" i="61" s="1"/>
  <c r="N169" i="61" s="1"/>
  <c r="L168" i="61"/>
  <c r="M168" i="61" s="1"/>
  <c r="N168" i="61" s="1"/>
  <c r="L167" i="61"/>
  <c r="M167" i="61" s="1"/>
  <c r="N167" i="61" s="1"/>
  <c r="L166" i="61"/>
  <c r="M166" i="61" s="1"/>
  <c r="N166" i="61" s="1"/>
  <c r="L165" i="61"/>
  <c r="M165" i="61" s="1"/>
  <c r="N165" i="61" s="1"/>
  <c r="L164" i="61"/>
  <c r="M164" i="61" s="1"/>
  <c r="N164" i="61" s="1"/>
  <c r="L163" i="61"/>
  <c r="M163" i="61" s="1"/>
  <c r="N163" i="61" s="1"/>
  <c r="M162" i="61"/>
  <c r="N162" i="61" s="1"/>
  <c r="L161" i="61"/>
  <c r="M161" i="61" s="1"/>
  <c r="N161" i="61" s="1"/>
  <c r="L160" i="61"/>
  <c r="M160" i="61" s="1"/>
  <c r="N160" i="61" s="1"/>
  <c r="L159" i="61"/>
  <c r="M159" i="61" s="1"/>
  <c r="N159" i="61" s="1"/>
  <c r="L158" i="61"/>
  <c r="M158" i="61" s="1"/>
  <c r="N158" i="61" s="1"/>
  <c r="L157" i="61"/>
  <c r="M157" i="61" s="1"/>
  <c r="N157" i="61" s="1"/>
  <c r="L156" i="61"/>
  <c r="M156" i="61" s="1"/>
  <c r="N156" i="61" s="1"/>
  <c r="L155" i="61"/>
  <c r="M155" i="61" s="1"/>
  <c r="N155" i="61" s="1"/>
  <c r="L154" i="61"/>
  <c r="M154" i="61" s="1"/>
  <c r="N154" i="61" s="1"/>
  <c r="L153" i="61"/>
  <c r="M153" i="61" s="1"/>
  <c r="N153" i="61" s="1"/>
  <c r="L152" i="61"/>
  <c r="M152" i="61" s="1"/>
  <c r="N152" i="61" s="1"/>
  <c r="L151" i="61"/>
  <c r="M151" i="61" s="1"/>
  <c r="N151" i="61" s="1"/>
  <c r="L150" i="61"/>
  <c r="M150" i="61" s="1"/>
  <c r="N150" i="61" s="1"/>
  <c r="L149" i="61"/>
  <c r="M149" i="61" s="1"/>
  <c r="N149" i="61" s="1"/>
  <c r="L148" i="61"/>
  <c r="M148" i="61" s="1"/>
  <c r="N148" i="61" s="1"/>
  <c r="L147" i="61"/>
  <c r="M147" i="61" s="1"/>
  <c r="N147" i="61" s="1"/>
  <c r="L146" i="61"/>
  <c r="M146" i="61" s="1"/>
  <c r="N146" i="61" s="1"/>
  <c r="L145" i="61"/>
  <c r="M145" i="61" s="1"/>
  <c r="N145" i="61" s="1"/>
  <c r="L144" i="61"/>
  <c r="M144" i="61" s="1"/>
  <c r="N144" i="61" s="1"/>
  <c r="L143" i="61"/>
  <c r="M143" i="61" s="1"/>
  <c r="N143" i="61" s="1"/>
  <c r="L142" i="61"/>
  <c r="M142" i="61" s="1"/>
  <c r="N142" i="61" s="1"/>
  <c r="L141" i="61"/>
  <c r="M141" i="61" s="1"/>
  <c r="N141" i="61" s="1"/>
  <c r="L140" i="61"/>
  <c r="M140" i="61" s="1"/>
  <c r="N140" i="61" s="1"/>
  <c r="L139" i="61"/>
  <c r="M139" i="61" s="1"/>
  <c r="N139" i="61" s="1"/>
  <c r="L138" i="61"/>
  <c r="M138" i="61" s="1"/>
  <c r="N138" i="61" s="1"/>
  <c r="L137" i="61"/>
  <c r="M137" i="61" s="1"/>
  <c r="N137" i="61" s="1"/>
  <c r="L136" i="61"/>
  <c r="M136" i="61" s="1"/>
  <c r="N136" i="61" s="1"/>
  <c r="L135" i="61"/>
  <c r="M135" i="61" s="1"/>
  <c r="N135" i="61" s="1"/>
  <c r="L134" i="61"/>
  <c r="M134" i="61" s="1"/>
  <c r="N134" i="61" s="1"/>
  <c r="L133" i="61"/>
  <c r="M133" i="61" s="1"/>
  <c r="N133" i="61" s="1"/>
  <c r="L132" i="61"/>
  <c r="M132" i="61" s="1"/>
  <c r="N132" i="61" s="1"/>
  <c r="L131" i="61"/>
  <c r="M131" i="61" s="1"/>
  <c r="N131" i="61" s="1"/>
  <c r="L130" i="61"/>
  <c r="M130" i="61" s="1"/>
  <c r="N130" i="61" s="1"/>
  <c r="L129" i="61"/>
  <c r="M129" i="61" s="1"/>
  <c r="N129" i="61" s="1"/>
  <c r="L128" i="61"/>
  <c r="M128" i="61" s="1"/>
  <c r="N128" i="61" s="1"/>
  <c r="L127" i="61"/>
  <c r="M127" i="61" s="1"/>
  <c r="N127" i="61" s="1"/>
  <c r="L126" i="61"/>
  <c r="M126" i="61" s="1"/>
  <c r="N126" i="61" s="1"/>
  <c r="L125" i="61"/>
  <c r="M125" i="61" s="1"/>
  <c r="N125" i="61" s="1"/>
  <c r="L124" i="61"/>
  <c r="M124" i="61" s="1"/>
  <c r="N124" i="61" s="1"/>
  <c r="L123" i="61"/>
  <c r="M123" i="61" s="1"/>
  <c r="N123" i="61" s="1"/>
  <c r="L122" i="61"/>
  <c r="M122" i="61" s="1"/>
  <c r="N122" i="61" s="1"/>
  <c r="L121" i="61"/>
  <c r="M121" i="61" s="1"/>
  <c r="N121" i="61" s="1"/>
  <c r="L120" i="61"/>
  <c r="M120" i="61" s="1"/>
  <c r="N120" i="61" s="1"/>
  <c r="L119" i="61"/>
  <c r="M119" i="61" s="1"/>
  <c r="N119" i="61" s="1"/>
  <c r="L118" i="61"/>
  <c r="M118" i="61" s="1"/>
  <c r="N118" i="61" s="1"/>
  <c r="L117" i="61"/>
  <c r="M117" i="61" s="1"/>
  <c r="N117" i="61" s="1"/>
  <c r="L116" i="61"/>
  <c r="M116" i="61" s="1"/>
  <c r="N116" i="61" s="1"/>
  <c r="L115" i="61"/>
  <c r="M115" i="61" s="1"/>
  <c r="N115" i="61" s="1"/>
  <c r="L114" i="61"/>
  <c r="M114" i="61" s="1"/>
  <c r="N114" i="61" s="1"/>
  <c r="L113" i="61"/>
  <c r="M113" i="61" s="1"/>
  <c r="N113" i="61" s="1"/>
  <c r="L112" i="61"/>
  <c r="M112" i="61" s="1"/>
  <c r="N112" i="61" s="1"/>
  <c r="L111" i="61"/>
  <c r="M111" i="61" s="1"/>
  <c r="N111" i="61" s="1"/>
  <c r="L110" i="61"/>
  <c r="M110" i="61" s="1"/>
  <c r="N110" i="61" s="1"/>
  <c r="L109" i="61"/>
  <c r="M109" i="61" s="1"/>
  <c r="N109" i="61" s="1"/>
  <c r="L108" i="61"/>
  <c r="M108" i="61" s="1"/>
  <c r="N108" i="61" s="1"/>
  <c r="L107" i="61"/>
  <c r="M107" i="61" s="1"/>
  <c r="N107" i="61" s="1"/>
  <c r="L106" i="61"/>
  <c r="M106" i="61" s="1"/>
  <c r="N106" i="61" s="1"/>
  <c r="L105" i="61"/>
  <c r="M105" i="61" s="1"/>
  <c r="N105" i="61" s="1"/>
  <c r="L104" i="61"/>
  <c r="M104" i="61" s="1"/>
  <c r="N104" i="61" s="1"/>
  <c r="L103" i="61"/>
  <c r="M103" i="61" s="1"/>
  <c r="N103" i="61" s="1"/>
  <c r="L102" i="61"/>
  <c r="M102" i="61" s="1"/>
  <c r="N102" i="61" s="1"/>
  <c r="L101" i="61"/>
  <c r="M101" i="61" s="1"/>
  <c r="N101" i="61" s="1"/>
  <c r="L99" i="61"/>
  <c r="M99" i="61" s="1"/>
  <c r="N99" i="61" s="1"/>
  <c r="L98" i="61"/>
  <c r="M98" i="61" s="1"/>
  <c r="N98" i="61" s="1"/>
  <c r="L97" i="61"/>
  <c r="M97" i="61" s="1"/>
  <c r="N97" i="61" s="1"/>
  <c r="L96" i="61"/>
  <c r="M96" i="61" s="1"/>
  <c r="N96" i="61" s="1"/>
  <c r="L95" i="61"/>
  <c r="M95" i="61" s="1"/>
  <c r="N95" i="61" s="1"/>
  <c r="L94" i="61"/>
  <c r="M94" i="61" s="1"/>
  <c r="N94" i="61" s="1"/>
  <c r="L93" i="61"/>
  <c r="M93" i="61" s="1"/>
  <c r="N93" i="61" s="1"/>
  <c r="L92" i="61"/>
  <c r="M92" i="61" s="1"/>
  <c r="N92" i="61" s="1"/>
  <c r="L91" i="61"/>
  <c r="M91" i="61" s="1"/>
  <c r="N91" i="61" s="1"/>
  <c r="L90" i="61"/>
  <c r="M90" i="61" s="1"/>
  <c r="N90" i="61" s="1"/>
  <c r="L89" i="61"/>
  <c r="M89" i="61" s="1"/>
  <c r="N89" i="61" s="1"/>
  <c r="L88" i="61"/>
  <c r="M88" i="61" s="1"/>
  <c r="N88" i="61" s="1"/>
  <c r="L87" i="61"/>
  <c r="M87" i="61" s="1"/>
  <c r="N87" i="61" s="1"/>
  <c r="L86" i="61"/>
  <c r="M86" i="61" s="1"/>
  <c r="N86" i="61" s="1"/>
  <c r="L85" i="61"/>
  <c r="M85" i="61" s="1"/>
  <c r="N85" i="61" s="1"/>
  <c r="L84" i="61"/>
  <c r="M84" i="61" s="1"/>
  <c r="N84" i="61" s="1"/>
  <c r="L83" i="61"/>
  <c r="M83" i="61" s="1"/>
  <c r="N83" i="61" s="1"/>
  <c r="L82" i="61"/>
  <c r="M82" i="61" s="1"/>
  <c r="N82" i="61" s="1"/>
  <c r="L81" i="61"/>
  <c r="M81" i="61" s="1"/>
  <c r="N81" i="61" s="1"/>
  <c r="L80" i="61"/>
  <c r="M80" i="61" s="1"/>
  <c r="N80" i="61" s="1"/>
  <c r="L79" i="61"/>
  <c r="M79" i="61" s="1"/>
  <c r="N79" i="61" s="1"/>
  <c r="L78" i="61"/>
  <c r="M78" i="61" s="1"/>
  <c r="N78" i="61" s="1"/>
  <c r="L77" i="61"/>
  <c r="M77" i="61" s="1"/>
  <c r="N77" i="61" s="1"/>
  <c r="L76" i="61"/>
  <c r="M76" i="61" s="1"/>
  <c r="N76" i="61" s="1"/>
  <c r="L75" i="61"/>
  <c r="M75" i="61" s="1"/>
  <c r="N75" i="61" s="1"/>
  <c r="L74" i="61"/>
  <c r="M74" i="61" s="1"/>
  <c r="N74" i="61" s="1"/>
  <c r="L73" i="61"/>
  <c r="M73" i="61" s="1"/>
  <c r="N73" i="61" s="1"/>
  <c r="L72" i="61"/>
  <c r="M72" i="61" s="1"/>
  <c r="N72" i="61" s="1"/>
  <c r="L71" i="61"/>
  <c r="M71" i="61" s="1"/>
  <c r="N71" i="61" s="1"/>
  <c r="L70" i="61"/>
  <c r="M70" i="61" s="1"/>
  <c r="N70" i="61" s="1"/>
  <c r="L69" i="61"/>
  <c r="M69" i="61" s="1"/>
  <c r="N69" i="61" s="1"/>
  <c r="L68" i="61"/>
  <c r="M68" i="61" s="1"/>
  <c r="N68" i="61" s="1"/>
  <c r="L67" i="61"/>
  <c r="M67" i="61" s="1"/>
  <c r="N67" i="61" s="1"/>
  <c r="L66" i="61"/>
  <c r="M66" i="61" s="1"/>
  <c r="N66" i="61" s="1"/>
  <c r="L65" i="61"/>
  <c r="M65" i="61" s="1"/>
  <c r="N65" i="61" s="1"/>
  <c r="L64" i="61"/>
  <c r="M64" i="61" s="1"/>
  <c r="N64" i="61" s="1"/>
  <c r="L63" i="61"/>
  <c r="M63" i="61" s="1"/>
  <c r="N63" i="61" s="1"/>
  <c r="L62" i="61"/>
  <c r="M62" i="61" s="1"/>
  <c r="N62" i="61" s="1"/>
  <c r="L61" i="61"/>
  <c r="M61" i="61" s="1"/>
  <c r="N61" i="61" s="1"/>
  <c r="L60" i="61"/>
  <c r="M60" i="61" s="1"/>
  <c r="N60" i="61" s="1"/>
  <c r="L59" i="61"/>
  <c r="M59" i="61" s="1"/>
  <c r="N59" i="61" s="1"/>
  <c r="L58" i="61"/>
  <c r="M58" i="61" s="1"/>
  <c r="N58" i="61" s="1"/>
  <c r="L57" i="61"/>
  <c r="M57" i="61" s="1"/>
  <c r="N57" i="61" s="1"/>
  <c r="L56" i="61"/>
  <c r="M56" i="61" s="1"/>
  <c r="N56" i="61" s="1"/>
  <c r="L55" i="61"/>
  <c r="M55" i="61" s="1"/>
  <c r="N55" i="61" s="1"/>
  <c r="L54" i="61"/>
  <c r="M54" i="61" s="1"/>
  <c r="N54" i="61" s="1"/>
  <c r="N242" i="61" s="1"/>
  <c r="L53" i="61"/>
  <c r="M53" i="61" s="1"/>
  <c r="N53" i="61" s="1"/>
  <c r="L52" i="61"/>
  <c r="M52" i="61" s="1"/>
  <c r="N52" i="61" s="1"/>
  <c r="L51" i="61"/>
  <c r="M51" i="61" s="1"/>
  <c r="N51" i="61" s="1"/>
  <c r="L50" i="61"/>
  <c r="M50" i="61" s="1"/>
  <c r="N50" i="61" s="1"/>
  <c r="L49" i="61"/>
  <c r="M49" i="61" s="1"/>
  <c r="N49" i="61" s="1"/>
  <c r="L48" i="61"/>
  <c r="M48" i="61" s="1"/>
  <c r="N48" i="61" s="1"/>
  <c r="L47" i="61"/>
  <c r="M47" i="61" s="1"/>
  <c r="N47" i="61" s="1"/>
  <c r="L46" i="61"/>
  <c r="M46" i="61" s="1"/>
  <c r="N46" i="61" s="1"/>
  <c r="L45" i="61"/>
  <c r="M45" i="61" s="1"/>
  <c r="N45" i="61" s="1"/>
  <c r="L44" i="61"/>
  <c r="M44" i="61" s="1"/>
  <c r="N44" i="61" s="1"/>
  <c r="L43" i="61"/>
  <c r="M43" i="61" s="1"/>
  <c r="N43" i="61" s="1"/>
  <c r="L42" i="61"/>
  <c r="M42" i="61" s="1"/>
  <c r="N42" i="61" s="1"/>
  <c r="L41" i="61"/>
  <c r="M41" i="61" s="1"/>
  <c r="N41" i="61" s="1"/>
  <c r="L40" i="61"/>
  <c r="M40" i="61" s="1"/>
  <c r="N40" i="61" s="1"/>
  <c r="L39" i="61"/>
  <c r="M39" i="61" s="1"/>
  <c r="N39" i="61" s="1"/>
  <c r="L38" i="61"/>
  <c r="M38" i="61" s="1"/>
  <c r="N38" i="61" s="1"/>
  <c r="L37" i="61"/>
  <c r="M37" i="61" s="1"/>
  <c r="N37" i="61" s="1"/>
  <c r="L36" i="61"/>
  <c r="M36" i="61" s="1"/>
  <c r="N36" i="61" s="1"/>
  <c r="L35" i="61"/>
  <c r="M35" i="61" s="1"/>
  <c r="N35" i="61" s="1"/>
  <c r="L34" i="61"/>
  <c r="M34" i="61" s="1"/>
  <c r="N34" i="61" s="1"/>
  <c r="L33" i="61"/>
  <c r="M33" i="61" s="1"/>
  <c r="N33" i="61" s="1"/>
  <c r="L32" i="61"/>
  <c r="M32" i="61" s="1"/>
  <c r="N32" i="61" s="1"/>
  <c r="L31" i="61"/>
  <c r="M31" i="61" s="1"/>
  <c r="N31" i="61" s="1"/>
  <c r="L30" i="61"/>
  <c r="M30" i="61" s="1"/>
  <c r="N30" i="61" s="1"/>
  <c r="L29" i="61"/>
  <c r="M29" i="61" s="1"/>
  <c r="N29" i="61" s="1"/>
  <c r="L28" i="61"/>
  <c r="M28" i="61" s="1"/>
  <c r="N28" i="61" s="1"/>
  <c r="L27" i="61"/>
  <c r="M27" i="61" s="1"/>
  <c r="N27" i="61" s="1"/>
  <c r="L26" i="61"/>
  <c r="M26" i="61" s="1"/>
  <c r="N26" i="61" s="1"/>
  <c r="L25" i="61"/>
  <c r="M25" i="61" s="1"/>
  <c r="N25" i="61" s="1"/>
  <c r="L24" i="61"/>
  <c r="M24" i="61" s="1"/>
  <c r="N24" i="61" s="1"/>
  <c r="L23" i="61"/>
  <c r="M23" i="61" s="1"/>
  <c r="N23" i="61" s="1"/>
  <c r="L22" i="61"/>
  <c r="M22" i="61" s="1"/>
  <c r="N22" i="61" s="1"/>
  <c r="L21" i="61"/>
  <c r="M21" i="61" s="1"/>
  <c r="N21" i="61" s="1"/>
  <c r="L20" i="61"/>
  <c r="M20" i="61" s="1"/>
  <c r="N20" i="61" s="1"/>
  <c r="L19" i="61"/>
  <c r="M19" i="61" s="1"/>
  <c r="N19" i="61" s="1"/>
  <c r="L18" i="61"/>
  <c r="M18" i="61" s="1"/>
  <c r="N18" i="61" s="1"/>
  <c r="L17" i="61"/>
  <c r="M17" i="61" s="1"/>
  <c r="N17" i="61" s="1"/>
  <c r="L16" i="61"/>
  <c r="M16" i="61" s="1"/>
  <c r="N16" i="61" s="1"/>
  <c r="L15" i="61"/>
  <c r="M15" i="61" s="1"/>
  <c r="N15" i="61" s="1"/>
  <c r="L14" i="61"/>
  <c r="M14" i="61" s="1"/>
  <c r="N14" i="61" s="1"/>
  <c r="L13" i="61"/>
  <c r="M13" i="61" s="1"/>
  <c r="N13" i="61" s="1"/>
  <c r="L12" i="61"/>
  <c r="M12" i="61" s="1"/>
  <c r="N12" i="61" s="1"/>
  <c r="L11" i="61"/>
  <c r="M11" i="61" s="1"/>
  <c r="N11" i="61" s="1"/>
  <c r="L10" i="61"/>
  <c r="M10" i="61" s="1"/>
  <c r="N10" i="61" s="1"/>
  <c r="L9" i="61"/>
  <c r="M9" i="61" s="1"/>
  <c r="N9" i="61" s="1"/>
  <c r="L8" i="61"/>
  <c r="M8" i="61" s="1"/>
  <c r="N8" i="61" s="1"/>
  <c r="L7" i="61"/>
  <c r="M7" i="61" s="1"/>
  <c r="N7" i="61" s="1"/>
  <c r="L6" i="61"/>
  <c r="M6" i="61" s="1"/>
  <c r="L5" i="61"/>
  <c r="M5" i="61" s="1"/>
  <c r="N5" i="61" s="1"/>
  <c r="L4" i="61"/>
  <c r="M4" i="61" s="1"/>
  <c r="N4" i="61" s="1"/>
  <c r="L3" i="61"/>
  <c r="M3" i="61" s="1"/>
  <c r="N3" i="61" s="1"/>
  <c r="L2" i="61"/>
  <c r="M2" i="61" s="1"/>
  <c r="N2" i="61" s="1"/>
  <c r="G241" i="61"/>
  <c r="B12" i="39"/>
  <c r="C13" i="62"/>
  <c r="C12" i="62"/>
  <c r="C10" i="62"/>
  <c r="C14" i="62"/>
  <c r="C8" i="62"/>
  <c r="C9" i="62"/>
  <c r="C5" i="62"/>
  <c r="C6" i="62"/>
  <c r="N5" i="76" l="1"/>
  <c r="N6" i="76" s="1"/>
  <c r="N93" i="76"/>
  <c r="B47" i="74"/>
  <c r="B46" i="74" s="1"/>
  <c r="B51" i="27"/>
  <c r="D107" i="28"/>
  <c r="D106" i="28" s="1"/>
  <c r="D107" i="74"/>
  <c r="D106" i="74" s="1"/>
  <c r="D104" i="74"/>
  <c r="D103" i="74" s="1"/>
  <c r="F107" i="28"/>
  <c r="F106" i="28" s="1"/>
  <c r="F104" i="74"/>
  <c r="F103" i="74" s="1"/>
  <c r="F107" i="74"/>
  <c r="F106" i="74" s="1"/>
  <c r="B106" i="74"/>
  <c r="B100" i="74"/>
  <c r="C101" i="28"/>
  <c r="C100" i="28" s="1"/>
  <c r="C98" i="74"/>
  <c r="C97" i="74" s="1"/>
  <c r="C101" i="74"/>
  <c r="C100" i="74" s="1"/>
  <c r="G101" i="28"/>
  <c r="G100" i="28" s="1"/>
  <c r="G98" i="74"/>
  <c r="G97" i="74" s="1"/>
  <c r="G101" i="74"/>
  <c r="G100" i="74" s="1"/>
  <c r="B95" i="28"/>
  <c r="B94" i="28" s="1"/>
  <c r="B95" i="74"/>
  <c r="C95" i="28"/>
  <c r="C94" i="28" s="1"/>
  <c r="C95" i="74"/>
  <c r="F86" i="28"/>
  <c r="F85" i="28" s="1"/>
  <c r="F83" i="74"/>
  <c r="F82" i="74" s="1"/>
  <c r="F86" i="74"/>
  <c r="F85" i="74" s="1"/>
  <c r="G80" i="28"/>
  <c r="G79" i="28" s="1"/>
  <c r="G77" i="74"/>
  <c r="G76" i="74" s="1"/>
  <c r="G80" i="74"/>
  <c r="G79" i="74" s="1"/>
  <c r="B70" i="74"/>
  <c r="B49" i="28"/>
  <c r="B51" i="28" s="1"/>
  <c r="G65" i="28"/>
  <c r="G64" i="28" s="1"/>
  <c r="G62" i="74"/>
  <c r="G61" i="74" s="1"/>
  <c r="G65" i="74"/>
  <c r="G64" i="74" s="1"/>
  <c r="B64" i="74"/>
  <c r="B50" i="28"/>
  <c r="B49" i="74"/>
  <c r="B28" i="28"/>
  <c r="B43" i="74"/>
  <c r="B40" i="74"/>
  <c r="F44" i="28"/>
  <c r="F43" i="28" s="1"/>
  <c r="F41" i="74"/>
  <c r="F40" i="74" s="1"/>
  <c r="F44" i="74"/>
  <c r="F43" i="74" s="1"/>
  <c r="B29" i="28"/>
  <c r="F38" i="28"/>
  <c r="F37" i="28" s="1"/>
  <c r="F38" i="74"/>
  <c r="F37" i="74" s="1"/>
  <c r="F35" i="74"/>
  <c r="F34" i="74" s="1"/>
  <c r="C38" i="28"/>
  <c r="C35" i="74"/>
  <c r="C29" i="74" s="1"/>
  <c r="C38" i="74"/>
  <c r="B28" i="74"/>
  <c r="D29" i="74"/>
  <c r="D31" i="74"/>
  <c r="D28" i="74" s="1"/>
  <c r="C26" i="74"/>
  <c r="C25" i="74" s="1"/>
  <c r="C31" i="74"/>
  <c r="F26" i="28"/>
  <c r="F25" i="28" s="1"/>
  <c r="E23" i="28"/>
  <c r="E22" i="28" s="1"/>
  <c r="E20" i="74"/>
  <c r="E19" i="74" s="1"/>
  <c r="E23" i="74"/>
  <c r="E22" i="74" s="1"/>
  <c r="F23" i="28"/>
  <c r="F22" i="28" s="1"/>
  <c r="F20" i="74"/>
  <c r="F19" i="74" s="1"/>
  <c r="F23" i="74"/>
  <c r="F22" i="74" s="1"/>
  <c r="B23" i="28"/>
  <c r="B22" i="28" s="1"/>
  <c r="B23" i="74"/>
  <c r="B20" i="74"/>
  <c r="B19" i="74" s="1"/>
  <c r="F20" i="28"/>
  <c r="F19" i="28" s="1"/>
  <c r="D20" i="28"/>
  <c r="D19" i="28" s="1"/>
  <c r="B70" i="28"/>
  <c r="B72" i="28" s="1"/>
  <c r="C103" i="27"/>
  <c r="C104" i="28" s="1"/>
  <c r="C103" i="28" s="1"/>
  <c r="D97" i="27"/>
  <c r="D98" i="28" s="1"/>
  <c r="D97" i="28" s="1"/>
  <c r="B91" i="27"/>
  <c r="B93" i="27" s="1"/>
  <c r="C100" i="71"/>
  <c r="B141" i="29"/>
  <c r="C169" i="31"/>
  <c r="C167" i="31" s="1"/>
  <c r="C94" i="32"/>
  <c r="C92" i="32"/>
  <c r="B91" i="32"/>
  <c r="C100" i="33"/>
  <c r="C164" i="31"/>
  <c r="C162" i="31" s="1"/>
  <c r="C159" i="31"/>
  <c r="C157" i="31" s="1"/>
  <c r="B103" i="35"/>
  <c r="B101" i="35" s="1"/>
  <c r="C139" i="29"/>
  <c r="C141" i="29" s="1"/>
  <c r="B91" i="71"/>
  <c r="C5" i="29"/>
  <c r="C144" i="31"/>
  <c r="C142" i="31" s="1"/>
  <c r="C140" i="31"/>
  <c r="C106" i="33"/>
  <c r="D140" i="29"/>
  <c r="D144" i="29"/>
  <c r="D142" i="29" s="1"/>
  <c r="C103" i="33"/>
  <c r="C109" i="71"/>
  <c r="D154" i="29"/>
  <c r="D152" i="29" s="1"/>
  <c r="B111" i="35"/>
  <c r="B109" i="35" s="1"/>
  <c r="B107" i="35"/>
  <c r="C94" i="71"/>
  <c r="C92" i="71"/>
  <c r="C97" i="32"/>
  <c r="C109" i="33"/>
  <c r="C109" i="32"/>
  <c r="C103" i="32"/>
  <c r="C154" i="31"/>
  <c r="C152" i="31" s="1"/>
  <c r="C97" i="71"/>
  <c r="C106" i="71"/>
  <c r="D169" i="29"/>
  <c r="D167" i="29" s="1"/>
  <c r="D149" i="29"/>
  <c r="D147" i="29" s="1"/>
  <c r="C149" i="31"/>
  <c r="C147" i="31" s="1"/>
  <c r="B139" i="31"/>
  <c r="C97" i="33"/>
  <c r="C92" i="33"/>
  <c r="C94" i="33"/>
  <c r="C106" i="32"/>
  <c r="C103" i="71"/>
  <c r="D159" i="29"/>
  <c r="D157" i="29" s="1"/>
  <c r="D164" i="29"/>
  <c r="D162" i="29" s="1"/>
  <c r="C100" i="32"/>
  <c r="B98" i="35"/>
  <c r="B96" i="35" s="1"/>
  <c r="B74" i="35"/>
  <c r="B91" i="33"/>
  <c r="B93" i="33" s="1"/>
  <c r="C19" i="32"/>
  <c r="D22" i="29"/>
  <c r="D20" i="29" s="1"/>
  <c r="C22" i="71"/>
  <c r="D32" i="29"/>
  <c r="D30" i="29" s="1"/>
  <c r="C10" i="32"/>
  <c r="C8" i="32"/>
  <c r="C25" i="71"/>
  <c r="C16" i="32"/>
  <c r="D37" i="29"/>
  <c r="D35" i="29" s="1"/>
  <c r="C27" i="31"/>
  <c r="C25" i="31" s="1"/>
  <c r="C19" i="33"/>
  <c r="C22" i="32"/>
  <c r="C22" i="31"/>
  <c r="C20" i="31" s="1"/>
  <c r="C12" i="31"/>
  <c r="C10" i="31" s="1"/>
  <c r="C8" i="31"/>
  <c r="C10" i="71"/>
  <c r="C8" i="71"/>
  <c r="C25" i="33"/>
  <c r="C16" i="71"/>
  <c r="C16" i="33"/>
  <c r="D25" i="27"/>
  <c r="C25" i="27"/>
  <c r="D12" i="29"/>
  <c r="D10" i="29" s="1"/>
  <c r="D8" i="29"/>
  <c r="C19" i="71"/>
  <c r="D22" i="27"/>
  <c r="C22" i="27"/>
  <c r="C8" i="33"/>
  <c r="C10" i="33"/>
  <c r="C32" i="31"/>
  <c r="C30" i="31" s="1"/>
  <c r="B22" i="35"/>
  <c r="B20" i="35" s="1"/>
  <c r="C37" i="31"/>
  <c r="C35" i="31" s="1"/>
  <c r="C22" i="33"/>
  <c r="D27" i="29"/>
  <c r="D25" i="29" s="1"/>
  <c r="B12" i="35"/>
  <c r="B10" i="35" s="1"/>
  <c r="C25" i="32"/>
  <c r="B13" i="33"/>
  <c r="B7" i="33" s="1"/>
  <c r="B8" i="33"/>
  <c r="B5" i="33" s="1"/>
  <c r="B13" i="32"/>
  <c r="B7" i="32" s="1"/>
  <c r="B8" i="32"/>
  <c r="B5" i="32" s="1"/>
  <c r="B13" i="71"/>
  <c r="B7" i="71" s="1"/>
  <c r="B8" i="71"/>
  <c r="B5" i="71" s="1"/>
  <c r="B7" i="29"/>
  <c r="B17" i="31"/>
  <c r="B15" i="31" s="1"/>
  <c r="B8" i="31"/>
  <c r="B5" i="31" s="1"/>
  <c r="C17" i="29"/>
  <c r="C15" i="29" s="1"/>
  <c r="C7" i="29" s="1"/>
  <c r="C109" i="27"/>
  <c r="C110" i="28" s="1"/>
  <c r="C109" i="28" s="1"/>
  <c r="D109" i="27"/>
  <c r="D110" i="28" s="1"/>
  <c r="D109" i="28" s="1"/>
  <c r="B92" i="28"/>
  <c r="C88" i="27"/>
  <c r="C89" i="28" s="1"/>
  <c r="C88" i="28" s="1"/>
  <c r="D88" i="27"/>
  <c r="D89" i="28" s="1"/>
  <c r="D88" i="28" s="1"/>
  <c r="D100" i="27"/>
  <c r="C106" i="27"/>
  <c r="D94" i="27"/>
  <c r="I103" i="27"/>
  <c r="I104" i="28" s="1"/>
  <c r="I103" i="28" s="1"/>
  <c r="H109" i="27"/>
  <c r="H110" i="28" s="1"/>
  <c r="H109" i="28" s="1"/>
  <c r="H100" i="27"/>
  <c r="G106" i="27"/>
  <c r="H79" i="27"/>
  <c r="G85" i="27"/>
  <c r="G88" i="27"/>
  <c r="G89" i="28" s="1"/>
  <c r="G88" i="28" s="1"/>
  <c r="H67" i="27"/>
  <c r="H68" i="28" s="1"/>
  <c r="H67" i="28" s="1"/>
  <c r="H61" i="27"/>
  <c r="H62" i="28" s="1"/>
  <c r="H61" i="28" s="1"/>
  <c r="H64" i="27"/>
  <c r="G41" i="28"/>
  <c r="G40" i="28" s="1"/>
  <c r="H47" i="28"/>
  <c r="H46" i="28" s="1"/>
  <c r="G25" i="27"/>
  <c r="G22" i="27"/>
  <c r="G19" i="27"/>
  <c r="F13" i="27"/>
  <c r="F14" i="28" s="1"/>
  <c r="F13" i="28" s="1"/>
  <c r="C4" i="62"/>
  <c r="L242" i="61"/>
  <c r="M242" i="61"/>
  <c r="H242" i="61" s="1"/>
  <c r="O232" i="61"/>
  <c r="O233" i="61"/>
  <c r="C11" i="62"/>
  <c r="C7" i="62"/>
  <c r="M241" i="61"/>
  <c r="N6" i="61"/>
  <c r="N241" i="61" s="1"/>
  <c r="L241" i="61"/>
  <c r="I241" i="61"/>
  <c r="D30" i="74" l="1"/>
  <c r="C29" i="28"/>
  <c r="C37" i="28"/>
  <c r="G107" i="28"/>
  <c r="G106" i="28" s="1"/>
  <c r="G104" i="74"/>
  <c r="G103" i="74" s="1"/>
  <c r="G107" i="74"/>
  <c r="G106" i="74" s="1"/>
  <c r="C107" i="28"/>
  <c r="C106" i="28" s="1"/>
  <c r="C107" i="74"/>
  <c r="C104" i="74"/>
  <c r="C103" i="74" s="1"/>
  <c r="D101" i="28"/>
  <c r="D100" i="28" s="1"/>
  <c r="D101" i="74"/>
  <c r="D100" i="74" s="1"/>
  <c r="D98" i="74"/>
  <c r="H101" i="28"/>
  <c r="H100" i="28" s="1"/>
  <c r="H101" i="74"/>
  <c r="H100" i="74" s="1"/>
  <c r="H98" i="74"/>
  <c r="H97" i="74" s="1"/>
  <c r="D95" i="28"/>
  <c r="D94" i="28" s="1"/>
  <c r="D95" i="74"/>
  <c r="C92" i="74"/>
  <c r="C94" i="74"/>
  <c r="C91" i="74" s="1"/>
  <c r="B89" i="74"/>
  <c r="B88" i="74" s="1"/>
  <c r="B94" i="74"/>
  <c r="B92" i="74"/>
  <c r="B91" i="28"/>
  <c r="B93" i="28" s="1"/>
  <c r="G86" i="28"/>
  <c r="G85" i="28" s="1"/>
  <c r="G86" i="74"/>
  <c r="G85" i="74" s="1"/>
  <c r="G83" i="74"/>
  <c r="G82" i="74" s="1"/>
  <c r="H80" i="28"/>
  <c r="H79" i="28" s="1"/>
  <c r="H77" i="74"/>
  <c r="H76" i="74" s="1"/>
  <c r="H80" i="74"/>
  <c r="H79" i="74" s="1"/>
  <c r="B72" i="74"/>
  <c r="H65" i="28"/>
  <c r="H64" i="28" s="1"/>
  <c r="H65" i="74"/>
  <c r="H64" i="74" s="1"/>
  <c r="H62" i="74"/>
  <c r="H61" i="74" s="1"/>
  <c r="B51" i="74"/>
  <c r="G44" i="28"/>
  <c r="G43" i="28" s="1"/>
  <c r="G41" i="74"/>
  <c r="G40" i="74" s="1"/>
  <c r="G44" i="74"/>
  <c r="G43" i="74" s="1"/>
  <c r="G38" i="28"/>
  <c r="G37" i="28" s="1"/>
  <c r="G38" i="74"/>
  <c r="G37" i="74" s="1"/>
  <c r="G35" i="74"/>
  <c r="G34" i="74" s="1"/>
  <c r="C37" i="74"/>
  <c r="C34" i="74"/>
  <c r="C28" i="74" s="1"/>
  <c r="C30" i="74" s="1"/>
  <c r="E32" i="28"/>
  <c r="E31" i="28" s="1"/>
  <c r="E32" i="74"/>
  <c r="B30" i="74"/>
  <c r="C26" i="28"/>
  <c r="C25" i="28" s="1"/>
  <c r="D26" i="28"/>
  <c r="D25" i="28" s="1"/>
  <c r="G26" i="28"/>
  <c r="G25" i="28" s="1"/>
  <c r="C23" i="28"/>
  <c r="C22" i="28" s="1"/>
  <c r="C20" i="74"/>
  <c r="C19" i="74" s="1"/>
  <c r="C23" i="74"/>
  <c r="C22" i="74" s="1"/>
  <c r="D23" i="28"/>
  <c r="D22" i="28" s="1"/>
  <c r="D20" i="74"/>
  <c r="D19" i="74" s="1"/>
  <c r="D23" i="74"/>
  <c r="D22" i="74" s="1"/>
  <c r="B22" i="74"/>
  <c r="G23" i="28"/>
  <c r="G22" i="28" s="1"/>
  <c r="G20" i="74"/>
  <c r="G19" i="74" s="1"/>
  <c r="G23" i="74"/>
  <c r="G22" i="74" s="1"/>
  <c r="G20" i="28"/>
  <c r="G19" i="28" s="1"/>
  <c r="D28" i="28"/>
  <c r="D29" i="28"/>
  <c r="D5" i="29"/>
  <c r="C5" i="31"/>
  <c r="B73" i="35"/>
  <c r="B75" i="35" s="1"/>
  <c r="D97" i="71"/>
  <c r="D92" i="71"/>
  <c r="D94" i="71"/>
  <c r="D100" i="33"/>
  <c r="D106" i="32"/>
  <c r="C91" i="71"/>
  <c r="C93" i="71" s="1"/>
  <c r="D106" i="33"/>
  <c r="D92" i="33"/>
  <c r="D94" i="33"/>
  <c r="C111" i="35"/>
  <c r="C109" i="35" s="1"/>
  <c r="C106" i="35" s="1"/>
  <c r="C107" i="35"/>
  <c r="D140" i="31"/>
  <c r="D144" i="31"/>
  <c r="D142" i="31" s="1"/>
  <c r="C5" i="33"/>
  <c r="C5" i="71"/>
  <c r="C91" i="33"/>
  <c r="C93" i="33" s="1"/>
  <c r="D154" i="31"/>
  <c r="D152" i="31" s="1"/>
  <c r="B93" i="32"/>
  <c r="E140" i="29"/>
  <c r="E144" i="29"/>
  <c r="E142" i="29" s="1"/>
  <c r="C139" i="31"/>
  <c r="C141" i="31" s="1"/>
  <c r="D97" i="33"/>
  <c r="B93" i="71"/>
  <c r="D100" i="32"/>
  <c r="D109" i="71"/>
  <c r="B104" i="42"/>
  <c r="B103" i="42"/>
  <c r="N103" i="42" s="1"/>
  <c r="B102" i="42"/>
  <c r="C103" i="35"/>
  <c r="C101" i="35" s="1"/>
  <c r="D100" i="71"/>
  <c r="D97" i="32"/>
  <c r="D103" i="71"/>
  <c r="D106" i="71"/>
  <c r="D164" i="31"/>
  <c r="D162" i="31" s="1"/>
  <c r="D94" i="32"/>
  <c r="D92" i="32"/>
  <c r="C98" i="35"/>
  <c r="C96" i="35" s="1"/>
  <c r="C74" i="35"/>
  <c r="D103" i="32"/>
  <c r="D169" i="31"/>
  <c r="D167" i="31" s="1"/>
  <c r="D149" i="31"/>
  <c r="D147" i="31" s="1"/>
  <c r="E164" i="29"/>
  <c r="E162" i="29" s="1"/>
  <c r="E149" i="29"/>
  <c r="E147" i="29" s="1"/>
  <c r="D109" i="32"/>
  <c r="D103" i="33"/>
  <c r="E159" i="29"/>
  <c r="E157" i="29" s="1"/>
  <c r="D109" i="33"/>
  <c r="D139" i="29"/>
  <c r="D141" i="29" s="1"/>
  <c r="B106" i="35"/>
  <c r="E154" i="29"/>
  <c r="E152" i="29" s="1"/>
  <c r="C91" i="32"/>
  <c r="C93" i="32" s="1"/>
  <c r="B141" i="31"/>
  <c r="C5" i="32"/>
  <c r="E169" i="29"/>
  <c r="E167" i="29" s="1"/>
  <c r="D159" i="31"/>
  <c r="D157" i="31" s="1"/>
  <c r="E27" i="29"/>
  <c r="E25" i="29" s="1"/>
  <c r="D19" i="71"/>
  <c r="E12" i="29"/>
  <c r="E10" i="29" s="1"/>
  <c r="E8" i="29"/>
  <c r="E32" i="29"/>
  <c r="E30" i="29" s="1"/>
  <c r="C22" i="35"/>
  <c r="C20" i="35" s="1"/>
  <c r="D16" i="33"/>
  <c r="D22" i="71"/>
  <c r="D22" i="33"/>
  <c r="D37" i="31"/>
  <c r="D35" i="31" s="1"/>
  <c r="D22" i="31"/>
  <c r="D20" i="31" s="1"/>
  <c r="D32" i="31"/>
  <c r="D30" i="31" s="1"/>
  <c r="D16" i="71"/>
  <c r="D19" i="33"/>
  <c r="E22" i="29"/>
  <c r="E20" i="29" s="1"/>
  <c r="D25" i="32"/>
  <c r="D10" i="33"/>
  <c r="D8" i="33"/>
  <c r="D27" i="31"/>
  <c r="D25" i="31" s="1"/>
  <c r="D19" i="32"/>
  <c r="B13" i="42"/>
  <c r="N13" i="42" s="1"/>
  <c r="B12" i="42"/>
  <c r="B14" i="42"/>
  <c r="C12" i="35"/>
  <c r="C10" i="35" s="1"/>
  <c r="D25" i="33"/>
  <c r="E37" i="29"/>
  <c r="E35" i="29" s="1"/>
  <c r="D8" i="31"/>
  <c r="D12" i="31"/>
  <c r="D10" i="31" s="1"/>
  <c r="D22" i="32"/>
  <c r="D25" i="71"/>
  <c r="D8" i="32"/>
  <c r="D10" i="32"/>
  <c r="D8" i="71"/>
  <c r="D10" i="71"/>
  <c r="D16" i="32"/>
  <c r="B9" i="32"/>
  <c r="B4" i="32"/>
  <c r="B6" i="32" s="1"/>
  <c r="B9" i="33"/>
  <c r="B4" i="33"/>
  <c r="B6" i="33" s="1"/>
  <c r="B17" i="35"/>
  <c r="B15" i="35" s="1"/>
  <c r="B7" i="35" s="1"/>
  <c r="B8" i="35"/>
  <c r="B5" i="35" s="1"/>
  <c r="C13" i="33"/>
  <c r="C7" i="33" s="1"/>
  <c r="C13" i="71"/>
  <c r="C7" i="71" s="1"/>
  <c r="B7" i="31"/>
  <c r="B9" i="71"/>
  <c r="B4" i="71"/>
  <c r="B6" i="71" s="1"/>
  <c r="C17" i="31"/>
  <c r="C15" i="31" s="1"/>
  <c r="C7" i="31" s="1"/>
  <c r="C9" i="29"/>
  <c r="C4" i="29"/>
  <c r="C6" i="29" s="1"/>
  <c r="D17" i="29"/>
  <c r="D15" i="29" s="1"/>
  <c r="D7" i="29" s="1"/>
  <c r="B9" i="29"/>
  <c r="B4" i="29"/>
  <c r="B6" i="29" s="1"/>
  <c r="C13" i="32"/>
  <c r="C7" i="32" s="1"/>
  <c r="C91" i="27"/>
  <c r="C93" i="27" s="1"/>
  <c r="D91" i="27"/>
  <c r="C85" i="27"/>
  <c r="D85" i="27"/>
  <c r="I100" i="27"/>
  <c r="I109" i="27"/>
  <c r="I110" i="28" s="1"/>
  <c r="I109" i="28" s="1"/>
  <c r="J103" i="27"/>
  <c r="J104" i="28" s="1"/>
  <c r="J103" i="28" s="1"/>
  <c r="H106" i="27"/>
  <c r="E94" i="27"/>
  <c r="H85" i="27"/>
  <c r="I79" i="27"/>
  <c r="H88" i="27"/>
  <c r="H89" i="28" s="1"/>
  <c r="H88" i="28" s="1"/>
  <c r="I64" i="27"/>
  <c r="I61" i="27"/>
  <c r="I62" i="28" s="1"/>
  <c r="I61" i="28" s="1"/>
  <c r="I67" i="27"/>
  <c r="I68" i="28" s="1"/>
  <c r="I67" i="28" s="1"/>
  <c r="I47" i="28"/>
  <c r="I46" i="28" s="1"/>
  <c r="H41" i="28"/>
  <c r="H40" i="28" s="1"/>
  <c r="E26" i="74"/>
  <c r="E25" i="74" s="1"/>
  <c r="H25" i="27"/>
  <c r="H22" i="27"/>
  <c r="H19" i="27"/>
  <c r="G13" i="27"/>
  <c r="G14" i="28" s="1"/>
  <c r="G13" i="28" s="1"/>
  <c r="C15" i="62"/>
  <c r="C16" i="62" s="1"/>
  <c r="J241" i="61"/>
  <c r="K241" i="61"/>
  <c r="D30" i="28" l="1"/>
  <c r="D89" i="74"/>
  <c r="D88" i="74" s="1"/>
  <c r="D93" i="27"/>
  <c r="D91" i="28"/>
  <c r="C93" i="74"/>
  <c r="D92" i="28"/>
  <c r="H107" i="28"/>
  <c r="H106" i="28" s="1"/>
  <c r="H107" i="74"/>
  <c r="H106" i="74" s="1"/>
  <c r="H104" i="74"/>
  <c r="H103" i="74" s="1"/>
  <c r="C106" i="74"/>
  <c r="D97" i="74"/>
  <c r="I101" i="28"/>
  <c r="I100" i="28" s="1"/>
  <c r="I98" i="74"/>
  <c r="I97" i="74" s="1"/>
  <c r="I101" i="74"/>
  <c r="B91" i="74"/>
  <c r="C89" i="74"/>
  <c r="C88" i="74" s="1"/>
  <c r="E95" i="28"/>
  <c r="E94" i="28" s="1"/>
  <c r="E95" i="74"/>
  <c r="D92" i="74"/>
  <c r="D94" i="74"/>
  <c r="D86" i="28"/>
  <c r="D85" i="28" s="1"/>
  <c r="D83" i="74"/>
  <c r="D82" i="74" s="1"/>
  <c r="D86" i="74"/>
  <c r="D85" i="74" s="1"/>
  <c r="C86" i="28"/>
  <c r="C85" i="28" s="1"/>
  <c r="C83" i="74"/>
  <c r="C82" i="74" s="1"/>
  <c r="C86" i="74"/>
  <c r="H86" i="28"/>
  <c r="H85" i="28" s="1"/>
  <c r="H83" i="74"/>
  <c r="H82" i="74" s="1"/>
  <c r="H86" i="74"/>
  <c r="H85" i="74" s="1"/>
  <c r="I80" i="28"/>
  <c r="I79" i="28" s="1"/>
  <c r="I77" i="74"/>
  <c r="I76" i="74" s="1"/>
  <c r="I80" i="74"/>
  <c r="I79" i="74" s="1"/>
  <c r="I65" i="28"/>
  <c r="I64" i="28" s="1"/>
  <c r="I65" i="74"/>
  <c r="I64" i="74" s="1"/>
  <c r="I62" i="74"/>
  <c r="H44" i="28"/>
  <c r="H43" i="28" s="1"/>
  <c r="H41" i="74"/>
  <c r="H44" i="74"/>
  <c r="H38" i="28"/>
  <c r="H37" i="28" s="1"/>
  <c r="H35" i="74"/>
  <c r="H38" i="74"/>
  <c r="H37" i="74" s="1"/>
  <c r="C28" i="28"/>
  <c r="C30" i="28" s="1"/>
  <c r="F32" i="28"/>
  <c r="F31" i="28" s="1"/>
  <c r="F32" i="74"/>
  <c r="E29" i="74"/>
  <c r="E31" i="74"/>
  <c r="E28" i="28"/>
  <c r="E30" i="28" s="1"/>
  <c r="H26" i="28"/>
  <c r="H25" i="28" s="1"/>
  <c r="H23" i="28"/>
  <c r="H22" i="28" s="1"/>
  <c r="H20" i="74"/>
  <c r="H19" i="74" s="1"/>
  <c r="H23" i="74"/>
  <c r="H22" i="74" s="1"/>
  <c r="H20" i="28"/>
  <c r="H19" i="28" s="1"/>
  <c r="E29" i="28"/>
  <c r="F26" i="74"/>
  <c r="F25" i="74" s="1"/>
  <c r="C73" i="35"/>
  <c r="C75" i="35" s="1"/>
  <c r="E97" i="27"/>
  <c r="E98" i="28" s="1"/>
  <c r="E97" i="28" s="1"/>
  <c r="D5" i="32"/>
  <c r="D5" i="33"/>
  <c r="D91" i="32"/>
  <c r="D93" i="32" s="1"/>
  <c r="E139" i="29"/>
  <c r="D107" i="35"/>
  <c r="D111" i="35"/>
  <c r="D109" i="35" s="1"/>
  <c r="F164" i="29"/>
  <c r="F162" i="29" s="1"/>
  <c r="E106" i="71"/>
  <c r="E94" i="33"/>
  <c r="E92" i="33"/>
  <c r="F154" i="29"/>
  <c r="F152" i="29" s="1"/>
  <c r="E5" i="29"/>
  <c r="E149" i="31"/>
  <c r="E147" i="31" s="1"/>
  <c r="E109" i="71"/>
  <c r="B108" i="35"/>
  <c r="E103" i="71"/>
  <c r="E106" i="33"/>
  <c r="E97" i="32"/>
  <c r="E100" i="32"/>
  <c r="E154" i="31"/>
  <c r="E152" i="31" s="1"/>
  <c r="D5" i="31"/>
  <c r="E169" i="31"/>
  <c r="E167" i="31" s="1"/>
  <c r="E106" i="32"/>
  <c r="E100" i="71"/>
  <c r="F159" i="29"/>
  <c r="F157" i="29" s="1"/>
  <c r="D103" i="35"/>
  <c r="D101" i="35" s="1"/>
  <c r="E97" i="33"/>
  <c r="E100" i="33"/>
  <c r="E159" i="31"/>
  <c r="E157" i="31" s="1"/>
  <c r="D139" i="31"/>
  <c r="D141" i="31" s="1"/>
  <c r="E92" i="71"/>
  <c r="E94" i="71"/>
  <c r="E103" i="33"/>
  <c r="D74" i="35"/>
  <c r="D98" i="35"/>
  <c r="D96" i="35" s="1"/>
  <c r="B105" i="42"/>
  <c r="N102" i="42"/>
  <c r="B79" i="42"/>
  <c r="N79" i="42" s="1"/>
  <c r="B78" i="42"/>
  <c r="B80" i="42"/>
  <c r="E140" i="31"/>
  <c r="E144" i="31"/>
  <c r="E142" i="31" s="1"/>
  <c r="D91" i="71"/>
  <c r="D93" i="71" s="1"/>
  <c r="F169" i="29"/>
  <c r="F167" i="29" s="1"/>
  <c r="D5" i="71"/>
  <c r="E92" i="32"/>
  <c r="E109" i="32"/>
  <c r="E94" i="32"/>
  <c r="C104" i="42"/>
  <c r="C108" i="35"/>
  <c r="E97" i="71"/>
  <c r="E109" i="33"/>
  <c r="E103" i="32"/>
  <c r="F149" i="29"/>
  <c r="F147" i="29" s="1"/>
  <c r="E164" i="31"/>
  <c r="E162" i="31" s="1"/>
  <c r="B105" i="37"/>
  <c r="B103" i="37"/>
  <c r="F140" i="29"/>
  <c r="F144" i="29"/>
  <c r="F142" i="29" s="1"/>
  <c r="D91" i="33"/>
  <c r="C14" i="42"/>
  <c r="D22" i="35"/>
  <c r="D20" i="35" s="1"/>
  <c r="E16" i="71"/>
  <c r="F32" i="29"/>
  <c r="F30" i="29" s="1"/>
  <c r="E32" i="31"/>
  <c r="E30" i="31" s="1"/>
  <c r="E22" i="31"/>
  <c r="E20" i="31" s="1"/>
  <c r="E37" i="31"/>
  <c r="E35" i="31" s="1"/>
  <c r="E19" i="71"/>
  <c r="N12" i="42"/>
  <c r="B15" i="42"/>
  <c r="E27" i="31"/>
  <c r="E25" i="31" s="1"/>
  <c r="E12" i="31"/>
  <c r="E10" i="31" s="1"/>
  <c r="E8" i="31"/>
  <c r="E8" i="33"/>
  <c r="E10" i="33"/>
  <c r="E22" i="32"/>
  <c r="F12" i="29"/>
  <c r="F10" i="29" s="1"/>
  <c r="F8" i="29"/>
  <c r="E16" i="32"/>
  <c r="F37" i="29"/>
  <c r="F35" i="29" s="1"/>
  <c r="F27" i="29"/>
  <c r="F25" i="29" s="1"/>
  <c r="E22" i="71"/>
  <c r="E25" i="71"/>
  <c r="E25" i="33"/>
  <c r="E25" i="32"/>
  <c r="E19" i="32"/>
  <c r="E10" i="71"/>
  <c r="E8" i="71"/>
  <c r="E22" i="33"/>
  <c r="D12" i="35"/>
  <c r="D10" i="35" s="1"/>
  <c r="E16" i="33"/>
  <c r="F22" i="29"/>
  <c r="F20" i="29" s="1"/>
  <c r="E8" i="32"/>
  <c r="E10" i="32"/>
  <c r="B13" i="37"/>
  <c r="B15" i="37"/>
  <c r="E19" i="33"/>
  <c r="D13" i="71"/>
  <c r="D7" i="71" s="1"/>
  <c r="D9" i="29"/>
  <c r="D4" i="29"/>
  <c r="D6" i="29" s="1"/>
  <c r="B9" i="31"/>
  <c r="B4" i="31"/>
  <c r="B6" i="31" s="1"/>
  <c r="D13" i="33"/>
  <c r="D7" i="33" s="1"/>
  <c r="D13" i="32"/>
  <c r="D7" i="32" s="1"/>
  <c r="C9" i="71"/>
  <c r="C4" i="71"/>
  <c r="C6" i="71" s="1"/>
  <c r="C9" i="33"/>
  <c r="C4" i="33"/>
  <c r="C6" i="33" s="1"/>
  <c r="C17" i="35"/>
  <c r="C15" i="35" s="1"/>
  <c r="C7" i="35" s="1"/>
  <c r="C8" i="35"/>
  <c r="C5" i="35" s="1"/>
  <c r="B20" i="42"/>
  <c r="N20" i="42" s="1"/>
  <c r="B19" i="42"/>
  <c r="B21" i="42"/>
  <c r="B8" i="42"/>
  <c r="C9" i="31"/>
  <c r="C4" i="31"/>
  <c r="C6" i="31" s="1"/>
  <c r="B9" i="35"/>
  <c r="B4" i="35"/>
  <c r="B6" i="35" s="1"/>
  <c r="C9" i="32"/>
  <c r="C4" i="32"/>
  <c r="C6" i="32" s="1"/>
  <c r="E17" i="29"/>
  <c r="E15" i="29" s="1"/>
  <c r="D17" i="31"/>
  <c r="D15" i="31" s="1"/>
  <c r="C92" i="28"/>
  <c r="C82" i="27"/>
  <c r="C83" i="28" s="1"/>
  <c r="C82" i="28" s="1"/>
  <c r="F94" i="27"/>
  <c r="J109" i="27"/>
  <c r="J110" i="28" s="1"/>
  <c r="J109" i="28" s="1"/>
  <c r="I106" i="27"/>
  <c r="K103" i="27"/>
  <c r="K104" i="28" s="1"/>
  <c r="K103" i="28" s="1"/>
  <c r="J100" i="27"/>
  <c r="J79" i="27"/>
  <c r="I85" i="27"/>
  <c r="I88" i="27"/>
  <c r="I89" i="28" s="1"/>
  <c r="I88" i="28" s="1"/>
  <c r="J67" i="27"/>
  <c r="J68" i="28" s="1"/>
  <c r="J67" i="28" s="1"/>
  <c r="J61" i="27"/>
  <c r="J62" i="28" s="1"/>
  <c r="J61" i="28" s="1"/>
  <c r="J64" i="27"/>
  <c r="I41" i="28"/>
  <c r="I40" i="28" s="1"/>
  <c r="J47" i="28"/>
  <c r="J46" i="28" s="1"/>
  <c r="I25" i="27"/>
  <c r="I22" i="27"/>
  <c r="I19" i="27"/>
  <c r="I20" i="28" s="1"/>
  <c r="I19" i="28" s="1"/>
  <c r="H13" i="27"/>
  <c r="H14" i="28" s="1"/>
  <c r="H13" i="28" s="1"/>
  <c r="C26" i="39"/>
  <c r="D26" i="39" s="1"/>
  <c r="E26" i="39" s="1"/>
  <c r="F26" i="39" s="1"/>
  <c r="G26" i="39" s="1"/>
  <c r="H26" i="39" s="1"/>
  <c r="I26" i="39" s="1"/>
  <c r="J26" i="39" s="1"/>
  <c r="K26" i="39" s="1"/>
  <c r="L26" i="39" s="1"/>
  <c r="M26" i="39" s="1"/>
  <c r="C25" i="39"/>
  <c r="D25" i="39" s="1"/>
  <c r="E25" i="39" s="1"/>
  <c r="F25" i="39" s="1"/>
  <c r="G25" i="39" s="1"/>
  <c r="H25" i="39" s="1"/>
  <c r="I25" i="39" s="1"/>
  <c r="J25" i="39" s="1"/>
  <c r="K25" i="39" s="1"/>
  <c r="L25" i="39" s="1"/>
  <c r="M25" i="39" s="1"/>
  <c r="C12" i="40"/>
  <c r="D12" i="40" s="1"/>
  <c r="D93" i="28" l="1"/>
  <c r="I107" i="28"/>
  <c r="I106" i="28" s="1"/>
  <c r="I107" i="74"/>
  <c r="I106" i="74" s="1"/>
  <c r="I104" i="74"/>
  <c r="J101" i="28"/>
  <c r="J100" i="28" s="1"/>
  <c r="J98" i="74"/>
  <c r="J97" i="74" s="1"/>
  <c r="J101" i="74"/>
  <c r="J100" i="74" s="1"/>
  <c r="I100" i="74"/>
  <c r="D91" i="74"/>
  <c r="D93" i="74" s="1"/>
  <c r="F95" i="28"/>
  <c r="F94" i="28" s="1"/>
  <c r="F95" i="74"/>
  <c r="E91" i="28"/>
  <c r="E92" i="74"/>
  <c r="E94" i="74"/>
  <c r="E91" i="74" s="1"/>
  <c r="E93" i="74" s="1"/>
  <c r="B93" i="74"/>
  <c r="I86" i="28"/>
  <c r="I85" i="28" s="1"/>
  <c r="I86" i="74"/>
  <c r="I85" i="74" s="1"/>
  <c r="I83" i="74"/>
  <c r="C85" i="74"/>
  <c r="J80" i="28"/>
  <c r="J79" i="28" s="1"/>
  <c r="J77" i="74"/>
  <c r="J76" i="74" s="1"/>
  <c r="J80" i="74"/>
  <c r="J79" i="74" s="1"/>
  <c r="I61" i="74"/>
  <c r="J65" i="28"/>
  <c r="J64" i="28" s="1"/>
  <c r="J65" i="74"/>
  <c r="J64" i="74" s="1"/>
  <c r="J62" i="74"/>
  <c r="J61" i="74" s="1"/>
  <c r="H40" i="74"/>
  <c r="I44" i="28"/>
  <c r="I43" i="28" s="1"/>
  <c r="I41" i="74"/>
  <c r="I40" i="74" s="1"/>
  <c r="I44" i="74"/>
  <c r="I43" i="74" s="1"/>
  <c r="H43" i="74"/>
  <c r="I38" i="28"/>
  <c r="I37" i="28" s="1"/>
  <c r="I38" i="74"/>
  <c r="I37" i="74" s="1"/>
  <c r="I35" i="74"/>
  <c r="I34" i="74" s="1"/>
  <c r="H34" i="74"/>
  <c r="F29" i="74"/>
  <c r="F31" i="74"/>
  <c r="F28" i="74" s="1"/>
  <c r="G32" i="28"/>
  <c r="G31" i="28" s="1"/>
  <c r="G32" i="74"/>
  <c r="E28" i="74"/>
  <c r="I26" i="28"/>
  <c r="I25" i="28" s="1"/>
  <c r="I23" i="28"/>
  <c r="I22" i="28" s="1"/>
  <c r="I23" i="74"/>
  <c r="I20" i="74"/>
  <c r="I19" i="74" s="1"/>
  <c r="E92" i="28"/>
  <c r="F29" i="28"/>
  <c r="E5" i="33"/>
  <c r="D73" i="35"/>
  <c r="D75" i="35" s="1"/>
  <c r="E5" i="71"/>
  <c r="F97" i="27"/>
  <c r="F98" i="28" s="1"/>
  <c r="F97" i="28" s="1"/>
  <c r="E91" i="27"/>
  <c r="E5" i="31"/>
  <c r="E139" i="31"/>
  <c r="E141" i="31" s="1"/>
  <c r="G159" i="29"/>
  <c r="G157" i="29" s="1"/>
  <c r="F94" i="71"/>
  <c r="F92" i="71"/>
  <c r="G154" i="29"/>
  <c r="G152" i="29" s="1"/>
  <c r="C103" i="37"/>
  <c r="C105" i="37"/>
  <c r="D104" i="42"/>
  <c r="C105" i="42"/>
  <c r="C100" i="42" s="1"/>
  <c r="E91" i="71"/>
  <c r="E93" i="71" s="1"/>
  <c r="F106" i="33"/>
  <c r="F92" i="33"/>
  <c r="F94" i="33"/>
  <c r="E91" i="32"/>
  <c r="F144" i="31"/>
  <c r="F142" i="31" s="1"/>
  <c r="F140" i="31"/>
  <c r="F100" i="71"/>
  <c r="B103" i="41"/>
  <c r="F94" i="32"/>
  <c r="F92" i="32"/>
  <c r="C80" i="42"/>
  <c r="E91" i="33"/>
  <c r="E93" i="33" s="1"/>
  <c r="F97" i="32"/>
  <c r="B100" i="37"/>
  <c r="N78" i="42"/>
  <c r="B81" i="42"/>
  <c r="F106" i="71"/>
  <c r="F169" i="31"/>
  <c r="F167" i="31" s="1"/>
  <c r="F103" i="32"/>
  <c r="B106" i="42"/>
  <c r="B100" i="42"/>
  <c r="F154" i="31"/>
  <c r="F152" i="31" s="1"/>
  <c r="F149" i="31"/>
  <c r="F147" i="31" s="1"/>
  <c r="F103" i="71"/>
  <c r="B81" i="37"/>
  <c r="B79" i="37"/>
  <c r="D106" i="35"/>
  <c r="E98" i="35"/>
  <c r="E96" i="35" s="1"/>
  <c r="E74" i="35"/>
  <c r="F109" i="71"/>
  <c r="F5" i="29"/>
  <c r="D93" i="33"/>
  <c r="F109" i="33"/>
  <c r="E103" i="35"/>
  <c r="E101" i="35" s="1"/>
  <c r="E141" i="29"/>
  <c r="G144" i="29"/>
  <c r="G142" i="29" s="1"/>
  <c r="G140" i="29"/>
  <c r="F106" i="32"/>
  <c r="F164" i="31"/>
  <c r="F162" i="31" s="1"/>
  <c r="F159" i="31"/>
  <c r="F157" i="31" s="1"/>
  <c r="G164" i="29"/>
  <c r="G162" i="29" s="1"/>
  <c r="G149" i="29"/>
  <c r="G147" i="29" s="1"/>
  <c r="F109" i="32"/>
  <c r="B111" i="42"/>
  <c r="B110" i="42"/>
  <c r="N110" i="42" s="1"/>
  <c r="B109" i="42"/>
  <c r="B98" i="42"/>
  <c r="B5" i="42" s="1"/>
  <c r="F100" i="33"/>
  <c r="F97" i="33"/>
  <c r="E107" i="35"/>
  <c r="E111" i="35"/>
  <c r="E109" i="35" s="1"/>
  <c r="E106" i="35" s="1"/>
  <c r="E5" i="32"/>
  <c r="F139" i="29"/>
  <c r="F141" i="29" s="1"/>
  <c r="F97" i="71"/>
  <c r="G169" i="29"/>
  <c r="G167" i="29" s="1"/>
  <c r="F103" i="33"/>
  <c r="F100" i="32"/>
  <c r="F22" i="31"/>
  <c r="F20" i="31" s="1"/>
  <c r="F25" i="71"/>
  <c r="F32" i="31"/>
  <c r="F30" i="31" s="1"/>
  <c r="F16" i="33"/>
  <c r="F10" i="33"/>
  <c r="F8" i="33"/>
  <c r="G32" i="29"/>
  <c r="G30" i="29" s="1"/>
  <c r="F22" i="71"/>
  <c r="F8" i="31"/>
  <c r="F12" i="31"/>
  <c r="F10" i="31" s="1"/>
  <c r="F19" i="33"/>
  <c r="F22" i="33"/>
  <c r="F16" i="71"/>
  <c r="E12" i="35"/>
  <c r="E10" i="35" s="1"/>
  <c r="F27" i="31"/>
  <c r="F25" i="31" s="1"/>
  <c r="E22" i="35"/>
  <c r="E20" i="35" s="1"/>
  <c r="B12" i="41"/>
  <c r="G37" i="29"/>
  <c r="G35" i="29" s="1"/>
  <c r="B10" i="42"/>
  <c r="B16" i="42"/>
  <c r="B10" i="37"/>
  <c r="F19" i="32"/>
  <c r="C15" i="42"/>
  <c r="C10" i="42" s="1"/>
  <c r="C16" i="42" s="1"/>
  <c r="D14" i="42"/>
  <c r="C13" i="37"/>
  <c r="C15" i="37"/>
  <c r="F16" i="32"/>
  <c r="F19" i="71"/>
  <c r="G27" i="29"/>
  <c r="G25" i="29" s="1"/>
  <c r="F8" i="32"/>
  <c r="F10" i="32"/>
  <c r="F25" i="32"/>
  <c r="G12" i="29"/>
  <c r="G10" i="29" s="1"/>
  <c r="G8" i="29"/>
  <c r="G22" i="29"/>
  <c r="G20" i="29" s="1"/>
  <c r="F25" i="33"/>
  <c r="F37" i="31"/>
  <c r="F35" i="31" s="1"/>
  <c r="F8" i="71"/>
  <c r="F10" i="71"/>
  <c r="F22" i="32"/>
  <c r="D17" i="35"/>
  <c r="D15" i="35" s="1"/>
  <c r="D7" i="35" s="1"/>
  <c r="D8" i="35"/>
  <c r="D5" i="35" s="1"/>
  <c r="D4" i="33"/>
  <c r="D6" i="33" s="1"/>
  <c r="D9" i="33"/>
  <c r="C4" i="35"/>
  <c r="C6" i="35" s="1"/>
  <c r="C9" i="35"/>
  <c r="E13" i="33"/>
  <c r="E7" i="33" s="1"/>
  <c r="E17" i="31"/>
  <c r="E15" i="31" s="1"/>
  <c r="E7" i="31" s="1"/>
  <c r="D7" i="31"/>
  <c r="C21" i="42"/>
  <c r="D9" i="71"/>
  <c r="D4" i="71"/>
  <c r="D6" i="71" s="1"/>
  <c r="B20" i="37"/>
  <c r="B22" i="37"/>
  <c r="B8" i="37"/>
  <c r="E13" i="71"/>
  <c r="E7" i="71" s="1"/>
  <c r="C8" i="42"/>
  <c r="N19" i="42"/>
  <c r="B22" i="42"/>
  <c r="E7" i="29"/>
  <c r="D9" i="32"/>
  <c r="D4" i="32"/>
  <c r="D6" i="32" s="1"/>
  <c r="F17" i="29"/>
  <c r="F15" i="29" s="1"/>
  <c r="F7" i="29" s="1"/>
  <c r="E13" i="32"/>
  <c r="E7" i="32" s="1"/>
  <c r="C91" i="28"/>
  <c r="C93" i="28" s="1"/>
  <c r="D79" i="27"/>
  <c r="C79" i="27"/>
  <c r="D82" i="27"/>
  <c r="D83" i="28" s="1"/>
  <c r="D82" i="28" s="1"/>
  <c r="K100" i="27"/>
  <c r="M103" i="27"/>
  <c r="M104" i="28" s="1"/>
  <c r="M103" i="28" s="1"/>
  <c r="L103" i="27"/>
  <c r="L104" i="28" s="1"/>
  <c r="L103" i="28" s="1"/>
  <c r="J106" i="27"/>
  <c r="K109" i="27"/>
  <c r="K110" i="28" s="1"/>
  <c r="K109" i="28" s="1"/>
  <c r="G94" i="27"/>
  <c r="J88" i="27"/>
  <c r="J89" i="28" s="1"/>
  <c r="J88" i="28" s="1"/>
  <c r="J85" i="27"/>
  <c r="K79" i="27"/>
  <c r="K61" i="27"/>
  <c r="K62" i="28" s="1"/>
  <c r="K61" i="28" s="1"/>
  <c r="K67" i="27"/>
  <c r="K68" i="28" s="1"/>
  <c r="K67" i="28" s="1"/>
  <c r="K64" i="27"/>
  <c r="K47" i="28"/>
  <c r="K46" i="28" s="1"/>
  <c r="J41" i="28"/>
  <c r="J40" i="28" s="1"/>
  <c r="G26" i="74"/>
  <c r="G25" i="74" s="1"/>
  <c r="J25" i="27"/>
  <c r="J22" i="27"/>
  <c r="J19" i="27"/>
  <c r="I13" i="27"/>
  <c r="I14" i="28" s="1"/>
  <c r="I13" i="28" s="1"/>
  <c r="E12" i="40"/>
  <c r="E93" i="28" l="1"/>
  <c r="E89" i="74"/>
  <c r="E93" i="27"/>
  <c r="N103" i="28"/>
  <c r="F92" i="28"/>
  <c r="J107" i="28"/>
  <c r="J106" i="28" s="1"/>
  <c r="J107" i="74"/>
  <c r="J104" i="74"/>
  <c r="J103" i="74" s="1"/>
  <c r="I103" i="74"/>
  <c r="N104" i="28"/>
  <c r="K101" i="28"/>
  <c r="K100" i="28" s="1"/>
  <c r="K98" i="74"/>
  <c r="K101" i="74"/>
  <c r="E88" i="74"/>
  <c r="G95" i="28"/>
  <c r="G94" i="28" s="1"/>
  <c r="G95" i="74"/>
  <c r="F92" i="74"/>
  <c r="F94" i="74"/>
  <c r="F91" i="74" s="1"/>
  <c r="J86" i="28"/>
  <c r="J85" i="28" s="1"/>
  <c r="J86" i="74"/>
  <c r="J83" i="74"/>
  <c r="J82" i="74" s="1"/>
  <c r="I82" i="74"/>
  <c r="K80" i="28"/>
  <c r="K79" i="28" s="1"/>
  <c r="K80" i="74"/>
  <c r="K79" i="74" s="1"/>
  <c r="K77" i="74"/>
  <c r="K76" i="74" s="1"/>
  <c r="C80" i="28"/>
  <c r="C79" i="28" s="1"/>
  <c r="C77" i="74"/>
  <c r="C80" i="74"/>
  <c r="D80" i="28"/>
  <c r="D79" i="28" s="1"/>
  <c r="D77" i="74"/>
  <c r="D76" i="74" s="1"/>
  <c r="D80" i="74"/>
  <c r="D79" i="74" s="1"/>
  <c r="K65" i="28"/>
  <c r="K64" i="28" s="1"/>
  <c r="K62" i="74"/>
  <c r="K61" i="74" s="1"/>
  <c r="K65" i="74"/>
  <c r="K64" i="74" s="1"/>
  <c r="J44" i="28"/>
  <c r="J43" i="28" s="1"/>
  <c r="J41" i="74"/>
  <c r="J44" i="74"/>
  <c r="J38" i="28"/>
  <c r="J37" i="28" s="1"/>
  <c r="J38" i="74"/>
  <c r="J37" i="74" s="1"/>
  <c r="J35" i="74"/>
  <c r="J34" i="74" s="1"/>
  <c r="F30" i="74"/>
  <c r="H32" i="28"/>
  <c r="H31" i="28" s="1"/>
  <c r="H32" i="74"/>
  <c r="E30" i="74"/>
  <c r="G29" i="74"/>
  <c r="G31" i="74"/>
  <c r="G28" i="74" s="1"/>
  <c r="G30" i="74" s="1"/>
  <c r="J26" i="28"/>
  <c r="J25" i="28" s="1"/>
  <c r="I22" i="74"/>
  <c r="J23" i="28"/>
  <c r="J22" i="28" s="1"/>
  <c r="J20" i="74"/>
  <c r="J19" i="74" s="1"/>
  <c r="J23" i="74"/>
  <c r="J22" i="74" s="1"/>
  <c r="J20" i="28"/>
  <c r="J19" i="28" s="1"/>
  <c r="H97" i="27"/>
  <c r="H98" i="28" s="1"/>
  <c r="H97" i="28" s="1"/>
  <c r="G29" i="28"/>
  <c r="G28" i="28"/>
  <c r="G30" i="28" s="1"/>
  <c r="F28" i="28"/>
  <c r="F30" i="28" s="1"/>
  <c r="F91" i="27"/>
  <c r="F93" i="27" s="1"/>
  <c r="F91" i="28"/>
  <c r="F5" i="33"/>
  <c r="G97" i="27"/>
  <c r="G98" i="28" s="1"/>
  <c r="G97" i="28" s="1"/>
  <c r="E73" i="35"/>
  <c r="E75" i="35" s="1"/>
  <c r="F5" i="71"/>
  <c r="C100" i="37"/>
  <c r="C106" i="37" s="1"/>
  <c r="F5" i="32"/>
  <c r="G169" i="31"/>
  <c r="G167" i="31" s="1"/>
  <c r="G94" i="32"/>
  <c r="G92" i="32"/>
  <c r="H164" i="29"/>
  <c r="H162" i="29" s="1"/>
  <c r="G109" i="33"/>
  <c r="B107" i="41"/>
  <c r="C103" i="41"/>
  <c r="C106" i="42"/>
  <c r="G97" i="33"/>
  <c r="G106" i="71"/>
  <c r="C104" i="41"/>
  <c r="C105" i="41"/>
  <c r="N105" i="41" s="1"/>
  <c r="E104" i="42"/>
  <c r="D105" i="42"/>
  <c r="D100" i="42" s="1"/>
  <c r="G159" i="31"/>
  <c r="G157" i="31" s="1"/>
  <c r="G103" i="71"/>
  <c r="B76" i="42"/>
  <c r="G100" i="71"/>
  <c r="F5" i="31"/>
  <c r="G100" i="33"/>
  <c r="G109" i="71"/>
  <c r="G144" i="31"/>
  <c r="G142" i="31" s="1"/>
  <c r="G140" i="31"/>
  <c r="D105" i="37"/>
  <c r="D103" i="37"/>
  <c r="G100" i="32"/>
  <c r="B112" i="37"/>
  <c r="B110" i="37"/>
  <c r="B98" i="37"/>
  <c r="B5" i="37" s="1"/>
  <c r="G103" i="33"/>
  <c r="N109" i="42"/>
  <c r="B112" i="42"/>
  <c r="G154" i="31"/>
  <c r="G152" i="31" s="1"/>
  <c r="G139" i="29"/>
  <c r="G97" i="32"/>
  <c r="G5" i="29"/>
  <c r="G97" i="71"/>
  <c r="C98" i="42"/>
  <c r="C5" i="42" s="1"/>
  <c r="H144" i="29"/>
  <c r="H142" i="29" s="1"/>
  <c r="H140" i="29"/>
  <c r="D108" i="35"/>
  <c r="F91" i="71"/>
  <c r="G109" i="32"/>
  <c r="B79" i="41"/>
  <c r="B59" i="41"/>
  <c r="C81" i="42"/>
  <c r="C76" i="42" s="1"/>
  <c r="D80" i="42"/>
  <c r="G92" i="33"/>
  <c r="G94" i="33"/>
  <c r="B76" i="37"/>
  <c r="G103" i="32"/>
  <c r="G106" i="33"/>
  <c r="H159" i="29"/>
  <c r="H157" i="29" s="1"/>
  <c r="H169" i="29"/>
  <c r="H167" i="29" s="1"/>
  <c r="F103" i="35"/>
  <c r="F101" i="35" s="1"/>
  <c r="F107" i="35"/>
  <c r="F111" i="35"/>
  <c r="F109" i="35" s="1"/>
  <c r="G164" i="31"/>
  <c r="G162" i="31" s="1"/>
  <c r="G149" i="31"/>
  <c r="G147" i="31" s="1"/>
  <c r="G106" i="32"/>
  <c r="F139" i="31"/>
  <c r="F98" i="35"/>
  <c r="F96" i="35" s="1"/>
  <c r="F74" i="35"/>
  <c r="B106" i="37"/>
  <c r="H154" i="29"/>
  <c r="H152" i="29" s="1"/>
  <c r="E93" i="32"/>
  <c r="G94" i="71"/>
  <c r="G92" i="71"/>
  <c r="C111" i="42"/>
  <c r="F91" i="33"/>
  <c r="E108" i="35"/>
  <c r="H149" i="29"/>
  <c r="H147" i="29" s="1"/>
  <c r="C81" i="37"/>
  <c r="C79" i="37"/>
  <c r="F91" i="32"/>
  <c r="F93" i="32" s="1"/>
  <c r="C10" i="37"/>
  <c r="C16" i="37" s="1"/>
  <c r="H12" i="29"/>
  <c r="H10" i="29" s="1"/>
  <c r="H8" i="29"/>
  <c r="G8" i="33"/>
  <c r="G10" i="33"/>
  <c r="G19" i="32"/>
  <c r="D15" i="42"/>
  <c r="D10" i="42" s="1"/>
  <c r="D16" i="42" s="1"/>
  <c r="E14" i="42"/>
  <c r="G27" i="31"/>
  <c r="G25" i="31" s="1"/>
  <c r="H32" i="29"/>
  <c r="H30" i="29" s="1"/>
  <c r="G16" i="71"/>
  <c r="B16" i="37"/>
  <c r="G16" i="33"/>
  <c r="F12" i="35"/>
  <c r="F10" i="35" s="1"/>
  <c r="G8" i="32"/>
  <c r="G10" i="32"/>
  <c r="G8" i="71"/>
  <c r="G10" i="71"/>
  <c r="G22" i="33"/>
  <c r="H27" i="29"/>
  <c r="H25" i="29" s="1"/>
  <c r="G32" i="31"/>
  <c r="G30" i="31" s="1"/>
  <c r="G12" i="31"/>
  <c r="G10" i="31" s="1"/>
  <c r="G8" i="31"/>
  <c r="G25" i="71"/>
  <c r="G22" i="32"/>
  <c r="G25" i="33"/>
  <c r="G16" i="32"/>
  <c r="B16" i="41"/>
  <c r="C12" i="41"/>
  <c r="G22" i="31"/>
  <c r="G20" i="31" s="1"/>
  <c r="G25" i="32"/>
  <c r="H37" i="29"/>
  <c r="H35" i="29" s="1"/>
  <c r="C13" i="41"/>
  <c r="C14" i="41"/>
  <c r="N14" i="41" s="1"/>
  <c r="G37" i="31"/>
  <c r="G35" i="31" s="1"/>
  <c r="G19" i="71"/>
  <c r="G19" i="33"/>
  <c r="B10" i="36"/>
  <c r="H22" i="29"/>
  <c r="H20" i="29" s="1"/>
  <c r="D15" i="37"/>
  <c r="D13" i="37"/>
  <c r="F22" i="35"/>
  <c r="F20" i="35" s="1"/>
  <c r="G22" i="71"/>
  <c r="D9" i="31"/>
  <c r="D4" i="31"/>
  <c r="D6" i="31" s="1"/>
  <c r="C22" i="42"/>
  <c r="C17" i="42" s="1"/>
  <c r="C7" i="42" s="1"/>
  <c r="D21" i="42"/>
  <c r="F13" i="32"/>
  <c r="F7" i="32" s="1"/>
  <c r="F13" i="71"/>
  <c r="F7" i="71" s="1"/>
  <c r="D8" i="42"/>
  <c r="E4" i="32"/>
  <c r="E6" i="32" s="1"/>
  <c r="E9" i="32"/>
  <c r="B20" i="41"/>
  <c r="B8" i="41"/>
  <c r="F9" i="29"/>
  <c r="F4" i="29"/>
  <c r="F6" i="29" s="1"/>
  <c r="E9" i="33"/>
  <c r="E4" i="33"/>
  <c r="E6" i="33" s="1"/>
  <c r="B17" i="42"/>
  <c r="B17" i="37"/>
  <c r="E17" i="35"/>
  <c r="E15" i="35" s="1"/>
  <c r="E7" i="35" s="1"/>
  <c r="E8" i="35"/>
  <c r="E5" i="35" s="1"/>
  <c r="E9" i="71"/>
  <c r="E4" i="71"/>
  <c r="E6" i="71" s="1"/>
  <c r="G17" i="29"/>
  <c r="G15" i="29" s="1"/>
  <c r="G7" i="29" s="1"/>
  <c r="F13" i="33"/>
  <c r="F7" i="33" s="1"/>
  <c r="E9" i="29"/>
  <c r="E4" i="29"/>
  <c r="E6" i="29" s="1"/>
  <c r="E9" i="31"/>
  <c r="E4" i="31"/>
  <c r="E6" i="31" s="1"/>
  <c r="C20" i="37"/>
  <c r="C22" i="37"/>
  <c r="C8" i="37"/>
  <c r="F17" i="31"/>
  <c r="F15" i="31" s="1"/>
  <c r="D9" i="35"/>
  <c r="D4" i="35"/>
  <c r="D6" i="35" s="1"/>
  <c r="E82" i="27"/>
  <c r="E83" i="28" s="1"/>
  <c r="E82" i="28" s="1"/>
  <c r="C76" i="27"/>
  <c r="C77" i="28" s="1"/>
  <c r="C76" i="28" s="1"/>
  <c r="L100" i="27"/>
  <c r="M100" i="27"/>
  <c r="H94" i="27"/>
  <c r="L109" i="27"/>
  <c r="L110" i="28" s="1"/>
  <c r="L109" i="28" s="1"/>
  <c r="M109" i="27"/>
  <c r="M110" i="28" s="1"/>
  <c r="K106" i="27"/>
  <c r="N103" i="27"/>
  <c r="N105" i="27" s="1"/>
  <c r="M79" i="27"/>
  <c r="L79" i="27"/>
  <c r="K85" i="27"/>
  <c r="K88" i="27"/>
  <c r="K89" i="28" s="1"/>
  <c r="K88" i="28" s="1"/>
  <c r="L64" i="27"/>
  <c r="M64" i="27"/>
  <c r="L67" i="27"/>
  <c r="L68" i="28" s="1"/>
  <c r="L67" i="28" s="1"/>
  <c r="M67" i="27"/>
  <c r="M68" i="28" s="1"/>
  <c r="M67" i="28" s="1"/>
  <c r="L61" i="27"/>
  <c r="L62" i="28" s="1"/>
  <c r="L61" i="28" s="1"/>
  <c r="M61" i="27"/>
  <c r="M62" i="28" s="1"/>
  <c r="M61" i="28" s="1"/>
  <c r="J13" i="27"/>
  <c r="J14" i="28" s="1"/>
  <c r="J13" i="28" s="1"/>
  <c r="K41" i="28"/>
  <c r="K40" i="28" s="1"/>
  <c r="L47" i="28"/>
  <c r="L46" i="28" s="1"/>
  <c r="M47" i="28"/>
  <c r="K25" i="27"/>
  <c r="K22" i="27"/>
  <c r="K19" i="27"/>
  <c r="F12" i="40"/>
  <c r="F93" i="28" l="1"/>
  <c r="M109" i="28"/>
  <c r="N109" i="28" s="1"/>
  <c r="M46" i="28"/>
  <c r="N46" i="28" s="1"/>
  <c r="N105" i="28"/>
  <c r="N110" i="28"/>
  <c r="K107" i="28"/>
  <c r="K106" i="28" s="1"/>
  <c r="K104" i="74"/>
  <c r="K103" i="74" s="1"/>
  <c r="K107" i="74"/>
  <c r="K106" i="74" s="1"/>
  <c r="J106" i="74"/>
  <c r="L101" i="28"/>
  <c r="L100" i="28" s="1"/>
  <c r="L98" i="74"/>
  <c r="L97" i="74" s="1"/>
  <c r="L101" i="74"/>
  <c r="L100" i="74" s="1"/>
  <c r="K100" i="74"/>
  <c r="K97" i="74"/>
  <c r="M101" i="28"/>
  <c r="M100" i="28" s="1"/>
  <c r="M98" i="74"/>
  <c r="M97" i="74" s="1"/>
  <c r="M101" i="74"/>
  <c r="M100" i="74" s="1"/>
  <c r="G91" i="28"/>
  <c r="F93" i="74"/>
  <c r="G92" i="74"/>
  <c r="G94" i="74"/>
  <c r="F89" i="74"/>
  <c r="H95" i="28"/>
  <c r="H94" i="28" s="1"/>
  <c r="H95" i="74"/>
  <c r="K86" i="28"/>
  <c r="K85" i="28" s="1"/>
  <c r="K83" i="74"/>
  <c r="K86" i="74"/>
  <c r="K85" i="74" s="1"/>
  <c r="J85" i="74"/>
  <c r="M80" i="28"/>
  <c r="M79" i="28" s="1"/>
  <c r="M77" i="74"/>
  <c r="M76" i="74" s="1"/>
  <c r="M80" i="74"/>
  <c r="M79" i="74" s="1"/>
  <c r="C76" i="74"/>
  <c r="C79" i="74"/>
  <c r="L80" i="28"/>
  <c r="L79" i="28" s="1"/>
  <c r="L77" i="74"/>
  <c r="L76" i="74" s="1"/>
  <c r="L80" i="74"/>
  <c r="L79" i="74" s="1"/>
  <c r="L65" i="28"/>
  <c r="L64" i="28" s="1"/>
  <c r="L62" i="74"/>
  <c r="L61" i="74" s="1"/>
  <c r="L65" i="74"/>
  <c r="L64" i="74" s="1"/>
  <c r="M65" i="28"/>
  <c r="M64" i="28" s="1"/>
  <c r="M62" i="74"/>
  <c r="M61" i="74" s="1"/>
  <c r="M65" i="74"/>
  <c r="M64" i="74" s="1"/>
  <c r="N47" i="28"/>
  <c r="K44" i="28"/>
  <c r="K43" i="28" s="1"/>
  <c r="K44" i="74"/>
  <c r="K43" i="74" s="1"/>
  <c r="K41" i="74"/>
  <c r="K40" i="74" s="1"/>
  <c r="J43" i="74"/>
  <c r="J40" i="74"/>
  <c r="K38" i="28"/>
  <c r="K37" i="28" s="1"/>
  <c r="K35" i="74"/>
  <c r="K38" i="74"/>
  <c r="K37" i="74" s="1"/>
  <c r="H26" i="74"/>
  <c r="H25" i="74" s="1"/>
  <c r="I32" i="28"/>
  <c r="I31" i="28" s="1"/>
  <c r="I32" i="74"/>
  <c r="H29" i="74"/>
  <c r="H31" i="74"/>
  <c r="H28" i="74" s="1"/>
  <c r="K26" i="28"/>
  <c r="K25" i="28" s="1"/>
  <c r="K23" i="28"/>
  <c r="K22" i="28" s="1"/>
  <c r="K20" i="74"/>
  <c r="K19" i="74" s="1"/>
  <c r="K23" i="74"/>
  <c r="K20" i="28"/>
  <c r="K19" i="28" s="1"/>
  <c r="H29" i="28"/>
  <c r="B8" i="38"/>
  <c r="B17" i="38"/>
  <c r="B10" i="38"/>
  <c r="G91" i="27"/>
  <c r="G93" i="27" s="1"/>
  <c r="G92" i="28"/>
  <c r="G5" i="71"/>
  <c r="G5" i="32"/>
  <c r="F73" i="35"/>
  <c r="F75" i="35" s="1"/>
  <c r="C76" i="37"/>
  <c r="C82" i="37" s="1"/>
  <c r="G91" i="32"/>
  <c r="G93" i="32" s="1"/>
  <c r="F93" i="71"/>
  <c r="H159" i="31"/>
  <c r="H157" i="31" s="1"/>
  <c r="B107" i="42"/>
  <c r="B97" i="42" s="1"/>
  <c r="G139" i="31"/>
  <c r="G141" i="31" s="1"/>
  <c r="C107" i="41"/>
  <c r="C101" i="41" s="1"/>
  <c r="D103" i="41"/>
  <c r="I154" i="29"/>
  <c r="I152" i="29" s="1"/>
  <c r="B101" i="41"/>
  <c r="D106" i="42"/>
  <c r="H139" i="29"/>
  <c r="H141" i="29" s="1"/>
  <c r="H103" i="33"/>
  <c r="G5" i="33"/>
  <c r="I140" i="29"/>
  <c r="I144" i="29"/>
  <c r="I142" i="29" s="1"/>
  <c r="H100" i="33"/>
  <c r="H109" i="33"/>
  <c r="H5" i="29"/>
  <c r="E80" i="42"/>
  <c r="D81" i="42"/>
  <c r="G98" i="35"/>
  <c r="G96" i="35" s="1"/>
  <c r="G74" i="35"/>
  <c r="G103" i="35"/>
  <c r="G101" i="35" s="1"/>
  <c r="B107" i="37"/>
  <c r="D104" i="41"/>
  <c r="H106" i="71"/>
  <c r="F141" i="31"/>
  <c r="I169" i="29"/>
  <c r="I167" i="29" s="1"/>
  <c r="C79" i="41"/>
  <c r="B83" i="41"/>
  <c r="H100" i="32"/>
  <c r="D79" i="37"/>
  <c r="D81" i="37"/>
  <c r="I149" i="29"/>
  <c r="I147" i="29" s="1"/>
  <c r="B82" i="37"/>
  <c r="H164" i="31"/>
  <c r="H162" i="31" s="1"/>
  <c r="G91" i="33"/>
  <c r="G93" i="33" s="1"/>
  <c r="H109" i="71"/>
  <c r="B97" i="36"/>
  <c r="G5" i="31"/>
  <c r="G111" i="35"/>
  <c r="G109" i="35" s="1"/>
  <c r="G106" i="35" s="1"/>
  <c r="G107" i="35"/>
  <c r="E105" i="42"/>
  <c r="F104" i="42"/>
  <c r="F106" i="35"/>
  <c r="H94" i="33"/>
  <c r="H92" i="33"/>
  <c r="D98" i="42"/>
  <c r="D5" i="42" s="1"/>
  <c r="C112" i="37"/>
  <c r="C110" i="37"/>
  <c r="C98" i="37"/>
  <c r="C5" i="37" s="1"/>
  <c r="F93" i="33"/>
  <c r="H100" i="71"/>
  <c r="I164" i="29"/>
  <c r="I162" i="29" s="1"/>
  <c r="C80" i="41"/>
  <c r="C81" i="41"/>
  <c r="N81" i="41" s="1"/>
  <c r="H94" i="32"/>
  <c r="H92" i="32"/>
  <c r="D111" i="42"/>
  <c r="C112" i="42"/>
  <c r="C107" i="42" s="1"/>
  <c r="C97" i="42" s="1"/>
  <c r="C99" i="42" s="1"/>
  <c r="H97" i="71"/>
  <c r="G91" i="71"/>
  <c r="G93" i="71" s="1"/>
  <c r="H109" i="32"/>
  <c r="H97" i="32"/>
  <c r="D100" i="37"/>
  <c r="G141" i="29"/>
  <c r="H154" i="31"/>
  <c r="H152" i="31" s="1"/>
  <c r="H149" i="31"/>
  <c r="H147" i="31" s="1"/>
  <c r="H94" i="71"/>
  <c r="H92" i="71"/>
  <c r="H106" i="32"/>
  <c r="I159" i="29"/>
  <c r="I157" i="29" s="1"/>
  <c r="H103" i="71"/>
  <c r="H97" i="33"/>
  <c r="H169" i="31"/>
  <c r="H167" i="31" s="1"/>
  <c r="H106" i="33"/>
  <c r="H103" i="32"/>
  <c r="H140" i="31"/>
  <c r="H144" i="31"/>
  <c r="H142" i="31" s="1"/>
  <c r="E105" i="37"/>
  <c r="E103" i="37"/>
  <c r="H37" i="31"/>
  <c r="H35" i="31" s="1"/>
  <c r="H25" i="33"/>
  <c r="I32" i="29"/>
  <c r="I30" i="29" s="1"/>
  <c r="H27" i="31"/>
  <c r="H25" i="31" s="1"/>
  <c r="D13" i="41"/>
  <c r="H8" i="32"/>
  <c r="H10" i="32"/>
  <c r="H10" i="71"/>
  <c r="H8" i="71"/>
  <c r="E13" i="37"/>
  <c r="E15" i="37"/>
  <c r="H25" i="71"/>
  <c r="F14" i="42"/>
  <c r="E15" i="42"/>
  <c r="E10" i="42" s="1"/>
  <c r="E16" i="42" s="1"/>
  <c r="H16" i="32"/>
  <c r="D10" i="37"/>
  <c r="H8" i="31"/>
  <c r="H12" i="31"/>
  <c r="H10" i="31" s="1"/>
  <c r="H19" i="32"/>
  <c r="H22" i="71"/>
  <c r="H22" i="32"/>
  <c r="C10" i="36"/>
  <c r="H22" i="31"/>
  <c r="H20" i="31" s="1"/>
  <c r="H32" i="31"/>
  <c r="H30" i="31" s="1"/>
  <c r="G12" i="35"/>
  <c r="G10" i="35" s="1"/>
  <c r="H16" i="33"/>
  <c r="H25" i="32"/>
  <c r="C16" i="41"/>
  <c r="C10" i="41" s="1"/>
  <c r="C17" i="41" s="1"/>
  <c r="D12" i="41"/>
  <c r="G22" i="35"/>
  <c r="G20" i="35" s="1"/>
  <c r="I37" i="29"/>
  <c r="I35" i="29" s="1"/>
  <c r="H19" i="33"/>
  <c r="B10" i="41"/>
  <c r="B17" i="41"/>
  <c r="I27" i="29"/>
  <c r="I25" i="29" s="1"/>
  <c r="I12" i="29"/>
  <c r="I10" i="29" s="1"/>
  <c r="I8" i="29"/>
  <c r="H22" i="33"/>
  <c r="I22" i="29"/>
  <c r="I20" i="29" s="1"/>
  <c r="H10" i="33"/>
  <c r="H8" i="33"/>
  <c r="H19" i="71"/>
  <c r="H16" i="71"/>
  <c r="B23" i="37"/>
  <c r="B7" i="37"/>
  <c r="F9" i="32"/>
  <c r="F4" i="32"/>
  <c r="F6" i="32" s="1"/>
  <c r="G13" i="32"/>
  <c r="G7" i="32" s="1"/>
  <c r="C20" i="41"/>
  <c r="B24" i="41"/>
  <c r="L19" i="27"/>
  <c r="M19" i="27"/>
  <c r="M20" i="28" s="1"/>
  <c r="M19" i="28" s="1"/>
  <c r="G13" i="33"/>
  <c r="G7" i="33" s="1"/>
  <c r="B7" i="42"/>
  <c r="B13" i="36"/>
  <c r="B7" i="36" s="1"/>
  <c r="B8" i="36"/>
  <c r="G13" i="71"/>
  <c r="G7" i="71" s="1"/>
  <c r="N79" i="27"/>
  <c r="N81" i="27" s="1"/>
  <c r="D20" i="37"/>
  <c r="D22" i="37"/>
  <c r="D8" i="37"/>
  <c r="G9" i="29"/>
  <c r="G4" i="29"/>
  <c r="G6" i="29" s="1"/>
  <c r="E8" i="42"/>
  <c r="N109" i="27"/>
  <c r="N111" i="27" s="1"/>
  <c r="F9" i="33"/>
  <c r="F4" i="33"/>
  <c r="F6" i="33" s="1"/>
  <c r="F7" i="31"/>
  <c r="C17" i="37"/>
  <c r="L22" i="27"/>
  <c r="M22" i="27"/>
  <c r="L25" i="27"/>
  <c r="M25" i="27"/>
  <c r="M26" i="28" s="1"/>
  <c r="M25" i="28" s="1"/>
  <c r="E9" i="35"/>
  <c r="E4" i="35"/>
  <c r="E6" i="35" s="1"/>
  <c r="F17" i="35"/>
  <c r="F15" i="35" s="1"/>
  <c r="F7" i="35" s="1"/>
  <c r="F8" i="35"/>
  <c r="F5" i="35" s="1"/>
  <c r="C22" i="41"/>
  <c r="N22" i="41" s="1"/>
  <c r="C21" i="41"/>
  <c r="C8" i="41"/>
  <c r="F9" i="71"/>
  <c r="F4" i="71"/>
  <c r="F6" i="71" s="1"/>
  <c r="G17" i="31"/>
  <c r="G15" i="31" s="1"/>
  <c r="G7" i="31" s="1"/>
  <c r="E21" i="42"/>
  <c r="D22" i="42"/>
  <c r="C9" i="42"/>
  <c r="H17" i="29"/>
  <c r="H15" i="29" s="1"/>
  <c r="N100" i="27"/>
  <c r="N102" i="27" s="1"/>
  <c r="H91" i="27"/>
  <c r="D76" i="27"/>
  <c r="D77" i="28" s="1"/>
  <c r="D76" i="28" s="1"/>
  <c r="F82" i="27"/>
  <c r="F83" i="28" s="1"/>
  <c r="F82" i="28" s="1"/>
  <c r="C73" i="27"/>
  <c r="L106" i="27"/>
  <c r="M106" i="27"/>
  <c r="I94" i="27"/>
  <c r="M88" i="27"/>
  <c r="M89" i="28" s="1"/>
  <c r="M88" i="28" s="1"/>
  <c r="L88" i="27"/>
  <c r="L89" i="28" s="1"/>
  <c r="L88" i="28" s="1"/>
  <c r="L85" i="27"/>
  <c r="M85" i="27"/>
  <c r="K13" i="27"/>
  <c r="K14" i="28" s="1"/>
  <c r="K13" i="28" s="1"/>
  <c r="L41" i="28"/>
  <c r="L40" i="28" s="1"/>
  <c r="M41" i="28"/>
  <c r="M40" i="28" s="1"/>
  <c r="N25" i="27"/>
  <c r="N27" i="27" s="1"/>
  <c r="G12" i="40"/>
  <c r="G93" i="28" l="1"/>
  <c r="H93" i="27"/>
  <c r="N111" i="28"/>
  <c r="N48" i="28"/>
  <c r="H91" i="28"/>
  <c r="N101" i="28"/>
  <c r="N100" i="74"/>
  <c r="N97" i="74"/>
  <c r="I97" i="27"/>
  <c r="N88" i="28"/>
  <c r="N80" i="74"/>
  <c r="L107" i="28"/>
  <c r="L106" i="28" s="1"/>
  <c r="L104" i="74"/>
  <c r="L107" i="74"/>
  <c r="L106" i="74" s="1"/>
  <c r="M107" i="28"/>
  <c r="M106" i="28" s="1"/>
  <c r="M104" i="74"/>
  <c r="M103" i="74" s="1"/>
  <c r="M107" i="74"/>
  <c r="M106" i="74" s="1"/>
  <c r="N101" i="74"/>
  <c r="N98" i="74"/>
  <c r="N100" i="28"/>
  <c r="H89" i="74"/>
  <c r="H88" i="74" s="1"/>
  <c r="H92" i="74"/>
  <c r="H94" i="74"/>
  <c r="H91" i="74" s="1"/>
  <c r="F88" i="74"/>
  <c r="I95" i="28"/>
  <c r="I94" i="28" s="1"/>
  <c r="I95" i="74"/>
  <c r="G91" i="74"/>
  <c r="H92" i="28"/>
  <c r="G89" i="74"/>
  <c r="G88" i="74" s="1"/>
  <c r="N89" i="28"/>
  <c r="L86" i="28"/>
  <c r="L85" i="28" s="1"/>
  <c r="L83" i="74"/>
  <c r="L82" i="74" s="1"/>
  <c r="L86" i="74"/>
  <c r="K82" i="74"/>
  <c r="M86" i="28"/>
  <c r="M85" i="28" s="1"/>
  <c r="M83" i="74"/>
  <c r="M82" i="74" s="1"/>
  <c r="M86" i="74"/>
  <c r="M85" i="74" s="1"/>
  <c r="N80" i="28"/>
  <c r="N79" i="28"/>
  <c r="N77" i="74"/>
  <c r="N79" i="74"/>
  <c r="N76" i="74"/>
  <c r="N78" i="74" s="1"/>
  <c r="C74" i="28"/>
  <c r="C73" i="28" s="1"/>
  <c r="C74" i="74"/>
  <c r="L44" i="28"/>
  <c r="L43" i="28" s="1"/>
  <c r="L44" i="74"/>
  <c r="L43" i="74" s="1"/>
  <c r="L41" i="74"/>
  <c r="L40" i="74" s="1"/>
  <c r="M44" i="28"/>
  <c r="M43" i="28" s="1"/>
  <c r="M44" i="74"/>
  <c r="M43" i="74" s="1"/>
  <c r="M41" i="74"/>
  <c r="M40" i="74" s="1"/>
  <c r="N40" i="28"/>
  <c r="N41" i="28"/>
  <c r="L38" i="28"/>
  <c r="L37" i="28" s="1"/>
  <c r="L35" i="74"/>
  <c r="L34" i="74" s="1"/>
  <c r="L38" i="74"/>
  <c r="L37" i="74" s="1"/>
  <c r="K34" i="74"/>
  <c r="H30" i="74"/>
  <c r="I28" i="28"/>
  <c r="I26" i="74"/>
  <c r="I25" i="74" s="1"/>
  <c r="J32" i="28"/>
  <c r="J31" i="28" s="1"/>
  <c r="J32" i="74"/>
  <c r="I29" i="74"/>
  <c r="I31" i="74"/>
  <c r="I28" i="74" s="1"/>
  <c r="L26" i="28"/>
  <c r="L25" i="28" s="1"/>
  <c r="K22" i="74"/>
  <c r="M23" i="28"/>
  <c r="M22" i="28" s="1"/>
  <c r="M20" i="74"/>
  <c r="M19" i="74" s="1"/>
  <c r="M23" i="74"/>
  <c r="M22" i="74" s="1"/>
  <c r="L23" i="28"/>
  <c r="L22" i="28" s="1"/>
  <c r="L20" i="74"/>
  <c r="L23" i="74"/>
  <c r="L22" i="74" s="1"/>
  <c r="L20" i="28"/>
  <c r="D76" i="42"/>
  <c r="C70" i="27"/>
  <c r="J26" i="74"/>
  <c r="J25" i="74" s="1"/>
  <c r="H28" i="28"/>
  <c r="H30" i="28" s="1"/>
  <c r="I29" i="28"/>
  <c r="C8" i="38"/>
  <c r="B18" i="38"/>
  <c r="B7" i="38" s="1"/>
  <c r="C10" i="38"/>
  <c r="H5" i="71"/>
  <c r="I5" i="29"/>
  <c r="H5" i="31"/>
  <c r="H139" i="31"/>
  <c r="H141" i="31" s="1"/>
  <c r="G73" i="35"/>
  <c r="G75" i="35" s="1"/>
  <c r="H5" i="32"/>
  <c r="C107" i="37"/>
  <c r="C113" i="37" s="1"/>
  <c r="E100" i="37"/>
  <c r="I103" i="71"/>
  <c r="I97" i="32"/>
  <c r="I94" i="33"/>
  <c r="I92" i="33"/>
  <c r="I164" i="31"/>
  <c r="I162" i="31" s="1"/>
  <c r="J159" i="29"/>
  <c r="J157" i="29" s="1"/>
  <c r="I100" i="71"/>
  <c r="E100" i="42"/>
  <c r="J154" i="29"/>
  <c r="J152" i="29" s="1"/>
  <c r="I97" i="71"/>
  <c r="G108" i="35"/>
  <c r="I106" i="71"/>
  <c r="E103" i="41"/>
  <c r="D107" i="41"/>
  <c r="I94" i="71"/>
  <c r="I92" i="71"/>
  <c r="I103" i="32"/>
  <c r="I100" i="33"/>
  <c r="D76" i="37"/>
  <c r="J140" i="29"/>
  <c r="J144" i="29"/>
  <c r="J142" i="29" s="1"/>
  <c r="I106" i="33"/>
  <c r="I149" i="31"/>
  <c r="I147" i="31" s="1"/>
  <c r="D110" i="37"/>
  <c r="D112" i="37"/>
  <c r="D98" i="37"/>
  <c r="D5" i="37" s="1"/>
  <c r="I139" i="29"/>
  <c r="I154" i="31"/>
  <c r="I152" i="31" s="1"/>
  <c r="E98" i="42"/>
  <c r="E5" i="42" s="1"/>
  <c r="H103" i="35"/>
  <c r="H101" i="35" s="1"/>
  <c r="I159" i="31"/>
  <c r="I157" i="31" s="1"/>
  <c r="F103" i="37"/>
  <c r="F105" i="37"/>
  <c r="F108" i="35"/>
  <c r="J169" i="29"/>
  <c r="J167" i="29" s="1"/>
  <c r="I106" i="32"/>
  <c r="I109" i="33"/>
  <c r="I140" i="31"/>
  <c r="I144" i="31"/>
  <c r="I142" i="31" s="1"/>
  <c r="H111" i="35"/>
  <c r="H109" i="35" s="1"/>
  <c r="H107" i="35"/>
  <c r="H91" i="71"/>
  <c r="H93" i="71" s="1"/>
  <c r="E111" i="42"/>
  <c r="D112" i="42"/>
  <c r="D107" i="42" s="1"/>
  <c r="D97" i="42" s="1"/>
  <c r="D99" i="42" s="1"/>
  <c r="E81" i="37"/>
  <c r="E79" i="37"/>
  <c r="H91" i="32"/>
  <c r="B99" i="42"/>
  <c r="H5" i="33"/>
  <c r="I94" i="32"/>
  <c r="I92" i="32"/>
  <c r="C97" i="36"/>
  <c r="B113" i="37"/>
  <c r="B97" i="37"/>
  <c r="B4" i="37" s="1"/>
  <c r="B6" i="37" s="1"/>
  <c r="C4" i="42"/>
  <c r="C6" i="42" s="1"/>
  <c r="I169" i="31"/>
  <c r="I167" i="31" s="1"/>
  <c r="I109" i="71"/>
  <c r="I100" i="32"/>
  <c r="J164" i="29"/>
  <c r="J162" i="29" s="1"/>
  <c r="I109" i="32"/>
  <c r="F105" i="42"/>
  <c r="F100" i="42" s="1"/>
  <c r="G104" i="42"/>
  <c r="B77" i="41"/>
  <c r="C83" i="41"/>
  <c r="C77" i="41" s="1"/>
  <c r="C58" i="41" s="1"/>
  <c r="C60" i="41" s="1"/>
  <c r="D79" i="41"/>
  <c r="E81" i="42"/>
  <c r="E76" i="42" s="1"/>
  <c r="F80" i="42"/>
  <c r="J149" i="29"/>
  <c r="J147" i="29" s="1"/>
  <c r="G104" i="41"/>
  <c r="D80" i="41"/>
  <c r="I103" i="33"/>
  <c r="I97" i="33"/>
  <c r="D106" i="37"/>
  <c r="H91" i="33"/>
  <c r="H74" i="35"/>
  <c r="H98" i="35"/>
  <c r="H96" i="35" s="1"/>
  <c r="I16" i="33"/>
  <c r="I8" i="71"/>
  <c r="I10" i="71"/>
  <c r="I19" i="71"/>
  <c r="H12" i="35"/>
  <c r="H10" i="35" s="1"/>
  <c r="I12" i="31"/>
  <c r="I10" i="31" s="1"/>
  <c r="I8" i="31"/>
  <c r="I10" i="32"/>
  <c r="I8" i="32"/>
  <c r="I19" i="33"/>
  <c r="I32" i="31"/>
  <c r="I30" i="31" s="1"/>
  <c r="D16" i="37"/>
  <c r="I10" i="33"/>
  <c r="I8" i="33"/>
  <c r="J37" i="29"/>
  <c r="J35" i="29" s="1"/>
  <c r="I22" i="31"/>
  <c r="I20" i="31" s="1"/>
  <c r="I16" i="32"/>
  <c r="G13" i="41"/>
  <c r="J22" i="29"/>
  <c r="J20" i="29" s="1"/>
  <c r="H22" i="35"/>
  <c r="H20" i="35" s="1"/>
  <c r="I27" i="31"/>
  <c r="I25" i="31" s="1"/>
  <c r="N19" i="27"/>
  <c r="N21" i="27" s="1"/>
  <c r="D10" i="36"/>
  <c r="G14" i="42"/>
  <c r="F15" i="42"/>
  <c r="I22" i="33"/>
  <c r="J32" i="29"/>
  <c r="J30" i="29" s="1"/>
  <c r="J27" i="29"/>
  <c r="J25" i="29" s="1"/>
  <c r="E12" i="41"/>
  <c r="D16" i="41"/>
  <c r="I22" i="32"/>
  <c r="I25" i="71"/>
  <c r="I25" i="33"/>
  <c r="J12" i="29"/>
  <c r="J10" i="29" s="1"/>
  <c r="J8" i="29"/>
  <c r="F13" i="37"/>
  <c r="F15" i="37"/>
  <c r="I16" i="71"/>
  <c r="I25" i="32"/>
  <c r="I22" i="71"/>
  <c r="I19" i="32"/>
  <c r="E10" i="37"/>
  <c r="E16" i="37" s="1"/>
  <c r="I37" i="31"/>
  <c r="I35" i="31" s="1"/>
  <c r="F9" i="31"/>
  <c r="F4" i="31"/>
  <c r="F6" i="31" s="1"/>
  <c r="G4" i="32"/>
  <c r="G6" i="32" s="1"/>
  <c r="G9" i="32"/>
  <c r="H13" i="71"/>
  <c r="H7" i="71" s="1"/>
  <c r="H13" i="32"/>
  <c r="H7" i="32" s="1"/>
  <c r="N106" i="27"/>
  <c r="N108" i="27" s="1"/>
  <c r="F8" i="42"/>
  <c r="B9" i="36"/>
  <c r="C13" i="36"/>
  <c r="C7" i="36" s="1"/>
  <c r="C8" i="36"/>
  <c r="B9" i="42"/>
  <c r="B4" i="42"/>
  <c r="B6" i="42" s="1"/>
  <c r="B9" i="37"/>
  <c r="H13" i="33"/>
  <c r="H7" i="33" s="1"/>
  <c r="E20" i="37"/>
  <c r="E22" i="37"/>
  <c r="E8" i="37"/>
  <c r="G9" i="33"/>
  <c r="G4" i="33"/>
  <c r="G6" i="33" s="1"/>
  <c r="D17" i="37"/>
  <c r="G17" i="35"/>
  <c r="G15" i="35" s="1"/>
  <c r="G7" i="35" s="1"/>
  <c r="G8" i="35"/>
  <c r="G5" i="35" s="1"/>
  <c r="F9" i="35"/>
  <c r="F4" i="35"/>
  <c r="F6" i="35" s="1"/>
  <c r="G9" i="31"/>
  <c r="G4" i="31"/>
  <c r="G6" i="31" s="1"/>
  <c r="N85" i="27"/>
  <c r="N87" i="27" s="1"/>
  <c r="H7" i="29"/>
  <c r="D21" i="41"/>
  <c r="D8" i="41"/>
  <c r="G9" i="71"/>
  <c r="G4" i="71"/>
  <c r="G6" i="71" s="1"/>
  <c r="F21" i="42"/>
  <c r="E22" i="42"/>
  <c r="E17" i="42" s="1"/>
  <c r="E7" i="42" s="1"/>
  <c r="C23" i="37"/>
  <c r="C7" i="37"/>
  <c r="B18" i="41"/>
  <c r="D17" i="42"/>
  <c r="H17" i="31"/>
  <c r="H15" i="31" s="1"/>
  <c r="H7" i="31" s="1"/>
  <c r="I17" i="29"/>
  <c r="I15" i="29" s="1"/>
  <c r="I7" i="29" s="1"/>
  <c r="N22" i="27"/>
  <c r="N24" i="27" s="1"/>
  <c r="D20" i="41"/>
  <c r="C24" i="41"/>
  <c r="C18" i="41" s="1"/>
  <c r="C7" i="41" s="1"/>
  <c r="G82" i="27"/>
  <c r="G83" i="28" s="1"/>
  <c r="G82" i="28" s="1"/>
  <c r="E76" i="27"/>
  <c r="E77" i="28" s="1"/>
  <c r="E76" i="28" s="1"/>
  <c r="C67" i="27"/>
  <c r="C68" i="28" s="1"/>
  <c r="C67" i="28" s="1"/>
  <c r="D67" i="27"/>
  <c r="D68" i="28" s="1"/>
  <c r="D67" i="28" s="1"/>
  <c r="D73" i="27"/>
  <c r="D70" i="27" s="1"/>
  <c r="J94" i="27"/>
  <c r="N88" i="27"/>
  <c r="N90" i="27" s="1"/>
  <c r="M13" i="27"/>
  <c r="M14" i="28" s="1"/>
  <c r="M13" i="28" s="1"/>
  <c r="L13" i="27"/>
  <c r="L14" i="28" s="1"/>
  <c r="L13" i="28" s="1"/>
  <c r="H12" i="40"/>
  <c r="I91" i="27" l="1"/>
  <c r="I93" i="27" s="1"/>
  <c r="I98" i="28"/>
  <c r="I97" i="28" s="1"/>
  <c r="D72" i="27"/>
  <c r="N40" i="74"/>
  <c r="I30" i="28"/>
  <c r="H93" i="28"/>
  <c r="N102" i="74"/>
  <c r="N82" i="74"/>
  <c r="C68" i="74"/>
  <c r="C67" i="74" s="1"/>
  <c r="C72" i="27"/>
  <c r="N20" i="28"/>
  <c r="L19" i="28"/>
  <c r="N102" i="28"/>
  <c r="N90" i="28"/>
  <c r="N99" i="74"/>
  <c r="N23" i="28"/>
  <c r="N81" i="74"/>
  <c r="N81" i="28"/>
  <c r="N22" i="28"/>
  <c r="N24" i="28" s="1"/>
  <c r="N26" i="28"/>
  <c r="N23" i="74"/>
  <c r="J97" i="27"/>
  <c r="J98" i="28" s="1"/>
  <c r="J97" i="28" s="1"/>
  <c r="H93" i="74"/>
  <c r="I30" i="74"/>
  <c r="N41" i="74"/>
  <c r="N42" i="74" s="1"/>
  <c r="L103" i="74"/>
  <c r="N103" i="74" s="1"/>
  <c r="N104" i="74"/>
  <c r="N107" i="74"/>
  <c r="N106" i="74"/>
  <c r="N108" i="74" s="1"/>
  <c r="N106" i="28"/>
  <c r="N107" i="28"/>
  <c r="I92" i="74"/>
  <c r="I94" i="74"/>
  <c r="G93" i="74"/>
  <c r="J95" i="28"/>
  <c r="J94" i="28" s="1"/>
  <c r="J95" i="74"/>
  <c r="I92" i="28"/>
  <c r="I89" i="74"/>
  <c r="I88" i="74" s="1"/>
  <c r="L85" i="74"/>
  <c r="N85" i="74" s="1"/>
  <c r="N86" i="74"/>
  <c r="N83" i="74"/>
  <c r="N84" i="74" s="1"/>
  <c r="N85" i="28"/>
  <c r="N86" i="28"/>
  <c r="D74" i="28"/>
  <c r="D73" i="28" s="1"/>
  <c r="D74" i="74"/>
  <c r="C71" i="74"/>
  <c r="C73" i="74"/>
  <c r="N67" i="28"/>
  <c r="N68" i="28"/>
  <c r="N44" i="28"/>
  <c r="N43" i="28"/>
  <c r="N44" i="74"/>
  <c r="N43" i="74"/>
  <c r="N42" i="28"/>
  <c r="M38" i="28"/>
  <c r="M35" i="74"/>
  <c r="M38" i="74"/>
  <c r="K32" i="28"/>
  <c r="K31" i="28" s="1"/>
  <c r="K32" i="74"/>
  <c r="J29" i="74"/>
  <c r="J31" i="74"/>
  <c r="J28" i="74" s="1"/>
  <c r="N25" i="28"/>
  <c r="N20" i="74"/>
  <c r="L19" i="74"/>
  <c r="N19" i="74" s="1"/>
  <c r="N21" i="74" s="1"/>
  <c r="N22" i="74"/>
  <c r="N19" i="28"/>
  <c r="N21" i="28" s="1"/>
  <c r="I91" i="28"/>
  <c r="D82" i="37"/>
  <c r="C71" i="28"/>
  <c r="J28" i="28"/>
  <c r="J29" i="28"/>
  <c r="K26" i="74"/>
  <c r="K25" i="74" s="1"/>
  <c r="D8" i="38"/>
  <c r="C18" i="38"/>
  <c r="C7" i="38" s="1"/>
  <c r="C9" i="38" s="1"/>
  <c r="C17" i="38"/>
  <c r="D10" i="38"/>
  <c r="B9" i="38"/>
  <c r="I5" i="33"/>
  <c r="I5" i="71"/>
  <c r="E76" i="37"/>
  <c r="E82" i="37" s="1"/>
  <c r="C97" i="37"/>
  <c r="C99" i="37" s="1"/>
  <c r="B59" i="38"/>
  <c r="B101" i="38"/>
  <c r="B58" i="38" s="1"/>
  <c r="J140" i="31"/>
  <c r="J144" i="31"/>
  <c r="J142" i="31" s="1"/>
  <c r="J159" i="31"/>
  <c r="J157" i="31" s="1"/>
  <c r="J106" i="33"/>
  <c r="H93" i="32"/>
  <c r="B110" i="41"/>
  <c r="B5" i="41" s="1"/>
  <c r="B114" i="41"/>
  <c r="J109" i="33"/>
  <c r="I103" i="35"/>
  <c r="I101" i="35" s="1"/>
  <c r="J139" i="29"/>
  <c r="J141" i="29" s="1"/>
  <c r="F103" i="41"/>
  <c r="E107" i="41"/>
  <c r="E101" i="41" s="1"/>
  <c r="G80" i="41"/>
  <c r="J109" i="32"/>
  <c r="F81" i="37"/>
  <c r="F79" i="37"/>
  <c r="J106" i="32"/>
  <c r="K140" i="29"/>
  <c r="K144" i="29"/>
  <c r="K142" i="29" s="1"/>
  <c r="J106" i="71"/>
  <c r="D97" i="36"/>
  <c r="J164" i="31"/>
  <c r="J162" i="31" s="1"/>
  <c r="F98" i="42"/>
  <c r="F5" i="42" s="1"/>
  <c r="K164" i="29"/>
  <c r="K162" i="29" s="1"/>
  <c r="J94" i="33"/>
  <c r="J92" i="33"/>
  <c r="J94" i="32"/>
  <c r="J92" i="32"/>
  <c r="F111" i="42"/>
  <c r="E112" i="42"/>
  <c r="J154" i="31"/>
  <c r="J152" i="31" s="1"/>
  <c r="I91" i="33"/>
  <c r="I93" i="33" s="1"/>
  <c r="G105" i="37"/>
  <c r="G103" i="37"/>
  <c r="J97" i="32"/>
  <c r="E79" i="41"/>
  <c r="D83" i="41"/>
  <c r="D77" i="41" s="1"/>
  <c r="J109" i="71"/>
  <c r="K154" i="29"/>
  <c r="K152" i="29" s="1"/>
  <c r="J5" i="29"/>
  <c r="I111" i="35"/>
  <c r="I109" i="35" s="1"/>
  <c r="I106" i="35" s="1"/>
  <c r="I107" i="35"/>
  <c r="F100" i="37"/>
  <c r="E112" i="37"/>
  <c r="E110" i="37"/>
  <c r="E98" i="37"/>
  <c r="E5" i="37" s="1"/>
  <c r="J103" i="32"/>
  <c r="J103" i="71"/>
  <c r="I5" i="31"/>
  <c r="H106" i="35"/>
  <c r="D107" i="37"/>
  <c r="E106" i="42"/>
  <c r="H104" i="42"/>
  <c r="G105" i="42"/>
  <c r="G100" i="42" s="1"/>
  <c r="D101" i="41"/>
  <c r="H104" i="41"/>
  <c r="J97" i="71"/>
  <c r="I74" i="35"/>
  <c r="I98" i="35"/>
  <c r="I96" i="35" s="1"/>
  <c r="B58" i="41"/>
  <c r="J169" i="31"/>
  <c r="J167" i="31" s="1"/>
  <c r="I139" i="31"/>
  <c r="J94" i="71"/>
  <c r="J92" i="71"/>
  <c r="E106" i="37"/>
  <c r="B99" i="37"/>
  <c r="J103" i="33"/>
  <c r="F106" i="42"/>
  <c r="K159" i="29"/>
  <c r="K157" i="29" s="1"/>
  <c r="K169" i="29"/>
  <c r="K167" i="29" s="1"/>
  <c r="I91" i="32"/>
  <c r="I93" i="32" s="1"/>
  <c r="J100" i="33"/>
  <c r="H73" i="35"/>
  <c r="K149" i="29"/>
  <c r="K147" i="29" s="1"/>
  <c r="I5" i="32"/>
  <c r="F81" i="42"/>
  <c r="G80" i="42"/>
  <c r="J100" i="32"/>
  <c r="I141" i="29"/>
  <c r="H93" i="33"/>
  <c r="J97" i="33"/>
  <c r="J149" i="31"/>
  <c r="J147" i="31" s="1"/>
  <c r="I91" i="71"/>
  <c r="I93" i="71" s="1"/>
  <c r="J100" i="71"/>
  <c r="H13" i="41"/>
  <c r="J16" i="32"/>
  <c r="J10" i="32"/>
  <c r="J8" i="32"/>
  <c r="J25" i="33"/>
  <c r="F10" i="42"/>
  <c r="J12" i="31"/>
  <c r="J10" i="31" s="1"/>
  <c r="J8" i="31"/>
  <c r="J19" i="32"/>
  <c r="H14" i="42"/>
  <c r="G15" i="42"/>
  <c r="G10" i="42" s="1"/>
  <c r="G16" i="42" s="1"/>
  <c r="J22" i="31"/>
  <c r="J20" i="31" s="1"/>
  <c r="J37" i="31"/>
  <c r="J35" i="31" s="1"/>
  <c r="J25" i="71"/>
  <c r="J22" i="33"/>
  <c r="J22" i="71"/>
  <c r="J22" i="32"/>
  <c r="E10" i="36"/>
  <c r="K37" i="29"/>
  <c r="K35" i="29" s="1"/>
  <c r="I12" i="35"/>
  <c r="I10" i="35" s="1"/>
  <c r="J10" i="33"/>
  <c r="J8" i="33"/>
  <c r="E16" i="41"/>
  <c r="E10" i="41" s="1"/>
  <c r="E17" i="41" s="1"/>
  <c r="F12" i="41"/>
  <c r="J27" i="31"/>
  <c r="J25" i="31" s="1"/>
  <c r="J19" i="71"/>
  <c r="J16" i="71"/>
  <c r="I22" i="35"/>
  <c r="I20" i="35" s="1"/>
  <c r="D10" i="41"/>
  <c r="K27" i="29"/>
  <c r="K25" i="29" s="1"/>
  <c r="J25" i="32"/>
  <c r="G15" i="37"/>
  <c r="G13" i="37"/>
  <c r="J32" i="31"/>
  <c r="J30" i="31" s="1"/>
  <c r="J10" i="71"/>
  <c r="J8" i="71"/>
  <c r="F10" i="37"/>
  <c r="F16" i="37" s="1"/>
  <c r="K32" i="29"/>
  <c r="K30" i="29" s="1"/>
  <c r="K22" i="29"/>
  <c r="K20" i="29" s="1"/>
  <c r="J19" i="33"/>
  <c r="K12" i="29"/>
  <c r="K10" i="29" s="1"/>
  <c r="K8" i="29"/>
  <c r="J16" i="33"/>
  <c r="I13" i="71"/>
  <c r="I7" i="71" s="1"/>
  <c r="H17" i="35"/>
  <c r="H15" i="35" s="1"/>
  <c r="H7" i="35" s="1"/>
  <c r="H8" i="35"/>
  <c r="H5" i="35" s="1"/>
  <c r="I13" i="33"/>
  <c r="I7" i="33" s="1"/>
  <c r="E17" i="37"/>
  <c r="C9" i="36"/>
  <c r="H9" i="33"/>
  <c r="H4" i="33"/>
  <c r="H6" i="33" s="1"/>
  <c r="D24" i="41"/>
  <c r="E20" i="41"/>
  <c r="C9" i="37"/>
  <c r="D13" i="36"/>
  <c r="D7" i="36" s="1"/>
  <c r="D8" i="36"/>
  <c r="B7" i="41"/>
  <c r="E9" i="42"/>
  <c r="C9" i="41"/>
  <c r="G9" i="35"/>
  <c r="G4" i="35"/>
  <c r="G6" i="35" s="1"/>
  <c r="H9" i="29"/>
  <c r="H4" i="29"/>
  <c r="H6" i="29" s="1"/>
  <c r="N13" i="27"/>
  <c r="N15" i="27" s="1"/>
  <c r="G8" i="42"/>
  <c r="E8" i="41"/>
  <c r="I9" i="29"/>
  <c r="I4" i="29"/>
  <c r="I6" i="29" s="1"/>
  <c r="J17" i="29"/>
  <c r="J15" i="29" s="1"/>
  <c r="J7" i="29" s="1"/>
  <c r="H9" i="31"/>
  <c r="H4" i="31"/>
  <c r="H6" i="31" s="1"/>
  <c r="I17" i="31"/>
  <c r="I15" i="31" s="1"/>
  <c r="I13" i="32"/>
  <c r="I7" i="32" s="1"/>
  <c r="H4" i="32"/>
  <c r="H6" i="32" s="1"/>
  <c r="H9" i="32"/>
  <c r="F22" i="42"/>
  <c r="F17" i="42" s="1"/>
  <c r="G21" i="42"/>
  <c r="D23" i="37"/>
  <c r="D7" i="37"/>
  <c r="D7" i="42"/>
  <c r="F22" i="37"/>
  <c r="F20" i="37"/>
  <c r="F17" i="37" s="1"/>
  <c r="F8" i="37"/>
  <c r="H9" i="71"/>
  <c r="H4" i="71"/>
  <c r="H6" i="71" s="1"/>
  <c r="J91" i="27"/>
  <c r="J93" i="27" s="1"/>
  <c r="F76" i="27"/>
  <c r="F77" i="28" s="1"/>
  <c r="F76" i="28" s="1"/>
  <c r="H82" i="27"/>
  <c r="H83" i="28" s="1"/>
  <c r="H82" i="28" s="1"/>
  <c r="E73" i="27"/>
  <c r="C64" i="27"/>
  <c r="D64" i="27"/>
  <c r="N67" i="27"/>
  <c r="N69" i="27" s="1"/>
  <c r="K97" i="27"/>
  <c r="K98" i="28" s="1"/>
  <c r="K97" i="28" s="1"/>
  <c r="K94" i="27"/>
  <c r="I12" i="40"/>
  <c r="I93" i="28" l="1"/>
  <c r="J30" i="28"/>
  <c r="M37" i="28"/>
  <c r="N37" i="28" s="1"/>
  <c r="N24" i="74"/>
  <c r="N27" i="28"/>
  <c r="N105" i="74"/>
  <c r="N87" i="74"/>
  <c r="N87" i="28"/>
  <c r="N69" i="28"/>
  <c r="N45" i="28"/>
  <c r="J30" i="74"/>
  <c r="N108" i="28"/>
  <c r="J89" i="74"/>
  <c r="J88" i="74" s="1"/>
  <c r="K95" i="28"/>
  <c r="K95" i="74"/>
  <c r="J92" i="28"/>
  <c r="I91" i="74"/>
  <c r="J92" i="74"/>
  <c r="J94" i="74"/>
  <c r="J91" i="74" s="1"/>
  <c r="E74" i="28"/>
  <c r="E73" i="28" s="1"/>
  <c r="E74" i="74"/>
  <c r="D68" i="74"/>
  <c r="D67" i="74" s="1"/>
  <c r="C70" i="74"/>
  <c r="D71" i="74"/>
  <c r="D73" i="74"/>
  <c r="D70" i="74" s="1"/>
  <c r="D72" i="74" s="1"/>
  <c r="D65" i="28"/>
  <c r="D64" i="28" s="1"/>
  <c r="D62" i="74"/>
  <c r="D61" i="74" s="1"/>
  <c r="D65" i="74"/>
  <c r="D64" i="74" s="1"/>
  <c r="C65" i="28"/>
  <c r="C64" i="28" s="1"/>
  <c r="C62" i="74"/>
  <c r="C65" i="74"/>
  <c r="N45" i="74"/>
  <c r="M34" i="74"/>
  <c r="N34" i="74" s="1"/>
  <c r="N35" i="74"/>
  <c r="N38" i="28"/>
  <c r="M37" i="74"/>
  <c r="N37" i="74" s="1"/>
  <c r="N38" i="74"/>
  <c r="L32" i="28"/>
  <c r="L31" i="28" s="1"/>
  <c r="L32" i="74"/>
  <c r="K29" i="74"/>
  <c r="K31" i="74"/>
  <c r="K28" i="74" s="1"/>
  <c r="J5" i="33"/>
  <c r="F76" i="42"/>
  <c r="C70" i="28"/>
  <c r="C72" i="28" s="1"/>
  <c r="E70" i="27"/>
  <c r="D70" i="28"/>
  <c r="D71" i="28"/>
  <c r="K28" i="28"/>
  <c r="K29" i="28"/>
  <c r="L26" i="74"/>
  <c r="E8" i="38"/>
  <c r="D18" i="38"/>
  <c r="D7" i="38" s="1"/>
  <c r="D17" i="38"/>
  <c r="E10" i="38"/>
  <c r="C4" i="37"/>
  <c r="C6" i="37" s="1"/>
  <c r="D58" i="41"/>
  <c r="D60" i="41" s="1"/>
  <c r="K5" i="29"/>
  <c r="J91" i="32"/>
  <c r="J93" i="32" s="1"/>
  <c r="G98" i="42"/>
  <c r="G5" i="42" s="1"/>
  <c r="B60" i="41"/>
  <c r="J74" i="35"/>
  <c r="J98" i="35"/>
  <c r="J96" i="35" s="1"/>
  <c r="K109" i="71"/>
  <c r="K106" i="71"/>
  <c r="K94" i="32"/>
  <c r="K92" i="32"/>
  <c r="L149" i="29"/>
  <c r="L147" i="29" s="1"/>
  <c r="K169" i="31"/>
  <c r="K167" i="31" s="1"/>
  <c r="L159" i="29"/>
  <c r="L157" i="29" s="1"/>
  <c r="I108" i="35"/>
  <c r="C116" i="41"/>
  <c r="N116" i="41" s="1"/>
  <c r="C110" i="41"/>
  <c r="C5" i="41" s="1"/>
  <c r="C115" i="41"/>
  <c r="J5" i="71"/>
  <c r="K100" i="32"/>
  <c r="D113" i="37"/>
  <c r="D97" i="37"/>
  <c r="D4" i="37" s="1"/>
  <c r="D6" i="37" s="1"/>
  <c r="J107" i="35"/>
  <c r="J111" i="35"/>
  <c r="J109" i="35" s="1"/>
  <c r="J106" i="35" s="1"/>
  <c r="K164" i="31"/>
  <c r="K162" i="31" s="1"/>
  <c r="B118" i="41"/>
  <c r="C114" i="41"/>
  <c r="K100" i="71"/>
  <c r="K154" i="31"/>
  <c r="K152" i="31" s="1"/>
  <c r="G81" i="42"/>
  <c r="G76" i="42" s="1"/>
  <c r="H80" i="42"/>
  <c r="I73" i="35"/>
  <c r="I75" i="35" s="1"/>
  <c r="H108" i="35"/>
  <c r="E107" i="42"/>
  <c r="E97" i="42" s="1"/>
  <c r="J5" i="31"/>
  <c r="K103" i="33"/>
  <c r="L154" i="29"/>
  <c r="L152" i="29" s="1"/>
  <c r="G111" i="42"/>
  <c r="F112" i="42"/>
  <c r="F107" i="42" s="1"/>
  <c r="F97" i="42" s="1"/>
  <c r="F99" i="42" s="1"/>
  <c r="E97" i="36"/>
  <c r="K109" i="32"/>
  <c r="K149" i="31"/>
  <c r="K147" i="31" s="1"/>
  <c r="K103" i="71"/>
  <c r="K139" i="29"/>
  <c r="K141" i="29" s="1"/>
  <c r="F79" i="41"/>
  <c r="E83" i="41"/>
  <c r="E77" i="41" s="1"/>
  <c r="L144" i="29"/>
  <c r="L142" i="29" s="1"/>
  <c r="L140" i="29"/>
  <c r="J139" i="31"/>
  <c r="J141" i="31" s="1"/>
  <c r="K100" i="33"/>
  <c r="K97" i="32"/>
  <c r="G103" i="41"/>
  <c r="F107" i="41"/>
  <c r="K140" i="31"/>
  <c r="K144" i="31"/>
  <c r="K142" i="31" s="1"/>
  <c r="K97" i="33"/>
  <c r="J91" i="71"/>
  <c r="J93" i="71" s="1"/>
  <c r="G106" i="42"/>
  <c r="E107" i="37"/>
  <c r="G100" i="37"/>
  <c r="J91" i="33"/>
  <c r="J93" i="33" s="1"/>
  <c r="K106" i="32"/>
  <c r="I141" i="31"/>
  <c r="I104" i="42"/>
  <c r="H105" i="42"/>
  <c r="F112" i="37"/>
  <c r="F110" i="37"/>
  <c r="F107" i="37" s="1"/>
  <c r="F113" i="37" s="1"/>
  <c r="F98" i="37"/>
  <c r="F5" i="37" s="1"/>
  <c r="H105" i="37"/>
  <c r="H103" i="37"/>
  <c r="F76" i="37"/>
  <c r="F82" i="37" s="1"/>
  <c r="B60" i="38"/>
  <c r="B4" i="38"/>
  <c r="L164" i="29"/>
  <c r="L162" i="29" s="1"/>
  <c r="G81" i="37"/>
  <c r="G79" i="37"/>
  <c r="J103" i="35"/>
  <c r="J101" i="35" s="1"/>
  <c r="B5" i="38"/>
  <c r="K106" i="33"/>
  <c r="K97" i="71"/>
  <c r="J104" i="41"/>
  <c r="H80" i="41"/>
  <c r="K159" i="31"/>
  <c r="K157" i="31" s="1"/>
  <c r="J5" i="32"/>
  <c r="H75" i="35"/>
  <c r="K94" i="71"/>
  <c r="K92" i="71"/>
  <c r="K103" i="32"/>
  <c r="K92" i="33"/>
  <c r="K94" i="33"/>
  <c r="L169" i="29"/>
  <c r="L167" i="29" s="1"/>
  <c r="F106" i="37"/>
  <c r="K109" i="33"/>
  <c r="C59" i="38"/>
  <c r="C5" i="38" s="1"/>
  <c r="C101" i="38"/>
  <c r="C58" i="38" s="1"/>
  <c r="K16" i="33"/>
  <c r="K19" i="71"/>
  <c r="K22" i="32"/>
  <c r="L12" i="29"/>
  <c r="L10" i="29" s="1"/>
  <c r="L8" i="29"/>
  <c r="G10" i="37"/>
  <c r="K22" i="71"/>
  <c r="K25" i="32"/>
  <c r="F16" i="41"/>
  <c r="G12" i="41"/>
  <c r="K22" i="33"/>
  <c r="F16" i="42"/>
  <c r="K25" i="33"/>
  <c r="H13" i="37"/>
  <c r="H15" i="37"/>
  <c r="L27" i="29"/>
  <c r="L25" i="29" s="1"/>
  <c r="L32" i="29"/>
  <c r="L30" i="29" s="1"/>
  <c r="D17" i="41"/>
  <c r="K10" i="32"/>
  <c r="K8" i="32"/>
  <c r="J22" i="35"/>
  <c r="J20" i="35" s="1"/>
  <c r="K16" i="71"/>
  <c r="L37" i="29"/>
  <c r="L35" i="29" s="1"/>
  <c r="K22" i="31"/>
  <c r="K20" i="31" s="1"/>
  <c r="K16" i="32"/>
  <c r="K8" i="31"/>
  <c r="K12" i="31"/>
  <c r="K10" i="31" s="1"/>
  <c r="K8" i="71"/>
  <c r="K10" i="71"/>
  <c r="K27" i="31"/>
  <c r="K25" i="31" s="1"/>
  <c r="K19" i="33"/>
  <c r="K8" i="33"/>
  <c r="K10" i="33"/>
  <c r="J12" i="35"/>
  <c r="J10" i="35" s="1"/>
  <c r="F10" i="36"/>
  <c r="H15" i="42"/>
  <c r="I14" i="42"/>
  <c r="J13" i="41"/>
  <c r="N13" i="41" s="1"/>
  <c r="L22" i="29"/>
  <c r="L20" i="29" s="1"/>
  <c r="K25" i="71"/>
  <c r="K37" i="31"/>
  <c r="K35" i="31" s="1"/>
  <c r="F7" i="42"/>
  <c r="F9" i="42" s="1"/>
  <c r="K32" i="31"/>
  <c r="K30" i="31" s="1"/>
  <c r="K19" i="32"/>
  <c r="D9" i="42"/>
  <c r="D4" i="42"/>
  <c r="D6" i="42" s="1"/>
  <c r="F8" i="41"/>
  <c r="D9" i="37"/>
  <c r="G22" i="42"/>
  <c r="G17" i="42" s="1"/>
  <c r="G7" i="42" s="1"/>
  <c r="H21" i="42"/>
  <c r="B9" i="41"/>
  <c r="I9" i="32"/>
  <c r="I4" i="32"/>
  <c r="I6" i="32" s="1"/>
  <c r="K17" i="29"/>
  <c r="K15" i="29" s="1"/>
  <c r="K7" i="29" s="1"/>
  <c r="J4" i="29"/>
  <c r="J6" i="29" s="1"/>
  <c r="J9" i="29"/>
  <c r="J13" i="32"/>
  <c r="J7" i="32" s="1"/>
  <c r="F23" i="37"/>
  <c r="F7" i="37"/>
  <c r="I17" i="35"/>
  <c r="I15" i="35" s="1"/>
  <c r="I7" i="35" s="1"/>
  <c r="I8" i="35"/>
  <c r="I5" i="35" s="1"/>
  <c r="D9" i="36"/>
  <c r="H9" i="35"/>
  <c r="H4" i="35"/>
  <c r="H6" i="35" s="1"/>
  <c r="I9" i="33"/>
  <c r="I4" i="33"/>
  <c r="I6" i="33" s="1"/>
  <c r="G20" i="37"/>
  <c r="G22" i="37"/>
  <c r="G8" i="37"/>
  <c r="I9" i="71"/>
  <c r="I4" i="71"/>
  <c r="I6" i="71" s="1"/>
  <c r="H8" i="42"/>
  <c r="E23" i="37"/>
  <c r="E7" i="37"/>
  <c r="J13" i="33"/>
  <c r="J7" i="33" s="1"/>
  <c r="E13" i="36"/>
  <c r="E7" i="36" s="1"/>
  <c r="E8" i="36"/>
  <c r="I7" i="31"/>
  <c r="E24" i="41"/>
  <c r="E18" i="41" s="1"/>
  <c r="E7" i="41" s="1"/>
  <c r="F20" i="41"/>
  <c r="J13" i="71"/>
  <c r="J7" i="71" s="1"/>
  <c r="J17" i="31"/>
  <c r="J15" i="31" s="1"/>
  <c r="J7" i="31" s="1"/>
  <c r="D18" i="41"/>
  <c r="K91" i="27"/>
  <c r="K93" i="27" s="1"/>
  <c r="I82" i="27"/>
  <c r="I83" i="28" s="1"/>
  <c r="I82" i="28" s="1"/>
  <c r="G76" i="27"/>
  <c r="G77" i="28" s="1"/>
  <c r="G76" i="28" s="1"/>
  <c r="D61" i="27"/>
  <c r="D62" i="28" s="1"/>
  <c r="D61" i="28" s="1"/>
  <c r="C61" i="27"/>
  <c r="C62" i="28" s="1"/>
  <c r="C61" i="28" s="1"/>
  <c r="N64" i="27"/>
  <c r="N66" i="27" s="1"/>
  <c r="F73" i="27"/>
  <c r="L94" i="27"/>
  <c r="M97" i="27"/>
  <c r="M98" i="28" s="1"/>
  <c r="M97" i="28" s="1"/>
  <c r="L97" i="27"/>
  <c r="L98" i="28" s="1"/>
  <c r="L97" i="28" s="1"/>
  <c r="J12" i="40"/>
  <c r="D72" i="28" l="1"/>
  <c r="K30" i="28"/>
  <c r="K94" i="28"/>
  <c r="K91" i="28" s="1"/>
  <c r="N39" i="28"/>
  <c r="N34" i="28"/>
  <c r="N36" i="28" s="1"/>
  <c r="E68" i="74"/>
  <c r="E67" i="74" s="1"/>
  <c r="E72" i="27"/>
  <c r="K30" i="74"/>
  <c r="N13" i="28"/>
  <c r="N15" i="28" s="1"/>
  <c r="J93" i="74"/>
  <c r="N97" i="28"/>
  <c r="N99" i="28" s="1"/>
  <c r="L95" i="28"/>
  <c r="L95" i="74"/>
  <c r="J91" i="28"/>
  <c r="J93" i="28" s="1"/>
  <c r="I93" i="74"/>
  <c r="K92" i="74"/>
  <c r="K94" i="74"/>
  <c r="K91" i="74" s="1"/>
  <c r="K89" i="74"/>
  <c r="K88" i="74" s="1"/>
  <c r="K92" i="28"/>
  <c r="C72" i="74"/>
  <c r="E71" i="74"/>
  <c r="E73" i="74"/>
  <c r="E70" i="74" s="1"/>
  <c r="F74" i="28"/>
  <c r="F73" i="28" s="1"/>
  <c r="F74" i="74"/>
  <c r="C64" i="74"/>
  <c r="N64" i="74" s="1"/>
  <c r="N65" i="74"/>
  <c r="N64" i="28"/>
  <c r="N65" i="28"/>
  <c r="C61" i="74"/>
  <c r="N61" i="74" s="1"/>
  <c r="N62" i="74"/>
  <c r="N61" i="28"/>
  <c r="N62" i="28"/>
  <c r="N36" i="74"/>
  <c r="N39" i="74"/>
  <c r="M32" i="28"/>
  <c r="M32" i="74"/>
  <c r="L29" i="74"/>
  <c r="L31" i="74"/>
  <c r="L28" i="74" s="1"/>
  <c r="L25" i="74"/>
  <c r="E58" i="41"/>
  <c r="E60" i="41" s="1"/>
  <c r="F70" i="27"/>
  <c r="F72" i="27" s="1"/>
  <c r="E70" i="28"/>
  <c r="E71" i="28"/>
  <c r="N61" i="27"/>
  <c r="N63" i="27" s="1"/>
  <c r="L28" i="28"/>
  <c r="L29" i="28"/>
  <c r="F8" i="38"/>
  <c r="E18" i="38"/>
  <c r="E7" i="38" s="1"/>
  <c r="E9" i="38" s="1"/>
  <c r="D9" i="38"/>
  <c r="E17" i="38"/>
  <c r="F10" i="38"/>
  <c r="K5" i="32"/>
  <c r="J108" i="35"/>
  <c r="K5" i="31"/>
  <c r="B6" i="38"/>
  <c r="K5" i="71"/>
  <c r="K91" i="32"/>
  <c r="K93" i="32" s="1"/>
  <c r="L5" i="29"/>
  <c r="K91" i="71"/>
  <c r="K93" i="71" s="1"/>
  <c r="G76" i="37"/>
  <c r="G82" i="37" s="1"/>
  <c r="L149" i="31"/>
  <c r="L147" i="31" s="1"/>
  <c r="L109" i="71"/>
  <c r="D59" i="38"/>
  <c r="D5" i="38" s="1"/>
  <c r="D101" i="38"/>
  <c r="D58" i="38" s="1"/>
  <c r="L109" i="32"/>
  <c r="E99" i="42"/>
  <c r="E4" i="42"/>
  <c r="E6" i="42" s="1"/>
  <c r="K98" i="35"/>
  <c r="K96" i="35" s="1"/>
  <c r="K74" i="35"/>
  <c r="K107" i="35"/>
  <c r="K111" i="35"/>
  <c r="K109" i="35" s="1"/>
  <c r="K106" i="35" s="1"/>
  <c r="L97" i="33"/>
  <c r="L94" i="33"/>
  <c r="L92" i="33"/>
  <c r="F83" i="41"/>
  <c r="F77" i="41" s="1"/>
  <c r="G79" i="41"/>
  <c r="L106" i="32"/>
  <c r="M154" i="29"/>
  <c r="M152" i="29" s="1"/>
  <c r="N152" i="29" s="1"/>
  <c r="L106" i="33"/>
  <c r="L103" i="33"/>
  <c r="L100" i="71"/>
  <c r="L92" i="71"/>
  <c r="L94" i="71"/>
  <c r="L97" i="32"/>
  <c r="D110" i="41"/>
  <c r="D5" i="41" s="1"/>
  <c r="D115" i="41"/>
  <c r="K103" i="35"/>
  <c r="K101" i="35" s="1"/>
  <c r="B119" i="41"/>
  <c r="B112" i="41"/>
  <c r="M159" i="29"/>
  <c r="M157" i="29" s="1"/>
  <c r="N157" i="29" s="1"/>
  <c r="H81" i="37"/>
  <c r="H79" i="37"/>
  <c r="L154" i="31"/>
  <c r="L152" i="31" s="1"/>
  <c r="L94" i="32"/>
  <c r="L92" i="32"/>
  <c r="L97" i="71"/>
  <c r="F101" i="41"/>
  <c r="H103" i="41"/>
  <c r="G107" i="41"/>
  <c r="G101" i="41" s="1"/>
  <c r="L103" i="32"/>
  <c r="G106" i="37"/>
  <c r="H100" i="37"/>
  <c r="C118" i="41"/>
  <c r="C112" i="41" s="1"/>
  <c r="D114" i="41"/>
  <c r="L106" i="71"/>
  <c r="C60" i="38"/>
  <c r="C4" i="38"/>
  <c r="C6" i="38" s="1"/>
  <c r="I103" i="37"/>
  <c r="I105" i="37"/>
  <c r="E113" i="37"/>
  <c r="E97" i="37"/>
  <c r="E99" i="37" s="1"/>
  <c r="L100" i="33"/>
  <c r="L103" i="71"/>
  <c r="L164" i="31"/>
  <c r="L162" i="31" s="1"/>
  <c r="L109" i="33"/>
  <c r="J73" i="35"/>
  <c r="J75" i="35" s="1"/>
  <c r="G112" i="37"/>
  <c r="G110" i="37"/>
  <c r="G98" i="37"/>
  <c r="G5" i="37" s="1"/>
  <c r="L159" i="31"/>
  <c r="L157" i="31" s="1"/>
  <c r="F97" i="37"/>
  <c r="F99" i="37" s="1"/>
  <c r="M164" i="29"/>
  <c r="M162" i="29" s="1"/>
  <c r="N162" i="29" s="1"/>
  <c r="M140" i="29"/>
  <c r="N140" i="29" s="1"/>
  <c r="M144" i="29"/>
  <c r="M142" i="29" s="1"/>
  <c r="H81" i="42"/>
  <c r="H76" i="42" s="1"/>
  <c r="I80" i="42"/>
  <c r="K139" i="31"/>
  <c r="K141" i="31" s="1"/>
  <c r="M149" i="29"/>
  <c r="M147" i="29" s="1"/>
  <c r="N147" i="29" s="1"/>
  <c r="L169" i="31"/>
  <c r="L167" i="31" s="1"/>
  <c r="J80" i="41"/>
  <c r="H100" i="42"/>
  <c r="F97" i="36"/>
  <c r="I105" i="42"/>
  <c r="I100" i="42" s="1"/>
  <c r="J104" i="42"/>
  <c r="D99" i="37"/>
  <c r="M169" i="29"/>
  <c r="M167" i="29" s="1"/>
  <c r="N167" i="29" s="1"/>
  <c r="L139" i="29"/>
  <c r="L141" i="29" s="1"/>
  <c r="H98" i="42"/>
  <c r="H5" i="42" s="1"/>
  <c r="K5" i="33"/>
  <c r="K91" i="33"/>
  <c r="K93" i="33" s="1"/>
  <c r="K104" i="41"/>
  <c r="N104" i="41" s="1"/>
  <c r="L140" i="31"/>
  <c r="L144" i="31"/>
  <c r="L142" i="31" s="1"/>
  <c r="G112" i="42"/>
  <c r="H111" i="42"/>
  <c r="L100" i="32"/>
  <c r="H10" i="42"/>
  <c r="F10" i="41"/>
  <c r="G10" i="36"/>
  <c r="L8" i="31"/>
  <c r="L12" i="31"/>
  <c r="L10" i="31" s="1"/>
  <c r="L25" i="32"/>
  <c r="M32" i="29"/>
  <c r="M30" i="29" s="1"/>
  <c r="N30" i="29" s="1"/>
  <c r="L19" i="32"/>
  <c r="L22" i="71"/>
  <c r="K12" i="35"/>
  <c r="K10" i="35" s="1"/>
  <c r="M27" i="29"/>
  <c r="M25" i="29" s="1"/>
  <c r="N25" i="29" s="1"/>
  <c r="L22" i="31"/>
  <c r="L20" i="31" s="1"/>
  <c r="G16" i="37"/>
  <c r="I13" i="37"/>
  <c r="I15" i="37"/>
  <c r="M12" i="29"/>
  <c r="M10" i="29" s="1"/>
  <c r="N10" i="29" s="1"/>
  <c r="M8" i="29"/>
  <c r="M37" i="29"/>
  <c r="M35" i="29" s="1"/>
  <c r="N35" i="29" s="1"/>
  <c r="H10" i="37"/>
  <c r="H16" i="37" s="1"/>
  <c r="L37" i="31"/>
  <c r="L35" i="31" s="1"/>
  <c r="L16" i="71"/>
  <c r="L25" i="33"/>
  <c r="L22" i="32"/>
  <c r="L16" i="32"/>
  <c r="L27" i="31"/>
  <c r="L25" i="31" s="1"/>
  <c r="F4" i="42"/>
  <c r="F6" i="42" s="1"/>
  <c r="K22" i="35"/>
  <c r="K20" i="35" s="1"/>
  <c r="L19" i="71"/>
  <c r="L19" i="33"/>
  <c r="M22" i="29"/>
  <c r="M20" i="29" s="1"/>
  <c r="N20" i="29" s="1"/>
  <c r="L22" i="33"/>
  <c r="L32" i="31"/>
  <c r="L30" i="31" s="1"/>
  <c r="L10" i="33"/>
  <c r="L8" i="33"/>
  <c r="L25" i="71"/>
  <c r="L8" i="71"/>
  <c r="L10" i="71"/>
  <c r="K17" i="41"/>
  <c r="L8" i="32"/>
  <c r="L10" i="32"/>
  <c r="L16" i="33"/>
  <c r="I15" i="42"/>
  <c r="I10" i="42" s="1"/>
  <c r="I16" i="42" s="1"/>
  <c r="J14" i="42"/>
  <c r="G16" i="41"/>
  <c r="G10" i="41" s="1"/>
  <c r="G17" i="41" s="1"/>
  <c r="H12" i="41"/>
  <c r="E9" i="41"/>
  <c r="I9" i="31"/>
  <c r="I4" i="31"/>
  <c r="I6" i="31" s="1"/>
  <c r="I9" i="35"/>
  <c r="I4" i="35"/>
  <c r="I6" i="35" s="1"/>
  <c r="J17" i="35"/>
  <c r="J15" i="35" s="1"/>
  <c r="J7" i="35" s="1"/>
  <c r="J8" i="35"/>
  <c r="J5" i="35" s="1"/>
  <c r="K13" i="32"/>
  <c r="K7" i="32" s="1"/>
  <c r="J9" i="33"/>
  <c r="J4" i="33"/>
  <c r="J6" i="33" s="1"/>
  <c r="J9" i="31"/>
  <c r="J4" i="31"/>
  <c r="J6" i="31" s="1"/>
  <c r="E9" i="36"/>
  <c r="K13" i="33"/>
  <c r="K7" i="33" s="1"/>
  <c r="L17" i="29"/>
  <c r="L15" i="29" s="1"/>
  <c r="L7" i="29" s="1"/>
  <c r="G9" i="42"/>
  <c r="E9" i="37"/>
  <c r="K9" i="29"/>
  <c r="K4" i="29"/>
  <c r="K6" i="29" s="1"/>
  <c r="K17" i="31"/>
  <c r="K15" i="31" s="1"/>
  <c r="K7" i="31" s="1"/>
  <c r="I8" i="42"/>
  <c r="G20" i="41"/>
  <c r="F24" i="41"/>
  <c r="F18" i="41" s="1"/>
  <c r="H20" i="37"/>
  <c r="H22" i="37"/>
  <c r="H8" i="37"/>
  <c r="G17" i="37"/>
  <c r="F9" i="37"/>
  <c r="H22" i="42"/>
  <c r="H17" i="42" s="1"/>
  <c r="I21" i="42"/>
  <c r="F13" i="36"/>
  <c r="F8" i="36"/>
  <c r="J4" i="32"/>
  <c r="J6" i="32" s="1"/>
  <c r="J9" i="32"/>
  <c r="D7" i="41"/>
  <c r="G21" i="41"/>
  <c r="G8" i="41"/>
  <c r="J9" i="71"/>
  <c r="J4" i="71"/>
  <c r="J6" i="71" s="1"/>
  <c r="K13" i="71"/>
  <c r="K7" i="71" s="1"/>
  <c r="L91" i="27"/>
  <c r="L93" i="27" s="1"/>
  <c r="H76" i="27"/>
  <c r="H77" i="28" s="1"/>
  <c r="H76" i="28" s="1"/>
  <c r="N97" i="27"/>
  <c r="N99" i="27" s="1"/>
  <c r="J82" i="27"/>
  <c r="J83" i="28" s="1"/>
  <c r="J82" i="28" s="1"/>
  <c r="G73" i="27"/>
  <c r="C58" i="27"/>
  <c r="M94" i="27"/>
  <c r="M26" i="74"/>
  <c r="M25" i="74" s="1"/>
  <c r="K12" i="40"/>
  <c r="K93" i="74" l="1"/>
  <c r="E72" i="28"/>
  <c r="L30" i="28"/>
  <c r="K93" i="28"/>
  <c r="L94" i="28"/>
  <c r="L91" i="28" s="1"/>
  <c r="M29" i="28"/>
  <c r="N29" i="28" s="1"/>
  <c r="M31" i="28"/>
  <c r="E72" i="74"/>
  <c r="L92" i="28"/>
  <c r="N63" i="28"/>
  <c r="N25" i="74"/>
  <c r="M95" i="28"/>
  <c r="M94" i="28" s="1"/>
  <c r="M95" i="74"/>
  <c r="L92" i="74"/>
  <c r="L94" i="74"/>
  <c r="L91" i="74" s="1"/>
  <c r="L93" i="74" s="1"/>
  <c r="L89" i="74"/>
  <c r="L88" i="74" s="1"/>
  <c r="F68" i="74"/>
  <c r="F67" i="74" s="1"/>
  <c r="G74" i="28"/>
  <c r="G73" i="28" s="1"/>
  <c r="G74" i="74"/>
  <c r="F71" i="74"/>
  <c r="F73" i="74"/>
  <c r="N66" i="28"/>
  <c r="N63" i="74"/>
  <c r="N66" i="74"/>
  <c r="C59" i="28"/>
  <c r="C58" i="28" s="1"/>
  <c r="C59" i="74"/>
  <c r="C56" i="74"/>
  <c r="N26" i="74"/>
  <c r="L30" i="74"/>
  <c r="M29" i="74"/>
  <c r="N29" i="74" s="1"/>
  <c r="M31" i="74"/>
  <c r="N32" i="74"/>
  <c r="N32" i="28"/>
  <c r="F71" i="28"/>
  <c r="G70" i="27"/>
  <c r="G72" i="27" s="1"/>
  <c r="G8" i="38"/>
  <c r="F18" i="38"/>
  <c r="F7" i="41"/>
  <c r="F9" i="41" s="1"/>
  <c r="F17" i="38"/>
  <c r="F7" i="38"/>
  <c r="F9" i="38" s="1"/>
  <c r="H7" i="42"/>
  <c r="H9" i="42" s="1"/>
  <c r="G10" i="38"/>
  <c r="N159" i="29"/>
  <c r="K73" i="35"/>
  <c r="K75" i="35" s="1"/>
  <c r="L5" i="32"/>
  <c r="N169" i="29"/>
  <c r="L91" i="32"/>
  <c r="L93" i="32" s="1"/>
  <c r="L139" i="31"/>
  <c r="L141" i="31" s="1"/>
  <c r="L5" i="33"/>
  <c r="E4" i="37"/>
  <c r="E6" i="37" s="1"/>
  <c r="N164" i="29"/>
  <c r="L91" i="33"/>
  <c r="L93" i="33" s="1"/>
  <c r="N149" i="29"/>
  <c r="I98" i="42"/>
  <c r="I5" i="42" s="1"/>
  <c r="M100" i="33"/>
  <c r="N100" i="33" s="1"/>
  <c r="K80" i="41"/>
  <c r="N80" i="41" s="1"/>
  <c r="H106" i="37"/>
  <c r="E110" i="41"/>
  <c r="E5" i="41" s="1"/>
  <c r="M106" i="32"/>
  <c r="N106" i="32" s="1"/>
  <c r="F4" i="37"/>
  <c r="F6" i="37" s="1"/>
  <c r="M97" i="32"/>
  <c r="N97" i="32" s="1"/>
  <c r="L98" i="35"/>
  <c r="L96" i="35" s="1"/>
  <c r="L74" i="35"/>
  <c r="M100" i="32"/>
  <c r="N100" i="32" s="1"/>
  <c r="N102" i="32" s="1"/>
  <c r="M169" i="31"/>
  <c r="M167" i="31" s="1"/>
  <c r="N167" i="31" s="1"/>
  <c r="N169" i="31" s="1"/>
  <c r="G107" i="37"/>
  <c r="L91" i="71"/>
  <c r="L93" i="71" s="1"/>
  <c r="F58" i="41"/>
  <c r="J105" i="37"/>
  <c r="J103" i="37"/>
  <c r="M159" i="31"/>
  <c r="M157" i="31" s="1"/>
  <c r="N157" i="31" s="1"/>
  <c r="M154" i="31"/>
  <c r="M152" i="31" s="1"/>
  <c r="N152" i="31" s="1"/>
  <c r="H79" i="41"/>
  <c r="G83" i="41"/>
  <c r="L5" i="71"/>
  <c r="H112" i="37"/>
  <c r="H110" i="37"/>
  <c r="H98" i="37"/>
  <c r="H5" i="37" s="1"/>
  <c r="I100" i="37"/>
  <c r="H76" i="37"/>
  <c r="H82" i="37" s="1"/>
  <c r="M94" i="71"/>
  <c r="M92" i="71"/>
  <c r="N92" i="71" s="1"/>
  <c r="I81" i="37"/>
  <c r="I79" i="37"/>
  <c r="M92" i="33"/>
  <c r="N92" i="33" s="1"/>
  <c r="M94" i="33"/>
  <c r="M109" i="32"/>
  <c r="N109" i="32" s="1"/>
  <c r="G107" i="42"/>
  <c r="G97" i="42" s="1"/>
  <c r="D60" i="38"/>
  <c r="D4" i="38"/>
  <c r="D6" i="38" s="1"/>
  <c r="J80" i="42"/>
  <c r="I81" i="42"/>
  <c r="I76" i="42" s="1"/>
  <c r="M164" i="31"/>
  <c r="M162" i="31" s="1"/>
  <c r="N162" i="31" s="1"/>
  <c r="B109" i="41"/>
  <c r="M97" i="33"/>
  <c r="N97" i="33" s="1"/>
  <c r="N99" i="33" s="1"/>
  <c r="M109" i="71"/>
  <c r="N109" i="71" s="1"/>
  <c r="M139" i="29"/>
  <c r="N142" i="29"/>
  <c r="N144" i="29" s="1"/>
  <c r="M106" i="33"/>
  <c r="N106" i="33" s="1"/>
  <c r="G97" i="36"/>
  <c r="M106" i="71"/>
  <c r="N106" i="71" s="1"/>
  <c r="M97" i="71"/>
  <c r="N97" i="71" s="1"/>
  <c r="L103" i="35"/>
  <c r="L101" i="35" s="1"/>
  <c r="N154" i="29"/>
  <c r="K108" i="35"/>
  <c r="I111" i="42"/>
  <c r="H112" i="42"/>
  <c r="H107" i="42" s="1"/>
  <c r="H97" i="42" s="1"/>
  <c r="M103" i="32"/>
  <c r="N103" i="32" s="1"/>
  <c r="M100" i="71"/>
  <c r="N100" i="71" s="1"/>
  <c r="J105" i="42"/>
  <c r="J100" i="42" s="1"/>
  <c r="K104" i="42"/>
  <c r="I106" i="42"/>
  <c r="M109" i="33"/>
  <c r="N109" i="33" s="1"/>
  <c r="N111" i="33" s="1"/>
  <c r="I103" i="41"/>
  <c r="H107" i="41"/>
  <c r="H101" i="41" s="1"/>
  <c r="M103" i="33"/>
  <c r="N103" i="33" s="1"/>
  <c r="M91" i="27"/>
  <c r="M140" i="31"/>
  <c r="N140" i="31" s="1"/>
  <c r="M144" i="31"/>
  <c r="M142" i="31" s="1"/>
  <c r="E59" i="38"/>
  <c r="E5" i="38" s="1"/>
  <c r="E101" i="38"/>
  <c r="E58" i="38" s="1"/>
  <c r="E114" i="41"/>
  <c r="D118" i="41"/>
  <c r="D112" i="41" s="1"/>
  <c r="M94" i="32"/>
  <c r="M92" i="32"/>
  <c r="N92" i="32" s="1"/>
  <c r="L107" i="35"/>
  <c r="L111" i="35"/>
  <c r="L109" i="35" s="1"/>
  <c r="L106" i="35" s="1"/>
  <c r="M149" i="31"/>
  <c r="M147" i="31" s="1"/>
  <c r="N147" i="31" s="1"/>
  <c r="L5" i="31"/>
  <c r="H106" i="42"/>
  <c r="M103" i="71"/>
  <c r="N103" i="71" s="1"/>
  <c r="C109" i="41"/>
  <c r="C119" i="41"/>
  <c r="N22" i="29"/>
  <c r="M25" i="71"/>
  <c r="N25" i="71" s="1"/>
  <c r="N27" i="71" s="1"/>
  <c r="N8" i="29"/>
  <c r="N5" i="29" s="1"/>
  <c r="M5" i="29"/>
  <c r="M19" i="32"/>
  <c r="N19" i="32" s="1"/>
  <c r="K14" i="42"/>
  <c r="J15" i="42"/>
  <c r="J10" i="42" s="1"/>
  <c r="J16" i="42" s="1"/>
  <c r="M10" i="33"/>
  <c r="N10" i="33" s="1"/>
  <c r="M8" i="33"/>
  <c r="M27" i="31"/>
  <c r="M25" i="31" s="1"/>
  <c r="N25" i="31" s="1"/>
  <c r="N12" i="29"/>
  <c r="N32" i="29"/>
  <c r="M16" i="32"/>
  <c r="N16" i="32" s="1"/>
  <c r="J15" i="37"/>
  <c r="J13" i="37"/>
  <c r="M32" i="31"/>
  <c r="M30" i="31" s="1"/>
  <c r="N30" i="31" s="1"/>
  <c r="M22" i="32"/>
  <c r="N22" i="32" s="1"/>
  <c r="I10" i="37"/>
  <c r="M25" i="32"/>
  <c r="N25" i="32" s="1"/>
  <c r="M16" i="33"/>
  <c r="N16" i="33" s="1"/>
  <c r="M12" i="31"/>
  <c r="M10" i="31" s="1"/>
  <c r="N10" i="31" s="1"/>
  <c r="M8" i="31"/>
  <c r="M25" i="33"/>
  <c r="N25" i="33" s="1"/>
  <c r="M22" i="33"/>
  <c r="N22" i="33" s="1"/>
  <c r="M16" i="71"/>
  <c r="N16" i="71" s="1"/>
  <c r="M22" i="31"/>
  <c r="M20" i="31" s="1"/>
  <c r="N20" i="31" s="1"/>
  <c r="N22" i="31" s="1"/>
  <c r="H10" i="36"/>
  <c r="N27" i="29"/>
  <c r="M19" i="33"/>
  <c r="N19" i="33" s="1"/>
  <c r="M19" i="71"/>
  <c r="N19" i="71" s="1"/>
  <c r="M37" i="31"/>
  <c r="M35" i="31" s="1"/>
  <c r="N35" i="31" s="1"/>
  <c r="F17" i="41"/>
  <c r="H16" i="41"/>
  <c r="H10" i="41" s="1"/>
  <c r="H17" i="41" s="1"/>
  <c r="I12" i="41"/>
  <c r="M8" i="32"/>
  <c r="M10" i="32"/>
  <c r="N10" i="32" s="1"/>
  <c r="L17" i="41"/>
  <c r="H17" i="37"/>
  <c r="H23" i="37" s="1"/>
  <c r="L12" i="35"/>
  <c r="L10" i="35" s="1"/>
  <c r="M8" i="71"/>
  <c r="M10" i="71"/>
  <c r="N10" i="71" s="1"/>
  <c r="L22" i="35"/>
  <c r="L20" i="35" s="1"/>
  <c r="N37" i="29"/>
  <c r="M22" i="71"/>
  <c r="N22" i="71" s="1"/>
  <c r="H16" i="42"/>
  <c r="G23" i="37"/>
  <c r="G7" i="37"/>
  <c r="K9" i="32"/>
  <c r="K4" i="32"/>
  <c r="K6" i="32" s="1"/>
  <c r="L17" i="31"/>
  <c r="L15" i="31" s="1"/>
  <c r="L7" i="31" s="1"/>
  <c r="L13" i="32"/>
  <c r="L7" i="32" s="1"/>
  <c r="I20" i="37"/>
  <c r="I22" i="37"/>
  <c r="I8" i="37"/>
  <c r="J4" i="35"/>
  <c r="J6" i="35" s="1"/>
  <c r="J9" i="35"/>
  <c r="H20" i="41"/>
  <c r="G24" i="41"/>
  <c r="M17" i="29"/>
  <c r="M15" i="29" s="1"/>
  <c r="H21" i="41"/>
  <c r="H8" i="41"/>
  <c r="L13" i="33"/>
  <c r="L7" i="33" s="1"/>
  <c r="K17" i="35"/>
  <c r="K15" i="35" s="1"/>
  <c r="K7" i="35" s="1"/>
  <c r="K8" i="35"/>
  <c r="K5" i="35" s="1"/>
  <c r="L9" i="29"/>
  <c r="L4" i="29"/>
  <c r="L6" i="29" s="1"/>
  <c r="D9" i="41"/>
  <c r="F7" i="36"/>
  <c r="K9" i="33"/>
  <c r="K4" i="33"/>
  <c r="K6" i="33" s="1"/>
  <c r="K9" i="71"/>
  <c r="K4" i="71"/>
  <c r="K6" i="71" s="1"/>
  <c r="G13" i="36"/>
  <c r="G7" i="36" s="1"/>
  <c r="G8" i="36"/>
  <c r="J8" i="42"/>
  <c r="L13" i="71"/>
  <c r="L7" i="71" s="1"/>
  <c r="I22" i="42"/>
  <c r="I17" i="42" s="1"/>
  <c r="I7" i="42" s="1"/>
  <c r="J21" i="42"/>
  <c r="K9" i="31"/>
  <c r="K4" i="31"/>
  <c r="K6" i="31" s="1"/>
  <c r="C55" i="27"/>
  <c r="C56" i="28" s="1"/>
  <c r="C55" i="28" s="1"/>
  <c r="I76" i="27"/>
  <c r="I77" i="28" s="1"/>
  <c r="I76" i="28" s="1"/>
  <c r="D58" i="27"/>
  <c r="H73" i="27"/>
  <c r="K82" i="27"/>
  <c r="K83" i="28" s="1"/>
  <c r="K82" i="28" s="1"/>
  <c r="N94" i="27"/>
  <c r="N96" i="27" s="1"/>
  <c r="L12" i="40"/>
  <c r="L93" i="28" l="1"/>
  <c r="M89" i="74"/>
  <c r="M93" i="27"/>
  <c r="N27" i="74"/>
  <c r="M92" i="74"/>
  <c r="N92" i="74" s="1"/>
  <c r="M94" i="74"/>
  <c r="N95" i="74"/>
  <c r="M88" i="74"/>
  <c r="N88" i="74" s="1"/>
  <c r="N89" i="74"/>
  <c r="N94" i="28"/>
  <c r="N95" i="28"/>
  <c r="G68" i="74"/>
  <c r="G67" i="74" s="1"/>
  <c r="H74" i="28"/>
  <c r="H73" i="28" s="1"/>
  <c r="H74" i="74"/>
  <c r="F70" i="74"/>
  <c r="G71" i="74"/>
  <c r="G73" i="74"/>
  <c r="G70" i="74" s="1"/>
  <c r="D59" i="28"/>
  <c r="D58" i="28" s="1"/>
  <c r="D56" i="74"/>
  <c r="D55" i="74" s="1"/>
  <c r="D59" i="74"/>
  <c r="D58" i="74" s="1"/>
  <c r="C55" i="74"/>
  <c r="C58" i="74"/>
  <c r="N31" i="28"/>
  <c r="N33" i="28" s="1"/>
  <c r="M28" i="28"/>
  <c r="M30" i="28" s="1"/>
  <c r="M28" i="74"/>
  <c r="N31" i="74"/>
  <c r="N33" i="74" s="1"/>
  <c r="N164" i="31"/>
  <c r="F60" i="41"/>
  <c r="G77" i="41"/>
  <c r="H70" i="27"/>
  <c r="F70" i="28"/>
  <c r="F72" i="28" s="1"/>
  <c r="G71" i="28"/>
  <c r="G18" i="38"/>
  <c r="G7" i="38" s="1"/>
  <c r="G17" i="38"/>
  <c r="H8" i="38"/>
  <c r="H10" i="38"/>
  <c r="N99" i="71"/>
  <c r="N154" i="31"/>
  <c r="J100" i="37"/>
  <c r="J106" i="37" s="1"/>
  <c r="N102" i="71"/>
  <c r="L108" i="35"/>
  <c r="I76" i="37"/>
  <c r="I82" i="37" s="1"/>
  <c r="H99" i="42"/>
  <c r="H4" i="42"/>
  <c r="H6" i="42" s="1"/>
  <c r="N99" i="32"/>
  <c r="K105" i="42"/>
  <c r="K100" i="42" s="1"/>
  <c r="L104" i="42"/>
  <c r="J106" i="42"/>
  <c r="B92" i="36"/>
  <c r="B111" i="41"/>
  <c r="B4" i="41"/>
  <c r="B6" i="41" s="1"/>
  <c r="G99" i="42"/>
  <c r="G4" i="42"/>
  <c r="G6" i="42" s="1"/>
  <c r="H107" i="37"/>
  <c r="K105" i="37"/>
  <c r="K103" i="37"/>
  <c r="N108" i="32"/>
  <c r="M91" i="71"/>
  <c r="N94" i="71"/>
  <c r="N96" i="71" s="1"/>
  <c r="F101" i="38"/>
  <c r="F58" i="38" s="1"/>
  <c r="F59" i="38"/>
  <c r="F5" i="38" s="1"/>
  <c r="M139" i="31"/>
  <c r="N142" i="31"/>
  <c r="N144" i="31" s="1"/>
  <c r="I106" i="37"/>
  <c r="N108" i="71"/>
  <c r="N149" i="31"/>
  <c r="M92" i="28"/>
  <c r="N92" i="28" s="1"/>
  <c r="B106" i="36"/>
  <c r="N111" i="32"/>
  <c r="F110" i="41"/>
  <c r="F5" i="41" s="1"/>
  <c r="I112" i="37"/>
  <c r="I110" i="37"/>
  <c r="I98" i="37"/>
  <c r="I5" i="37" s="1"/>
  <c r="N105" i="32"/>
  <c r="N105" i="33"/>
  <c r="G113" i="37"/>
  <c r="G97" i="37"/>
  <c r="G4" i="37" s="1"/>
  <c r="G6" i="37" s="1"/>
  <c r="J111" i="42"/>
  <c r="I112" i="42"/>
  <c r="I107" i="42" s="1"/>
  <c r="I97" i="42" s="1"/>
  <c r="I99" i="42" s="1"/>
  <c r="I79" i="41"/>
  <c r="H83" i="41"/>
  <c r="H77" i="41" s="1"/>
  <c r="H58" i="41" s="1"/>
  <c r="H60" i="41" s="1"/>
  <c r="M91" i="32"/>
  <c r="N94" i="32"/>
  <c r="N96" i="32" s="1"/>
  <c r="D119" i="41"/>
  <c r="D109" i="41"/>
  <c r="C111" i="41"/>
  <c r="C4" i="41"/>
  <c r="C6" i="41" s="1"/>
  <c r="F114" i="41"/>
  <c r="E118" i="41"/>
  <c r="K80" i="42"/>
  <c r="J81" i="42"/>
  <c r="J76" i="42" s="1"/>
  <c r="M74" i="35"/>
  <c r="N74" i="35" s="1"/>
  <c r="M98" i="35"/>
  <c r="M96" i="35" s="1"/>
  <c r="M107" i="35"/>
  <c r="N107" i="35" s="1"/>
  <c r="M111" i="35"/>
  <c r="M109" i="35" s="1"/>
  <c r="H97" i="36"/>
  <c r="M91" i="33"/>
  <c r="N94" i="33"/>
  <c r="N96" i="33" s="1"/>
  <c r="N108" i="33"/>
  <c r="I107" i="41"/>
  <c r="I101" i="41" s="1"/>
  <c r="J103" i="41"/>
  <c r="J81" i="37"/>
  <c r="J79" i="37"/>
  <c r="M141" i="29"/>
  <c r="N139" i="29"/>
  <c r="N141" i="29" s="1"/>
  <c r="N102" i="33"/>
  <c r="N105" i="71"/>
  <c r="E60" i="38"/>
  <c r="E4" i="38"/>
  <c r="E6" i="38" s="1"/>
  <c r="M103" i="35"/>
  <c r="M101" i="35" s="1"/>
  <c r="N101" i="35" s="1"/>
  <c r="N103" i="35" s="1"/>
  <c r="N111" i="71"/>
  <c r="N159" i="31"/>
  <c r="L73" i="35"/>
  <c r="L75" i="35" s="1"/>
  <c r="J98" i="42"/>
  <c r="J5" i="42" s="1"/>
  <c r="N21" i="71"/>
  <c r="N27" i="31"/>
  <c r="N27" i="32"/>
  <c r="N24" i="71"/>
  <c r="N24" i="33"/>
  <c r="J10" i="37"/>
  <c r="J16" i="37" s="1"/>
  <c r="N18" i="33"/>
  <c r="N12" i="33"/>
  <c r="N12" i="32"/>
  <c r="H7" i="37"/>
  <c r="H9" i="37" s="1"/>
  <c r="M5" i="31"/>
  <c r="N8" i="31"/>
  <c r="N5" i="31" s="1"/>
  <c r="M12" i="35"/>
  <c r="M10" i="35" s="1"/>
  <c r="N10" i="35" s="1"/>
  <c r="N12" i="31"/>
  <c r="N21" i="33"/>
  <c r="M5" i="33"/>
  <c r="N8" i="33"/>
  <c r="N5" i="33" s="1"/>
  <c r="I10" i="36"/>
  <c r="I16" i="37"/>
  <c r="N24" i="32"/>
  <c r="K15" i="42"/>
  <c r="K10" i="42" s="1"/>
  <c r="K16" i="42" s="1"/>
  <c r="L14" i="42"/>
  <c r="J12" i="41"/>
  <c r="I16" i="41"/>
  <c r="N18" i="71"/>
  <c r="N32" i="31"/>
  <c r="N21" i="32"/>
  <c r="M22" i="35"/>
  <c r="M20" i="35" s="1"/>
  <c r="N20" i="35" s="1"/>
  <c r="N22" i="35" s="1"/>
  <c r="K13" i="37"/>
  <c r="K15" i="37"/>
  <c r="M17" i="41"/>
  <c r="M5" i="32"/>
  <c r="N8" i="32"/>
  <c r="N5" i="32" s="1"/>
  <c r="N12" i="71"/>
  <c r="M5" i="71"/>
  <c r="N8" i="71"/>
  <c r="N5" i="71" s="1"/>
  <c r="N37" i="31"/>
  <c r="N27" i="33"/>
  <c r="N18" i="32"/>
  <c r="M13" i="32"/>
  <c r="F9" i="36"/>
  <c r="J22" i="42"/>
  <c r="J17" i="42" s="1"/>
  <c r="J7" i="42" s="1"/>
  <c r="K21" i="42"/>
  <c r="I20" i="41"/>
  <c r="L9" i="31"/>
  <c r="L4" i="31"/>
  <c r="L6" i="31" s="1"/>
  <c r="L9" i="32"/>
  <c r="L4" i="32"/>
  <c r="L6" i="32" s="1"/>
  <c r="H24" i="41"/>
  <c r="H18" i="41" s="1"/>
  <c r="H7" i="41" s="1"/>
  <c r="M7" i="29"/>
  <c r="N15" i="29"/>
  <c r="N17" i="29" s="1"/>
  <c r="L9" i="71"/>
  <c r="L4" i="71"/>
  <c r="L6" i="71" s="1"/>
  <c r="K8" i="42"/>
  <c r="M17" i="31"/>
  <c r="M15" i="31" s="1"/>
  <c r="G18" i="41"/>
  <c r="M13" i="71"/>
  <c r="G9" i="37"/>
  <c r="H13" i="36"/>
  <c r="H8" i="36"/>
  <c r="L4" i="33"/>
  <c r="L6" i="33" s="1"/>
  <c r="L9" i="33"/>
  <c r="I8" i="41"/>
  <c r="I9" i="42"/>
  <c r="G9" i="36"/>
  <c r="K9" i="35"/>
  <c r="K4" i="35"/>
  <c r="K6" i="35" s="1"/>
  <c r="J20" i="37"/>
  <c r="J22" i="37"/>
  <c r="J8" i="37"/>
  <c r="L17" i="35"/>
  <c r="L15" i="35" s="1"/>
  <c r="L7" i="35" s="1"/>
  <c r="L8" i="35"/>
  <c r="L5" i="35" s="1"/>
  <c r="I17" i="37"/>
  <c r="M13" i="33"/>
  <c r="D55" i="27"/>
  <c r="D56" i="28" s="1"/>
  <c r="D55" i="28" s="1"/>
  <c r="L82" i="27"/>
  <c r="L83" i="28" s="1"/>
  <c r="L82" i="28" s="1"/>
  <c r="I73" i="27"/>
  <c r="E58" i="27"/>
  <c r="C52" i="27"/>
  <c r="C53" i="28" s="1"/>
  <c r="C52" i="28" s="1"/>
  <c r="J76" i="27"/>
  <c r="J77" i="28" s="1"/>
  <c r="J76" i="28" s="1"/>
  <c r="N91" i="27"/>
  <c r="N93" i="27" s="1"/>
  <c r="M12" i="40"/>
  <c r="G72" i="74" l="1"/>
  <c r="H68" i="74"/>
  <c r="H67" i="74" s="1"/>
  <c r="H72" i="27"/>
  <c r="M91" i="74"/>
  <c r="N94" i="74"/>
  <c r="N96" i="74" s="1"/>
  <c r="N96" i="28"/>
  <c r="N90" i="74"/>
  <c r="I74" i="28"/>
  <c r="I73" i="28" s="1"/>
  <c r="I74" i="74"/>
  <c r="G70" i="28"/>
  <c r="G72" i="28" s="1"/>
  <c r="F72" i="74"/>
  <c r="H71" i="74"/>
  <c r="H73" i="74"/>
  <c r="H70" i="74" s="1"/>
  <c r="H72" i="74" s="1"/>
  <c r="E59" i="28"/>
  <c r="E58" i="28" s="1"/>
  <c r="E56" i="74"/>
  <c r="E59" i="74"/>
  <c r="C53" i="74"/>
  <c r="M30" i="74"/>
  <c r="N28" i="74"/>
  <c r="N30" i="74" s="1"/>
  <c r="N28" i="28"/>
  <c r="N30" i="28" s="1"/>
  <c r="E112" i="41"/>
  <c r="G58" i="41"/>
  <c r="I70" i="27"/>
  <c r="H71" i="28"/>
  <c r="C49" i="27"/>
  <c r="J17" i="37"/>
  <c r="J23" i="37" s="1"/>
  <c r="I8" i="38"/>
  <c r="H18" i="38"/>
  <c r="H7" i="38" s="1"/>
  <c r="H9" i="38" s="1"/>
  <c r="H17" i="38"/>
  <c r="I10" i="38"/>
  <c r="G9" i="38"/>
  <c r="J76" i="37"/>
  <c r="J82" i="37" s="1"/>
  <c r="G101" i="38"/>
  <c r="G58" i="38" s="1"/>
  <c r="G59" i="38"/>
  <c r="H113" i="37"/>
  <c r="H97" i="37"/>
  <c r="K111" i="42"/>
  <c r="J112" i="42"/>
  <c r="J107" i="42" s="1"/>
  <c r="J97" i="42" s="1"/>
  <c r="G110" i="41"/>
  <c r="G5" i="41" s="1"/>
  <c r="G115" i="41"/>
  <c r="K81" i="42"/>
  <c r="K76" i="42" s="1"/>
  <c r="L80" i="42"/>
  <c r="M141" i="31"/>
  <c r="N139" i="31"/>
  <c r="N141" i="31" s="1"/>
  <c r="M93" i="33"/>
  <c r="N91" i="33"/>
  <c r="N93" i="33" s="1"/>
  <c r="G114" i="41"/>
  <c r="F118" i="41"/>
  <c r="F112" i="41" s="1"/>
  <c r="G99" i="37"/>
  <c r="C106" i="36"/>
  <c r="F60" i="38"/>
  <c r="F4" i="38"/>
  <c r="F6" i="38" s="1"/>
  <c r="I97" i="36"/>
  <c r="C92" i="36"/>
  <c r="B103" i="36"/>
  <c r="B91" i="36" s="1"/>
  <c r="B93" i="36" s="1"/>
  <c r="B5" i="36"/>
  <c r="M91" i="28"/>
  <c r="M93" i="28" s="1"/>
  <c r="M104" i="42"/>
  <c r="L105" i="42"/>
  <c r="L100" i="42" s="1"/>
  <c r="K106" i="42"/>
  <c r="K79" i="37"/>
  <c r="K81" i="37"/>
  <c r="K100" i="37"/>
  <c r="D111" i="41"/>
  <c r="D4" i="41"/>
  <c r="D6" i="41" s="1"/>
  <c r="M106" i="35"/>
  <c r="N109" i="35"/>
  <c r="N111" i="35" s="1"/>
  <c r="M93" i="71"/>
  <c r="N91" i="71"/>
  <c r="N93" i="71" s="1"/>
  <c r="M93" i="32"/>
  <c r="N91" i="32"/>
  <c r="N93" i="32" s="1"/>
  <c r="L103" i="37"/>
  <c r="L105" i="37"/>
  <c r="K98" i="42"/>
  <c r="K5" i="42" s="1"/>
  <c r="I83" i="41"/>
  <c r="I77" i="41" s="1"/>
  <c r="I58" i="41" s="1"/>
  <c r="I60" i="41" s="1"/>
  <c r="J79" i="41"/>
  <c r="I107" i="37"/>
  <c r="I4" i="42"/>
  <c r="I6" i="42" s="1"/>
  <c r="K103" i="41"/>
  <c r="J107" i="41"/>
  <c r="J101" i="41" s="1"/>
  <c r="N96" i="35"/>
  <c r="N98" i="35" s="1"/>
  <c r="M73" i="35"/>
  <c r="J112" i="37"/>
  <c r="J110" i="37"/>
  <c r="J98" i="37"/>
  <c r="J5" i="37" s="1"/>
  <c r="J16" i="41"/>
  <c r="J10" i="41" s="1"/>
  <c r="N12" i="41"/>
  <c r="N12" i="35"/>
  <c r="L15" i="42"/>
  <c r="L10" i="42" s="1"/>
  <c r="L16" i="42" s="1"/>
  <c r="M14" i="42"/>
  <c r="L15" i="37"/>
  <c r="L13" i="37"/>
  <c r="J10" i="36"/>
  <c r="K10" i="37"/>
  <c r="K16" i="37" s="1"/>
  <c r="I10" i="41"/>
  <c r="I17" i="41" s="1"/>
  <c r="M17" i="35"/>
  <c r="M15" i="35" s="1"/>
  <c r="M8" i="35"/>
  <c r="M9" i="29"/>
  <c r="M4" i="29"/>
  <c r="M6" i="29" s="1"/>
  <c r="N7" i="29"/>
  <c r="H7" i="36"/>
  <c r="I13" i="36"/>
  <c r="I7" i="36" s="1"/>
  <c r="I8" i="36"/>
  <c r="H9" i="41"/>
  <c r="K22" i="37"/>
  <c r="K20" i="37"/>
  <c r="K8" i="37"/>
  <c r="I24" i="41"/>
  <c r="I18" i="41" s="1"/>
  <c r="J20" i="41"/>
  <c r="N13" i="33"/>
  <c r="N15" i="33" s="1"/>
  <c r="M7" i="33"/>
  <c r="N13" i="71"/>
  <c r="N15" i="71" s="1"/>
  <c r="M7" i="71"/>
  <c r="M7" i="31"/>
  <c r="N15" i="31"/>
  <c r="N17" i="31" s="1"/>
  <c r="J9" i="42"/>
  <c r="G7" i="41"/>
  <c r="K22" i="42"/>
  <c r="K17" i="42" s="1"/>
  <c r="K7" i="42" s="1"/>
  <c r="L21" i="42"/>
  <c r="I23" i="37"/>
  <c r="I7" i="37"/>
  <c r="J21" i="41"/>
  <c r="J8" i="41"/>
  <c r="L8" i="42"/>
  <c r="N13" i="32"/>
  <c r="N15" i="32" s="1"/>
  <c r="M7" i="32"/>
  <c r="L4" i="35"/>
  <c r="L6" i="35" s="1"/>
  <c r="L9" i="35"/>
  <c r="K76" i="27"/>
  <c r="K77" i="28" s="1"/>
  <c r="K76" i="28" s="1"/>
  <c r="D52" i="27"/>
  <c r="D53" i="28" s="1"/>
  <c r="D52" i="28" s="1"/>
  <c r="E55" i="27"/>
  <c r="E56" i="28" s="1"/>
  <c r="E55" i="28" s="1"/>
  <c r="F58" i="27"/>
  <c r="J73" i="27"/>
  <c r="M82" i="27"/>
  <c r="M83" i="28" s="1"/>
  <c r="M82" i="28" s="1"/>
  <c r="B3" i="56"/>
  <c r="B3" i="55"/>
  <c r="B3" i="54"/>
  <c r="B3" i="53"/>
  <c r="B3" i="52"/>
  <c r="B3" i="51"/>
  <c r="B3" i="50"/>
  <c r="B3" i="49"/>
  <c r="B3" i="47"/>
  <c r="B3" i="57"/>
  <c r="B3" i="39"/>
  <c r="B3" i="40"/>
  <c r="B3" i="27"/>
  <c r="N4" i="45"/>
  <c r="M4" i="45"/>
  <c r="D4" i="45"/>
  <c r="C4" i="45"/>
  <c r="B4" i="45"/>
  <c r="D4" i="44"/>
  <c r="C4" i="44"/>
  <c r="B4" i="44"/>
  <c r="C47" i="74" l="1"/>
  <c r="C46" i="74" s="1"/>
  <c r="C51" i="27"/>
  <c r="I68" i="74"/>
  <c r="I67" i="74" s="1"/>
  <c r="I72" i="27"/>
  <c r="M93" i="74"/>
  <c r="N91" i="74"/>
  <c r="N93" i="74" s="1"/>
  <c r="N82" i="28"/>
  <c r="N83" i="28"/>
  <c r="J74" i="28"/>
  <c r="J73" i="28" s="1"/>
  <c r="J74" i="74"/>
  <c r="I71" i="74"/>
  <c r="I73" i="74"/>
  <c r="I70" i="74" s="1"/>
  <c r="E58" i="74"/>
  <c r="E55" i="74"/>
  <c r="F59" i="28"/>
  <c r="F58" i="28" s="1"/>
  <c r="F56" i="74"/>
  <c r="F55" i="74" s="1"/>
  <c r="F59" i="74"/>
  <c r="F58" i="74" s="1"/>
  <c r="D53" i="74"/>
  <c r="C50" i="74"/>
  <c r="C52" i="74"/>
  <c r="E119" i="41"/>
  <c r="E109" i="41"/>
  <c r="E111" i="41" s="1"/>
  <c r="G60" i="41"/>
  <c r="N82" i="27"/>
  <c r="N84" i="27" s="1"/>
  <c r="H70" i="28"/>
  <c r="H72" i="28" s="1"/>
  <c r="J70" i="27"/>
  <c r="I70" i="28"/>
  <c r="I71" i="28"/>
  <c r="D49" i="27"/>
  <c r="C50" i="28"/>
  <c r="J7" i="37"/>
  <c r="J9" i="37" s="1"/>
  <c r="J24" i="41"/>
  <c r="J18" i="41" s="1"/>
  <c r="J7" i="41" s="1"/>
  <c r="J9" i="41" s="1"/>
  <c r="J8" i="38"/>
  <c r="I18" i="38"/>
  <c r="I7" i="38" s="1"/>
  <c r="N16" i="41"/>
  <c r="L10" i="37"/>
  <c r="L16" i="37" s="1"/>
  <c r="I17" i="38"/>
  <c r="J10" i="38"/>
  <c r="I7" i="41"/>
  <c r="I9" i="41" s="1"/>
  <c r="J107" i="37"/>
  <c r="J113" i="37" s="1"/>
  <c r="F109" i="41"/>
  <c r="F119" i="41"/>
  <c r="N91" i="28"/>
  <c r="N93" i="28" s="1"/>
  <c r="G118" i="41"/>
  <c r="G112" i="41" s="1"/>
  <c r="H114" i="41"/>
  <c r="J99" i="42"/>
  <c r="L111" i="42"/>
  <c r="K112" i="42"/>
  <c r="K107" i="42" s="1"/>
  <c r="J4" i="42"/>
  <c r="J6" i="42" s="1"/>
  <c r="K107" i="41"/>
  <c r="K101" i="41" s="1"/>
  <c r="L103" i="41"/>
  <c r="M75" i="35"/>
  <c r="N73" i="35"/>
  <c r="N75" i="35" s="1"/>
  <c r="L106" i="42"/>
  <c r="H99" i="37"/>
  <c r="H4" i="37"/>
  <c r="H6" i="37" s="1"/>
  <c r="K76" i="37"/>
  <c r="K82" i="37" s="1"/>
  <c r="L81" i="37"/>
  <c r="L79" i="37"/>
  <c r="K112" i="37"/>
  <c r="K110" i="37"/>
  <c r="K98" i="37"/>
  <c r="K5" i="37" s="1"/>
  <c r="M105" i="42"/>
  <c r="N104" i="42"/>
  <c r="M108" i="35"/>
  <c r="N106" i="35"/>
  <c r="N108" i="35" s="1"/>
  <c r="D92" i="36"/>
  <c r="C103" i="36"/>
  <c r="C91" i="36" s="1"/>
  <c r="C93" i="36" s="1"/>
  <c r="C5" i="36"/>
  <c r="I113" i="37"/>
  <c r="I97" i="37"/>
  <c r="J83" i="41"/>
  <c r="J77" i="41" s="1"/>
  <c r="K79" i="41"/>
  <c r="K106" i="37"/>
  <c r="M80" i="42"/>
  <c r="L81" i="42"/>
  <c r="L76" i="42" s="1"/>
  <c r="J97" i="36"/>
  <c r="L98" i="42"/>
  <c r="L5" i="42" s="1"/>
  <c r="H110" i="41"/>
  <c r="H5" i="41" s="1"/>
  <c r="H115" i="41"/>
  <c r="G5" i="38"/>
  <c r="M103" i="37"/>
  <c r="M105" i="37"/>
  <c r="N105" i="37" s="1"/>
  <c r="N104" i="37" s="1"/>
  <c r="G4" i="38"/>
  <c r="G60" i="38"/>
  <c r="L100" i="37"/>
  <c r="D106" i="36"/>
  <c r="H101" i="38"/>
  <c r="H58" i="38" s="1"/>
  <c r="H59" i="38"/>
  <c r="H5" i="38" s="1"/>
  <c r="M15" i="42"/>
  <c r="N14" i="42"/>
  <c r="K10" i="36"/>
  <c r="M13" i="37"/>
  <c r="M15" i="37"/>
  <c r="N15" i="37" s="1"/>
  <c r="N14" i="37" s="1"/>
  <c r="J17" i="41"/>
  <c r="N10" i="41"/>
  <c r="N17" i="41" s="1"/>
  <c r="G9" i="41"/>
  <c r="I9" i="36"/>
  <c r="J13" i="36"/>
  <c r="J7" i="36" s="1"/>
  <c r="J8" i="36"/>
  <c r="H9" i="36"/>
  <c r="M9" i="31"/>
  <c r="M4" i="31"/>
  <c r="M6" i="31" s="1"/>
  <c r="N7" i="31"/>
  <c r="M8" i="42"/>
  <c r="M9" i="33"/>
  <c r="M4" i="33"/>
  <c r="M6" i="33" s="1"/>
  <c r="N7" i="33"/>
  <c r="I9" i="37"/>
  <c r="L22" i="42"/>
  <c r="L17" i="42" s="1"/>
  <c r="L7" i="42" s="1"/>
  <c r="M21" i="42"/>
  <c r="M5" i="35"/>
  <c r="N8" i="35"/>
  <c r="N5" i="35" s="1"/>
  <c r="M9" i="32"/>
  <c r="M4" i="32"/>
  <c r="M6" i="32" s="1"/>
  <c r="N7" i="32"/>
  <c r="M9" i="71"/>
  <c r="M4" i="71"/>
  <c r="M6" i="71" s="1"/>
  <c r="N7" i="71"/>
  <c r="K21" i="41"/>
  <c r="N21" i="41" s="1"/>
  <c r="K8" i="41"/>
  <c r="N9" i="29"/>
  <c r="N4" i="29"/>
  <c r="N6" i="29" s="1"/>
  <c r="K20" i="41"/>
  <c r="K9" i="42"/>
  <c r="K17" i="37"/>
  <c r="L20" i="37"/>
  <c r="L22" i="37"/>
  <c r="L8" i="37"/>
  <c r="N15" i="35"/>
  <c r="N17" i="35" s="1"/>
  <c r="M7" i="35"/>
  <c r="K73" i="27"/>
  <c r="G58" i="27"/>
  <c r="F55" i="27"/>
  <c r="F56" i="28" s="1"/>
  <c r="F55" i="28" s="1"/>
  <c r="E52" i="27"/>
  <c r="E53" i="28" s="1"/>
  <c r="E52" i="28" s="1"/>
  <c r="M76" i="27"/>
  <c r="M77" i="28" s="1"/>
  <c r="M76" i="28" s="1"/>
  <c r="L76" i="27"/>
  <c r="L77" i="28" s="1"/>
  <c r="L76" i="28" s="1"/>
  <c r="N76" i="28" l="1"/>
  <c r="N78" i="28" s="1"/>
  <c r="I72" i="28"/>
  <c r="D47" i="74"/>
  <c r="D46" i="74" s="1"/>
  <c r="D51" i="27"/>
  <c r="J68" i="74"/>
  <c r="J67" i="74" s="1"/>
  <c r="J72" i="27"/>
  <c r="I72" i="74"/>
  <c r="N84" i="28"/>
  <c r="J71" i="74"/>
  <c r="J73" i="74"/>
  <c r="J70" i="74" s="1"/>
  <c r="J72" i="74" s="1"/>
  <c r="K74" i="28"/>
  <c r="K73" i="28" s="1"/>
  <c r="K74" i="74"/>
  <c r="G59" i="28"/>
  <c r="G58" i="28" s="1"/>
  <c r="G56" i="74"/>
  <c r="G55" i="74" s="1"/>
  <c r="G59" i="74"/>
  <c r="G58" i="74" s="1"/>
  <c r="E53" i="74"/>
  <c r="C49" i="74"/>
  <c r="D50" i="74"/>
  <c r="D52" i="74"/>
  <c r="D49" i="74" s="1"/>
  <c r="E4" i="41"/>
  <c r="E6" i="41" s="1"/>
  <c r="M81" i="42"/>
  <c r="N80" i="42"/>
  <c r="L76" i="37"/>
  <c r="L82" i="37" s="1"/>
  <c r="J58" i="41"/>
  <c r="J70" i="28"/>
  <c r="J71" i="28"/>
  <c r="K70" i="27"/>
  <c r="K72" i="27" s="1"/>
  <c r="C49" i="28"/>
  <c r="C51" i="28" s="1"/>
  <c r="E49" i="27"/>
  <c r="D49" i="28"/>
  <c r="D50" i="28"/>
  <c r="J18" i="38"/>
  <c r="J7" i="38" s="1"/>
  <c r="J9" i="38" s="1"/>
  <c r="I9" i="38"/>
  <c r="J17" i="38"/>
  <c r="N10" i="38"/>
  <c r="N17" i="38" s="1"/>
  <c r="J97" i="37"/>
  <c r="J99" i="37" s="1"/>
  <c r="K107" i="37"/>
  <c r="K113" i="37" s="1"/>
  <c r="G6" i="38"/>
  <c r="K83" i="41"/>
  <c r="K77" i="41" s="1"/>
  <c r="K58" i="41" s="1"/>
  <c r="K60" i="41" s="1"/>
  <c r="L79" i="41"/>
  <c r="L106" i="37"/>
  <c r="I99" i="37"/>
  <c r="L107" i="41"/>
  <c r="N103" i="41"/>
  <c r="M98" i="42"/>
  <c r="N98" i="42" s="1"/>
  <c r="L112" i="37"/>
  <c r="L110" i="37"/>
  <c r="L98" i="37"/>
  <c r="L5" i="37" s="1"/>
  <c r="K97" i="42"/>
  <c r="E106" i="36"/>
  <c r="M81" i="37"/>
  <c r="N81" i="37" s="1"/>
  <c r="M79" i="37"/>
  <c r="N79" i="37" s="1"/>
  <c r="C4" i="36"/>
  <c r="C6" i="36" s="1"/>
  <c r="E92" i="36"/>
  <c r="D103" i="36"/>
  <c r="D5" i="36"/>
  <c r="G109" i="41"/>
  <c r="G119" i="41"/>
  <c r="B4" i="36"/>
  <c r="B6" i="36" s="1"/>
  <c r="I4" i="37"/>
  <c r="I6" i="37" s="1"/>
  <c r="H60" i="38"/>
  <c r="H4" i="38"/>
  <c r="H6" i="38" s="1"/>
  <c r="I101" i="38"/>
  <c r="I58" i="38" s="1"/>
  <c r="I59" i="38"/>
  <c r="I5" i="38" s="1"/>
  <c r="I110" i="41"/>
  <c r="I5" i="41" s="1"/>
  <c r="K97" i="36"/>
  <c r="M111" i="42"/>
  <c r="L112" i="42"/>
  <c r="L107" i="42" s="1"/>
  <c r="L97" i="42" s="1"/>
  <c r="L99" i="42" s="1"/>
  <c r="M100" i="37"/>
  <c r="N103" i="37"/>
  <c r="N102" i="37" s="1"/>
  <c r="H118" i="41"/>
  <c r="H112" i="41" s="1"/>
  <c r="I114" i="41"/>
  <c r="M100" i="42"/>
  <c r="N105" i="42"/>
  <c r="F111" i="41"/>
  <c r="F4" i="41"/>
  <c r="F6" i="41" s="1"/>
  <c r="M10" i="37"/>
  <c r="N13" i="37"/>
  <c r="N12" i="37" s="1"/>
  <c r="L10" i="36"/>
  <c r="M10" i="42"/>
  <c r="N15" i="42"/>
  <c r="N4" i="32"/>
  <c r="N6" i="32" s="1"/>
  <c r="N9" i="32"/>
  <c r="N9" i="31"/>
  <c r="N4" i="31"/>
  <c r="N6" i="31" s="1"/>
  <c r="K23" i="37"/>
  <c r="K7" i="37"/>
  <c r="M22" i="42"/>
  <c r="N21" i="42"/>
  <c r="L9" i="42"/>
  <c r="K13" i="36"/>
  <c r="K8" i="36"/>
  <c r="L20" i="41"/>
  <c r="K24" i="41"/>
  <c r="K18" i="41" s="1"/>
  <c r="M4" i="35"/>
  <c r="M6" i="35" s="1"/>
  <c r="M9" i="35"/>
  <c r="N7" i="35"/>
  <c r="J9" i="36"/>
  <c r="L8" i="41"/>
  <c r="N4" i="33"/>
  <c r="N6" i="33" s="1"/>
  <c r="N9" i="33"/>
  <c r="L17" i="37"/>
  <c r="N9" i="71"/>
  <c r="N4" i="71"/>
  <c r="N6" i="71" s="1"/>
  <c r="M20" i="37"/>
  <c r="M22" i="37"/>
  <c r="N22" i="37" s="1"/>
  <c r="M8" i="37"/>
  <c r="N8" i="42"/>
  <c r="N76" i="27"/>
  <c r="N78" i="27" s="1"/>
  <c r="F52" i="27"/>
  <c r="F53" i="28" s="1"/>
  <c r="F52" i="28" s="1"/>
  <c r="G55" i="27"/>
  <c r="G56" i="28" s="1"/>
  <c r="G55" i="28" s="1"/>
  <c r="H58" i="27"/>
  <c r="L73" i="27"/>
  <c r="L107" i="37" l="1"/>
  <c r="L113" i="37" s="1"/>
  <c r="J72" i="28"/>
  <c r="D51" i="28"/>
  <c r="D51" i="74"/>
  <c r="E47" i="74"/>
  <c r="E46" i="74" s="1"/>
  <c r="E51" i="27"/>
  <c r="K68" i="74"/>
  <c r="K67" i="74" s="1"/>
  <c r="L74" i="28"/>
  <c r="L73" i="28" s="1"/>
  <c r="L74" i="74"/>
  <c r="K71" i="74"/>
  <c r="K73" i="74"/>
  <c r="K70" i="74" s="1"/>
  <c r="K72" i="74" s="1"/>
  <c r="H59" i="28"/>
  <c r="H58" i="28" s="1"/>
  <c r="H59" i="74"/>
  <c r="H58" i="74" s="1"/>
  <c r="H56" i="74"/>
  <c r="F53" i="74"/>
  <c r="C51" i="74"/>
  <c r="E50" i="74"/>
  <c r="E52" i="74"/>
  <c r="E49" i="74" s="1"/>
  <c r="E49" i="28"/>
  <c r="D91" i="36"/>
  <c r="D93" i="36" s="1"/>
  <c r="J4" i="37"/>
  <c r="J6" i="37" s="1"/>
  <c r="M76" i="42"/>
  <c r="N76" i="42" s="1"/>
  <c r="N82" i="42" s="1"/>
  <c r="N81" i="42"/>
  <c r="L83" i="41"/>
  <c r="N79" i="41"/>
  <c r="J60" i="41"/>
  <c r="L70" i="27"/>
  <c r="K70" i="28"/>
  <c r="K71" i="28"/>
  <c r="F49" i="27"/>
  <c r="E50" i="28"/>
  <c r="K8" i="38"/>
  <c r="K18" i="38"/>
  <c r="K7" i="38" s="1"/>
  <c r="K97" i="37"/>
  <c r="K99" i="37" s="1"/>
  <c r="M76" i="37"/>
  <c r="M5" i="42"/>
  <c r="N5" i="42"/>
  <c r="I118" i="41"/>
  <c r="I112" i="41" s="1"/>
  <c r="J114" i="41"/>
  <c r="H109" i="41"/>
  <c r="H119" i="41"/>
  <c r="K99" i="42"/>
  <c r="K4" i="42"/>
  <c r="K6" i="42" s="1"/>
  <c r="L4" i="42"/>
  <c r="L6" i="42" s="1"/>
  <c r="M106" i="42"/>
  <c r="N100" i="42"/>
  <c r="N106" i="42" s="1"/>
  <c r="G111" i="41"/>
  <c r="G4" i="41"/>
  <c r="G6" i="41" s="1"/>
  <c r="L97" i="36"/>
  <c r="M112" i="37"/>
  <c r="N112" i="37" s="1"/>
  <c r="M110" i="37"/>
  <c r="M98" i="37"/>
  <c r="N98" i="37" s="1"/>
  <c r="M106" i="37"/>
  <c r="N100" i="37"/>
  <c r="N106" i="37" s="1"/>
  <c r="M112" i="42"/>
  <c r="N111" i="42"/>
  <c r="F92" i="36"/>
  <c r="E103" i="36"/>
  <c r="E91" i="36" s="1"/>
  <c r="E93" i="36" s="1"/>
  <c r="E5" i="36"/>
  <c r="J110" i="41"/>
  <c r="J5" i="41" s="1"/>
  <c r="J115" i="41"/>
  <c r="N115" i="41" s="1"/>
  <c r="I60" i="38"/>
  <c r="I4" i="38"/>
  <c r="I6" i="38" s="1"/>
  <c r="L101" i="41"/>
  <c r="N101" i="41" s="1"/>
  <c r="N108" i="41" s="1"/>
  <c r="N107" i="41"/>
  <c r="J59" i="38"/>
  <c r="J5" i="38" s="1"/>
  <c r="J101" i="38"/>
  <c r="J58" i="38" s="1"/>
  <c r="N80" i="37"/>
  <c r="N78" i="37"/>
  <c r="L97" i="37"/>
  <c r="L99" i="37" s="1"/>
  <c r="F106" i="36"/>
  <c r="M16" i="42"/>
  <c r="N10" i="42"/>
  <c r="N16" i="42" s="1"/>
  <c r="M10" i="36"/>
  <c r="N10" i="36" s="1"/>
  <c r="M16" i="37"/>
  <c r="N10" i="37"/>
  <c r="N16" i="37" s="1"/>
  <c r="N8" i="37"/>
  <c r="N21" i="37"/>
  <c r="M17" i="37"/>
  <c r="N20" i="37"/>
  <c r="N19" i="37" s="1"/>
  <c r="K9" i="37"/>
  <c r="K7" i="41"/>
  <c r="L24" i="41"/>
  <c r="N20" i="41"/>
  <c r="K7" i="36"/>
  <c r="L13" i="36"/>
  <c r="L7" i="36" s="1"/>
  <c r="L8" i="36"/>
  <c r="L23" i="37"/>
  <c r="L7" i="37"/>
  <c r="M17" i="42"/>
  <c r="N22" i="42"/>
  <c r="M8" i="41"/>
  <c r="N9" i="35"/>
  <c r="N4" i="35"/>
  <c r="N6" i="35" s="1"/>
  <c r="M73" i="27"/>
  <c r="I58" i="27"/>
  <c r="H55" i="27"/>
  <c r="H56" i="28" s="1"/>
  <c r="H55" i="28" s="1"/>
  <c r="G52" i="27"/>
  <c r="G53" i="28" s="1"/>
  <c r="G52" i="28" s="1"/>
  <c r="K72" i="28" l="1"/>
  <c r="E51" i="28"/>
  <c r="D4" i="36"/>
  <c r="D6" i="36" s="1"/>
  <c r="L68" i="74"/>
  <c r="L72" i="27"/>
  <c r="F47" i="74"/>
  <c r="F46" i="74" s="1"/>
  <c r="F51" i="27"/>
  <c r="E51" i="74"/>
  <c r="L71" i="74"/>
  <c r="L73" i="74"/>
  <c r="L70" i="74" s="1"/>
  <c r="L72" i="74" s="1"/>
  <c r="M74" i="28"/>
  <c r="M73" i="28" s="1"/>
  <c r="M74" i="74"/>
  <c r="L67" i="74"/>
  <c r="H55" i="74"/>
  <c r="I59" i="28"/>
  <c r="I58" i="28" s="1"/>
  <c r="I59" i="74"/>
  <c r="I58" i="74" s="1"/>
  <c r="I56" i="74"/>
  <c r="I55" i="74" s="1"/>
  <c r="G53" i="74"/>
  <c r="F50" i="74"/>
  <c r="F52" i="74"/>
  <c r="F49" i="74" s="1"/>
  <c r="J118" i="41"/>
  <c r="N114" i="41"/>
  <c r="M82" i="37"/>
  <c r="N76" i="37"/>
  <c r="N82" i="37" s="1"/>
  <c r="L77" i="41"/>
  <c r="N77" i="41" s="1"/>
  <c r="N84" i="41" s="1"/>
  <c r="N83" i="41"/>
  <c r="M70" i="27"/>
  <c r="L70" i="28"/>
  <c r="L71" i="28"/>
  <c r="F49" i="28"/>
  <c r="F50" i="28"/>
  <c r="G49" i="27"/>
  <c r="G51" i="27" s="1"/>
  <c r="K9" i="38"/>
  <c r="L8" i="38"/>
  <c r="L18" i="38"/>
  <c r="L7" i="38" s="1"/>
  <c r="K4" i="37"/>
  <c r="K6" i="37" s="1"/>
  <c r="N5" i="37"/>
  <c r="M5" i="37"/>
  <c r="N111" i="37"/>
  <c r="G92" i="36"/>
  <c r="F103" i="36"/>
  <c r="F91" i="36" s="1"/>
  <c r="F93" i="36" s="1"/>
  <c r="F5" i="36"/>
  <c r="M97" i="36"/>
  <c r="J60" i="38"/>
  <c r="J4" i="38"/>
  <c r="J6" i="38" s="1"/>
  <c r="K59" i="38"/>
  <c r="K5" i="38" s="1"/>
  <c r="K101" i="38"/>
  <c r="K58" i="38" s="1"/>
  <c r="M107" i="42"/>
  <c r="N112" i="42"/>
  <c r="L58" i="41"/>
  <c r="H111" i="41"/>
  <c r="H4" i="41"/>
  <c r="H6" i="41" s="1"/>
  <c r="G106" i="36"/>
  <c r="K119" i="41"/>
  <c r="K110" i="41"/>
  <c r="M107" i="37"/>
  <c r="N110" i="37"/>
  <c r="N109" i="37" s="1"/>
  <c r="E4" i="36"/>
  <c r="E6" i="36" s="1"/>
  <c r="I109" i="41"/>
  <c r="I119" i="41"/>
  <c r="N12" i="36"/>
  <c r="L18" i="41"/>
  <c r="N24" i="41"/>
  <c r="K4" i="41"/>
  <c r="K9" i="41"/>
  <c r="L9" i="36"/>
  <c r="N8" i="36"/>
  <c r="M13" i="36"/>
  <c r="M7" i="36" s="1"/>
  <c r="M8" i="36"/>
  <c r="K9" i="36"/>
  <c r="N8" i="41"/>
  <c r="M9" i="41"/>
  <c r="M23" i="37"/>
  <c r="M7" i="37"/>
  <c r="N17" i="37"/>
  <c r="N23" i="37" s="1"/>
  <c r="M7" i="42"/>
  <c r="N17" i="42"/>
  <c r="N23" i="42" s="1"/>
  <c r="L4" i="37"/>
  <c r="L6" i="37" s="1"/>
  <c r="L9" i="37"/>
  <c r="H52" i="27"/>
  <c r="H53" i="28" s="1"/>
  <c r="H52" i="28" s="1"/>
  <c r="I55" i="27"/>
  <c r="I56" i="28" s="1"/>
  <c r="I55" i="28" s="1"/>
  <c r="J58" i="27"/>
  <c r="N73" i="27"/>
  <c r="N75" i="27" s="1"/>
  <c r="C52" i="39"/>
  <c r="D52" i="39" s="1"/>
  <c r="E52" i="39" s="1"/>
  <c r="F52" i="39" s="1"/>
  <c r="G52" i="39" s="1"/>
  <c r="H52" i="39" s="1"/>
  <c r="I52" i="39" s="1"/>
  <c r="J52" i="39" s="1"/>
  <c r="K52" i="39" s="1"/>
  <c r="L52" i="39" s="1"/>
  <c r="M52" i="39" s="1"/>
  <c r="L72" i="28" l="1"/>
  <c r="F51" i="28"/>
  <c r="M68" i="74"/>
  <c r="M67" i="74" s="1"/>
  <c r="M72" i="27"/>
  <c r="N67" i="74"/>
  <c r="F51" i="74"/>
  <c r="N68" i="74"/>
  <c r="N70" i="27"/>
  <c r="N72" i="27" s="1"/>
  <c r="M71" i="74"/>
  <c r="N71" i="74" s="1"/>
  <c r="M73" i="74"/>
  <c r="N74" i="74"/>
  <c r="N73" i="28"/>
  <c r="N74" i="28"/>
  <c r="J59" i="28"/>
  <c r="J58" i="28" s="1"/>
  <c r="J59" i="74"/>
  <c r="J58" i="74" s="1"/>
  <c r="J56" i="74"/>
  <c r="J55" i="74" s="1"/>
  <c r="G47" i="74"/>
  <c r="H53" i="74"/>
  <c r="G50" i="74"/>
  <c r="G52" i="74"/>
  <c r="J112" i="41"/>
  <c r="N118" i="41"/>
  <c r="L60" i="41"/>
  <c r="N58" i="41"/>
  <c r="N60" i="41" s="1"/>
  <c r="M71" i="28"/>
  <c r="N71" i="28" s="1"/>
  <c r="H49" i="27"/>
  <c r="G50" i="28"/>
  <c r="L9" i="38"/>
  <c r="M8" i="38"/>
  <c r="N8" i="38" s="1"/>
  <c r="M18" i="38"/>
  <c r="H106" i="36"/>
  <c r="H92" i="36"/>
  <c r="G103" i="36"/>
  <c r="G91" i="36" s="1"/>
  <c r="G93" i="36" s="1"/>
  <c r="G5" i="36"/>
  <c r="L110" i="41"/>
  <c r="L119" i="41"/>
  <c r="F4" i="36"/>
  <c r="F6" i="36" s="1"/>
  <c r="N107" i="42"/>
  <c r="N113" i="42" s="1"/>
  <c r="M97" i="42"/>
  <c r="M4" i="42" s="1"/>
  <c r="M6" i="42" s="1"/>
  <c r="K60" i="38"/>
  <c r="K4" i="38"/>
  <c r="K6" i="38" s="1"/>
  <c r="M113" i="37"/>
  <c r="N107" i="37"/>
  <c r="N113" i="37" s="1"/>
  <c r="M97" i="37"/>
  <c r="K111" i="41"/>
  <c r="K5" i="41"/>
  <c r="K6" i="41" s="1"/>
  <c r="L59" i="38"/>
  <c r="L5" i="38" s="1"/>
  <c r="L101" i="38"/>
  <c r="L58" i="38" s="1"/>
  <c r="N97" i="36"/>
  <c r="I111" i="41"/>
  <c r="I4" i="41"/>
  <c r="I6" i="41" s="1"/>
  <c r="M9" i="36"/>
  <c r="M9" i="42"/>
  <c r="N7" i="42"/>
  <c r="M9" i="37"/>
  <c r="N7" i="37"/>
  <c r="L7" i="41"/>
  <c r="N18" i="41"/>
  <c r="N25" i="41" s="1"/>
  <c r="N13" i="36"/>
  <c r="K58" i="27"/>
  <c r="J55" i="27"/>
  <c r="J56" i="28" s="1"/>
  <c r="J55" i="28" s="1"/>
  <c r="I52" i="27"/>
  <c r="I53" i="28" s="1"/>
  <c r="I52" i="28" s="1"/>
  <c r="N69" i="74" l="1"/>
  <c r="H47" i="74"/>
  <c r="H46" i="74" s="1"/>
  <c r="H51" i="27"/>
  <c r="N75" i="28"/>
  <c r="M70" i="74"/>
  <c r="N73" i="74"/>
  <c r="N75" i="74" s="1"/>
  <c r="K59" i="28"/>
  <c r="K58" i="28" s="1"/>
  <c r="K56" i="74"/>
  <c r="K55" i="74" s="1"/>
  <c r="K59" i="74"/>
  <c r="K58" i="74" s="1"/>
  <c r="G49" i="74"/>
  <c r="H50" i="74"/>
  <c r="H52" i="74"/>
  <c r="H49" i="74" s="1"/>
  <c r="H51" i="74" s="1"/>
  <c r="G49" i="28"/>
  <c r="G51" i="28" s="1"/>
  <c r="G46" i="74"/>
  <c r="I53" i="74"/>
  <c r="N112" i="41"/>
  <c r="N119" i="41" s="1"/>
  <c r="J119" i="41"/>
  <c r="J109" i="41"/>
  <c r="N109" i="41" s="1"/>
  <c r="M70" i="28"/>
  <c r="M72" i="28" s="1"/>
  <c r="I49" i="27"/>
  <c r="H49" i="28"/>
  <c r="H50" i="28"/>
  <c r="M7" i="38"/>
  <c r="N18" i="38"/>
  <c r="N25" i="38" s="1"/>
  <c r="M99" i="37"/>
  <c r="N97" i="37"/>
  <c r="N99" i="37" s="1"/>
  <c r="G4" i="36"/>
  <c r="G6" i="36" s="1"/>
  <c r="N99" i="36"/>
  <c r="L60" i="38"/>
  <c r="L4" i="38"/>
  <c r="L6" i="38" s="1"/>
  <c r="M59" i="38"/>
  <c r="M101" i="38"/>
  <c r="M4" i="37"/>
  <c r="M6" i="37" s="1"/>
  <c r="M110" i="41"/>
  <c r="M119" i="41"/>
  <c r="L111" i="41"/>
  <c r="L5" i="41"/>
  <c r="I92" i="36"/>
  <c r="H103" i="36"/>
  <c r="H5" i="36"/>
  <c r="M99" i="42"/>
  <c r="N97" i="42"/>
  <c r="N99" i="42" s="1"/>
  <c r="I106" i="36"/>
  <c r="N9" i="42"/>
  <c r="N15" i="36"/>
  <c r="N7" i="36"/>
  <c r="L9" i="41"/>
  <c r="L4" i="41"/>
  <c r="N7" i="41"/>
  <c r="N9" i="37"/>
  <c r="J52" i="27"/>
  <c r="J53" i="28" s="1"/>
  <c r="J52" i="28" s="1"/>
  <c r="K55" i="27"/>
  <c r="K56" i="28" s="1"/>
  <c r="K55" i="28" s="1"/>
  <c r="M58" i="27"/>
  <c r="L58" i="27"/>
  <c r="H51" i="28" l="1"/>
  <c r="I47" i="74"/>
  <c r="I46" i="74" s="1"/>
  <c r="I51" i="27"/>
  <c r="M72" i="74"/>
  <c r="N70" i="74"/>
  <c r="N72" i="74" s="1"/>
  <c r="L59" i="28"/>
  <c r="L58" i="28" s="1"/>
  <c r="L56" i="74"/>
  <c r="L55" i="74" s="1"/>
  <c r="L59" i="74"/>
  <c r="L58" i="74" s="1"/>
  <c r="M59" i="28"/>
  <c r="M58" i="28" s="1"/>
  <c r="M56" i="74"/>
  <c r="M59" i="74"/>
  <c r="I50" i="74"/>
  <c r="I52" i="74"/>
  <c r="I49" i="74" s="1"/>
  <c r="J53" i="74"/>
  <c r="G51" i="74"/>
  <c r="H91" i="36"/>
  <c r="H93" i="36" s="1"/>
  <c r="J111" i="41"/>
  <c r="J4" i="41"/>
  <c r="J6" i="41" s="1"/>
  <c r="N70" i="28"/>
  <c r="N72" i="28" s="1"/>
  <c r="I50" i="28"/>
  <c r="J49" i="27"/>
  <c r="M9" i="38"/>
  <c r="N7" i="38"/>
  <c r="N9" i="38" s="1"/>
  <c r="N4" i="37"/>
  <c r="N6" i="37" s="1"/>
  <c r="L6" i="41"/>
  <c r="N101" i="38"/>
  <c r="N108" i="38" s="1"/>
  <c r="M58" i="38"/>
  <c r="J106" i="36"/>
  <c r="N4" i="42"/>
  <c r="N6" i="42" s="1"/>
  <c r="N110" i="41"/>
  <c r="M111" i="41"/>
  <c r="M5" i="41"/>
  <c r="M6" i="41" s="1"/>
  <c r="M5" i="38"/>
  <c r="N59" i="38"/>
  <c r="N5" i="38" s="1"/>
  <c r="J92" i="36"/>
  <c r="I103" i="36"/>
  <c r="I91" i="36" s="1"/>
  <c r="I93" i="36" s="1"/>
  <c r="I5" i="36"/>
  <c r="N4" i="41"/>
  <c r="N9" i="41"/>
  <c r="N9" i="36"/>
  <c r="N58" i="27"/>
  <c r="N60" i="27" s="1"/>
  <c r="M55" i="27"/>
  <c r="M56" i="28" s="1"/>
  <c r="M55" i="28" s="1"/>
  <c r="L55" i="27"/>
  <c r="L56" i="28" s="1"/>
  <c r="L55" i="28" s="1"/>
  <c r="K52" i="27"/>
  <c r="K53" i="28" s="1"/>
  <c r="K52" i="28" s="1"/>
  <c r="C27" i="40"/>
  <c r="D27" i="40" s="1"/>
  <c r="E27" i="40" s="1"/>
  <c r="F27" i="40" s="1"/>
  <c r="G27" i="40" s="1"/>
  <c r="H27" i="40" s="1"/>
  <c r="I27" i="40" s="1"/>
  <c r="J27" i="40" s="1"/>
  <c r="K27" i="40" s="1"/>
  <c r="L27" i="40" s="1"/>
  <c r="M27" i="40" s="1"/>
  <c r="N55" i="28" l="1"/>
  <c r="N57" i="28" s="1"/>
  <c r="J47" i="74"/>
  <c r="J46" i="74" s="1"/>
  <c r="J51" i="27"/>
  <c r="M58" i="74"/>
  <c r="N58" i="74" s="1"/>
  <c r="N59" i="74"/>
  <c r="M55" i="74"/>
  <c r="N55" i="74" s="1"/>
  <c r="N56" i="74"/>
  <c r="N58" i="28"/>
  <c r="N59" i="28"/>
  <c r="I49" i="28"/>
  <c r="I51" i="28" s="1"/>
  <c r="I51" i="74"/>
  <c r="K53" i="74"/>
  <c r="J50" i="74"/>
  <c r="J52" i="74"/>
  <c r="J49" i="74" s="1"/>
  <c r="H4" i="36"/>
  <c r="H6" i="36" s="1"/>
  <c r="N55" i="27"/>
  <c r="N57" i="27" s="1"/>
  <c r="K49" i="27"/>
  <c r="J49" i="28"/>
  <c r="J50" i="28"/>
  <c r="N111" i="41"/>
  <c r="N5" i="41"/>
  <c r="N6" i="41" s="1"/>
  <c r="K106" i="36"/>
  <c r="M4" i="38"/>
  <c r="M6" i="38" s="1"/>
  <c r="M60" i="38"/>
  <c r="N58" i="38"/>
  <c r="I4" i="36"/>
  <c r="I6" i="36" s="1"/>
  <c r="K92" i="36"/>
  <c r="J103" i="36"/>
  <c r="J91" i="36" s="1"/>
  <c r="J93" i="36" s="1"/>
  <c r="J5" i="36"/>
  <c r="L52" i="27"/>
  <c r="L53" i="28" s="1"/>
  <c r="L52" i="28" s="1"/>
  <c r="J51" i="28" l="1"/>
  <c r="K47" i="74"/>
  <c r="K46" i="74" s="1"/>
  <c r="K51" i="27"/>
  <c r="N60" i="28"/>
  <c r="N57" i="74"/>
  <c r="N60" i="74"/>
  <c r="J51" i="74"/>
  <c r="K50" i="74"/>
  <c r="K52" i="74"/>
  <c r="K49" i="74" s="1"/>
  <c r="L53" i="74"/>
  <c r="L49" i="27"/>
  <c r="L51" i="27" s="1"/>
  <c r="K49" i="28"/>
  <c r="K50" i="28"/>
  <c r="L106" i="36"/>
  <c r="N60" i="38"/>
  <c r="N4" i="38"/>
  <c r="N6" i="38" s="1"/>
  <c r="J4" i="36"/>
  <c r="J6" i="36" s="1"/>
  <c r="L92" i="36"/>
  <c r="K103" i="36"/>
  <c r="K91" i="36" s="1"/>
  <c r="K93" i="36" s="1"/>
  <c r="K5" i="36"/>
  <c r="M52" i="27"/>
  <c r="M53" i="28" s="1"/>
  <c r="M52" i="28" s="1"/>
  <c r="K51" i="28" l="1"/>
  <c r="K51" i="74"/>
  <c r="L47" i="74"/>
  <c r="L50" i="74"/>
  <c r="L52" i="74"/>
  <c r="L49" i="74" s="1"/>
  <c r="L51" i="74" s="1"/>
  <c r="M53" i="74"/>
  <c r="M49" i="27"/>
  <c r="L49" i="28"/>
  <c r="L50" i="28"/>
  <c r="K4" i="36"/>
  <c r="K6" i="36" s="1"/>
  <c r="M92" i="36"/>
  <c r="L103" i="36"/>
  <c r="L91" i="36" s="1"/>
  <c r="L93" i="36" s="1"/>
  <c r="L5" i="36"/>
  <c r="M106" i="36"/>
  <c r="N106" i="36" s="1"/>
  <c r="N52" i="27"/>
  <c r="N54" i="27" s="1"/>
  <c r="L51" i="28" l="1"/>
  <c r="M47" i="74"/>
  <c r="M46" i="74" s="1"/>
  <c r="M51" i="27"/>
  <c r="M50" i="74"/>
  <c r="N50" i="74" s="1"/>
  <c r="M52" i="74"/>
  <c r="N53" i="74"/>
  <c r="N52" i="28"/>
  <c r="N53" i="28"/>
  <c r="L46" i="74"/>
  <c r="N46" i="74" s="1"/>
  <c r="N47" i="74"/>
  <c r="N108" i="36"/>
  <c r="M50" i="28"/>
  <c r="N50" i="28" s="1"/>
  <c r="N92" i="36"/>
  <c r="M103" i="36"/>
  <c r="M5" i="36"/>
  <c r="L4" i="36"/>
  <c r="L6" i="36" s="1"/>
  <c r="N49" i="27"/>
  <c r="N51" i="27" s="1"/>
  <c r="N48" i="74" l="1"/>
  <c r="N54" i="28"/>
  <c r="M49" i="74"/>
  <c r="N52" i="74"/>
  <c r="N54" i="74" s="1"/>
  <c r="M91" i="36"/>
  <c r="M93" i="36" s="1"/>
  <c r="N103" i="36"/>
  <c r="N91" i="36" s="1"/>
  <c r="N4" i="36" s="1"/>
  <c r="N93" i="36"/>
  <c r="M49" i="28"/>
  <c r="M51" i="28" s="1"/>
  <c r="N105" i="36"/>
  <c r="E4" i="44"/>
  <c r="M51" i="74" l="1"/>
  <c r="N49" i="74"/>
  <c r="N51" i="74" s="1"/>
  <c r="M4" i="36"/>
  <c r="M6" i="36" s="1"/>
  <c r="N49" i="28"/>
  <c r="N51" i="28" s="1"/>
  <c r="N5" i="36"/>
  <c r="N6" i="36" s="1"/>
  <c r="E4" i="45"/>
  <c r="F4" i="45" l="1"/>
  <c r="F46" i="39"/>
  <c r="G46" i="39" s="1"/>
  <c r="H46" i="39" s="1"/>
  <c r="I46" i="39" s="1"/>
  <c r="J46" i="39" s="1"/>
  <c r="G4" i="45" l="1"/>
  <c r="B14" i="52"/>
  <c r="O28" i="46"/>
  <c r="H12" i="63" s="1"/>
  <c r="O26" i="46"/>
  <c r="O25" i="46"/>
  <c r="H8" i="63" s="1"/>
  <c r="O24" i="46"/>
  <c r="H20" i="63" s="1"/>
  <c r="O23" i="46"/>
  <c r="H18" i="63" s="1"/>
  <c r="O16" i="46"/>
  <c r="O15" i="46"/>
  <c r="O14" i="46"/>
  <c r="O13" i="46"/>
  <c r="O5" i="46"/>
  <c r="H3" i="63" s="1"/>
  <c r="O4" i="46"/>
  <c r="O3" i="46"/>
  <c r="H2" i="63" s="1"/>
  <c r="C3" i="56"/>
  <c r="D3" i="56" s="1"/>
  <c r="E3" i="56" s="1"/>
  <c r="F3" i="56" s="1"/>
  <c r="G3" i="56" s="1"/>
  <c r="H3" i="56" s="1"/>
  <c r="I3" i="56" s="1"/>
  <c r="J3" i="56" s="1"/>
  <c r="K3" i="56" s="1"/>
  <c r="L3" i="56" s="1"/>
  <c r="M3" i="56" s="1"/>
  <c r="C3" i="55"/>
  <c r="D3" i="55" s="1"/>
  <c r="E3" i="55" s="1"/>
  <c r="F3" i="55" s="1"/>
  <c r="G3" i="55" s="1"/>
  <c r="H3" i="55" s="1"/>
  <c r="I3" i="55" s="1"/>
  <c r="J3" i="55" s="1"/>
  <c r="K3" i="55" s="1"/>
  <c r="L3" i="55" s="1"/>
  <c r="M3" i="55" s="1"/>
  <c r="C3" i="54"/>
  <c r="D3" i="54" s="1"/>
  <c r="E3" i="54" s="1"/>
  <c r="F3" i="54" s="1"/>
  <c r="G3" i="54" s="1"/>
  <c r="H3" i="54" s="1"/>
  <c r="I3" i="54" s="1"/>
  <c r="J3" i="54" s="1"/>
  <c r="K3" i="54" s="1"/>
  <c r="L3" i="54" s="1"/>
  <c r="M3" i="54" s="1"/>
  <c r="C3" i="53"/>
  <c r="D3" i="53" s="1"/>
  <c r="E3" i="53" s="1"/>
  <c r="F3" i="53" s="1"/>
  <c r="G3" i="53" s="1"/>
  <c r="H3" i="53" s="1"/>
  <c r="I3" i="53" s="1"/>
  <c r="J3" i="53" s="1"/>
  <c r="K3" i="53" s="1"/>
  <c r="L3" i="53" s="1"/>
  <c r="M3" i="53" s="1"/>
  <c r="C3" i="52"/>
  <c r="D3" i="52" s="1"/>
  <c r="E3" i="52" s="1"/>
  <c r="F3" i="52" s="1"/>
  <c r="G3" i="52" s="1"/>
  <c r="H3" i="52" s="1"/>
  <c r="I3" i="52" s="1"/>
  <c r="J3" i="52" s="1"/>
  <c r="K3" i="52" s="1"/>
  <c r="L3" i="52" s="1"/>
  <c r="M3" i="52" s="1"/>
  <c r="C3" i="50"/>
  <c r="D3" i="50" s="1"/>
  <c r="E3" i="50" s="1"/>
  <c r="F3" i="50" s="1"/>
  <c r="G3" i="50" s="1"/>
  <c r="H3" i="50" s="1"/>
  <c r="I3" i="50" s="1"/>
  <c r="J3" i="50" s="1"/>
  <c r="K3" i="50" s="1"/>
  <c r="L3" i="50" s="1"/>
  <c r="M3" i="50" s="1"/>
  <c r="C3" i="49"/>
  <c r="D3" i="49" s="1"/>
  <c r="E3" i="49" s="1"/>
  <c r="F3" i="49" s="1"/>
  <c r="G3" i="49" s="1"/>
  <c r="H3" i="49" s="1"/>
  <c r="I3" i="49" s="1"/>
  <c r="J3" i="49" s="1"/>
  <c r="K3" i="49" s="1"/>
  <c r="L3" i="49" s="1"/>
  <c r="M3" i="49" s="1"/>
  <c r="C3" i="47"/>
  <c r="D3" i="47" s="1"/>
  <c r="E3" i="47" s="1"/>
  <c r="F3" i="47" s="1"/>
  <c r="G3" i="47" s="1"/>
  <c r="H3" i="47" s="1"/>
  <c r="I3" i="47" s="1"/>
  <c r="J3" i="47" s="1"/>
  <c r="K3" i="47" s="1"/>
  <c r="L3" i="47" s="1"/>
  <c r="M3" i="47" s="1"/>
  <c r="C3" i="57"/>
  <c r="D3" i="57" s="1"/>
  <c r="E3" i="57" s="1"/>
  <c r="F3" i="57" s="1"/>
  <c r="G3" i="57" s="1"/>
  <c r="H3" i="57" s="1"/>
  <c r="I3" i="57" s="1"/>
  <c r="J3" i="57" s="1"/>
  <c r="K3" i="57" s="1"/>
  <c r="L3" i="57" s="1"/>
  <c r="M3" i="57" s="1"/>
  <c r="C3" i="39"/>
  <c r="D3" i="39" s="1"/>
  <c r="E3" i="39" s="1"/>
  <c r="F3" i="39" s="1"/>
  <c r="G3" i="39" s="1"/>
  <c r="H3" i="39" s="1"/>
  <c r="I3" i="39" s="1"/>
  <c r="J3" i="39" s="1"/>
  <c r="K3" i="39" s="1"/>
  <c r="L3" i="39" s="1"/>
  <c r="M3" i="39" s="1"/>
  <c r="C3" i="40"/>
  <c r="D3" i="40" s="1"/>
  <c r="E3" i="40" s="1"/>
  <c r="F3" i="40" s="1"/>
  <c r="G3" i="40" s="1"/>
  <c r="H3" i="40" s="1"/>
  <c r="I3" i="40" s="1"/>
  <c r="J3" i="40" s="1"/>
  <c r="K3" i="40" s="1"/>
  <c r="L3" i="40" s="1"/>
  <c r="M3" i="40" s="1"/>
  <c r="C3" i="27"/>
  <c r="D3" i="27" s="1"/>
  <c r="E3" i="27" s="1"/>
  <c r="F3" i="27" s="1"/>
  <c r="G3" i="27" s="1"/>
  <c r="H3" i="27" s="1"/>
  <c r="I3" i="27" s="1"/>
  <c r="J3" i="27" s="1"/>
  <c r="K3" i="27" s="1"/>
  <c r="L3" i="27" s="1"/>
  <c r="M3" i="27" s="1"/>
  <c r="M53" i="39"/>
  <c r="L53" i="39"/>
  <c r="K53" i="39"/>
  <c r="J53" i="39"/>
  <c r="I53" i="39"/>
  <c r="H53" i="39"/>
  <c r="G53" i="39"/>
  <c r="F53" i="39"/>
  <c r="E53" i="39"/>
  <c r="D53" i="39"/>
  <c r="C53" i="39"/>
  <c r="B53" i="39"/>
  <c r="C51" i="39"/>
  <c r="D51" i="39" s="1"/>
  <c r="E51" i="39" s="1"/>
  <c r="F51" i="39" s="1"/>
  <c r="G51" i="39" s="1"/>
  <c r="H51" i="39" s="1"/>
  <c r="I51" i="39" s="1"/>
  <c r="J51" i="39" s="1"/>
  <c r="K51" i="39" s="1"/>
  <c r="L51" i="39" s="1"/>
  <c r="M51" i="39" s="1"/>
  <c r="C46" i="39"/>
  <c r="C38" i="39"/>
  <c r="D38" i="39" s="1"/>
  <c r="E38" i="39" s="1"/>
  <c r="F38" i="39" s="1"/>
  <c r="G38" i="39" s="1"/>
  <c r="H38" i="39" s="1"/>
  <c r="I38" i="39" s="1"/>
  <c r="J38" i="39" s="1"/>
  <c r="K38" i="39" s="1"/>
  <c r="L38" i="39" s="1"/>
  <c r="M38" i="39" s="1"/>
  <c r="C39" i="39"/>
  <c r="D39" i="39" s="1"/>
  <c r="E39" i="39" s="1"/>
  <c r="F39" i="39" s="1"/>
  <c r="G39" i="39" s="1"/>
  <c r="H39" i="39" s="1"/>
  <c r="I39" i="39" s="1"/>
  <c r="J39" i="39" s="1"/>
  <c r="K39" i="39" s="1"/>
  <c r="L39" i="39" s="1"/>
  <c r="M39" i="39" s="1"/>
  <c r="C33" i="39"/>
  <c r="D33" i="39" s="1"/>
  <c r="E33" i="39" s="1"/>
  <c r="F33" i="39" s="1"/>
  <c r="G33" i="39" s="1"/>
  <c r="H33" i="39" s="1"/>
  <c r="I33" i="39" s="1"/>
  <c r="J33" i="39" s="1"/>
  <c r="K33" i="39" s="1"/>
  <c r="L33" i="39" s="1"/>
  <c r="M33" i="39" s="1"/>
  <c r="D31" i="39"/>
  <c r="E31" i="39" s="1"/>
  <c r="F31" i="39" s="1"/>
  <c r="G31" i="39" s="1"/>
  <c r="H31" i="39" s="1"/>
  <c r="I31" i="39" s="1"/>
  <c r="J31" i="39" s="1"/>
  <c r="K31" i="39" s="1"/>
  <c r="L31" i="39" s="1"/>
  <c r="M31" i="39" s="1"/>
  <c r="P33" i="39"/>
  <c r="P32" i="39"/>
  <c r="P34" i="39" s="1"/>
  <c r="C24" i="39"/>
  <c r="D24" i="39" s="1"/>
  <c r="E24" i="39" s="1"/>
  <c r="F24" i="39" s="1"/>
  <c r="G24" i="39" s="1"/>
  <c r="H24" i="39" s="1"/>
  <c r="I24" i="39" s="1"/>
  <c r="J24" i="39" s="1"/>
  <c r="K24" i="39" s="1"/>
  <c r="L24" i="39" s="1"/>
  <c r="M24" i="39" s="1"/>
  <c r="C23" i="39"/>
  <c r="D23" i="39" s="1"/>
  <c r="E23" i="39" s="1"/>
  <c r="F23" i="39" s="1"/>
  <c r="G23" i="39" s="1"/>
  <c r="H23" i="39" s="1"/>
  <c r="I23" i="39" s="1"/>
  <c r="J23" i="39" s="1"/>
  <c r="K23" i="39" s="1"/>
  <c r="L23" i="39" s="1"/>
  <c r="M23" i="39" s="1"/>
  <c r="C11" i="39"/>
  <c r="D11" i="39" s="1"/>
  <c r="E11" i="39" s="1"/>
  <c r="F11" i="39" s="1"/>
  <c r="G11" i="39" s="1"/>
  <c r="H11" i="39" s="1"/>
  <c r="I11" i="39" s="1"/>
  <c r="J11" i="39" s="1"/>
  <c r="K11" i="39" s="1"/>
  <c r="L11" i="39" s="1"/>
  <c r="M11" i="39" s="1"/>
  <c r="H4" i="63" l="1"/>
  <c r="H9" i="63"/>
  <c r="H19" i="63"/>
  <c r="H13" i="63"/>
  <c r="H21" i="63"/>
  <c r="H4" i="45"/>
  <c r="O7" i="46"/>
  <c r="O17" i="46"/>
  <c r="O27" i="46"/>
  <c r="H16" i="63" s="1"/>
  <c r="H17" i="63" s="1"/>
  <c r="O19" i="46"/>
  <c r="O10" i="46"/>
  <c r="O20" i="46"/>
  <c r="O29" i="46"/>
  <c r="O9" i="46"/>
  <c r="O12" i="46"/>
  <c r="O22" i="46"/>
  <c r="O32" i="46"/>
  <c r="H29" i="63" s="1"/>
  <c r="H30" i="63" s="1"/>
  <c r="C24" i="55"/>
  <c r="D24" i="55" s="1"/>
  <c r="E24" i="55" s="1"/>
  <c r="F24" i="55" s="1"/>
  <c r="G24" i="55" s="1"/>
  <c r="H24" i="55" s="1"/>
  <c r="I24" i="55" s="1"/>
  <c r="J24" i="55" s="1"/>
  <c r="K24" i="55" s="1"/>
  <c r="L24" i="55" s="1"/>
  <c r="M24" i="55" s="1"/>
  <c r="C16" i="55"/>
  <c r="D16" i="55" s="1"/>
  <c r="E16" i="55" s="1"/>
  <c r="F16" i="55" s="1"/>
  <c r="G16" i="55" s="1"/>
  <c r="H16" i="55" s="1"/>
  <c r="I16" i="55" s="1"/>
  <c r="J16" i="55" s="1"/>
  <c r="K16" i="55" s="1"/>
  <c r="L16" i="55" s="1"/>
  <c r="M16" i="55" s="1"/>
  <c r="C21" i="54"/>
  <c r="D21" i="54" s="1"/>
  <c r="E21" i="54" s="1"/>
  <c r="F21" i="54" s="1"/>
  <c r="G21" i="54" s="1"/>
  <c r="H21" i="54" s="1"/>
  <c r="I21" i="54" s="1"/>
  <c r="J21" i="54" s="1"/>
  <c r="K21" i="54" s="1"/>
  <c r="L21" i="54" s="1"/>
  <c r="M21" i="54" s="1"/>
  <c r="B15" i="54"/>
  <c r="C15" i="54" s="1"/>
  <c r="D15" i="54" s="1"/>
  <c r="E15" i="54" s="1"/>
  <c r="F15" i="54" s="1"/>
  <c r="G15" i="54" s="1"/>
  <c r="H15" i="54" s="1"/>
  <c r="I15" i="54" s="1"/>
  <c r="J15" i="54" s="1"/>
  <c r="K15" i="54" s="1"/>
  <c r="L15" i="54" s="1"/>
  <c r="M15" i="54" s="1"/>
  <c r="C9" i="54"/>
  <c r="D9" i="54" s="1"/>
  <c r="E9" i="54" s="1"/>
  <c r="F9" i="54" s="1"/>
  <c r="G9" i="54" s="1"/>
  <c r="H9" i="54" s="1"/>
  <c r="I9" i="54" s="1"/>
  <c r="J9" i="54" s="1"/>
  <c r="K9" i="54" s="1"/>
  <c r="L9" i="54" s="1"/>
  <c r="M9" i="54" s="1"/>
  <c r="C33" i="54"/>
  <c r="D33" i="54" s="1"/>
  <c r="E33" i="54" s="1"/>
  <c r="F33" i="54" s="1"/>
  <c r="G33" i="54" s="1"/>
  <c r="H33" i="54" s="1"/>
  <c r="I33" i="54" s="1"/>
  <c r="J33" i="54" s="1"/>
  <c r="K33" i="54" s="1"/>
  <c r="L33" i="54" s="1"/>
  <c r="M33" i="54" s="1"/>
  <c r="C25" i="54"/>
  <c r="D25" i="54" s="1"/>
  <c r="E25" i="54" s="1"/>
  <c r="F25" i="54" s="1"/>
  <c r="G25" i="54" s="1"/>
  <c r="H25" i="54" s="1"/>
  <c r="I25" i="54" s="1"/>
  <c r="J25" i="54" s="1"/>
  <c r="K25" i="54" s="1"/>
  <c r="L25" i="54" s="1"/>
  <c r="M25" i="54" s="1"/>
  <c r="C21" i="53"/>
  <c r="D21" i="53" s="1"/>
  <c r="E21" i="53" s="1"/>
  <c r="F21" i="53" s="1"/>
  <c r="G21" i="53" s="1"/>
  <c r="H21" i="53" s="1"/>
  <c r="I21" i="53" s="1"/>
  <c r="J21" i="53" s="1"/>
  <c r="K21" i="53" s="1"/>
  <c r="L21" i="53" s="1"/>
  <c r="M21" i="53" s="1"/>
  <c r="C15" i="53"/>
  <c r="D15" i="53" s="1"/>
  <c r="E15" i="53" s="1"/>
  <c r="F15" i="53" s="1"/>
  <c r="G15" i="53" s="1"/>
  <c r="H15" i="53" s="1"/>
  <c r="I15" i="53" s="1"/>
  <c r="J15" i="53" s="1"/>
  <c r="K15" i="53" s="1"/>
  <c r="L15" i="53" s="1"/>
  <c r="M15" i="53" s="1"/>
  <c r="C9" i="53"/>
  <c r="D9" i="53" s="1"/>
  <c r="E9" i="53" s="1"/>
  <c r="F9" i="53" s="1"/>
  <c r="G9" i="53" s="1"/>
  <c r="H9" i="53" s="1"/>
  <c r="I9" i="53" s="1"/>
  <c r="J9" i="53" s="1"/>
  <c r="K9" i="53" s="1"/>
  <c r="L9" i="53" s="1"/>
  <c r="M9" i="53" s="1"/>
  <c r="C25" i="53"/>
  <c r="D25" i="53" s="1"/>
  <c r="E25" i="53" s="1"/>
  <c r="F25" i="53" s="1"/>
  <c r="G25" i="53" s="1"/>
  <c r="H25" i="53" s="1"/>
  <c r="I25" i="53" s="1"/>
  <c r="J25" i="53" s="1"/>
  <c r="K25" i="53" s="1"/>
  <c r="L25" i="53" s="1"/>
  <c r="M25" i="53" s="1"/>
  <c r="C33" i="52"/>
  <c r="D33" i="52" s="1"/>
  <c r="E33" i="52" s="1"/>
  <c r="F33" i="52" s="1"/>
  <c r="G33" i="52" s="1"/>
  <c r="H33" i="52" s="1"/>
  <c r="I33" i="52" s="1"/>
  <c r="J33" i="52" s="1"/>
  <c r="K33" i="52" s="1"/>
  <c r="L33" i="52" s="1"/>
  <c r="M33" i="52" s="1"/>
  <c r="C29" i="52"/>
  <c r="D29" i="52" s="1"/>
  <c r="E29" i="52" s="1"/>
  <c r="F29" i="52" s="1"/>
  <c r="G29" i="52" s="1"/>
  <c r="H29" i="52" s="1"/>
  <c r="I29" i="52" s="1"/>
  <c r="J29" i="52" s="1"/>
  <c r="K29" i="52" s="1"/>
  <c r="L29" i="52" s="1"/>
  <c r="M29" i="52" s="1"/>
  <c r="C25" i="52"/>
  <c r="D25" i="52" s="1"/>
  <c r="E25" i="52" s="1"/>
  <c r="F25" i="52" s="1"/>
  <c r="G25" i="52" s="1"/>
  <c r="H25" i="52" s="1"/>
  <c r="I25" i="52" s="1"/>
  <c r="J25" i="52" s="1"/>
  <c r="K25" i="52" s="1"/>
  <c r="L25" i="52" s="1"/>
  <c r="M25" i="52" s="1"/>
  <c r="C51" i="51"/>
  <c r="D51" i="51" s="1"/>
  <c r="E51" i="51" s="1"/>
  <c r="F51" i="51" s="1"/>
  <c r="G51" i="51" s="1"/>
  <c r="H51" i="51" s="1"/>
  <c r="I51" i="51" s="1"/>
  <c r="J51" i="51" s="1"/>
  <c r="K51" i="51" s="1"/>
  <c r="L51" i="51" s="1"/>
  <c r="M51" i="51" s="1"/>
  <c r="C47" i="51"/>
  <c r="D47" i="51" s="1"/>
  <c r="E47" i="51" s="1"/>
  <c r="F47" i="51" s="1"/>
  <c r="G47" i="51" s="1"/>
  <c r="H47" i="51" s="1"/>
  <c r="I47" i="51" s="1"/>
  <c r="J47" i="51" s="1"/>
  <c r="K47" i="51" s="1"/>
  <c r="L47" i="51" s="1"/>
  <c r="M47" i="51" s="1"/>
  <c r="C20" i="50"/>
  <c r="D20" i="50" s="1"/>
  <c r="E20" i="50" s="1"/>
  <c r="F20" i="50" s="1"/>
  <c r="G20" i="50" s="1"/>
  <c r="H20" i="50" s="1"/>
  <c r="I20" i="50" s="1"/>
  <c r="J20" i="50" s="1"/>
  <c r="K20" i="50" s="1"/>
  <c r="L20" i="50" s="1"/>
  <c r="M20" i="50" s="1"/>
  <c r="C16" i="50"/>
  <c r="D16" i="50" s="1"/>
  <c r="E16" i="50" s="1"/>
  <c r="F16" i="50" s="1"/>
  <c r="G16" i="50" s="1"/>
  <c r="H16" i="50" s="1"/>
  <c r="I16" i="50" s="1"/>
  <c r="J16" i="50" s="1"/>
  <c r="K16" i="50" s="1"/>
  <c r="L16" i="50" s="1"/>
  <c r="M16" i="50" s="1"/>
  <c r="H5" i="63" l="1"/>
  <c r="I4" i="45"/>
  <c r="H22" i="63"/>
  <c r="B11" i="54"/>
  <c r="H23" i="63" l="1"/>
  <c r="H24" i="63"/>
  <c r="H25" i="63" s="1"/>
  <c r="J4" i="45"/>
  <c r="L4" i="45" l="1"/>
  <c r="K4" i="45"/>
  <c r="F4" i="44" l="1"/>
  <c r="G4" i="44" l="1"/>
  <c r="C2" i="45"/>
  <c r="D2" i="45" s="1"/>
  <c r="E2" i="45" s="1"/>
  <c r="F2" i="45" s="1"/>
  <c r="G2" i="45" s="1"/>
  <c r="H2" i="45" s="1"/>
  <c r="I2" i="45" s="1"/>
  <c r="J2" i="45" s="1"/>
  <c r="K2" i="45" s="1"/>
  <c r="L2" i="45" s="1"/>
  <c r="M2" i="45" s="1"/>
  <c r="C2" i="44"/>
  <c r="D2" i="44" s="1"/>
  <c r="E2" i="44" s="1"/>
  <c r="F2" i="44" s="1"/>
  <c r="G2" i="44" s="1"/>
  <c r="H2" i="44" s="1"/>
  <c r="I2" i="44" s="1"/>
  <c r="J2" i="44" s="1"/>
  <c r="K2" i="44" s="1"/>
  <c r="L2" i="44" s="1"/>
  <c r="M2" i="44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C2" i="46"/>
  <c r="D2" i="46" s="1"/>
  <c r="E2" i="46" s="1"/>
  <c r="F2" i="46" s="1"/>
  <c r="G2" i="46" s="1"/>
  <c r="H2" i="46" s="1"/>
  <c r="I2" i="46" s="1"/>
  <c r="J2" i="46" s="1"/>
  <c r="K2" i="46" s="1"/>
  <c r="L2" i="46" s="1"/>
  <c r="M2" i="46" s="1"/>
  <c r="I3" i="45" l="1"/>
  <c r="D3" i="45"/>
  <c r="H3" i="45"/>
  <c r="L3" i="45"/>
  <c r="G3" i="45"/>
  <c r="N3" i="45"/>
  <c r="D2" i="63" s="1"/>
  <c r="F3" i="45"/>
  <c r="M3" i="45"/>
  <c r="E3" i="45"/>
  <c r="J3" i="45"/>
  <c r="B3" i="45"/>
  <c r="B52" i="45" s="1"/>
  <c r="K3" i="45"/>
  <c r="C3" i="45"/>
  <c r="H4" i="44"/>
  <c r="B18" i="39"/>
  <c r="C20" i="39"/>
  <c r="D20" i="39" s="1"/>
  <c r="E20" i="39" s="1"/>
  <c r="F20" i="39" s="1"/>
  <c r="G20" i="39" s="1"/>
  <c r="H20" i="39" s="1"/>
  <c r="I20" i="39" s="1"/>
  <c r="J20" i="39" s="1"/>
  <c r="C19" i="39"/>
  <c r="D19" i="39" s="1"/>
  <c r="O11" i="44"/>
  <c r="O11" i="3"/>
  <c r="C30" i="39"/>
  <c r="D46" i="39"/>
  <c r="N32" i="51"/>
  <c r="M8" i="53"/>
  <c r="L8" i="53"/>
  <c r="L5" i="53" s="1"/>
  <c r="K8" i="53"/>
  <c r="K5" i="53" s="1"/>
  <c r="J8" i="53"/>
  <c r="I8" i="53"/>
  <c r="H8" i="53"/>
  <c r="G8" i="53"/>
  <c r="G5" i="53" s="1"/>
  <c r="F8" i="53"/>
  <c r="F5" i="53" s="1"/>
  <c r="E8" i="53"/>
  <c r="D8" i="53"/>
  <c r="D5" i="53" s="1"/>
  <c r="C8" i="53"/>
  <c r="C5" i="53" s="1"/>
  <c r="B8" i="53"/>
  <c r="M14" i="53"/>
  <c r="L14" i="53"/>
  <c r="K14" i="53"/>
  <c r="J14" i="53"/>
  <c r="I14" i="53"/>
  <c r="I11" i="53" s="1"/>
  <c r="H14" i="53"/>
  <c r="H11" i="53" s="1"/>
  <c r="G14" i="53"/>
  <c r="G11" i="53" s="1"/>
  <c r="F14" i="53"/>
  <c r="E14" i="53"/>
  <c r="D14" i="53"/>
  <c r="C14" i="53"/>
  <c r="B14" i="53"/>
  <c r="M20" i="53"/>
  <c r="L20" i="53"/>
  <c r="L17" i="53" s="1"/>
  <c r="K20" i="53"/>
  <c r="K17" i="53" s="1"/>
  <c r="J20" i="53"/>
  <c r="I20" i="53"/>
  <c r="H20" i="53"/>
  <c r="H17" i="53" s="1"/>
  <c r="G20" i="53"/>
  <c r="G17" i="53" s="1"/>
  <c r="F20" i="53"/>
  <c r="E20" i="53"/>
  <c r="D20" i="53"/>
  <c r="D17" i="53" s="1"/>
  <c r="C20" i="53"/>
  <c r="C17" i="53" s="1"/>
  <c r="B20" i="5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C21" i="40"/>
  <c r="Q19" i="39"/>
  <c r="Q20" i="39" s="1"/>
  <c r="Q21" i="39" s="1"/>
  <c r="Q22" i="39" s="1"/>
  <c r="M21" i="39"/>
  <c r="M22" i="45" s="1"/>
  <c r="L21" i="39"/>
  <c r="L22" i="45" s="1"/>
  <c r="K21" i="39"/>
  <c r="K22" i="45" s="1"/>
  <c r="J21" i="39"/>
  <c r="J22" i="45" s="1"/>
  <c r="I21" i="39"/>
  <c r="I22" i="45" s="1"/>
  <c r="H21" i="39"/>
  <c r="H22" i="45" s="1"/>
  <c r="G21" i="39"/>
  <c r="G22" i="45" s="1"/>
  <c r="F21" i="39"/>
  <c r="F22" i="45" s="1"/>
  <c r="E21" i="39"/>
  <c r="E22" i="45" s="1"/>
  <c r="D21" i="39"/>
  <c r="D22" i="45" s="1"/>
  <c r="C21" i="39"/>
  <c r="B21" i="39"/>
  <c r="B22" i="45" s="1"/>
  <c r="B10" i="39"/>
  <c r="B14" i="39" s="1"/>
  <c r="C12" i="39"/>
  <c r="C10" i="39" s="1"/>
  <c r="N13" i="39"/>
  <c r="N11" i="39"/>
  <c r="U16" i="44"/>
  <c r="U17" i="44" s="1"/>
  <c r="M20" i="54"/>
  <c r="M17" i="54"/>
  <c r="L20" i="54"/>
  <c r="L17" i="54" s="1"/>
  <c r="K20" i="54"/>
  <c r="K17" i="54" s="1"/>
  <c r="J20" i="54"/>
  <c r="J17" i="54"/>
  <c r="I20" i="54"/>
  <c r="I17" i="54"/>
  <c r="H20" i="54"/>
  <c r="H17" i="54" s="1"/>
  <c r="G20" i="54"/>
  <c r="G17" i="54" s="1"/>
  <c r="F20" i="54"/>
  <c r="F17" i="54" s="1"/>
  <c r="E20" i="54"/>
  <c r="E17" i="54" s="1"/>
  <c r="D20" i="54"/>
  <c r="D17" i="54" s="1"/>
  <c r="C20" i="54"/>
  <c r="C17" i="54" s="1"/>
  <c r="B17" i="54"/>
  <c r="B66" i="54" s="1"/>
  <c r="M14" i="54"/>
  <c r="M11" i="54" s="1"/>
  <c r="L14" i="54"/>
  <c r="L11" i="54" s="1"/>
  <c r="K14" i="54"/>
  <c r="K11" i="54" s="1"/>
  <c r="J14" i="54"/>
  <c r="J11" i="54" s="1"/>
  <c r="I14" i="54"/>
  <c r="I11" i="54" s="1"/>
  <c r="H14" i="54"/>
  <c r="H11" i="54" s="1"/>
  <c r="G14" i="54"/>
  <c r="G11" i="54" s="1"/>
  <c r="F14" i="54"/>
  <c r="F11" i="54" s="1"/>
  <c r="E14" i="54"/>
  <c r="E11" i="54" s="1"/>
  <c r="D14" i="54"/>
  <c r="D11" i="54" s="1"/>
  <c r="C14" i="54"/>
  <c r="C11" i="54"/>
  <c r="B52" i="54"/>
  <c r="M8" i="54"/>
  <c r="M5" i="54" s="1"/>
  <c r="M4" i="54" s="1"/>
  <c r="L8" i="54"/>
  <c r="L5" i="54" s="1"/>
  <c r="K8" i="54"/>
  <c r="K5" i="54" s="1"/>
  <c r="J8" i="54"/>
  <c r="J5" i="54" s="1"/>
  <c r="I8" i="54"/>
  <c r="I5" i="54"/>
  <c r="H8" i="54"/>
  <c r="H5" i="54"/>
  <c r="G8" i="54"/>
  <c r="G5" i="54" s="1"/>
  <c r="F8" i="54"/>
  <c r="F5" i="54" s="1"/>
  <c r="E8" i="54"/>
  <c r="E5" i="54" s="1"/>
  <c r="D8" i="54"/>
  <c r="D5" i="54" s="1"/>
  <c r="C8" i="54"/>
  <c r="C5" i="54" s="1"/>
  <c r="B5" i="54"/>
  <c r="M17" i="53"/>
  <c r="J17" i="53"/>
  <c r="I17" i="53"/>
  <c r="F17" i="53"/>
  <c r="E17" i="53"/>
  <c r="B17" i="53"/>
  <c r="M11" i="53"/>
  <c r="L11" i="53"/>
  <c r="K11" i="53"/>
  <c r="J11" i="53"/>
  <c r="F11" i="53"/>
  <c r="E11" i="53"/>
  <c r="D11" i="53"/>
  <c r="C11" i="53"/>
  <c r="B11" i="53"/>
  <c r="B52" i="53" s="1"/>
  <c r="M5" i="53"/>
  <c r="J5" i="53"/>
  <c r="I5" i="53"/>
  <c r="H5" i="53"/>
  <c r="E5" i="53"/>
  <c r="B5" i="53"/>
  <c r="M20" i="52"/>
  <c r="M17" i="52" s="1"/>
  <c r="L20" i="52"/>
  <c r="L17" i="52" s="1"/>
  <c r="K20" i="52"/>
  <c r="K17" i="52" s="1"/>
  <c r="J20" i="52"/>
  <c r="J17" i="52" s="1"/>
  <c r="I20" i="52"/>
  <c r="I17" i="52" s="1"/>
  <c r="H20" i="52"/>
  <c r="H17" i="52" s="1"/>
  <c r="G20" i="52"/>
  <c r="G17" i="52" s="1"/>
  <c r="F20" i="52"/>
  <c r="F17" i="52" s="1"/>
  <c r="E20" i="52"/>
  <c r="E17" i="52" s="1"/>
  <c r="D20" i="52"/>
  <c r="D17" i="52" s="1"/>
  <c r="C20" i="52"/>
  <c r="C17" i="52" s="1"/>
  <c r="B20" i="52"/>
  <c r="B17" i="52" s="1"/>
  <c r="B8" i="51"/>
  <c r="B11" i="51"/>
  <c r="B14" i="51"/>
  <c r="B17" i="51"/>
  <c r="B43" i="50"/>
  <c r="B42" i="50" s="1"/>
  <c r="B30" i="47"/>
  <c r="B23" i="47" s="1"/>
  <c r="C43" i="47"/>
  <c r="C30" i="47"/>
  <c r="C23" i="47" s="1"/>
  <c r="C76" i="47" s="1"/>
  <c r="D43" i="47"/>
  <c r="E43" i="47" s="1"/>
  <c r="F43" i="47" s="1"/>
  <c r="D30" i="47"/>
  <c r="E30" i="47"/>
  <c r="E23" i="47" s="1"/>
  <c r="F30" i="47"/>
  <c r="F23" i="47" s="1"/>
  <c r="G30" i="47"/>
  <c r="G23" i="47" s="1"/>
  <c r="H30" i="47"/>
  <c r="H23" i="47"/>
  <c r="I30" i="47"/>
  <c r="I23" i="47"/>
  <c r="I4" i="47" s="1"/>
  <c r="J30" i="47"/>
  <c r="J23" i="47" s="1"/>
  <c r="K30" i="47"/>
  <c r="K23" i="47" s="1"/>
  <c r="L30" i="47"/>
  <c r="L23" i="47" s="1"/>
  <c r="L4" i="47" s="1"/>
  <c r="M30" i="47"/>
  <c r="M23" i="47" s="1"/>
  <c r="M4" i="47" s="1"/>
  <c r="B21" i="47"/>
  <c r="B14" i="47" s="1"/>
  <c r="B61" i="47" s="1"/>
  <c r="B60" i="47" s="1"/>
  <c r="C39" i="47"/>
  <c r="D39" i="47" s="1"/>
  <c r="C21" i="47"/>
  <c r="C14" i="47" s="1"/>
  <c r="D21" i="47"/>
  <c r="D14" i="47" s="1"/>
  <c r="E21" i="47"/>
  <c r="E14" i="47" s="1"/>
  <c r="F21" i="47"/>
  <c r="F14" i="47"/>
  <c r="F4" i="47" s="1"/>
  <c r="G21" i="47"/>
  <c r="G14" i="47" s="1"/>
  <c r="H21" i="47"/>
  <c r="H14" i="47" s="1"/>
  <c r="I21" i="47"/>
  <c r="I14" i="47" s="1"/>
  <c r="J21" i="47"/>
  <c r="J14" i="47" s="1"/>
  <c r="J4" i="47" s="1"/>
  <c r="K21" i="47"/>
  <c r="K14" i="47" s="1"/>
  <c r="L21" i="47"/>
  <c r="L14" i="47" s="1"/>
  <c r="M21" i="47"/>
  <c r="M14" i="47" s="1"/>
  <c r="M12" i="47"/>
  <c r="M5" i="47" s="1"/>
  <c r="C35" i="47"/>
  <c r="D35" i="47" s="1"/>
  <c r="E35" i="47" s="1"/>
  <c r="F35" i="47" s="1"/>
  <c r="L12" i="47"/>
  <c r="L5" i="47" s="1"/>
  <c r="K12" i="47"/>
  <c r="K5" i="47"/>
  <c r="J12" i="47"/>
  <c r="J5" i="47" s="1"/>
  <c r="I12" i="47"/>
  <c r="I5" i="47" s="1"/>
  <c r="H12" i="47"/>
  <c r="H5" i="47" s="1"/>
  <c r="G12" i="47"/>
  <c r="G5" i="47" s="1"/>
  <c r="F12" i="47"/>
  <c r="F5" i="47" s="1"/>
  <c r="E12" i="47"/>
  <c r="D12" i="47"/>
  <c r="D5" i="47"/>
  <c r="C12" i="47"/>
  <c r="C5" i="47"/>
  <c r="B12" i="47"/>
  <c r="B5" i="47" s="1"/>
  <c r="B47" i="47" s="1"/>
  <c r="O21" i="45"/>
  <c r="O30" i="45" s="1"/>
  <c r="O21" i="44"/>
  <c r="O21" i="3"/>
  <c r="O21" i="46"/>
  <c r="H10" i="63" s="1"/>
  <c r="B44" i="51"/>
  <c r="C44" i="51"/>
  <c r="D44" i="51"/>
  <c r="E44" i="51"/>
  <c r="F44" i="51"/>
  <c r="G44" i="51"/>
  <c r="H44" i="51"/>
  <c r="I44" i="51"/>
  <c r="J44" i="51"/>
  <c r="K44" i="51"/>
  <c r="L44" i="51"/>
  <c r="M44" i="51"/>
  <c r="B21" i="51"/>
  <c r="B24" i="51"/>
  <c r="B27" i="51"/>
  <c r="B30" i="51"/>
  <c r="C21" i="51"/>
  <c r="C24" i="51"/>
  <c r="C27" i="51"/>
  <c r="C30" i="51"/>
  <c r="D21" i="51"/>
  <c r="D24" i="51"/>
  <c r="D27" i="51"/>
  <c r="D30" i="51"/>
  <c r="E21" i="51"/>
  <c r="E24" i="51"/>
  <c r="E27" i="51"/>
  <c r="E30" i="51"/>
  <c r="F21" i="51"/>
  <c r="F24" i="51"/>
  <c r="F27" i="51"/>
  <c r="F30" i="51"/>
  <c r="G21" i="51"/>
  <c r="G24" i="51"/>
  <c r="G27" i="51"/>
  <c r="G30" i="51"/>
  <c r="H21" i="51"/>
  <c r="H24" i="51"/>
  <c r="H27" i="51"/>
  <c r="H30" i="51"/>
  <c r="I21" i="51"/>
  <c r="I24" i="51"/>
  <c r="I27" i="51"/>
  <c r="I30" i="51"/>
  <c r="J21" i="51"/>
  <c r="J24" i="51"/>
  <c r="J27" i="51"/>
  <c r="J30" i="51"/>
  <c r="K21" i="51"/>
  <c r="K24" i="51"/>
  <c r="K27" i="51"/>
  <c r="K30" i="51"/>
  <c r="L21" i="51"/>
  <c r="L24" i="51"/>
  <c r="L27" i="51"/>
  <c r="L30" i="51"/>
  <c r="M21" i="51"/>
  <c r="M24" i="51"/>
  <c r="M27" i="51"/>
  <c r="M30" i="51"/>
  <c r="B11" i="52"/>
  <c r="C14" i="52"/>
  <c r="D14" i="52"/>
  <c r="D11" i="52" s="1"/>
  <c r="E14" i="52"/>
  <c r="E11" i="52" s="1"/>
  <c r="F14" i="52"/>
  <c r="F11" i="52" s="1"/>
  <c r="G14" i="52"/>
  <c r="G11" i="52" s="1"/>
  <c r="H14" i="52"/>
  <c r="H11" i="52" s="1"/>
  <c r="I14" i="52"/>
  <c r="I11" i="52" s="1"/>
  <c r="J14" i="52"/>
  <c r="J11" i="52" s="1"/>
  <c r="K14" i="52"/>
  <c r="K11" i="52" s="1"/>
  <c r="L14" i="52"/>
  <c r="L11" i="52" s="1"/>
  <c r="M14" i="52"/>
  <c r="M11" i="52" s="1"/>
  <c r="C8" i="51"/>
  <c r="C5" i="51" s="1"/>
  <c r="C11" i="51"/>
  <c r="C14" i="51"/>
  <c r="C17" i="51"/>
  <c r="D8" i="51"/>
  <c r="D11" i="51"/>
  <c r="D14" i="51"/>
  <c r="D17" i="51"/>
  <c r="E8" i="51"/>
  <c r="E11" i="51"/>
  <c r="E14" i="51"/>
  <c r="E17" i="51"/>
  <c r="F8" i="51"/>
  <c r="F11" i="51"/>
  <c r="F14" i="51"/>
  <c r="F17" i="51"/>
  <c r="G8" i="51"/>
  <c r="G11" i="51"/>
  <c r="G14" i="51"/>
  <c r="G17" i="51"/>
  <c r="H8" i="51"/>
  <c r="H11" i="51"/>
  <c r="H14" i="51"/>
  <c r="H17" i="51"/>
  <c r="I8" i="51"/>
  <c r="I11" i="51"/>
  <c r="I14" i="51"/>
  <c r="I17" i="51"/>
  <c r="J8" i="51"/>
  <c r="J11" i="51"/>
  <c r="J14" i="51"/>
  <c r="J5" i="51" s="1"/>
  <c r="J17" i="51"/>
  <c r="K8" i="51"/>
  <c r="K11" i="51"/>
  <c r="K14" i="51"/>
  <c r="K17" i="51"/>
  <c r="L8" i="51"/>
  <c r="L11" i="51"/>
  <c r="L14" i="51"/>
  <c r="L17" i="51"/>
  <c r="M8" i="51"/>
  <c r="M11" i="51"/>
  <c r="M14" i="51"/>
  <c r="M17" i="51"/>
  <c r="B8" i="52"/>
  <c r="B5" i="52" s="1"/>
  <c r="C8" i="52"/>
  <c r="C5" i="52" s="1"/>
  <c r="D8" i="52"/>
  <c r="D5" i="52" s="1"/>
  <c r="E8" i="52"/>
  <c r="E5" i="52" s="1"/>
  <c r="F8" i="52"/>
  <c r="G8" i="52"/>
  <c r="G5" i="52" s="1"/>
  <c r="H8" i="52"/>
  <c r="H5" i="52" s="1"/>
  <c r="I8" i="52"/>
  <c r="I5" i="52" s="1"/>
  <c r="J8" i="52"/>
  <c r="J5" i="52" s="1"/>
  <c r="K8" i="52"/>
  <c r="K5" i="52" s="1"/>
  <c r="L8" i="52"/>
  <c r="L5" i="52" s="1"/>
  <c r="M8" i="52"/>
  <c r="M5" i="52" s="1"/>
  <c r="N7" i="56"/>
  <c r="C25" i="56"/>
  <c r="D25" i="56" s="1"/>
  <c r="N24" i="56"/>
  <c r="C21" i="56"/>
  <c r="N20" i="56"/>
  <c r="C17" i="56"/>
  <c r="D17" i="56"/>
  <c r="E17" i="56" s="1"/>
  <c r="F17" i="56" s="1"/>
  <c r="G17" i="56" s="1"/>
  <c r="H17" i="56" s="1"/>
  <c r="I17" i="56" s="1"/>
  <c r="J17" i="56" s="1"/>
  <c r="K17" i="56" s="1"/>
  <c r="L17" i="56" s="1"/>
  <c r="M17" i="56" s="1"/>
  <c r="N16" i="56"/>
  <c r="N13" i="56"/>
  <c r="N12" i="56"/>
  <c r="M11" i="56"/>
  <c r="L11" i="56"/>
  <c r="K11" i="56"/>
  <c r="J11" i="56"/>
  <c r="I11" i="56"/>
  <c r="H11" i="56"/>
  <c r="G11" i="56"/>
  <c r="F11" i="56"/>
  <c r="E11" i="56"/>
  <c r="D11" i="56"/>
  <c r="N11" i="56" s="1"/>
  <c r="C11" i="56"/>
  <c r="B11" i="56"/>
  <c r="B57" i="56" s="1"/>
  <c r="N10" i="56"/>
  <c r="N9" i="56"/>
  <c r="M8" i="56"/>
  <c r="M4" i="56" s="1"/>
  <c r="L8" i="56"/>
  <c r="K8" i="56"/>
  <c r="J8" i="56"/>
  <c r="I8" i="56"/>
  <c r="H8" i="56"/>
  <c r="G8" i="56"/>
  <c r="F8" i="56"/>
  <c r="F4" i="56" s="1"/>
  <c r="E8" i="56"/>
  <c r="E4" i="56" s="1"/>
  <c r="D8" i="56"/>
  <c r="C8" i="56"/>
  <c r="B8" i="56"/>
  <c r="B43" i="56" s="1"/>
  <c r="N6" i="56"/>
  <c r="M5" i="56"/>
  <c r="L5" i="56"/>
  <c r="L4" i="56" s="1"/>
  <c r="K5" i="56"/>
  <c r="J5" i="56"/>
  <c r="I5" i="56"/>
  <c r="H5" i="56"/>
  <c r="G5" i="56"/>
  <c r="F5" i="56"/>
  <c r="E5" i="56"/>
  <c r="D5" i="56"/>
  <c r="C5" i="56"/>
  <c r="B5" i="56"/>
  <c r="N13" i="55"/>
  <c r="N12" i="55"/>
  <c r="N10" i="55"/>
  <c r="N9" i="55"/>
  <c r="C25" i="55"/>
  <c r="N24" i="55"/>
  <c r="C21" i="55"/>
  <c r="D21" i="55" s="1"/>
  <c r="N20" i="55"/>
  <c r="C17" i="55"/>
  <c r="D17" i="55"/>
  <c r="E17" i="55" s="1"/>
  <c r="F17" i="55" s="1"/>
  <c r="G17" i="55" s="1"/>
  <c r="H17" i="55" s="1"/>
  <c r="I17" i="55" s="1"/>
  <c r="J17" i="55" s="1"/>
  <c r="K17" i="55" s="1"/>
  <c r="L17" i="55" s="1"/>
  <c r="M17" i="55" s="1"/>
  <c r="N16" i="55"/>
  <c r="M11" i="55"/>
  <c r="L11" i="55"/>
  <c r="K11" i="55"/>
  <c r="J11" i="55"/>
  <c r="I11" i="55"/>
  <c r="H11" i="55"/>
  <c r="G11" i="55"/>
  <c r="F11" i="55"/>
  <c r="E11" i="55"/>
  <c r="D11" i="55"/>
  <c r="C11" i="55"/>
  <c r="B11" i="55"/>
  <c r="B57" i="55" s="1"/>
  <c r="M8" i="55"/>
  <c r="L8" i="55"/>
  <c r="K8" i="55"/>
  <c r="J8" i="55"/>
  <c r="I8" i="55"/>
  <c r="H8" i="55"/>
  <c r="G8" i="55"/>
  <c r="F8" i="55"/>
  <c r="E8" i="55"/>
  <c r="D8" i="55"/>
  <c r="C8" i="55"/>
  <c r="B8" i="55"/>
  <c r="B43" i="55" s="1"/>
  <c r="N7" i="55"/>
  <c r="N6" i="55"/>
  <c r="M5" i="55"/>
  <c r="L5" i="55"/>
  <c r="K5" i="55"/>
  <c r="J5" i="55"/>
  <c r="I5" i="55"/>
  <c r="H5" i="55"/>
  <c r="G5" i="55"/>
  <c r="F5" i="55"/>
  <c r="E5" i="55"/>
  <c r="D5" i="55"/>
  <c r="C5" i="55"/>
  <c r="B5" i="55"/>
  <c r="H4" i="55"/>
  <c r="I4" i="55"/>
  <c r="M4" i="55"/>
  <c r="C34" i="54"/>
  <c r="D34" i="54" s="1"/>
  <c r="E34" i="54" s="1"/>
  <c r="F34" i="54" s="1"/>
  <c r="G34" i="54" s="1"/>
  <c r="H34" i="54" s="1"/>
  <c r="I34" i="54" s="1"/>
  <c r="J34" i="54" s="1"/>
  <c r="K34" i="54" s="1"/>
  <c r="L34" i="54" s="1"/>
  <c r="M34" i="54" s="1"/>
  <c r="N33" i="54"/>
  <c r="C30" i="54"/>
  <c r="D30" i="54" s="1"/>
  <c r="E30" i="54" s="1"/>
  <c r="F30" i="54"/>
  <c r="G30" i="54" s="1"/>
  <c r="H30" i="54" s="1"/>
  <c r="I30" i="54" s="1"/>
  <c r="J30" i="54" s="1"/>
  <c r="K30" i="54" s="1"/>
  <c r="L30" i="54" s="1"/>
  <c r="M30" i="54" s="1"/>
  <c r="N29" i="54"/>
  <c r="C26" i="54"/>
  <c r="D26" i="54" s="1"/>
  <c r="E26" i="54" s="1"/>
  <c r="F26" i="54" s="1"/>
  <c r="G26" i="54" s="1"/>
  <c r="H26" i="54" s="1"/>
  <c r="I26" i="54" s="1"/>
  <c r="J26" i="54" s="1"/>
  <c r="K26" i="54" s="1"/>
  <c r="L26" i="54" s="1"/>
  <c r="M26" i="54" s="1"/>
  <c r="N25" i="54"/>
  <c r="N18" i="54"/>
  <c r="N15" i="54"/>
  <c r="N12" i="54"/>
  <c r="N10" i="54"/>
  <c r="N7" i="54"/>
  <c r="C34" i="53"/>
  <c r="C67" i="53" s="1"/>
  <c r="D67" i="53" s="1"/>
  <c r="N33" i="53"/>
  <c r="C30" i="53"/>
  <c r="N29" i="53"/>
  <c r="C26" i="53"/>
  <c r="D26" i="53"/>
  <c r="E26" i="53" s="1"/>
  <c r="F26" i="53" s="1"/>
  <c r="G26" i="53" s="1"/>
  <c r="H26" i="53" s="1"/>
  <c r="I26" i="53" s="1"/>
  <c r="J26" i="53" s="1"/>
  <c r="K26" i="53" s="1"/>
  <c r="L26" i="53" s="1"/>
  <c r="M26" i="53" s="1"/>
  <c r="N25" i="53"/>
  <c r="N18" i="53"/>
  <c r="N15" i="53"/>
  <c r="N12" i="53"/>
  <c r="N10" i="53"/>
  <c r="N7" i="53"/>
  <c r="N7" i="52"/>
  <c r="N10" i="52"/>
  <c r="C34" i="52"/>
  <c r="D34" i="52" s="1"/>
  <c r="E34" i="52" s="1"/>
  <c r="F34" i="52" s="1"/>
  <c r="G34" i="52" s="1"/>
  <c r="N33" i="52"/>
  <c r="C30" i="52"/>
  <c r="D30" i="52" s="1"/>
  <c r="E30" i="52" s="1"/>
  <c r="F30" i="52" s="1"/>
  <c r="G30" i="52" s="1"/>
  <c r="H30" i="52" s="1"/>
  <c r="I30" i="52" s="1"/>
  <c r="J30" i="52" s="1"/>
  <c r="K30" i="52" s="1"/>
  <c r="L30" i="52" s="1"/>
  <c r="M30" i="52" s="1"/>
  <c r="N29" i="52"/>
  <c r="C26" i="52"/>
  <c r="D26" i="52" s="1"/>
  <c r="E26" i="52" s="1"/>
  <c r="F26" i="52" s="1"/>
  <c r="G26" i="52" s="1"/>
  <c r="H26" i="52" s="1"/>
  <c r="I26" i="52" s="1"/>
  <c r="J26" i="52" s="1"/>
  <c r="K26" i="52" s="1"/>
  <c r="L26" i="52" s="1"/>
  <c r="M26" i="52" s="1"/>
  <c r="N25" i="52"/>
  <c r="N18" i="52"/>
  <c r="N15" i="52"/>
  <c r="N12" i="52"/>
  <c r="M41" i="51"/>
  <c r="L41" i="51"/>
  <c r="K41" i="51"/>
  <c r="J41" i="51"/>
  <c r="I41" i="51"/>
  <c r="H41" i="51"/>
  <c r="G41" i="51"/>
  <c r="F41" i="51"/>
  <c r="E41" i="51"/>
  <c r="D41" i="51"/>
  <c r="C41" i="51"/>
  <c r="B41" i="51"/>
  <c r="M38" i="51"/>
  <c r="L38" i="51"/>
  <c r="K38" i="51"/>
  <c r="J38" i="51"/>
  <c r="I38" i="51"/>
  <c r="H38" i="51"/>
  <c r="G38" i="51"/>
  <c r="F38" i="51"/>
  <c r="E38" i="51"/>
  <c r="D38" i="51"/>
  <c r="C38" i="51"/>
  <c r="B38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N28" i="51"/>
  <c r="N25" i="51"/>
  <c r="N22" i="51"/>
  <c r="N19" i="51"/>
  <c r="N17" i="51"/>
  <c r="N15" i="51"/>
  <c r="N12" i="51"/>
  <c r="N9" i="51"/>
  <c r="N6" i="51"/>
  <c r="C56" i="51"/>
  <c r="D56" i="51" s="1"/>
  <c r="N55" i="51"/>
  <c r="C52" i="51"/>
  <c r="D52" i="51" s="1"/>
  <c r="E52" i="51" s="1"/>
  <c r="F52" i="51" s="1"/>
  <c r="G52" i="51" s="1"/>
  <c r="H52" i="51" s="1"/>
  <c r="I52" i="51" s="1"/>
  <c r="J52" i="51" s="1"/>
  <c r="K52" i="51" s="1"/>
  <c r="L52" i="51" s="1"/>
  <c r="M52" i="51" s="1"/>
  <c r="N51" i="51"/>
  <c r="C48" i="51"/>
  <c r="D48" i="51" s="1"/>
  <c r="E48" i="51" s="1"/>
  <c r="F48" i="51" s="1"/>
  <c r="N47" i="51"/>
  <c r="N33" i="51"/>
  <c r="N14" i="53"/>
  <c r="N8" i="53"/>
  <c r="B5" i="50"/>
  <c r="D5" i="50"/>
  <c r="F5" i="50"/>
  <c r="G5" i="50"/>
  <c r="J5" i="50"/>
  <c r="K5" i="50"/>
  <c r="K4" i="50" s="1"/>
  <c r="L5" i="50"/>
  <c r="N6" i="50"/>
  <c r="C25" i="50"/>
  <c r="D25" i="50" s="1"/>
  <c r="N24" i="50"/>
  <c r="C21" i="50"/>
  <c r="N20" i="50"/>
  <c r="C17" i="50"/>
  <c r="D17" i="50"/>
  <c r="E17" i="50" s="1"/>
  <c r="F17" i="50" s="1"/>
  <c r="G17" i="50" s="1"/>
  <c r="H17" i="50" s="1"/>
  <c r="I17" i="50" s="1"/>
  <c r="J17" i="50" s="1"/>
  <c r="K17" i="50" s="1"/>
  <c r="L17" i="50" s="1"/>
  <c r="M17" i="50" s="1"/>
  <c r="N16" i="50"/>
  <c r="M11" i="50"/>
  <c r="L11" i="50"/>
  <c r="K11" i="50"/>
  <c r="I11" i="50"/>
  <c r="H11" i="50"/>
  <c r="G11" i="50"/>
  <c r="E11" i="50"/>
  <c r="D11" i="50"/>
  <c r="C11" i="50"/>
  <c r="J11" i="50"/>
  <c r="F11" i="50"/>
  <c r="B11" i="50"/>
  <c r="B57" i="50" s="1"/>
  <c r="M8" i="50"/>
  <c r="M4" i="50" s="1"/>
  <c r="L8" i="50"/>
  <c r="J8" i="50"/>
  <c r="I8" i="50"/>
  <c r="H8" i="50"/>
  <c r="F8" i="50"/>
  <c r="E8" i="50"/>
  <c r="D8" i="50"/>
  <c r="K8" i="50"/>
  <c r="G8" i="50"/>
  <c r="G4" i="50" s="1"/>
  <c r="C8" i="50"/>
  <c r="H5" i="50"/>
  <c r="M5" i="50"/>
  <c r="I5" i="50"/>
  <c r="E5" i="50"/>
  <c r="C5" i="50"/>
  <c r="C25" i="49"/>
  <c r="D25" i="49" s="1"/>
  <c r="E25" i="49" s="1"/>
  <c r="C21" i="49"/>
  <c r="C17" i="49"/>
  <c r="D17" i="49"/>
  <c r="E17" i="49" s="1"/>
  <c r="F17" i="49" s="1"/>
  <c r="G17" i="49" s="1"/>
  <c r="H17" i="49" s="1"/>
  <c r="I17" i="49" s="1"/>
  <c r="J17" i="49" s="1"/>
  <c r="K17" i="49" s="1"/>
  <c r="L17" i="49" s="1"/>
  <c r="M17" i="49" s="1"/>
  <c r="M11" i="49"/>
  <c r="L11" i="49"/>
  <c r="K11" i="49"/>
  <c r="K4" i="49" s="1"/>
  <c r="J11" i="49"/>
  <c r="I11" i="49"/>
  <c r="H11" i="49"/>
  <c r="G11" i="49"/>
  <c r="G4" i="49" s="1"/>
  <c r="F11" i="49"/>
  <c r="E11" i="49"/>
  <c r="D11" i="49"/>
  <c r="C11" i="49"/>
  <c r="B11" i="49"/>
  <c r="B57" i="49" s="1"/>
  <c r="B56" i="49" s="1"/>
  <c r="N10" i="49"/>
  <c r="M8" i="49"/>
  <c r="L8" i="49"/>
  <c r="K8" i="49"/>
  <c r="J8" i="49"/>
  <c r="I8" i="49"/>
  <c r="H8" i="49"/>
  <c r="N8" i="49" s="1"/>
  <c r="G8" i="49"/>
  <c r="F8" i="49"/>
  <c r="E8" i="49"/>
  <c r="D8" i="49"/>
  <c r="C8" i="49"/>
  <c r="B8" i="49"/>
  <c r="B43" i="49" s="1"/>
  <c r="N9" i="49"/>
  <c r="M5" i="49"/>
  <c r="L5" i="49"/>
  <c r="K5" i="49"/>
  <c r="J5" i="49"/>
  <c r="J4" i="49" s="1"/>
  <c r="I5" i="49"/>
  <c r="H5" i="49"/>
  <c r="G5" i="49"/>
  <c r="F5" i="49"/>
  <c r="E5" i="49"/>
  <c r="D5" i="49"/>
  <c r="C5" i="49"/>
  <c r="C30" i="49" s="1"/>
  <c r="D30" i="49" s="1"/>
  <c r="E30" i="49" s="1"/>
  <c r="F30" i="49" s="1"/>
  <c r="G30" i="49" s="1"/>
  <c r="H30" i="49" s="1"/>
  <c r="I30" i="49" s="1"/>
  <c r="J30" i="49" s="1"/>
  <c r="K30" i="49" s="1"/>
  <c r="L30" i="49" s="1"/>
  <c r="M30" i="49" s="1"/>
  <c r="B5" i="49"/>
  <c r="B29" i="49" s="1"/>
  <c r="N24" i="49"/>
  <c r="N20" i="49"/>
  <c r="N16" i="49"/>
  <c r="N13" i="49"/>
  <c r="N12" i="49"/>
  <c r="N7" i="49"/>
  <c r="N6" i="49"/>
  <c r="N38" i="47"/>
  <c r="N42" i="47"/>
  <c r="N34" i="47"/>
  <c r="N29" i="47"/>
  <c r="N28" i="47"/>
  <c r="N27" i="47"/>
  <c r="N26" i="47"/>
  <c r="N25" i="47"/>
  <c r="N24" i="47"/>
  <c r="N20" i="47"/>
  <c r="N19" i="47"/>
  <c r="N18" i="47"/>
  <c r="N17" i="47"/>
  <c r="N16" i="47"/>
  <c r="N15" i="47"/>
  <c r="N11" i="47"/>
  <c r="N10" i="47"/>
  <c r="N9" i="47"/>
  <c r="N8" i="47"/>
  <c r="N7" i="47"/>
  <c r="N6" i="47"/>
  <c r="F4" i="50"/>
  <c r="N9" i="50"/>
  <c r="N12" i="50"/>
  <c r="D21" i="50"/>
  <c r="F4" i="49"/>
  <c r="B4" i="49"/>
  <c r="C9" i="46"/>
  <c r="B9" i="46"/>
  <c r="O37" i="46"/>
  <c r="O36" i="46"/>
  <c r="O18" i="46"/>
  <c r="O11" i="46"/>
  <c r="O6" i="46"/>
  <c r="R4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36" i="45"/>
  <c r="O35" i="45"/>
  <c r="O11" i="45"/>
  <c r="O6" i="45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36" i="44"/>
  <c r="O35" i="44"/>
  <c r="O18" i="44"/>
  <c r="O6" i="44"/>
  <c r="O36" i="3"/>
  <c r="O35" i="3"/>
  <c r="O18" i="3"/>
  <c r="O30" i="3" s="1"/>
  <c r="O6" i="3"/>
  <c r="C15" i="40"/>
  <c r="B15" i="40"/>
  <c r="B50" i="39"/>
  <c r="B55" i="39" s="1"/>
  <c r="C50" i="39"/>
  <c r="E50" i="39"/>
  <c r="F50" i="39"/>
  <c r="G50" i="39"/>
  <c r="H50" i="39"/>
  <c r="I50" i="39"/>
  <c r="J50" i="39"/>
  <c r="K50" i="39"/>
  <c r="L50" i="39"/>
  <c r="M50" i="39"/>
  <c r="N52" i="39"/>
  <c r="N51" i="39"/>
  <c r="B49" i="39"/>
  <c r="B27" i="45" s="1"/>
  <c r="B48" i="39"/>
  <c r="C47" i="39"/>
  <c r="C27" i="3" s="1"/>
  <c r="B47" i="39"/>
  <c r="B27" i="3" s="1"/>
  <c r="N41" i="39"/>
  <c r="N40" i="39"/>
  <c r="N42" i="39"/>
  <c r="N39" i="39"/>
  <c r="N38" i="39"/>
  <c r="M37" i="39"/>
  <c r="M44" i="39" s="1"/>
  <c r="L37" i="39"/>
  <c r="L45" i="39" s="1"/>
  <c r="K37" i="39"/>
  <c r="K43" i="39" s="1"/>
  <c r="J37" i="39"/>
  <c r="J43" i="39" s="1"/>
  <c r="I37" i="39"/>
  <c r="I44" i="39" s="1"/>
  <c r="H37" i="39"/>
  <c r="G37" i="39"/>
  <c r="G45" i="39" s="1"/>
  <c r="F37" i="39"/>
  <c r="F43" i="39" s="1"/>
  <c r="E37" i="39"/>
  <c r="E44" i="39" s="1"/>
  <c r="D37" i="39"/>
  <c r="C37" i="39"/>
  <c r="C44" i="39" s="1"/>
  <c r="B37" i="39"/>
  <c r="B43" i="39" s="1"/>
  <c r="N32" i="39"/>
  <c r="N33" i="39"/>
  <c r="M22" i="39"/>
  <c r="M27" i="39" s="1"/>
  <c r="L22" i="39"/>
  <c r="L29" i="39" s="1"/>
  <c r="K22" i="39"/>
  <c r="K28" i="39" s="1"/>
  <c r="J22" i="39"/>
  <c r="I22" i="39"/>
  <c r="I27" i="39" s="1"/>
  <c r="H22" i="39"/>
  <c r="H29" i="39" s="1"/>
  <c r="G22" i="39"/>
  <c r="G28" i="39" s="1"/>
  <c r="F22" i="39"/>
  <c r="E22" i="39"/>
  <c r="E29" i="39" s="1"/>
  <c r="E24" i="45" s="1"/>
  <c r="D22" i="39"/>
  <c r="D29" i="39" s="1"/>
  <c r="C22" i="39"/>
  <c r="C28" i="39" s="1"/>
  <c r="B22" i="39"/>
  <c r="B29" i="39" s="1"/>
  <c r="B24" i="45" s="1"/>
  <c r="N26" i="39"/>
  <c r="N25" i="39"/>
  <c r="N24" i="39"/>
  <c r="N23" i="39"/>
  <c r="C18" i="39"/>
  <c r="D18" i="39" s="1"/>
  <c r="N53" i="39"/>
  <c r="D50" i="39"/>
  <c r="D56" i="39" s="1"/>
  <c r="D26" i="45" s="1"/>
  <c r="J28" i="39"/>
  <c r="D55" i="39"/>
  <c r="D26" i="44" s="1"/>
  <c r="B44" i="39"/>
  <c r="G43" i="39"/>
  <c r="G44" i="39"/>
  <c r="I43" i="39"/>
  <c r="L44" i="39"/>
  <c r="B30" i="39"/>
  <c r="D28" i="39"/>
  <c r="F29" i="39"/>
  <c r="F24" i="45" s="1"/>
  <c r="G29" i="39"/>
  <c r="G24" i="45" s="1"/>
  <c r="M29" i="39"/>
  <c r="M24" i="45" s="1"/>
  <c r="E28" i="39"/>
  <c r="M28" i="39"/>
  <c r="L27" i="39"/>
  <c r="B27" i="39"/>
  <c r="D54" i="39"/>
  <c r="D26" i="3" s="1"/>
  <c r="M5" i="45"/>
  <c r="L5" i="45"/>
  <c r="K5" i="45"/>
  <c r="J5" i="45"/>
  <c r="I5" i="45"/>
  <c r="H5" i="45"/>
  <c r="G5" i="45"/>
  <c r="B5" i="45"/>
  <c r="M16" i="27"/>
  <c r="L16" i="27"/>
  <c r="K16" i="27"/>
  <c r="J16" i="27"/>
  <c r="I16" i="27"/>
  <c r="H16" i="27"/>
  <c r="G16" i="27"/>
  <c r="F16" i="27"/>
  <c r="E16" i="27"/>
  <c r="D16" i="27"/>
  <c r="C16" i="27"/>
  <c r="B16" i="27"/>
  <c r="E41" i="24"/>
  <c r="C41" i="24"/>
  <c r="B41" i="24"/>
  <c r="E35" i="24"/>
  <c r="C35" i="24"/>
  <c r="B35" i="24"/>
  <c r="E29" i="24"/>
  <c r="C29" i="24"/>
  <c r="B29" i="24"/>
  <c r="G2" i="23"/>
  <c r="F2" i="23"/>
  <c r="M2" i="23"/>
  <c r="L2" i="23"/>
  <c r="K2" i="23"/>
  <c r="J2" i="23"/>
  <c r="D2" i="23"/>
  <c r="C2" i="23"/>
  <c r="B2" i="23"/>
  <c r="M4" i="23"/>
  <c r="M9" i="23" s="1"/>
  <c r="L4" i="23"/>
  <c r="L22" i="23" s="1"/>
  <c r="K4" i="23"/>
  <c r="J4" i="23"/>
  <c r="J5" i="23" s="1"/>
  <c r="G4" i="23"/>
  <c r="G17" i="23" s="1"/>
  <c r="F4" i="23"/>
  <c r="F13" i="23" s="1"/>
  <c r="D4" i="23"/>
  <c r="D21" i="23" s="1"/>
  <c r="C4" i="23"/>
  <c r="C12" i="23" s="1"/>
  <c r="B4" i="23"/>
  <c r="B13" i="23" s="1"/>
  <c r="M3" i="23"/>
  <c r="L3" i="23"/>
  <c r="K3" i="23"/>
  <c r="J3" i="23"/>
  <c r="G3" i="23"/>
  <c r="G5" i="23" s="1"/>
  <c r="F3" i="23"/>
  <c r="D3" i="23"/>
  <c r="D5" i="23" s="1"/>
  <c r="C3" i="23"/>
  <c r="B3" i="23"/>
  <c r="G27" i="23"/>
  <c r="G40" i="23" s="1"/>
  <c r="G22" i="23"/>
  <c r="G21" i="23"/>
  <c r="G16" i="23"/>
  <c r="G24" i="23"/>
  <c r="G23" i="23"/>
  <c r="G20" i="23"/>
  <c r="G19" i="23"/>
  <c r="G12" i="23"/>
  <c r="G9" i="23"/>
  <c r="G14" i="23"/>
  <c r="G11" i="23"/>
  <c r="G13" i="23"/>
  <c r="G10" i="23"/>
  <c r="L5" i="23"/>
  <c r="J23" i="23"/>
  <c r="J22" i="23"/>
  <c r="J16" i="23"/>
  <c r="J24" i="23"/>
  <c r="J13" i="23"/>
  <c r="J14" i="23"/>
  <c r="K23" i="23"/>
  <c r="K22" i="23"/>
  <c r="K21" i="23"/>
  <c r="K16" i="23"/>
  <c r="K24" i="23"/>
  <c r="K14" i="23"/>
  <c r="K11" i="23"/>
  <c r="K10" i="23"/>
  <c r="L27" i="23"/>
  <c r="L40" i="23" s="1"/>
  <c r="L19" i="23"/>
  <c r="L17" i="23"/>
  <c r="L23" i="23"/>
  <c r="L21" i="23"/>
  <c r="L16" i="23"/>
  <c r="L20" i="23"/>
  <c r="L11" i="23"/>
  <c r="L14" i="23"/>
  <c r="L10" i="23"/>
  <c r="L9" i="23"/>
  <c r="L12" i="23"/>
  <c r="M17" i="23"/>
  <c r="M13" i="23"/>
  <c r="M10" i="23"/>
  <c r="B11" i="23"/>
  <c r="C20" i="23"/>
  <c r="C22" i="23"/>
  <c r="D17" i="23"/>
  <c r="D22" i="23"/>
  <c r="D16" i="23"/>
  <c r="D10" i="23"/>
  <c r="D23" i="23"/>
  <c r="D14" i="23"/>
  <c r="D11" i="23"/>
  <c r="K11" i="20"/>
  <c r="M3" i="18"/>
  <c r="M6" i="18" s="1"/>
  <c r="M34" i="18" s="1"/>
  <c r="L2" i="21"/>
  <c r="M2" i="21"/>
  <c r="M3" i="21"/>
  <c r="K3" i="21"/>
  <c r="L3" i="21"/>
  <c r="K2" i="21"/>
  <c r="J3" i="19"/>
  <c r="H2" i="21"/>
  <c r="I4" i="23"/>
  <c r="H4" i="23"/>
  <c r="H11" i="23" s="1"/>
  <c r="I3" i="23"/>
  <c r="H3" i="23"/>
  <c r="I2" i="23"/>
  <c r="H2" i="23"/>
  <c r="M4" i="18"/>
  <c r="M5" i="18" s="1"/>
  <c r="L4" i="18"/>
  <c r="L3" i="18"/>
  <c r="L6" i="18" s="1"/>
  <c r="L34" i="18" s="1"/>
  <c r="M2" i="18"/>
  <c r="M27" i="18" s="1"/>
  <c r="L2" i="18"/>
  <c r="L27" i="18"/>
  <c r="L40" i="18" s="1"/>
  <c r="K4" i="18"/>
  <c r="K5" i="18" s="1"/>
  <c r="J4" i="18"/>
  <c r="K3" i="18"/>
  <c r="J3" i="18"/>
  <c r="J6" i="18" s="1"/>
  <c r="K2" i="18"/>
  <c r="K27" i="18" s="1"/>
  <c r="K40" i="18" s="1"/>
  <c r="J2" i="18"/>
  <c r="I4" i="18"/>
  <c r="I5" i="18" s="1"/>
  <c r="H4" i="18"/>
  <c r="I3" i="18"/>
  <c r="H3" i="18"/>
  <c r="I2" i="18"/>
  <c r="I15" i="18" s="1"/>
  <c r="I36" i="18" s="1"/>
  <c r="H2" i="18"/>
  <c r="H15" i="18" s="1"/>
  <c r="M4" i="20"/>
  <c r="M10" i="20" s="1"/>
  <c r="L4" i="20"/>
  <c r="M3" i="20"/>
  <c r="M5" i="20" s="1"/>
  <c r="L3" i="20"/>
  <c r="M2" i="20"/>
  <c r="L2" i="20"/>
  <c r="K4" i="20"/>
  <c r="J4" i="20"/>
  <c r="J17" i="20" s="1"/>
  <c r="K3" i="20"/>
  <c r="J3" i="20"/>
  <c r="K2" i="20"/>
  <c r="J2" i="20"/>
  <c r="I4" i="20"/>
  <c r="I11" i="20" s="1"/>
  <c r="H4" i="20"/>
  <c r="H16" i="20" s="1"/>
  <c r="I3" i="20"/>
  <c r="H3" i="20"/>
  <c r="I2" i="20"/>
  <c r="H2" i="20"/>
  <c r="M4" i="19"/>
  <c r="L4" i="19"/>
  <c r="L5" i="19" s="1"/>
  <c r="M3" i="19"/>
  <c r="M6" i="19" s="1"/>
  <c r="L3" i="19"/>
  <c r="L6" i="19" s="1"/>
  <c r="M2" i="19"/>
  <c r="M20" i="19" s="1"/>
  <c r="L2" i="19"/>
  <c r="L22" i="19" s="1"/>
  <c r="K4" i="19"/>
  <c r="K5" i="19" s="1"/>
  <c r="J4" i="19"/>
  <c r="K3" i="19"/>
  <c r="K6" i="19" s="1"/>
  <c r="K2" i="19"/>
  <c r="K23" i="19" s="1"/>
  <c r="J2" i="19"/>
  <c r="J11" i="19" s="1"/>
  <c r="I4" i="19"/>
  <c r="I5" i="19" s="1"/>
  <c r="H4" i="19"/>
  <c r="I3" i="19"/>
  <c r="I6" i="19" s="1"/>
  <c r="H3" i="19"/>
  <c r="I2" i="19"/>
  <c r="I16" i="19" s="1"/>
  <c r="H2" i="19"/>
  <c r="J3" i="21"/>
  <c r="J2" i="21"/>
  <c r="I3" i="21"/>
  <c r="H3" i="21"/>
  <c r="I2" i="21"/>
  <c r="K24" i="20"/>
  <c r="K20" i="20"/>
  <c r="K16" i="20"/>
  <c r="K23" i="20"/>
  <c r="K19" i="20"/>
  <c r="K14" i="20"/>
  <c r="K9" i="20"/>
  <c r="K22" i="20"/>
  <c r="K18" i="20"/>
  <c r="K35" i="20" s="1"/>
  <c r="K13" i="20"/>
  <c r="K27" i="20"/>
  <c r="K38" i="20" s="1"/>
  <c r="K21" i="20"/>
  <c r="K17" i="20"/>
  <c r="K12" i="20"/>
  <c r="L17" i="20"/>
  <c r="L19" i="20"/>
  <c r="M23" i="20"/>
  <c r="M19" i="20"/>
  <c r="M14" i="20"/>
  <c r="M22" i="20"/>
  <c r="M9" i="20"/>
  <c r="M27" i="20"/>
  <c r="M21" i="20"/>
  <c r="M16" i="20"/>
  <c r="M24" i="20"/>
  <c r="M11" i="20"/>
  <c r="M18" i="20"/>
  <c r="M9" i="19"/>
  <c r="H21" i="20"/>
  <c r="H12" i="20"/>
  <c r="H20" i="20"/>
  <c r="H19" i="20"/>
  <c r="H14" i="20"/>
  <c r="H13" i="20"/>
  <c r="J12" i="20"/>
  <c r="J14" i="20"/>
  <c r="I16" i="20"/>
  <c r="I12" i="20"/>
  <c r="I24" i="20"/>
  <c r="I20" i="20"/>
  <c r="I19" i="20"/>
  <c r="I10" i="20"/>
  <c r="I22" i="20"/>
  <c r="I17" i="20"/>
  <c r="I13" i="20"/>
  <c r="K5" i="20"/>
  <c r="H6" i="18"/>
  <c r="H34" i="18" s="1"/>
  <c r="J5" i="18"/>
  <c r="I5" i="20"/>
  <c r="H6" i="23"/>
  <c r="H9" i="23"/>
  <c r="H16" i="23"/>
  <c r="H22" i="23"/>
  <c r="H24" i="23"/>
  <c r="I6" i="23"/>
  <c r="H10" i="23"/>
  <c r="H12" i="23"/>
  <c r="H14" i="23"/>
  <c r="H17" i="23"/>
  <c r="H23" i="23"/>
  <c r="I23" i="23"/>
  <c r="M17" i="18"/>
  <c r="L15" i="18"/>
  <c r="L36" i="18" s="1"/>
  <c r="L16" i="18"/>
  <c r="L18" i="18" s="1"/>
  <c r="L17" i="18"/>
  <c r="M15" i="18"/>
  <c r="M36" i="18"/>
  <c r="M16" i="18"/>
  <c r="M18" i="18" s="1"/>
  <c r="M37" i="18" s="1"/>
  <c r="K15" i="18"/>
  <c r="K36" i="18" s="1"/>
  <c r="K16" i="18"/>
  <c r="J17" i="18"/>
  <c r="K17" i="18"/>
  <c r="H36" i="18"/>
  <c r="I16" i="18"/>
  <c r="I18" i="18" s="1"/>
  <c r="I37" i="18" s="1"/>
  <c r="I17" i="18"/>
  <c r="M6" i="20"/>
  <c r="M32" i="20" s="1"/>
  <c r="K6" i="20"/>
  <c r="L9" i="19"/>
  <c r="L13" i="19"/>
  <c r="L10" i="19"/>
  <c r="L23" i="19"/>
  <c r="M12" i="19"/>
  <c r="J9" i="19"/>
  <c r="J13" i="19"/>
  <c r="J20" i="19"/>
  <c r="J24" i="19"/>
  <c r="J12" i="19"/>
  <c r="J19" i="19"/>
  <c r="J21" i="19"/>
  <c r="H16" i="19"/>
  <c r="I9" i="19"/>
  <c r="I15" i="19"/>
  <c r="I36" i="19" s="1"/>
  <c r="I20" i="19"/>
  <c r="I24" i="19"/>
  <c r="H14" i="19"/>
  <c r="H17" i="19"/>
  <c r="I10" i="19"/>
  <c r="I17" i="19"/>
  <c r="I19" i="19"/>
  <c r="I23" i="19"/>
  <c r="K25" i="20"/>
  <c r="K36" i="20" s="1"/>
  <c r="J25" i="19"/>
  <c r="J38" i="19" s="1"/>
  <c r="K25" i="19"/>
  <c r="K38" i="19" s="1"/>
  <c r="M25" i="20"/>
  <c r="M36" i="20" s="1"/>
  <c r="K18" i="18"/>
  <c r="K37" i="18" s="1"/>
  <c r="K32" i="20"/>
  <c r="K8" i="20"/>
  <c r="E4" i="23"/>
  <c r="E3" i="23"/>
  <c r="E2" i="23"/>
  <c r="G4" i="20"/>
  <c r="G24" i="20" s="1"/>
  <c r="F4" i="20"/>
  <c r="F21" i="20"/>
  <c r="E4" i="20"/>
  <c r="E9" i="20" s="1"/>
  <c r="E6" i="20"/>
  <c r="E8" i="20" s="1"/>
  <c r="D4" i="20"/>
  <c r="D14" i="20" s="1"/>
  <c r="G3" i="20"/>
  <c r="G5" i="20" s="1"/>
  <c r="F3" i="20"/>
  <c r="F5" i="20" s="1"/>
  <c r="E3" i="20"/>
  <c r="D3" i="20"/>
  <c r="G2" i="20"/>
  <c r="F2" i="20"/>
  <c r="E2" i="20"/>
  <c r="D2" i="20"/>
  <c r="C4" i="20"/>
  <c r="C3" i="20"/>
  <c r="C2" i="20"/>
  <c r="B4" i="20"/>
  <c r="B3" i="20"/>
  <c r="B2" i="20"/>
  <c r="E11" i="20"/>
  <c r="B13" i="20"/>
  <c r="F13" i="20"/>
  <c r="F19" i="20"/>
  <c r="F22" i="20"/>
  <c r="F23" i="20"/>
  <c r="B6" i="20"/>
  <c r="G13" i="20"/>
  <c r="E12" i="20"/>
  <c r="E21" i="20"/>
  <c r="F27" i="20"/>
  <c r="F38" i="20" s="1"/>
  <c r="F12" i="20"/>
  <c r="F16" i="20"/>
  <c r="E22" i="20"/>
  <c r="D12" i="20"/>
  <c r="B27" i="20"/>
  <c r="B11" i="20"/>
  <c r="B17" i="20"/>
  <c r="K10" i="20"/>
  <c r="M35" i="20"/>
  <c r="G21" i="20"/>
  <c r="G17" i="20"/>
  <c r="G12" i="20"/>
  <c r="G14" i="20"/>
  <c r="G11" i="20"/>
  <c r="G19" i="20"/>
  <c r="G16" i="20"/>
  <c r="G10" i="20"/>
  <c r="F10" i="20"/>
  <c r="F14" i="20"/>
  <c r="E13" i="20"/>
  <c r="E16" i="20"/>
  <c r="F17" i="20"/>
  <c r="E20" i="20"/>
  <c r="E24" i="20"/>
  <c r="F6" i="20"/>
  <c r="F9" i="20"/>
  <c r="F11" i="20"/>
  <c r="E10" i="20"/>
  <c r="E14" i="20"/>
  <c r="E17" i="20"/>
  <c r="E19" i="20"/>
  <c r="F20" i="20"/>
  <c r="F24" i="20"/>
  <c r="E27" i="20"/>
  <c r="E38" i="20" s="1"/>
  <c r="D6" i="20"/>
  <c r="D8" i="20" s="1"/>
  <c r="D5" i="20"/>
  <c r="M38" i="20"/>
  <c r="B8" i="20"/>
  <c r="G4" i="18"/>
  <c r="F4" i="18"/>
  <c r="G3" i="18"/>
  <c r="G6" i="18" s="1"/>
  <c r="G34" i="18" s="1"/>
  <c r="F3" i="18"/>
  <c r="G2" i="18"/>
  <c r="G16" i="18"/>
  <c r="G18" i="18" s="1"/>
  <c r="G37" i="18" s="1"/>
  <c r="F2" i="18"/>
  <c r="F16" i="18"/>
  <c r="F18" i="18" s="1"/>
  <c r="F37" i="18" s="1"/>
  <c r="E4" i="18"/>
  <c r="D4" i="18"/>
  <c r="E3" i="18"/>
  <c r="D3" i="18"/>
  <c r="E2" i="18"/>
  <c r="E16" i="18"/>
  <c r="D2" i="18"/>
  <c r="D17" i="18"/>
  <c r="G4" i="19"/>
  <c r="G5" i="19" s="1"/>
  <c r="F4" i="19"/>
  <c r="F5" i="19" s="1"/>
  <c r="G3" i="19"/>
  <c r="G6" i="19" s="1"/>
  <c r="F3" i="19"/>
  <c r="G2" i="19"/>
  <c r="G9" i="19" s="1"/>
  <c r="F2" i="19"/>
  <c r="F23" i="19" s="1"/>
  <c r="E4" i="19"/>
  <c r="E5" i="19" s="1"/>
  <c r="D4" i="19"/>
  <c r="D5" i="19" s="1"/>
  <c r="E3" i="19"/>
  <c r="E6" i="19" s="1"/>
  <c r="E34" i="19" s="1"/>
  <c r="D3" i="19"/>
  <c r="E2" i="19"/>
  <c r="D2" i="19"/>
  <c r="E6" i="18"/>
  <c r="F6" i="18"/>
  <c r="D6" i="18"/>
  <c r="F16" i="19"/>
  <c r="F21" i="19"/>
  <c r="F14" i="19"/>
  <c r="G16" i="19"/>
  <c r="G13" i="19"/>
  <c r="D21" i="19"/>
  <c r="D27" i="19"/>
  <c r="D16" i="19"/>
  <c r="E9" i="19"/>
  <c r="E19" i="19"/>
  <c r="E12" i="19"/>
  <c r="F17" i="18"/>
  <c r="F27" i="18"/>
  <c r="F40" i="18"/>
  <c r="G17" i="18"/>
  <c r="G27" i="18"/>
  <c r="D27" i="18"/>
  <c r="E17" i="18"/>
  <c r="E18" i="18"/>
  <c r="E27" i="18"/>
  <c r="D16" i="18"/>
  <c r="D18" i="18" s="1"/>
  <c r="D37" i="18" s="1"/>
  <c r="C2" i="21"/>
  <c r="G3" i="21"/>
  <c r="C4" i="21"/>
  <c r="D4" i="21"/>
  <c r="D20" i="21" s="1"/>
  <c r="G2" i="21"/>
  <c r="D2" i="21"/>
  <c r="F3" i="21"/>
  <c r="E2" i="21"/>
  <c r="E3" i="21"/>
  <c r="F2" i="21"/>
  <c r="D14" i="21"/>
  <c r="D24" i="21"/>
  <c r="D22" i="21"/>
  <c r="D18" i="21"/>
  <c r="D37" i="21" s="1"/>
  <c r="G15" i="18"/>
  <c r="G36" i="18" s="1"/>
  <c r="E15" i="18"/>
  <c r="E36" i="18" s="1"/>
  <c r="F15" i="18"/>
  <c r="F36" i="18" s="1"/>
  <c r="C4" i="19"/>
  <c r="C3" i="19"/>
  <c r="C2" i="19"/>
  <c r="C25" i="19" s="1"/>
  <c r="C38" i="19" s="1"/>
  <c r="B4" i="19"/>
  <c r="B5" i="19" s="1"/>
  <c r="B3" i="19"/>
  <c r="B2" i="19"/>
  <c r="C4" i="18"/>
  <c r="C5" i="18" s="1"/>
  <c r="C3" i="18"/>
  <c r="C2" i="18"/>
  <c r="K24" i="18" s="1"/>
  <c r="B4" i="18"/>
  <c r="B3" i="18"/>
  <c r="B6" i="18" s="1"/>
  <c r="B2" i="18"/>
  <c r="H24" i="18" s="1"/>
  <c r="C6" i="18"/>
  <c r="H23" i="18"/>
  <c r="H11" i="18"/>
  <c r="L20" i="18"/>
  <c r="L12" i="18"/>
  <c r="J14" i="18"/>
  <c r="K23" i="18"/>
  <c r="K19" i="18"/>
  <c r="M24" i="18"/>
  <c r="M20" i="18"/>
  <c r="I12" i="18"/>
  <c r="K12" i="18"/>
  <c r="M23" i="18"/>
  <c r="M19" i="18"/>
  <c r="I23" i="18"/>
  <c r="C20" i="19"/>
  <c r="C19" i="19"/>
  <c r="G23" i="18"/>
  <c r="G19" i="18"/>
  <c r="E9" i="18"/>
  <c r="G10" i="18"/>
  <c r="E22" i="18"/>
  <c r="E10" i="18"/>
  <c r="F21" i="18"/>
  <c r="F9" i="18"/>
  <c r="D21" i="18"/>
  <c r="F10" i="18"/>
  <c r="D20" i="18"/>
  <c r="C20" i="18"/>
  <c r="C24" i="18"/>
  <c r="C10" i="18"/>
  <c r="C14" i="18"/>
  <c r="C5" i="19"/>
  <c r="B4" i="21"/>
  <c r="B22" i="21" s="1"/>
  <c r="C11" i="21"/>
  <c r="B3" i="21"/>
  <c r="C12" i="21"/>
  <c r="C3" i="21"/>
  <c r="C5" i="21" s="1"/>
  <c r="C20" i="21"/>
  <c r="B2" i="21"/>
  <c r="D3" i="21"/>
  <c r="C10" i="21"/>
  <c r="C27" i="21"/>
  <c r="C40" i="21" s="1"/>
  <c r="B12" i="21"/>
  <c r="C18" i="21"/>
  <c r="C37" i="21" s="1"/>
  <c r="B24" i="21"/>
  <c r="B21" i="21"/>
  <c r="B11" i="21"/>
  <c r="B9" i="21"/>
  <c r="C22" i="21"/>
  <c r="E37" i="18"/>
  <c r="I25" i="18"/>
  <c r="G18" i="23"/>
  <c r="G37" i="23" s="1"/>
  <c r="M18" i="23"/>
  <c r="M37" i="23" s="1"/>
  <c r="K18" i="23"/>
  <c r="K37" i="23" s="1"/>
  <c r="D18" i="23"/>
  <c r="D37" i="23"/>
  <c r="L37" i="18"/>
  <c r="L18" i="23"/>
  <c r="L37" i="23" s="1"/>
  <c r="J18" i="23"/>
  <c r="J37" i="23"/>
  <c r="H18" i="23"/>
  <c r="H37" i="23" s="1"/>
  <c r="L25" i="23"/>
  <c r="L38" i="23" s="1"/>
  <c r="D15" i="18"/>
  <c r="D36" i="18" s="1"/>
  <c r="K25" i="23"/>
  <c r="K38" i="23" s="1"/>
  <c r="I25" i="23"/>
  <c r="I38" i="23" s="1"/>
  <c r="G25" i="23"/>
  <c r="D25" i="23"/>
  <c r="D38" i="23" s="1"/>
  <c r="J25" i="23"/>
  <c r="C25" i="18"/>
  <c r="C38" i="18" s="1"/>
  <c r="C25" i="23"/>
  <c r="C38" i="23" s="1"/>
  <c r="H25" i="18"/>
  <c r="H38" i="18" s="1"/>
  <c r="H25" i="23"/>
  <c r="M25" i="18"/>
  <c r="M38" i="18" s="1"/>
  <c r="L25" i="18"/>
  <c r="K25" i="18"/>
  <c r="I38" i="18"/>
  <c r="G25" i="18"/>
  <c r="G38" i="18" s="1"/>
  <c r="F25" i="18"/>
  <c r="F38" i="18" s="1"/>
  <c r="D25" i="18"/>
  <c r="D38" i="18" s="1"/>
  <c r="J38" i="23"/>
  <c r="K38" i="18"/>
  <c r="D18" i="20"/>
  <c r="D18" i="19"/>
  <c r="D37" i="19" s="1"/>
  <c r="E18" i="19"/>
  <c r="E37" i="19" s="1"/>
  <c r="E18" i="20"/>
  <c r="E35" i="20" s="1"/>
  <c r="B18" i="20"/>
  <c r="F18" i="20"/>
  <c r="F35" i="20" s="1"/>
  <c r="F18" i="19"/>
  <c r="F37" i="19" s="1"/>
  <c r="G18" i="19"/>
  <c r="G37" i="19" s="1"/>
  <c r="G18" i="20"/>
  <c r="G35" i="20"/>
  <c r="I18" i="20"/>
  <c r="I35" i="20" s="1"/>
  <c r="I18" i="19"/>
  <c r="I37" i="19" s="1"/>
  <c r="H18" i="20"/>
  <c r="H35" i="20" s="1"/>
  <c r="H18" i="19"/>
  <c r="H37" i="19" s="1"/>
  <c r="E25" i="20"/>
  <c r="E36" i="20" s="1"/>
  <c r="F25" i="20"/>
  <c r="I25" i="19"/>
  <c r="I38" i="19" s="1"/>
  <c r="I25" i="20"/>
  <c r="I36" i="20" s="1"/>
  <c r="H25" i="20"/>
  <c r="H36" i="20" s="1"/>
  <c r="G25" i="19"/>
  <c r="G38" i="19" s="1"/>
  <c r="G25" i="20"/>
  <c r="B25" i="20"/>
  <c r="F36" i="20"/>
  <c r="G36" i="20"/>
  <c r="E23" i="18"/>
  <c r="E25" i="18"/>
  <c r="E38" i="18" s="1"/>
  <c r="B20" i="21"/>
  <c r="G4" i="21"/>
  <c r="G24" i="21" s="1"/>
  <c r="F4" i="21"/>
  <c r="F27" i="21" s="1"/>
  <c r="H4" i="21"/>
  <c r="H5" i="21" s="1"/>
  <c r="E4" i="21"/>
  <c r="E17" i="21" s="1"/>
  <c r="I4" i="21"/>
  <c r="H22" i="21"/>
  <c r="H21" i="21"/>
  <c r="H24" i="21"/>
  <c r="I22" i="21"/>
  <c r="I12" i="21"/>
  <c r="I21" i="21"/>
  <c r="I5" i="21"/>
  <c r="J4" i="21"/>
  <c r="J12" i="21"/>
  <c r="J9" i="21"/>
  <c r="J24" i="21"/>
  <c r="J32" i="21" s="1"/>
  <c r="J14" i="21"/>
  <c r="J22" i="21"/>
  <c r="J17" i="21"/>
  <c r="J21" i="21"/>
  <c r="J11" i="21"/>
  <c r="J20" i="21"/>
  <c r="J5" i="21"/>
  <c r="J18" i="21"/>
  <c r="J37" i="21" s="1"/>
  <c r="M4" i="21"/>
  <c r="K4" i="21"/>
  <c r="K13" i="21" s="1"/>
  <c r="L4" i="21"/>
  <c r="L20" i="21" s="1"/>
  <c r="K11" i="21"/>
  <c r="K5" i="21"/>
  <c r="K27" i="21"/>
  <c r="K40" i="21" s="1"/>
  <c r="K9" i="21"/>
  <c r="K10" i="21"/>
  <c r="K21" i="21"/>
  <c r="K18" i="21"/>
  <c r="K37" i="21"/>
  <c r="M14" i="21"/>
  <c r="M21" i="21"/>
  <c r="M22" i="21"/>
  <c r="B17" i="21"/>
  <c r="B27" i="21"/>
  <c r="B40" i="21"/>
  <c r="B7" i="18"/>
  <c r="B15" i="23"/>
  <c r="B36" i="23" s="1"/>
  <c r="B33" i="20"/>
  <c r="B35" i="21"/>
  <c r="B15" i="20"/>
  <c r="D15" i="20"/>
  <c r="D7" i="19"/>
  <c r="D8" i="19" s="1"/>
  <c r="B26" i="20"/>
  <c r="B26" i="19"/>
  <c r="B39" i="19" s="1"/>
  <c r="C33" i="20"/>
  <c r="C7" i="19"/>
  <c r="C35" i="19" s="1"/>
  <c r="D35" i="19"/>
  <c r="B28" i="20"/>
  <c r="B28" i="19"/>
  <c r="E33" i="20"/>
  <c r="E7" i="19"/>
  <c r="E15" i="20"/>
  <c r="E34" i="20" s="1"/>
  <c r="C8" i="19"/>
  <c r="D26" i="20"/>
  <c r="E26" i="19"/>
  <c r="E39" i="19" s="1"/>
  <c r="D26" i="19"/>
  <c r="D39" i="19"/>
  <c r="E35" i="19"/>
  <c r="E8" i="19"/>
  <c r="D28" i="19"/>
  <c r="E26" i="20"/>
  <c r="E37" i="20" s="1"/>
  <c r="E28" i="19"/>
  <c r="E41" i="19"/>
  <c r="C28" i="19"/>
  <c r="C28" i="20"/>
  <c r="E28" i="20"/>
  <c r="E39" i="20" s="1"/>
  <c r="F15" i="20"/>
  <c r="F34" i="20" s="1"/>
  <c r="F33" i="20"/>
  <c r="G33" i="20"/>
  <c r="G15" i="20"/>
  <c r="G34" i="20" s="1"/>
  <c r="G26" i="20"/>
  <c r="G37" i="20" s="1"/>
  <c r="F26" i="20"/>
  <c r="F37" i="20"/>
  <c r="F26" i="19"/>
  <c r="F39" i="19" s="1"/>
  <c r="H15" i="20"/>
  <c r="H34" i="20" s="1"/>
  <c r="H33" i="20"/>
  <c r="F28" i="20"/>
  <c r="F39" i="20" s="1"/>
  <c r="G26" i="19"/>
  <c r="G39" i="19" s="1"/>
  <c r="H26" i="20"/>
  <c r="H37" i="20"/>
  <c r="G28" i="19"/>
  <c r="G41" i="19" s="1"/>
  <c r="G28" i="20"/>
  <c r="G39" i="20" s="1"/>
  <c r="I15" i="20"/>
  <c r="I34" i="20"/>
  <c r="I33" i="20"/>
  <c r="H28" i="20"/>
  <c r="H39" i="20" s="1"/>
  <c r="H28" i="19"/>
  <c r="H41" i="19" s="1"/>
  <c r="J15" i="20"/>
  <c r="J34" i="20" s="1"/>
  <c r="J33" i="20"/>
  <c r="J35" i="21"/>
  <c r="I26" i="19"/>
  <c r="I39" i="19"/>
  <c r="I26" i="20"/>
  <c r="I37" i="20" s="1"/>
  <c r="K15" i="20"/>
  <c r="K34" i="20" s="1"/>
  <c r="K33" i="20"/>
  <c r="J28" i="20"/>
  <c r="J39" i="20" s="1"/>
  <c r="J26" i="20"/>
  <c r="J37" i="20" s="1"/>
  <c r="J26" i="19"/>
  <c r="J39" i="19" s="1"/>
  <c r="I28" i="20"/>
  <c r="I39" i="20" s="1"/>
  <c r="I28" i="19"/>
  <c r="I41" i="19"/>
  <c r="M15" i="20"/>
  <c r="M34" i="20"/>
  <c r="K26" i="20"/>
  <c r="K37" i="20" s="1"/>
  <c r="L33" i="20"/>
  <c r="M35" i="21"/>
  <c r="M33" i="20"/>
  <c r="L15" i="20"/>
  <c r="L34" i="20" s="1"/>
  <c r="K26" i="19"/>
  <c r="K39" i="19" s="1"/>
  <c r="L26" i="20"/>
  <c r="L37" i="20"/>
  <c r="L26" i="19"/>
  <c r="L39" i="19" s="1"/>
  <c r="K28" i="20"/>
  <c r="K39" i="20" s="1"/>
  <c r="K28" i="19"/>
  <c r="K41" i="19" s="1"/>
  <c r="M26" i="19"/>
  <c r="M39" i="19" s="1"/>
  <c r="M26" i="20"/>
  <c r="M37" i="20" s="1"/>
  <c r="L28" i="20"/>
  <c r="L39" i="20" s="1"/>
  <c r="L28" i="19"/>
  <c r="L41" i="19" s="1"/>
  <c r="M28" i="19"/>
  <c r="M41" i="19"/>
  <c r="M28" i="20"/>
  <c r="M39" i="20" s="1"/>
  <c r="C19" i="21"/>
  <c r="B19" i="21"/>
  <c r="I19" i="21"/>
  <c r="H19" i="21"/>
  <c r="D19" i="21"/>
  <c r="K19" i="21"/>
  <c r="J19" i="21"/>
  <c r="K23" i="21"/>
  <c r="B23" i="21"/>
  <c r="B32" i="21" s="1"/>
  <c r="D23" i="21"/>
  <c r="I23" i="21"/>
  <c r="J23" i="21"/>
  <c r="C23" i="21"/>
  <c r="H23" i="21"/>
  <c r="G25" i="21"/>
  <c r="G38" i="21" s="1"/>
  <c r="D25" i="21"/>
  <c r="D38" i="21" s="1"/>
  <c r="J25" i="21"/>
  <c r="C25" i="21"/>
  <c r="H25" i="21"/>
  <c r="K25" i="21"/>
  <c r="K38" i="21" s="1"/>
  <c r="J38" i="21"/>
  <c r="C38" i="21"/>
  <c r="B15" i="21"/>
  <c r="B36" i="21" s="1"/>
  <c r="D15" i="23"/>
  <c r="D36" i="23"/>
  <c r="C7" i="18"/>
  <c r="C15" i="23"/>
  <c r="C36" i="23" s="1"/>
  <c r="E7" i="18"/>
  <c r="D7" i="18"/>
  <c r="C15" i="21"/>
  <c r="C36" i="21" s="1"/>
  <c r="E8" i="18"/>
  <c r="D15" i="21"/>
  <c r="D36" i="21" s="1"/>
  <c r="C8" i="18"/>
  <c r="D8" i="18"/>
  <c r="E26" i="18"/>
  <c r="D26" i="18"/>
  <c r="D39" i="18" s="1"/>
  <c r="D26" i="23"/>
  <c r="D39" i="23"/>
  <c r="C26" i="18"/>
  <c r="C39" i="18" s="1"/>
  <c r="C26" i="23"/>
  <c r="C39" i="23" s="1"/>
  <c r="D26" i="21"/>
  <c r="D39" i="21" s="1"/>
  <c r="C28" i="23"/>
  <c r="C41" i="23" s="1"/>
  <c r="C28" i="18"/>
  <c r="C41" i="18"/>
  <c r="E28" i="18"/>
  <c r="F15" i="23"/>
  <c r="F36" i="23" s="1"/>
  <c r="F7" i="18"/>
  <c r="F35" i="18"/>
  <c r="C26" i="21"/>
  <c r="C39" i="21" s="1"/>
  <c r="D28" i="23"/>
  <c r="D41" i="23"/>
  <c r="D28" i="18"/>
  <c r="D41" i="18" s="1"/>
  <c r="D28" i="21"/>
  <c r="D41" i="21" s="1"/>
  <c r="G7" i="18"/>
  <c r="G35" i="18"/>
  <c r="G15" i="23"/>
  <c r="G36" i="23" s="1"/>
  <c r="C28" i="21"/>
  <c r="C41" i="21"/>
  <c r="F8" i="18"/>
  <c r="H7" i="18"/>
  <c r="H35" i="18" s="1"/>
  <c r="H15" i="23"/>
  <c r="H36" i="23" s="1"/>
  <c r="G8" i="18"/>
  <c r="F26" i="18"/>
  <c r="F39" i="18" s="1"/>
  <c r="F26" i="23"/>
  <c r="F39" i="23" s="1"/>
  <c r="G26" i="18"/>
  <c r="G39" i="18"/>
  <c r="G26" i="23"/>
  <c r="G39" i="23" s="1"/>
  <c r="I15" i="23"/>
  <c r="I36" i="23"/>
  <c r="I7" i="18"/>
  <c r="I35" i="18" s="1"/>
  <c r="F28" i="18"/>
  <c r="F41" i="18" s="1"/>
  <c r="F28" i="23"/>
  <c r="F41" i="23"/>
  <c r="H15" i="21"/>
  <c r="H36" i="21" s="1"/>
  <c r="H8" i="18"/>
  <c r="H26" i="23"/>
  <c r="H39" i="23"/>
  <c r="H26" i="18"/>
  <c r="H39" i="18" s="1"/>
  <c r="J7" i="18"/>
  <c r="J35" i="18" s="1"/>
  <c r="J15" i="23"/>
  <c r="J36" i="23" s="1"/>
  <c r="I15" i="21"/>
  <c r="I36" i="21"/>
  <c r="G28" i="23"/>
  <c r="G41" i="23" s="1"/>
  <c r="G28" i="18"/>
  <c r="G41" i="18" s="1"/>
  <c r="I8" i="18"/>
  <c r="H26" i="21"/>
  <c r="H39" i="21" s="1"/>
  <c r="G28" i="21"/>
  <c r="G41" i="21" s="1"/>
  <c r="K15" i="23"/>
  <c r="K36" i="23"/>
  <c r="K7" i="18"/>
  <c r="K35" i="18" s="1"/>
  <c r="I26" i="23"/>
  <c r="I39" i="23" s="1"/>
  <c r="I26" i="18"/>
  <c r="I39" i="18" s="1"/>
  <c r="H28" i="23"/>
  <c r="H41" i="23" s="1"/>
  <c r="H28" i="18"/>
  <c r="H41" i="18" s="1"/>
  <c r="J15" i="21"/>
  <c r="J36" i="21" s="1"/>
  <c r="J8" i="18"/>
  <c r="H28" i="21"/>
  <c r="H41" i="21" s="1"/>
  <c r="I26" i="21"/>
  <c r="I39" i="21" s="1"/>
  <c r="K15" i="21"/>
  <c r="K36" i="21"/>
  <c r="M15" i="23"/>
  <c r="M36" i="23" s="1"/>
  <c r="M7" i="18"/>
  <c r="M35" i="18"/>
  <c r="J26" i="23"/>
  <c r="J39" i="23" s="1"/>
  <c r="J26" i="18"/>
  <c r="J39" i="18"/>
  <c r="L7" i="18"/>
  <c r="L35" i="18"/>
  <c r="L15" i="23"/>
  <c r="L36" i="23" s="1"/>
  <c r="I28" i="23"/>
  <c r="I41" i="23" s="1"/>
  <c r="I28" i="18"/>
  <c r="I41" i="18" s="1"/>
  <c r="K8" i="18"/>
  <c r="J26" i="21"/>
  <c r="J39" i="21" s="1"/>
  <c r="K26" i="23"/>
  <c r="K39" i="23" s="1"/>
  <c r="K26" i="18"/>
  <c r="K39" i="18" s="1"/>
  <c r="L8" i="18"/>
  <c r="J28" i="21"/>
  <c r="J41" i="21"/>
  <c r="M8" i="18"/>
  <c r="I28" i="21"/>
  <c r="I41" i="21" s="1"/>
  <c r="J28" i="18"/>
  <c r="J41" i="18" s="1"/>
  <c r="J28" i="23"/>
  <c r="J41" i="23" s="1"/>
  <c r="K26" i="21"/>
  <c r="K39" i="21" s="1"/>
  <c r="K28" i="18"/>
  <c r="K41" i="18" s="1"/>
  <c r="K28" i="23"/>
  <c r="K41" i="23" s="1"/>
  <c r="M26" i="18"/>
  <c r="M39" i="18"/>
  <c r="M26" i="23"/>
  <c r="M39" i="23" s="1"/>
  <c r="L26" i="23"/>
  <c r="L39" i="23" s="1"/>
  <c r="L26" i="18"/>
  <c r="L39" i="18" s="1"/>
  <c r="K28" i="21"/>
  <c r="K41" i="21" s="1"/>
  <c r="M26" i="21"/>
  <c r="M39" i="21" s="1"/>
  <c r="L28" i="23"/>
  <c r="L41" i="23" s="1"/>
  <c r="L28" i="18"/>
  <c r="L41" i="18"/>
  <c r="M28" i="23"/>
  <c r="M41" i="23" s="1"/>
  <c r="M28" i="18"/>
  <c r="M41" i="18" s="1"/>
  <c r="M28" i="21"/>
  <c r="M41" i="21" s="1"/>
  <c r="B16" i="23"/>
  <c r="B16" i="18"/>
  <c r="B18" i="18" s="1"/>
  <c r="B37" i="18" s="1"/>
  <c r="B16" i="21"/>
  <c r="B18" i="23"/>
  <c r="B37" i="23" s="1"/>
  <c r="B25" i="18"/>
  <c r="B38" i="18" s="1"/>
  <c r="B18" i="21"/>
  <c r="B37" i="21"/>
  <c r="B25" i="23"/>
  <c r="B38" i="23"/>
  <c r="B26" i="18"/>
  <c r="B39" i="18" s="1"/>
  <c r="B26" i="23"/>
  <c r="B39" i="23" s="1"/>
  <c r="B25" i="21"/>
  <c r="B31" i="21" s="1"/>
  <c r="B28" i="18"/>
  <c r="B41" i="18" s="1"/>
  <c r="B28" i="23"/>
  <c r="B41" i="23" s="1"/>
  <c r="B26" i="21"/>
  <c r="B39" i="21" s="1"/>
  <c r="B28" i="21"/>
  <c r="B41" i="21"/>
  <c r="K18" i="51"/>
  <c r="K83" i="51" s="1"/>
  <c r="J18" i="51"/>
  <c r="J82" i="51" s="1"/>
  <c r="I18" i="51"/>
  <c r="I81" i="51" s="1"/>
  <c r="N24" i="51"/>
  <c r="F18" i="51"/>
  <c r="F78" i="51" s="1"/>
  <c r="G78" i="51" s="1"/>
  <c r="N21" i="51"/>
  <c r="N30" i="51"/>
  <c r="N27" i="51"/>
  <c r="K5" i="51"/>
  <c r="G5" i="51"/>
  <c r="I73" i="54"/>
  <c r="J73" i="54" s="1"/>
  <c r="K73" i="54" s="1"/>
  <c r="D68" i="54"/>
  <c r="E68" i="54" s="1"/>
  <c r="F68" i="54" s="1"/>
  <c r="G68" i="54" s="1"/>
  <c r="C53" i="54"/>
  <c r="D53" i="54" s="1"/>
  <c r="E53" i="54" s="1"/>
  <c r="F53" i="54" s="1"/>
  <c r="C52" i="54"/>
  <c r="B51" i="54"/>
  <c r="B31" i="54" s="1"/>
  <c r="B28" i="54" s="1"/>
  <c r="B66" i="53"/>
  <c r="C66" i="53" s="1"/>
  <c r="C65" i="53" s="1"/>
  <c r="L18" i="51"/>
  <c r="L84" i="51" s="1"/>
  <c r="E18" i="51"/>
  <c r="E77" i="51" s="1"/>
  <c r="G18" i="51"/>
  <c r="M18" i="51"/>
  <c r="M85" i="51" s="1"/>
  <c r="N85" i="51" s="1"/>
  <c r="H18" i="51"/>
  <c r="H80" i="51" s="1"/>
  <c r="C18" i="51"/>
  <c r="C75" i="51" s="1"/>
  <c r="D75" i="51" s="1"/>
  <c r="E75" i="51" s="1"/>
  <c r="F75" i="51" s="1"/>
  <c r="C62" i="47"/>
  <c r="D62" i="47" s="1"/>
  <c r="E62" i="47" s="1"/>
  <c r="F62" i="47" s="1"/>
  <c r="G62" i="47" s="1"/>
  <c r="H62" i="47" s="1"/>
  <c r="I62" i="47" s="1"/>
  <c r="J62" i="47" s="1"/>
  <c r="K62" i="47" s="1"/>
  <c r="L62" i="47" s="1"/>
  <c r="M62" i="47" s="1"/>
  <c r="C4" i="47"/>
  <c r="L5" i="51"/>
  <c r="M5" i="51"/>
  <c r="M4" i="51" s="1"/>
  <c r="I5" i="51"/>
  <c r="E5" i="51"/>
  <c r="E4" i="51" s="1"/>
  <c r="K4" i="53"/>
  <c r="J4" i="53"/>
  <c r="B38" i="53"/>
  <c r="C38" i="53" s="1"/>
  <c r="B4" i="53"/>
  <c r="D40" i="53"/>
  <c r="E40" i="53" s="1"/>
  <c r="F40" i="53" s="1"/>
  <c r="L48" i="53"/>
  <c r="M48" i="53" s="1"/>
  <c r="L4" i="53"/>
  <c r="E41" i="53"/>
  <c r="E4" i="53"/>
  <c r="H44" i="53"/>
  <c r="I45" i="53"/>
  <c r="J45" i="53" s="1"/>
  <c r="K45" i="53" s="1"/>
  <c r="L45" i="53" s="1"/>
  <c r="J46" i="54"/>
  <c r="C39" i="54"/>
  <c r="D39" i="54" s="1"/>
  <c r="E39" i="54" s="1"/>
  <c r="K47" i="54"/>
  <c r="L47" i="54" s="1"/>
  <c r="M47" i="54" s="1"/>
  <c r="N47" i="54" s="1"/>
  <c r="E18" i="39"/>
  <c r="F18" i="39" s="1"/>
  <c r="G18" i="39" s="1"/>
  <c r="H18" i="39" s="1"/>
  <c r="I18" i="39" s="1"/>
  <c r="J18" i="39" s="1"/>
  <c r="K18" i="39" s="1"/>
  <c r="L18" i="39" s="1"/>
  <c r="M18" i="39" s="1"/>
  <c r="N18" i="39" s="1"/>
  <c r="N9" i="44"/>
  <c r="D9" i="46"/>
  <c r="G79" i="51"/>
  <c r="H79" i="51" s="1"/>
  <c r="I44" i="53"/>
  <c r="J44" i="53" s="1"/>
  <c r="K44" i="53" s="1"/>
  <c r="F41" i="53"/>
  <c r="G41" i="53" s="1"/>
  <c r="K46" i="54"/>
  <c r="L46" i="54" s="1"/>
  <c r="N9" i="45"/>
  <c r="E9" i="46"/>
  <c r="F9" i="46"/>
  <c r="G9" i="46"/>
  <c r="H9" i="46"/>
  <c r="I9" i="46"/>
  <c r="J9" i="46"/>
  <c r="K9" i="46"/>
  <c r="L9" i="46"/>
  <c r="M9" i="46"/>
  <c r="N9" i="3"/>
  <c r="P9" i="3" s="1"/>
  <c r="Q9" i="3" s="1"/>
  <c r="C17" i="39"/>
  <c r="D22" i="44"/>
  <c r="N21" i="39"/>
  <c r="J22" i="44"/>
  <c r="B17" i="39"/>
  <c r="B31" i="51"/>
  <c r="B88" i="51" s="1"/>
  <c r="K31" i="51"/>
  <c r="K4" i="51" s="1"/>
  <c r="G31" i="51"/>
  <c r="D31" i="51"/>
  <c r="H31" i="51"/>
  <c r="F31" i="51"/>
  <c r="I31" i="51"/>
  <c r="I4" i="51" s="1"/>
  <c r="M31" i="51"/>
  <c r="E31" i="51"/>
  <c r="J31" i="51"/>
  <c r="L31" i="51"/>
  <c r="C31" i="51"/>
  <c r="G4" i="51"/>
  <c r="H4" i="47" l="1"/>
  <c r="N21" i="47"/>
  <c r="N14" i="47"/>
  <c r="O42" i="45"/>
  <c r="O39" i="45"/>
  <c r="O30" i="44"/>
  <c r="B17" i="28"/>
  <c r="B16" i="28" s="1"/>
  <c r="B17" i="74"/>
  <c r="B14" i="74"/>
  <c r="C17" i="28"/>
  <c r="C16" i="28" s="1"/>
  <c r="C17" i="74"/>
  <c r="C16" i="74" s="1"/>
  <c r="C14" i="74"/>
  <c r="D17" i="28"/>
  <c r="D16" i="28" s="1"/>
  <c r="D14" i="74"/>
  <c r="D17" i="74"/>
  <c r="D16" i="74" s="1"/>
  <c r="E17" i="28"/>
  <c r="E16" i="28" s="1"/>
  <c r="E17" i="74"/>
  <c r="E16" i="74" s="1"/>
  <c r="E14" i="74"/>
  <c r="E13" i="74" s="1"/>
  <c r="F17" i="28"/>
  <c r="F16" i="28" s="1"/>
  <c r="F14" i="74"/>
  <c r="F13" i="74" s="1"/>
  <c r="F17" i="74"/>
  <c r="F16" i="74" s="1"/>
  <c r="G17" i="28"/>
  <c r="G16" i="28" s="1"/>
  <c r="G14" i="74"/>
  <c r="G13" i="74" s="1"/>
  <c r="G17" i="74"/>
  <c r="G16" i="74" s="1"/>
  <c r="H17" i="28"/>
  <c r="H16" i="28" s="1"/>
  <c r="H14" i="74"/>
  <c r="H13" i="74" s="1"/>
  <c r="H17" i="74"/>
  <c r="H16" i="74" s="1"/>
  <c r="J17" i="28"/>
  <c r="J16" i="28" s="1"/>
  <c r="J17" i="74"/>
  <c r="J16" i="74" s="1"/>
  <c r="J14" i="74"/>
  <c r="J13" i="74" s="1"/>
  <c r="K17" i="28"/>
  <c r="K16" i="28" s="1"/>
  <c r="K14" i="74"/>
  <c r="K13" i="74" s="1"/>
  <c r="K17" i="74"/>
  <c r="K16" i="74" s="1"/>
  <c r="L17" i="28"/>
  <c r="L16" i="28" s="1"/>
  <c r="L17" i="74"/>
  <c r="L16" i="74" s="1"/>
  <c r="L14" i="74"/>
  <c r="L13" i="74" s="1"/>
  <c r="M17" i="28"/>
  <c r="M16" i="28" s="1"/>
  <c r="M17" i="74"/>
  <c r="M16" i="74" s="1"/>
  <c r="M14" i="74"/>
  <c r="M13" i="74" s="1"/>
  <c r="I17" i="28"/>
  <c r="I16" i="28" s="1"/>
  <c r="I17" i="74"/>
  <c r="I16" i="74" s="1"/>
  <c r="I14" i="74"/>
  <c r="I13" i="74" s="1"/>
  <c r="B14" i="40"/>
  <c r="B13" i="40" s="1"/>
  <c r="J14" i="40"/>
  <c r="F14" i="40"/>
  <c r="H14" i="40"/>
  <c r="I14" i="40"/>
  <c r="D80" i="67"/>
  <c r="B65" i="53"/>
  <c r="B35" i="53" s="1"/>
  <c r="E15" i="21"/>
  <c r="E36" i="21" s="1"/>
  <c r="C31" i="21"/>
  <c r="E19" i="21"/>
  <c r="K35" i="21"/>
  <c r="C26" i="19"/>
  <c r="C39" i="19" s="1"/>
  <c r="J6" i="21"/>
  <c r="J34" i="21" s="1"/>
  <c r="J13" i="21"/>
  <c r="J16" i="21"/>
  <c r="J10" i="21"/>
  <c r="H16" i="21"/>
  <c r="H11" i="21"/>
  <c r="G22" i="21"/>
  <c r="G14" i="18"/>
  <c r="C21" i="19"/>
  <c r="D20" i="19"/>
  <c r="D23" i="19"/>
  <c r="D22" i="19"/>
  <c r="D17" i="19"/>
  <c r="D19" i="19"/>
  <c r="E32" i="20"/>
  <c r="M8" i="20"/>
  <c r="K6" i="18"/>
  <c r="K34" i="18"/>
  <c r="R9" i="46"/>
  <c r="G26" i="21"/>
  <c r="G39" i="21" s="1"/>
  <c r="H20" i="21"/>
  <c r="H32" i="21" s="1"/>
  <c r="H14" i="21"/>
  <c r="G21" i="21"/>
  <c r="C22" i="19"/>
  <c r="K11" i="18"/>
  <c r="I24" i="18"/>
  <c r="K20" i="18"/>
  <c r="M11" i="18"/>
  <c r="G11" i="18"/>
  <c r="G22" i="18"/>
  <c r="E14" i="18"/>
  <c r="C23" i="18"/>
  <c r="C15" i="18"/>
  <c r="C36" i="18" s="1"/>
  <c r="K9" i="18"/>
  <c r="I22" i="18"/>
  <c r="K14" i="18"/>
  <c r="M9" i="18"/>
  <c r="G9" i="18"/>
  <c r="G20" i="18"/>
  <c r="E12" i="18"/>
  <c r="C19" i="18"/>
  <c r="M22" i="18"/>
  <c r="I14" i="18"/>
  <c r="K10" i="18"/>
  <c r="I21" i="18"/>
  <c r="C21" i="18"/>
  <c r="E19" i="18"/>
  <c r="G12" i="18"/>
  <c r="C11" i="18"/>
  <c r="C9" i="18"/>
  <c r="C22" i="18"/>
  <c r="K21" i="18"/>
  <c r="K32" i="18" s="1"/>
  <c r="M14" i="18"/>
  <c r="I10" i="18"/>
  <c r="M21" i="18"/>
  <c r="I13" i="18"/>
  <c r="G21" i="18"/>
  <c r="E11" i="18"/>
  <c r="E24" i="18"/>
  <c r="E32" i="18" s="1"/>
  <c r="C12" i="18"/>
  <c r="C16" i="18"/>
  <c r="C18" i="18" s="1"/>
  <c r="C37" i="18" s="1"/>
  <c r="K13" i="18"/>
  <c r="M10" i="18"/>
  <c r="K22" i="18"/>
  <c r="M13" i="18"/>
  <c r="I9" i="18"/>
  <c r="G13" i="18"/>
  <c r="G24" i="18"/>
  <c r="E20" i="18"/>
  <c r="C27" i="18"/>
  <c r="C17" i="18"/>
  <c r="H35" i="21"/>
  <c r="K16" i="21"/>
  <c r="K17" i="21"/>
  <c r="K24" i="21"/>
  <c r="K14" i="21"/>
  <c r="K12" i="21"/>
  <c r="H9" i="21"/>
  <c r="H6" i="21"/>
  <c r="G11" i="21"/>
  <c r="C13" i="18"/>
  <c r="E13" i="18"/>
  <c r="I11" i="18"/>
  <c r="I20" i="18"/>
  <c r="D9" i="21"/>
  <c r="D16" i="21"/>
  <c r="D35" i="21"/>
  <c r="D21" i="21"/>
  <c r="D32" i="21" s="1"/>
  <c r="D27" i="21"/>
  <c r="D17" i="21"/>
  <c r="D6" i="21"/>
  <c r="D11" i="21"/>
  <c r="D5" i="21"/>
  <c r="D12" i="21"/>
  <c r="D13" i="21"/>
  <c r="D40" i="18"/>
  <c r="D31" i="18"/>
  <c r="M34" i="19"/>
  <c r="M8" i="19"/>
  <c r="I34" i="18"/>
  <c r="I6" i="18"/>
  <c r="E26" i="21"/>
  <c r="E39" i="21" s="1"/>
  <c r="L26" i="21"/>
  <c r="L39" i="21" s="1"/>
  <c r="G15" i="21"/>
  <c r="G36" i="21" s="1"/>
  <c r="K31" i="21"/>
  <c r="E25" i="21"/>
  <c r="E38" i="21" s="1"/>
  <c r="G23" i="21"/>
  <c r="G19" i="21"/>
  <c r="K20" i="21"/>
  <c r="M11" i="21"/>
  <c r="M20" i="21"/>
  <c r="J27" i="21"/>
  <c r="I6" i="21"/>
  <c r="I20" i="21"/>
  <c r="K31" i="18"/>
  <c r="L31" i="23"/>
  <c r="B5" i="18"/>
  <c r="E21" i="18"/>
  <c r="I19" i="18"/>
  <c r="I32" i="18" s="1"/>
  <c r="M12" i="18"/>
  <c r="D10" i="21"/>
  <c r="C13" i="21"/>
  <c r="C17" i="21"/>
  <c r="C16" i="21"/>
  <c r="C21" i="21"/>
  <c r="C6" i="21"/>
  <c r="C24" i="21"/>
  <c r="C35" i="21"/>
  <c r="C9" i="21"/>
  <c r="C14" i="21"/>
  <c r="L5" i="20"/>
  <c r="C11" i="23"/>
  <c r="E5" i="21"/>
  <c r="H10" i="21"/>
  <c r="H12" i="21"/>
  <c r="H27" i="21"/>
  <c r="H40" i="21" s="1"/>
  <c r="H17" i="21"/>
  <c r="H18" i="21"/>
  <c r="H37" i="21" s="1"/>
  <c r="K8" i="19"/>
  <c r="K34" i="19"/>
  <c r="H13" i="21"/>
  <c r="G31" i="23"/>
  <c r="G38" i="23"/>
  <c r="L21" i="20"/>
  <c r="L20" i="20"/>
  <c r="L16" i="20"/>
  <c r="L13" i="20"/>
  <c r="L18" i="20"/>
  <c r="L35" i="20" s="1"/>
  <c r="L27" i="20"/>
  <c r="L38" i="20" s="1"/>
  <c r="L25" i="20"/>
  <c r="L36" i="20" s="1"/>
  <c r="L10" i="20"/>
  <c r="L6" i="20"/>
  <c r="L32" i="20" s="1"/>
  <c r="M40" i="18"/>
  <c r="M31" i="18"/>
  <c r="K20" i="39"/>
  <c r="L20" i="39" s="1"/>
  <c r="M20" i="39" s="1"/>
  <c r="E10" i="21"/>
  <c r="E11" i="21"/>
  <c r="E16" i="21"/>
  <c r="E6" i="21"/>
  <c r="G20" i="21"/>
  <c r="G27" i="21"/>
  <c r="G5" i="21"/>
  <c r="G16" i="21"/>
  <c r="I5" i="23"/>
  <c r="I16" i="23"/>
  <c r="I24" i="23"/>
  <c r="I11" i="23"/>
  <c r="I10" i="23"/>
  <c r="I21" i="23"/>
  <c r="I18" i="23"/>
  <c r="I37" i="23" s="1"/>
  <c r="I9" i="23"/>
  <c r="C16" i="23"/>
  <c r="C10" i="23"/>
  <c r="C24" i="23"/>
  <c r="C23" i="23"/>
  <c r="C19" i="23"/>
  <c r="C32" i="23" s="1"/>
  <c r="C14" i="23"/>
  <c r="C6" i="23"/>
  <c r="C27" i="23"/>
  <c r="C21" i="23"/>
  <c r="C18" i="23"/>
  <c r="C37" i="23" s="1"/>
  <c r="C5" i="23"/>
  <c r="C9" i="23"/>
  <c r="C17" i="23"/>
  <c r="C13" i="23"/>
  <c r="B38" i="21"/>
  <c r="G13" i="21"/>
  <c r="C17" i="19"/>
  <c r="C16" i="19"/>
  <c r="C27" i="19"/>
  <c r="C24" i="19"/>
  <c r="C10" i="19"/>
  <c r="C15" i="19"/>
  <c r="C36" i="19" s="1"/>
  <c r="C13" i="19"/>
  <c r="I14" i="23"/>
  <c r="L11" i="20"/>
  <c r="I8" i="19"/>
  <c r="I34" i="19"/>
  <c r="L14" i="19"/>
  <c r="L16" i="19"/>
  <c r="L17" i="19"/>
  <c r="L18" i="19"/>
  <c r="L37" i="19" s="1"/>
  <c r="L19" i="19"/>
  <c r="L20" i="19"/>
  <c r="L21" i="19"/>
  <c r="L27" i="19"/>
  <c r="L11" i="19"/>
  <c r="L24" i="19"/>
  <c r="L25" i="19"/>
  <c r="L38" i="19" s="1"/>
  <c r="L15" i="19"/>
  <c r="L36" i="19" s="1"/>
  <c r="L12" i="19"/>
  <c r="G14" i="19"/>
  <c r="M14" i="19"/>
  <c r="J13" i="20"/>
  <c r="J11" i="23"/>
  <c r="J17" i="23"/>
  <c r="D26" i="40"/>
  <c r="D23" i="40" s="1"/>
  <c r="D5" i="45"/>
  <c r="M43" i="39"/>
  <c r="I45" i="39"/>
  <c r="H24" i="45"/>
  <c r="E4" i="55"/>
  <c r="I4" i="56"/>
  <c r="D4" i="56"/>
  <c r="E26" i="40"/>
  <c r="E23" i="40" s="1"/>
  <c r="E5" i="45"/>
  <c r="G4" i="56"/>
  <c r="N8" i="51"/>
  <c r="B13" i="18"/>
  <c r="F11" i="18"/>
  <c r="J9" i="18"/>
  <c r="G20" i="19"/>
  <c r="E5" i="18"/>
  <c r="G5" i="18"/>
  <c r="J16" i="20"/>
  <c r="M5" i="19"/>
  <c r="H5" i="18"/>
  <c r="M22" i="23"/>
  <c r="J12" i="23"/>
  <c r="J27" i="23"/>
  <c r="F26" i="40"/>
  <c r="F23" i="40" s="1"/>
  <c r="F5" i="45"/>
  <c r="E43" i="39"/>
  <c r="H11" i="63"/>
  <c r="E19" i="39"/>
  <c r="E17" i="39" s="1"/>
  <c r="D22" i="3"/>
  <c r="D22" i="46" s="1"/>
  <c r="N14" i="51"/>
  <c r="G4" i="47"/>
  <c r="M49" i="53"/>
  <c r="N49" i="53" s="1"/>
  <c r="F4" i="53"/>
  <c r="B9" i="18"/>
  <c r="D22" i="18"/>
  <c r="J12" i="18"/>
  <c r="H13" i="18"/>
  <c r="G17" i="19"/>
  <c r="G22" i="20"/>
  <c r="H17" i="18"/>
  <c r="H5" i="23"/>
  <c r="H20" i="23"/>
  <c r="I14" i="20"/>
  <c r="I21" i="20"/>
  <c r="M18" i="19"/>
  <c r="M37" i="19" s="1"/>
  <c r="H27" i="23"/>
  <c r="H40" i="23" s="1"/>
  <c r="M27" i="19"/>
  <c r="M40" i="19" s="1"/>
  <c r="D12" i="23"/>
  <c r="D27" i="23"/>
  <c r="L6" i="23"/>
  <c r="L24" i="23"/>
  <c r="J6" i="23"/>
  <c r="J20" i="23"/>
  <c r="J19" i="23"/>
  <c r="L43" i="39"/>
  <c r="D24" i="45"/>
  <c r="L24" i="45"/>
  <c r="O30" i="46"/>
  <c r="H6" i="63"/>
  <c r="H7" i="63" s="1"/>
  <c r="N8" i="56"/>
  <c r="H5" i="51"/>
  <c r="H4" i="51" s="1"/>
  <c r="F5" i="51"/>
  <c r="N11" i="51"/>
  <c r="K4" i="47"/>
  <c r="D34" i="53"/>
  <c r="E34" i="53" s="1"/>
  <c r="F34" i="53" s="1"/>
  <c r="F22" i="18"/>
  <c r="J24" i="18"/>
  <c r="L19" i="18"/>
  <c r="G27" i="19"/>
  <c r="E23" i="20"/>
  <c r="G23" i="20"/>
  <c r="G6" i="20"/>
  <c r="G20" i="20"/>
  <c r="I6" i="20"/>
  <c r="H21" i="23"/>
  <c r="H13" i="23"/>
  <c r="J34" i="18"/>
  <c r="I23" i="20"/>
  <c r="I27" i="20"/>
  <c r="I38" i="20" s="1"/>
  <c r="H22" i="20"/>
  <c r="M13" i="20"/>
  <c r="I27" i="18"/>
  <c r="D19" i="23"/>
  <c r="B23" i="23"/>
  <c r="L13" i="23"/>
  <c r="J10" i="23"/>
  <c r="J21" i="23"/>
  <c r="J32" i="23" s="1"/>
  <c r="G6" i="23"/>
  <c r="H27" i="39"/>
  <c r="M45" i="39"/>
  <c r="L4" i="50"/>
  <c r="G4" i="55"/>
  <c r="E78" i="47"/>
  <c r="F78" i="47" s="1"/>
  <c r="G78" i="47" s="1"/>
  <c r="H78" i="47" s="1"/>
  <c r="I78" i="47" s="1"/>
  <c r="J78" i="47" s="1"/>
  <c r="K78" i="47" s="1"/>
  <c r="L78" i="47" s="1"/>
  <c r="M78" i="47" s="1"/>
  <c r="K4" i="54"/>
  <c r="B17" i="18"/>
  <c r="F24" i="18"/>
  <c r="G9" i="20"/>
  <c r="G27" i="20"/>
  <c r="G38" i="20" s="1"/>
  <c r="E5" i="20"/>
  <c r="M23" i="19"/>
  <c r="H19" i="23"/>
  <c r="I9" i="20"/>
  <c r="D6" i="23"/>
  <c r="D24" i="23"/>
  <c r="B20" i="23"/>
  <c r="L32" i="23"/>
  <c r="J9" i="23"/>
  <c r="C26" i="40"/>
  <c r="C5" i="45"/>
  <c r="E45" i="39"/>
  <c r="N5" i="55"/>
  <c r="D4" i="55"/>
  <c r="L4" i="55"/>
  <c r="N11" i="55"/>
  <c r="B4" i="50"/>
  <c r="C58" i="50"/>
  <c r="D58" i="50" s="1"/>
  <c r="E58" i="50" s="1"/>
  <c r="F58" i="50" s="1"/>
  <c r="G58" i="50" s="1"/>
  <c r="H58" i="50" s="1"/>
  <c r="I58" i="50" s="1"/>
  <c r="J58" i="50" s="1"/>
  <c r="K58" i="50" s="1"/>
  <c r="L58" i="50" s="1"/>
  <c r="M58" i="50" s="1"/>
  <c r="J4" i="50"/>
  <c r="N8" i="50"/>
  <c r="E4" i="50"/>
  <c r="I4" i="50"/>
  <c r="L4" i="51"/>
  <c r="D5" i="51"/>
  <c r="J4" i="51"/>
  <c r="B5" i="51"/>
  <c r="B60" i="51" s="1"/>
  <c r="G4" i="53"/>
  <c r="H4" i="53"/>
  <c r="N11" i="53"/>
  <c r="I4" i="53"/>
  <c r="C53" i="53"/>
  <c r="D53" i="53" s="1"/>
  <c r="N17" i="53"/>
  <c r="D4" i="53"/>
  <c r="N11" i="54"/>
  <c r="I4" i="54"/>
  <c r="N14" i="54"/>
  <c r="G43" i="54"/>
  <c r="H43" i="54" s="1"/>
  <c r="I43" i="54" s="1"/>
  <c r="G4" i="54"/>
  <c r="F4" i="54"/>
  <c r="F42" i="54"/>
  <c r="G42" i="54" s="1"/>
  <c r="H42" i="54" s="1"/>
  <c r="N8" i="54"/>
  <c r="D4" i="54"/>
  <c r="B15" i="39"/>
  <c r="B16" i="39"/>
  <c r="F45" i="39"/>
  <c r="F44" i="39"/>
  <c r="B28" i="39"/>
  <c r="D27" i="39"/>
  <c r="E27" i="39"/>
  <c r="I28" i="39"/>
  <c r="I29" i="39"/>
  <c r="I24" i="45" s="1"/>
  <c r="B22" i="44"/>
  <c r="B22" i="46" s="1"/>
  <c r="N9" i="46"/>
  <c r="I4" i="44"/>
  <c r="K14" i="40"/>
  <c r="D14" i="40"/>
  <c r="E14" i="40"/>
  <c r="M14" i="40"/>
  <c r="B26" i="40"/>
  <c r="G14" i="40"/>
  <c r="M26" i="40"/>
  <c r="M23" i="40" s="1"/>
  <c r="C14" i="40"/>
  <c r="C13" i="40" s="1"/>
  <c r="L14" i="40"/>
  <c r="C29" i="39"/>
  <c r="J26" i="40"/>
  <c r="J23" i="40" s="1"/>
  <c r="K26" i="40"/>
  <c r="K23" i="40" s="1"/>
  <c r="G26" i="40"/>
  <c r="G23" i="40" s="1"/>
  <c r="L26" i="40"/>
  <c r="L23" i="40" s="1"/>
  <c r="H26" i="40"/>
  <c r="H23" i="40" s="1"/>
  <c r="I26" i="40"/>
  <c r="I23" i="40" s="1"/>
  <c r="M4" i="53"/>
  <c r="E39" i="47"/>
  <c r="D63" i="47"/>
  <c r="E63" i="47" s="1"/>
  <c r="F63" i="47" s="1"/>
  <c r="G63" i="47" s="1"/>
  <c r="B75" i="47"/>
  <c r="B4" i="47"/>
  <c r="B6" i="45"/>
  <c r="B40" i="47"/>
  <c r="H63" i="47"/>
  <c r="I63" i="47" s="1"/>
  <c r="J63" i="47" s="1"/>
  <c r="K63" i="47" s="1"/>
  <c r="L63" i="47" s="1"/>
  <c r="M63" i="47" s="1"/>
  <c r="L22" i="44"/>
  <c r="C61" i="47"/>
  <c r="H31" i="21"/>
  <c r="H38" i="21"/>
  <c r="L18" i="21"/>
  <c r="L37" i="21" s="1"/>
  <c r="I34" i="21"/>
  <c r="I8" i="21"/>
  <c r="F10" i="21"/>
  <c r="F16" i="21"/>
  <c r="F20" i="21"/>
  <c r="F17" i="21"/>
  <c r="F24" i="21"/>
  <c r="F14" i="21"/>
  <c r="F18" i="21"/>
  <c r="F37" i="21" s="1"/>
  <c r="F12" i="21"/>
  <c r="F21" i="21"/>
  <c r="F35" i="21"/>
  <c r="F13" i="21"/>
  <c r="F22" i="21"/>
  <c r="F23" i="21"/>
  <c r="F28" i="21"/>
  <c r="F41" i="21" s="1"/>
  <c r="F11" i="21"/>
  <c r="F9" i="21"/>
  <c r="F5" i="21"/>
  <c r="F15" i="21"/>
  <c r="F36" i="21" s="1"/>
  <c r="M22" i="44"/>
  <c r="N62" i="47"/>
  <c r="F25" i="21"/>
  <c r="F38" i="21" s="1"/>
  <c r="L16" i="21"/>
  <c r="B14" i="19"/>
  <c r="B12" i="19"/>
  <c r="B17" i="19"/>
  <c r="B25" i="19"/>
  <c r="B38" i="19" s="1"/>
  <c r="B22" i="19"/>
  <c r="B11" i="19"/>
  <c r="B13" i="19"/>
  <c r="B9" i="19"/>
  <c r="B21" i="19"/>
  <c r="B18" i="19"/>
  <c r="B37" i="19" s="1"/>
  <c r="B23" i="19"/>
  <c r="B20" i="19"/>
  <c r="B19" i="19"/>
  <c r="B24" i="19"/>
  <c r="B15" i="19"/>
  <c r="B36" i="19" s="1"/>
  <c r="B10" i="19"/>
  <c r="B16" i="19"/>
  <c r="B27" i="19"/>
  <c r="B7" i="19"/>
  <c r="G22" i="44"/>
  <c r="F26" i="21"/>
  <c r="F39" i="21" s="1"/>
  <c r="L23" i="21"/>
  <c r="F40" i="21"/>
  <c r="N20" i="39"/>
  <c r="E22" i="44"/>
  <c r="K22" i="44"/>
  <c r="F22" i="44"/>
  <c r="H22" i="44"/>
  <c r="D17" i="39"/>
  <c r="F6" i="21"/>
  <c r="L9" i="21"/>
  <c r="L24" i="21"/>
  <c r="L22" i="21"/>
  <c r="L19" i="21"/>
  <c r="L6" i="21"/>
  <c r="L12" i="21"/>
  <c r="L14" i="21"/>
  <c r="L35" i="21"/>
  <c r="L11" i="21"/>
  <c r="L15" i="21"/>
  <c r="L36" i="21" s="1"/>
  <c r="L21" i="21"/>
  <c r="L27" i="21"/>
  <c r="L25" i="21"/>
  <c r="L38" i="21" s="1"/>
  <c r="L13" i="21"/>
  <c r="L17" i="21"/>
  <c r="L10" i="21"/>
  <c r="L5" i="21"/>
  <c r="I22" i="44"/>
  <c r="N48" i="53"/>
  <c r="L28" i="21"/>
  <c r="L41" i="21" s="1"/>
  <c r="F19" i="21"/>
  <c r="J5" i="19"/>
  <c r="J28" i="19"/>
  <c r="J41" i="19" s="1"/>
  <c r="J6" i="19"/>
  <c r="K32" i="21"/>
  <c r="M6" i="21"/>
  <c r="M12" i="21"/>
  <c r="M13" i="21"/>
  <c r="M5" i="21"/>
  <c r="M25" i="21"/>
  <c r="M38" i="21" s="1"/>
  <c r="L31" i="18"/>
  <c r="L38" i="18"/>
  <c r="C40" i="19"/>
  <c r="C31" i="19"/>
  <c r="C27" i="20"/>
  <c r="C19" i="20"/>
  <c r="C24" i="20"/>
  <c r="C17" i="20"/>
  <c r="C6" i="20"/>
  <c r="C8" i="20" s="1"/>
  <c r="C18" i="20"/>
  <c r="C25" i="20"/>
  <c r="C23" i="20"/>
  <c r="C5" i="20"/>
  <c r="C22" i="20"/>
  <c r="C12" i="20"/>
  <c r="C13" i="20"/>
  <c r="C21" i="20"/>
  <c r="C9" i="20"/>
  <c r="C14" i="20"/>
  <c r="C16" i="20"/>
  <c r="C20" i="20"/>
  <c r="M15" i="21"/>
  <c r="M36" i="21" s="1"/>
  <c r="M19" i="21"/>
  <c r="C26" i="20"/>
  <c r="E35" i="21"/>
  <c r="C15" i="20"/>
  <c r="M16" i="21"/>
  <c r="J8" i="21"/>
  <c r="I9" i="21"/>
  <c r="E12" i="21"/>
  <c r="D13" i="20"/>
  <c r="D11" i="20"/>
  <c r="D27" i="20"/>
  <c r="D9" i="20"/>
  <c r="D21" i="20"/>
  <c r="D24" i="20"/>
  <c r="D17" i="20"/>
  <c r="D23" i="20"/>
  <c r="D22" i="20"/>
  <c r="D10" i="20"/>
  <c r="D33" i="20"/>
  <c r="D28" i="20"/>
  <c r="D16" i="20"/>
  <c r="D25" i="20"/>
  <c r="D20" i="20"/>
  <c r="D19" i="20"/>
  <c r="K27" i="19"/>
  <c r="K9" i="19"/>
  <c r="K13" i="19"/>
  <c r="K16" i="19"/>
  <c r="K20" i="19"/>
  <c r="K18" i="19"/>
  <c r="K37" i="19" s="1"/>
  <c r="K24" i="19"/>
  <c r="K12" i="19"/>
  <c r="K17" i="19"/>
  <c r="K15" i="19"/>
  <c r="K36" i="19" s="1"/>
  <c r="K11" i="19"/>
  <c r="K19" i="19"/>
  <c r="K10" i="19"/>
  <c r="K14" i="19"/>
  <c r="K21" i="19"/>
  <c r="K22" i="19"/>
  <c r="M18" i="21"/>
  <c r="M37" i="21" s="1"/>
  <c r="M17" i="21"/>
  <c r="C40" i="18"/>
  <c r="C31" i="18"/>
  <c r="D40" i="19"/>
  <c r="C11" i="20"/>
  <c r="H8" i="23"/>
  <c r="H34" i="23"/>
  <c r="H20" i="19"/>
  <c r="H19" i="19"/>
  <c r="H9" i="19"/>
  <c r="H24" i="19"/>
  <c r="H23" i="19"/>
  <c r="H27" i="19"/>
  <c r="H13" i="19"/>
  <c r="H10" i="19"/>
  <c r="H25" i="19"/>
  <c r="H38" i="19" s="1"/>
  <c r="H15" i="19"/>
  <c r="H36" i="19" s="1"/>
  <c r="H12" i="19"/>
  <c r="H22" i="19"/>
  <c r="H21" i="19"/>
  <c r="H26" i="19"/>
  <c r="H39" i="19" s="1"/>
  <c r="H11" i="19"/>
  <c r="I40" i="18"/>
  <c r="I31" i="18"/>
  <c r="F23" i="23"/>
  <c r="F10" i="23"/>
  <c r="F16" i="23"/>
  <c r="F14" i="23"/>
  <c r="F5" i="23"/>
  <c r="F22" i="23"/>
  <c r="F6" i="23"/>
  <c r="F27" i="23"/>
  <c r="F20" i="23"/>
  <c r="F9" i="23"/>
  <c r="F19" i="23"/>
  <c r="F17" i="23"/>
  <c r="F25" i="23"/>
  <c r="F38" i="23" s="1"/>
  <c r="F24" i="23"/>
  <c r="F12" i="23"/>
  <c r="F21" i="23"/>
  <c r="F11" i="23"/>
  <c r="F18" i="23"/>
  <c r="F37" i="23" s="1"/>
  <c r="C51" i="54"/>
  <c r="C31" i="54" s="1"/>
  <c r="C32" i="21"/>
  <c r="M24" i="21"/>
  <c r="M27" i="21"/>
  <c r="I11" i="21"/>
  <c r="I27" i="21"/>
  <c r="I24" i="21"/>
  <c r="I32" i="21" s="1"/>
  <c r="I17" i="21"/>
  <c r="I10" i="21"/>
  <c r="I16" i="21"/>
  <c r="I13" i="21"/>
  <c r="I18" i="21"/>
  <c r="I37" i="21" s="1"/>
  <c r="I25" i="21"/>
  <c r="I38" i="21" s="1"/>
  <c r="I14" i="21"/>
  <c r="I35" i="21"/>
  <c r="E22" i="19"/>
  <c r="E16" i="19"/>
  <c r="E27" i="19"/>
  <c r="E14" i="19"/>
  <c r="E24" i="19"/>
  <c r="E21" i="19"/>
  <c r="E20" i="19"/>
  <c r="E23" i="19"/>
  <c r="E11" i="19"/>
  <c r="E15" i="19"/>
  <c r="E36" i="19" s="1"/>
  <c r="E10" i="19"/>
  <c r="E25" i="19"/>
  <c r="E38" i="19" s="1"/>
  <c r="E13" i="19"/>
  <c r="E17" i="19"/>
  <c r="F6" i="19"/>
  <c r="F28" i="19"/>
  <c r="F41" i="19" s="1"/>
  <c r="H32" i="23"/>
  <c r="M23" i="21"/>
  <c r="M9" i="21"/>
  <c r="M10" i="21"/>
  <c r="E22" i="21"/>
  <c r="E14" i="21"/>
  <c r="E18" i="21"/>
  <c r="E37" i="21" s="1"/>
  <c r="E27" i="21"/>
  <c r="E9" i="21"/>
  <c r="E20" i="21"/>
  <c r="E24" i="21"/>
  <c r="E13" i="21"/>
  <c r="E21" i="21"/>
  <c r="E23" i="21"/>
  <c r="E28" i="21"/>
  <c r="E41" i="21" s="1"/>
  <c r="G32" i="21"/>
  <c r="F32" i="20"/>
  <c r="F8" i="20"/>
  <c r="C10" i="20"/>
  <c r="H6" i="19"/>
  <c r="H5" i="19"/>
  <c r="G32" i="18"/>
  <c r="M32" i="18"/>
  <c r="L13" i="18"/>
  <c r="H9" i="18"/>
  <c r="L22" i="18"/>
  <c r="H14" i="18"/>
  <c r="J10" i="18"/>
  <c r="B27" i="18"/>
  <c r="D23" i="18"/>
  <c r="F20" i="18"/>
  <c r="D12" i="18"/>
  <c r="B24" i="18"/>
  <c r="B22" i="18"/>
  <c r="B15" i="18"/>
  <c r="B36" i="18" s="1"/>
  <c r="L9" i="18"/>
  <c r="J21" i="18"/>
  <c r="L14" i="18"/>
  <c r="H10" i="18"/>
  <c r="F23" i="18"/>
  <c r="D19" i="18"/>
  <c r="F12" i="18"/>
  <c r="B14" i="18"/>
  <c r="H21" i="18"/>
  <c r="J13" i="18"/>
  <c r="L10" i="18"/>
  <c r="J22" i="18"/>
  <c r="F19" i="18"/>
  <c r="D11" i="18"/>
  <c r="D24" i="18"/>
  <c r="B11" i="18"/>
  <c r="B21" i="18"/>
  <c r="B20" i="18"/>
  <c r="L23" i="18"/>
  <c r="H19" i="18"/>
  <c r="E40" i="18"/>
  <c r="E31" i="18"/>
  <c r="F19" i="19"/>
  <c r="F20" i="19"/>
  <c r="F10" i="19"/>
  <c r="F9" i="19"/>
  <c r="F27" i="19"/>
  <c r="F22" i="19"/>
  <c r="F11" i="19"/>
  <c r="M24" i="19"/>
  <c r="M17" i="19"/>
  <c r="M15" i="19"/>
  <c r="M36" i="19" s="1"/>
  <c r="M21" i="19"/>
  <c r="M11" i="19"/>
  <c r="M22" i="19"/>
  <c r="M10" i="19"/>
  <c r="M25" i="19"/>
  <c r="M38" i="19" s="1"/>
  <c r="J27" i="20"/>
  <c r="J38" i="20" s="1"/>
  <c r="J10" i="20"/>
  <c r="J18" i="20"/>
  <c r="J35" i="20" s="1"/>
  <c r="J23" i="20"/>
  <c r="J21" i="20"/>
  <c r="J19" i="20"/>
  <c r="J25" i="20"/>
  <c r="J36" i="20" s="1"/>
  <c r="J11" i="20"/>
  <c r="J9" i="20"/>
  <c r="J5" i="20"/>
  <c r="J22" i="20"/>
  <c r="J24" i="20"/>
  <c r="J27" i="18"/>
  <c r="J15" i="18"/>
  <c r="J36" i="18" s="1"/>
  <c r="J16" i="18"/>
  <c r="J18" i="18" s="1"/>
  <c r="J37" i="18" s="1"/>
  <c r="J25" i="18"/>
  <c r="J38" i="18" s="1"/>
  <c r="C31" i="23"/>
  <c r="C40" i="23"/>
  <c r="G35" i="47"/>
  <c r="F51" i="47"/>
  <c r="G12" i="21"/>
  <c r="F25" i="19"/>
  <c r="F38" i="19" s="1"/>
  <c r="B12" i="18"/>
  <c r="B19" i="18"/>
  <c r="F14" i="18"/>
  <c r="F13" i="18"/>
  <c r="J20" i="18"/>
  <c r="L24" i="18"/>
  <c r="L11" i="18"/>
  <c r="C11" i="19"/>
  <c r="C12" i="19"/>
  <c r="C18" i="19"/>
  <c r="C37" i="19" s="1"/>
  <c r="C9" i="19"/>
  <c r="C23" i="19"/>
  <c r="C32" i="19" s="1"/>
  <c r="C14" i="19"/>
  <c r="F12" i="19"/>
  <c r="D11" i="19"/>
  <c r="D12" i="19"/>
  <c r="D24" i="19"/>
  <c r="D32" i="19" s="1"/>
  <c r="D14" i="19"/>
  <c r="D13" i="19"/>
  <c r="D25" i="19"/>
  <c r="D38" i="19" s="1"/>
  <c r="D15" i="19"/>
  <c r="D36" i="19" s="1"/>
  <c r="D10" i="19"/>
  <c r="D9" i="19"/>
  <c r="G21" i="19"/>
  <c r="G19" i="19"/>
  <c r="G10" i="19"/>
  <c r="G24" i="19"/>
  <c r="G22" i="19"/>
  <c r="G23" i="19"/>
  <c r="G11" i="19"/>
  <c r="G12" i="19"/>
  <c r="G15" i="19"/>
  <c r="G36" i="19" s="1"/>
  <c r="G8" i="20"/>
  <c r="G32" i="20"/>
  <c r="L8" i="20"/>
  <c r="M19" i="19"/>
  <c r="J6" i="20"/>
  <c r="M13" i="19"/>
  <c r="L8" i="19"/>
  <c r="L34" i="19"/>
  <c r="C34" i="23"/>
  <c r="C8" i="23"/>
  <c r="G32" i="23"/>
  <c r="N11" i="50"/>
  <c r="D59" i="50"/>
  <c r="E25" i="50"/>
  <c r="D31" i="50"/>
  <c r="D4" i="50"/>
  <c r="C44" i="49"/>
  <c r="D21" i="49"/>
  <c r="G17" i="21"/>
  <c r="G9" i="21"/>
  <c r="G14" i="21"/>
  <c r="H12" i="18"/>
  <c r="J11" i="18"/>
  <c r="L21" i="18"/>
  <c r="F24" i="19"/>
  <c r="G34" i="19"/>
  <c r="G8" i="19"/>
  <c r="F34" i="18"/>
  <c r="B19" i="20"/>
  <c r="B22" i="20"/>
  <c r="B12" i="20"/>
  <c r="B5" i="20"/>
  <c r="B10" i="20"/>
  <c r="B21" i="20"/>
  <c r="B20" i="20"/>
  <c r="B16" i="20"/>
  <c r="B9" i="20"/>
  <c r="B24" i="20"/>
  <c r="B5" i="23"/>
  <c r="B22" i="23"/>
  <c r="B10" i="23"/>
  <c r="B19" i="23"/>
  <c r="B6" i="23"/>
  <c r="B27" i="23"/>
  <c r="B12" i="23"/>
  <c r="B24" i="23"/>
  <c r="B32" i="23" s="1"/>
  <c r="B9" i="23"/>
  <c r="B21" i="23"/>
  <c r="B14" i="23"/>
  <c r="M20" i="23"/>
  <c r="M23" i="23"/>
  <c r="M16" i="23"/>
  <c r="M12" i="23"/>
  <c r="M24" i="23"/>
  <c r="M6" i="23"/>
  <c r="M5" i="23"/>
  <c r="M19" i="23"/>
  <c r="M14" i="23"/>
  <c r="M25" i="23"/>
  <c r="M38" i="23" s="1"/>
  <c r="M21" i="23"/>
  <c r="M11" i="23"/>
  <c r="B34" i="39"/>
  <c r="B29" i="3" s="1"/>
  <c r="B36" i="39"/>
  <c r="B35" i="39"/>
  <c r="B26" i="49"/>
  <c r="G35" i="21"/>
  <c r="B8" i="18"/>
  <c r="K6" i="21"/>
  <c r="K22" i="21"/>
  <c r="G18" i="21"/>
  <c r="G37" i="21" s="1"/>
  <c r="G6" i="21"/>
  <c r="F31" i="18"/>
  <c r="H38" i="23"/>
  <c r="H31" i="23"/>
  <c r="B14" i="21"/>
  <c r="B10" i="21"/>
  <c r="B5" i="21"/>
  <c r="B6" i="21"/>
  <c r="B13" i="21"/>
  <c r="B23" i="18"/>
  <c r="D10" i="18"/>
  <c r="D9" i="18"/>
  <c r="H20" i="18"/>
  <c r="J19" i="18"/>
  <c r="G40" i="18"/>
  <c r="G31" i="18"/>
  <c r="F17" i="19"/>
  <c r="B14" i="20"/>
  <c r="J20" i="20"/>
  <c r="M16" i="19"/>
  <c r="B17" i="23"/>
  <c r="M27" i="23"/>
  <c r="E60" i="49"/>
  <c r="F25" i="49"/>
  <c r="E32" i="49"/>
  <c r="N5" i="49"/>
  <c r="E4" i="49"/>
  <c r="M40" i="49"/>
  <c r="N40" i="49" s="1"/>
  <c r="M4" i="49"/>
  <c r="N11" i="49"/>
  <c r="C4" i="49"/>
  <c r="F70" i="53"/>
  <c r="G70" i="53" s="1"/>
  <c r="G34" i="53"/>
  <c r="H34" i="53" s="1"/>
  <c r="D45" i="55"/>
  <c r="E21" i="55"/>
  <c r="C30" i="56"/>
  <c r="C4" i="56"/>
  <c r="K38" i="56"/>
  <c r="K4" i="56"/>
  <c r="F5" i="52"/>
  <c r="N8" i="52"/>
  <c r="E5" i="47"/>
  <c r="N12" i="47"/>
  <c r="G10" i="21"/>
  <c r="D14" i="18"/>
  <c r="D13" i="18"/>
  <c r="B10" i="18"/>
  <c r="H22" i="18"/>
  <c r="J23" i="18"/>
  <c r="F13" i="19"/>
  <c r="F15" i="19"/>
  <c r="F36" i="19" s="1"/>
  <c r="D5" i="18"/>
  <c r="F5" i="18"/>
  <c r="B23" i="20"/>
  <c r="I34" i="23"/>
  <c r="I8" i="23"/>
  <c r="N16" i="27"/>
  <c r="N30" i="47"/>
  <c r="D23" i="47"/>
  <c r="D7" i="57" s="1"/>
  <c r="I14" i="19"/>
  <c r="I13" i="19"/>
  <c r="J17" i="19"/>
  <c r="J18" i="19"/>
  <c r="J37" i="19" s="1"/>
  <c r="I19" i="23"/>
  <c r="I22" i="23"/>
  <c r="H23" i="20"/>
  <c r="H27" i="20"/>
  <c r="H38" i="20" s="1"/>
  <c r="E25" i="45"/>
  <c r="M25" i="45"/>
  <c r="F27" i="39"/>
  <c r="F28" i="39"/>
  <c r="H45" i="39"/>
  <c r="H44" i="39"/>
  <c r="H43" i="39"/>
  <c r="F33" i="49"/>
  <c r="B29" i="50"/>
  <c r="N5" i="50"/>
  <c r="D76" i="47"/>
  <c r="E76" i="47" s="1"/>
  <c r="F76" i="47" s="1"/>
  <c r="G76" i="47" s="1"/>
  <c r="H76" i="47" s="1"/>
  <c r="I76" i="47" s="1"/>
  <c r="J76" i="47" s="1"/>
  <c r="K76" i="47" s="1"/>
  <c r="L76" i="47" s="1"/>
  <c r="M76" i="47" s="1"/>
  <c r="I12" i="19"/>
  <c r="I11" i="19"/>
  <c r="J14" i="19"/>
  <c r="J16" i="19"/>
  <c r="H6" i="20"/>
  <c r="I17" i="23"/>
  <c r="I20" i="23"/>
  <c r="H9" i="20"/>
  <c r="H11" i="20"/>
  <c r="L12" i="20"/>
  <c r="L24" i="20"/>
  <c r="L22" i="20"/>
  <c r="I27" i="23"/>
  <c r="C30" i="50"/>
  <c r="C4" i="50"/>
  <c r="C57" i="50"/>
  <c r="B56" i="50"/>
  <c r="I36" i="55"/>
  <c r="N8" i="55"/>
  <c r="B29" i="55"/>
  <c r="B4" i="55"/>
  <c r="J37" i="55"/>
  <c r="J4" i="55"/>
  <c r="C44" i="56"/>
  <c r="D21" i="56"/>
  <c r="I22" i="19"/>
  <c r="J10" i="19"/>
  <c r="J15" i="19"/>
  <c r="J36" i="19" s="1"/>
  <c r="H16" i="18"/>
  <c r="H18" i="18" s="1"/>
  <c r="H37" i="18" s="1"/>
  <c r="I12" i="23"/>
  <c r="I13" i="23"/>
  <c r="L5" i="18"/>
  <c r="H17" i="20"/>
  <c r="H24" i="20"/>
  <c r="M20" i="20"/>
  <c r="M17" i="20"/>
  <c r="L23" i="20"/>
  <c r="L14" i="20"/>
  <c r="I27" i="19"/>
  <c r="J27" i="19"/>
  <c r="H27" i="18"/>
  <c r="D13" i="23"/>
  <c r="D20" i="23"/>
  <c r="D32" i="23" s="1"/>
  <c r="B29" i="44"/>
  <c r="I36" i="49"/>
  <c r="I4" i="49"/>
  <c r="D4" i="49"/>
  <c r="L4" i="49"/>
  <c r="K38" i="50"/>
  <c r="N5" i="47"/>
  <c r="C48" i="47"/>
  <c r="J29" i="39"/>
  <c r="J24" i="45" s="1"/>
  <c r="J27" i="39"/>
  <c r="D45" i="39"/>
  <c r="D43" i="39"/>
  <c r="D45" i="50"/>
  <c r="E21" i="50"/>
  <c r="J37" i="49"/>
  <c r="C75" i="47"/>
  <c r="B74" i="47"/>
  <c r="I21" i="19"/>
  <c r="I32" i="19" s="1"/>
  <c r="J23" i="19"/>
  <c r="J32" i="19" s="1"/>
  <c r="J22" i="19"/>
  <c r="H5" i="20"/>
  <c r="H10" i="20"/>
  <c r="M12" i="20"/>
  <c r="L9" i="20"/>
  <c r="D9" i="23"/>
  <c r="K19" i="23"/>
  <c r="K20" i="23"/>
  <c r="K32" i="23" s="1"/>
  <c r="K6" i="23"/>
  <c r="K27" i="23"/>
  <c r="K9" i="23"/>
  <c r="K17" i="23"/>
  <c r="K13" i="23"/>
  <c r="K5" i="23"/>
  <c r="K12" i="23"/>
  <c r="B25" i="45"/>
  <c r="B55" i="45" s="1"/>
  <c r="J25" i="45"/>
  <c r="K38" i="49"/>
  <c r="H35" i="50"/>
  <c r="H4" i="50"/>
  <c r="B29" i="56"/>
  <c r="B4" i="56"/>
  <c r="N5" i="56"/>
  <c r="J37" i="56"/>
  <c r="J4" i="56"/>
  <c r="K25" i="45"/>
  <c r="G34" i="49"/>
  <c r="B42" i="49"/>
  <c r="C43" i="49"/>
  <c r="D59" i="49"/>
  <c r="C30" i="55"/>
  <c r="C4" i="55"/>
  <c r="K38" i="55"/>
  <c r="K4" i="55"/>
  <c r="C58" i="55"/>
  <c r="D25" i="55"/>
  <c r="D59" i="56"/>
  <c r="E25" i="56"/>
  <c r="L25" i="45"/>
  <c r="H35" i="49"/>
  <c r="C58" i="49"/>
  <c r="L39" i="50"/>
  <c r="F25" i="45"/>
  <c r="C29" i="49"/>
  <c r="B28" i="49"/>
  <c r="E32" i="50"/>
  <c r="C44" i="50"/>
  <c r="J37" i="50"/>
  <c r="C47" i="47"/>
  <c r="B46" i="47"/>
  <c r="N30" i="49"/>
  <c r="H58" i="54"/>
  <c r="I58" i="54" s="1"/>
  <c r="J58" i="54" s="1"/>
  <c r="K58" i="54" s="1"/>
  <c r="L58" i="54" s="1"/>
  <c r="M58" i="54" s="1"/>
  <c r="G25" i="45"/>
  <c r="H28" i="39"/>
  <c r="I36" i="50"/>
  <c r="G34" i="50"/>
  <c r="H4" i="56"/>
  <c r="D49" i="47"/>
  <c r="H25" i="45"/>
  <c r="L28" i="39"/>
  <c r="H4" i="49"/>
  <c r="D31" i="49"/>
  <c r="L39" i="49"/>
  <c r="C57" i="49"/>
  <c r="M40" i="50"/>
  <c r="N40" i="50" s="1"/>
  <c r="F33" i="50"/>
  <c r="H35" i="55"/>
  <c r="D30" i="53"/>
  <c r="E30" i="53" s="1"/>
  <c r="D31" i="55"/>
  <c r="L39" i="55"/>
  <c r="B56" i="55"/>
  <c r="C57" i="55"/>
  <c r="D31" i="56"/>
  <c r="L39" i="56"/>
  <c r="F79" i="47"/>
  <c r="G43" i="47"/>
  <c r="E32" i="55"/>
  <c r="M40" i="55"/>
  <c r="N40" i="55" s="1"/>
  <c r="E32" i="56"/>
  <c r="M40" i="56"/>
  <c r="N40" i="56" s="1"/>
  <c r="B56" i="56"/>
  <c r="C57" i="56"/>
  <c r="D54" i="52"/>
  <c r="E54" i="52" s="1"/>
  <c r="F54" i="52" s="1"/>
  <c r="G54" i="52" s="1"/>
  <c r="H54" i="52" s="1"/>
  <c r="I54" i="52" s="1"/>
  <c r="J54" i="52" s="1"/>
  <c r="K54" i="52" s="1"/>
  <c r="L54" i="52" s="1"/>
  <c r="M54" i="52" s="1"/>
  <c r="F33" i="55"/>
  <c r="F33" i="56"/>
  <c r="H44" i="54"/>
  <c r="E69" i="54"/>
  <c r="F69" i="54" s="1"/>
  <c r="G69" i="54" s="1"/>
  <c r="H69" i="54" s="1"/>
  <c r="I69" i="54" s="1"/>
  <c r="J69" i="54" s="1"/>
  <c r="K69" i="54" s="1"/>
  <c r="L69" i="54" s="1"/>
  <c r="M69" i="54" s="1"/>
  <c r="K47" i="53"/>
  <c r="L47" i="53" s="1"/>
  <c r="M47" i="53" s="1"/>
  <c r="F4" i="55"/>
  <c r="G34" i="55"/>
  <c r="G34" i="56"/>
  <c r="B42" i="56"/>
  <c r="C43" i="56"/>
  <c r="D18" i="51"/>
  <c r="C43" i="55"/>
  <c r="B42" i="55"/>
  <c r="C44" i="55"/>
  <c r="H35" i="56"/>
  <c r="C58" i="56"/>
  <c r="D40" i="54"/>
  <c r="I36" i="56"/>
  <c r="E41" i="54"/>
  <c r="F41" i="54" s="1"/>
  <c r="G41" i="54" s="1"/>
  <c r="H41" i="54" s="1"/>
  <c r="I41" i="54" s="1"/>
  <c r="J41" i="54" s="1"/>
  <c r="K41" i="54" s="1"/>
  <c r="L41" i="54" s="1"/>
  <c r="M41" i="54" s="1"/>
  <c r="L62" i="54"/>
  <c r="M62" i="54" s="1"/>
  <c r="N62" i="54" s="1"/>
  <c r="L76" i="54"/>
  <c r="M76" i="54" s="1"/>
  <c r="N76" i="54" s="1"/>
  <c r="I45" i="54"/>
  <c r="J45" i="54" s="1"/>
  <c r="K45" i="54" s="1"/>
  <c r="F42" i="53"/>
  <c r="K75" i="54"/>
  <c r="L75" i="54" s="1"/>
  <c r="M75" i="54" s="1"/>
  <c r="N75" i="54" s="1"/>
  <c r="D54" i="54"/>
  <c r="E54" i="54" s="1"/>
  <c r="F54" i="54" s="1"/>
  <c r="G54" i="54" s="1"/>
  <c r="M63" i="54"/>
  <c r="N63" i="54" s="1"/>
  <c r="G71" i="54"/>
  <c r="H71" i="54" s="1"/>
  <c r="I71" i="54" s="1"/>
  <c r="J71" i="54" s="1"/>
  <c r="K71" i="54" s="1"/>
  <c r="L71" i="54" s="1"/>
  <c r="M71" i="54" s="1"/>
  <c r="M77" i="54"/>
  <c r="N77" i="54" s="1"/>
  <c r="L48" i="54"/>
  <c r="M48" i="54" s="1"/>
  <c r="N48" i="54" s="1"/>
  <c r="I59" i="54"/>
  <c r="J59" i="54" s="1"/>
  <c r="K59" i="54" s="1"/>
  <c r="L59" i="54" s="1"/>
  <c r="M59" i="54" s="1"/>
  <c r="H4" i="54"/>
  <c r="E69" i="53"/>
  <c r="F69" i="53" s="1"/>
  <c r="G69" i="53" s="1"/>
  <c r="H69" i="53" s="1"/>
  <c r="I69" i="53" s="1"/>
  <c r="J69" i="53" s="1"/>
  <c r="K69" i="53" s="1"/>
  <c r="L69" i="53" s="1"/>
  <c r="M69" i="53" s="1"/>
  <c r="E55" i="54"/>
  <c r="C67" i="54"/>
  <c r="K7" i="57"/>
  <c r="G43" i="53"/>
  <c r="L7" i="57"/>
  <c r="M49" i="54"/>
  <c r="N49" i="54" s="1"/>
  <c r="F70" i="54"/>
  <c r="G70" i="54" s="1"/>
  <c r="H70" i="54" s="1"/>
  <c r="I70" i="54" s="1"/>
  <c r="J70" i="54" s="1"/>
  <c r="K70" i="54" s="1"/>
  <c r="L70" i="54" s="1"/>
  <c r="M70" i="54" s="1"/>
  <c r="J74" i="54"/>
  <c r="K74" i="54" s="1"/>
  <c r="L74" i="54" s="1"/>
  <c r="M74" i="54" s="1"/>
  <c r="G71" i="53"/>
  <c r="H71" i="53" s="1"/>
  <c r="I71" i="53" s="1"/>
  <c r="J71" i="53" s="1"/>
  <c r="K71" i="53" s="1"/>
  <c r="L71" i="53" s="1"/>
  <c r="M71" i="53" s="1"/>
  <c r="F56" i="54"/>
  <c r="G56" i="54" s="1"/>
  <c r="H56" i="54" s="1"/>
  <c r="I56" i="54" s="1"/>
  <c r="J56" i="54" s="1"/>
  <c r="K56" i="54" s="1"/>
  <c r="L56" i="54" s="1"/>
  <c r="M56" i="54" s="1"/>
  <c r="J60" i="54"/>
  <c r="J46" i="53"/>
  <c r="G7" i="57"/>
  <c r="G57" i="54"/>
  <c r="H57" i="54" s="1"/>
  <c r="I57" i="54" s="1"/>
  <c r="J57" i="54" s="1"/>
  <c r="K57" i="54" s="1"/>
  <c r="L57" i="54" s="1"/>
  <c r="M57" i="54" s="1"/>
  <c r="K61" i="54"/>
  <c r="L61" i="54" s="1"/>
  <c r="M61" i="54" s="1"/>
  <c r="N61" i="54" s="1"/>
  <c r="N17" i="54"/>
  <c r="L4" i="54"/>
  <c r="J4" i="54"/>
  <c r="F7" i="57"/>
  <c r="N14" i="52"/>
  <c r="O43" i="45"/>
  <c r="O37" i="45"/>
  <c r="U11" i="45"/>
  <c r="O31" i="45"/>
  <c r="O34" i="45" s="1"/>
  <c r="O37" i="44"/>
  <c r="O39" i="44"/>
  <c r="O31" i="44"/>
  <c r="O42" i="44"/>
  <c r="O43" i="44"/>
  <c r="U11" i="44"/>
  <c r="U13" i="44" s="1"/>
  <c r="O37" i="3"/>
  <c r="O43" i="3"/>
  <c r="O42" i="3"/>
  <c r="O31" i="3"/>
  <c r="O34" i="3" s="1"/>
  <c r="O39" i="3"/>
  <c r="P9" i="45"/>
  <c r="Q9" i="45" s="1"/>
  <c r="P9" i="44"/>
  <c r="Q9" i="44" s="1"/>
  <c r="P9" i="46"/>
  <c r="Q9" i="46" s="1"/>
  <c r="O38" i="46"/>
  <c r="O44" i="46"/>
  <c r="O43" i="46"/>
  <c r="O40" i="46"/>
  <c r="O31" i="46"/>
  <c r="O35" i="46" s="1"/>
  <c r="M56" i="39"/>
  <c r="M26" i="45" s="1"/>
  <c r="M54" i="39"/>
  <c r="M26" i="3" s="1"/>
  <c r="L56" i="39"/>
  <c r="L26" i="45" s="1"/>
  <c r="L54" i="39"/>
  <c r="L26" i="3" s="1"/>
  <c r="L55" i="39"/>
  <c r="L26" i="44" s="1"/>
  <c r="K54" i="39"/>
  <c r="K26" i="3" s="1"/>
  <c r="K56" i="39"/>
  <c r="K26" i="45" s="1"/>
  <c r="K55" i="39"/>
  <c r="K26" i="44" s="1"/>
  <c r="J55" i="39"/>
  <c r="J26" i="44" s="1"/>
  <c r="J54" i="39"/>
  <c r="J26" i="3" s="1"/>
  <c r="J56" i="39"/>
  <c r="J26" i="45" s="1"/>
  <c r="I56" i="39"/>
  <c r="I26" i="45" s="1"/>
  <c r="I54" i="39"/>
  <c r="I26" i="3" s="1"/>
  <c r="I55" i="39"/>
  <c r="I26" i="44" s="1"/>
  <c r="H56" i="39"/>
  <c r="H26" i="45" s="1"/>
  <c r="H55" i="39"/>
  <c r="H26" i="44" s="1"/>
  <c r="H54" i="39"/>
  <c r="H26" i="3" s="1"/>
  <c r="G56" i="39"/>
  <c r="G26" i="45" s="1"/>
  <c r="G55" i="39"/>
  <c r="G26" i="44" s="1"/>
  <c r="F55" i="39"/>
  <c r="F26" i="44" s="1"/>
  <c r="F54" i="39"/>
  <c r="F26" i="3" s="1"/>
  <c r="F56" i="39"/>
  <c r="F26" i="45" s="1"/>
  <c r="E56" i="39"/>
  <c r="E26" i="45" s="1"/>
  <c r="E54" i="39"/>
  <c r="E26" i="3" s="1"/>
  <c r="E55" i="39"/>
  <c r="E26" i="44" s="1"/>
  <c r="D26" i="46"/>
  <c r="B54" i="39"/>
  <c r="B26" i="3" s="1"/>
  <c r="B56" i="39"/>
  <c r="B26" i="45" s="1"/>
  <c r="M55" i="39"/>
  <c r="M26" i="44" s="1"/>
  <c r="G54" i="39"/>
  <c r="G26" i="3" s="1"/>
  <c r="N50" i="39"/>
  <c r="C56" i="39"/>
  <c r="C55" i="39"/>
  <c r="C26" i="44" s="1"/>
  <c r="C54" i="39"/>
  <c r="B26" i="44"/>
  <c r="D47" i="39"/>
  <c r="D27" i="3" s="1"/>
  <c r="D49" i="39"/>
  <c r="D27" i="45" s="1"/>
  <c r="D48" i="39"/>
  <c r="D27" i="44" s="1"/>
  <c r="B27" i="44"/>
  <c r="C48" i="39"/>
  <c r="C27" i="44" s="1"/>
  <c r="C49" i="39"/>
  <c r="C27" i="45" s="1"/>
  <c r="J45" i="39"/>
  <c r="J44" i="39"/>
  <c r="B45" i="39"/>
  <c r="B4" i="39"/>
  <c r="K45" i="39"/>
  <c r="D44" i="39"/>
  <c r="K44" i="39"/>
  <c r="N37" i="39"/>
  <c r="C45" i="39"/>
  <c r="C43" i="39"/>
  <c r="C34" i="39"/>
  <c r="C35" i="39"/>
  <c r="C36" i="39"/>
  <c r="N22" i="39"/>
  <c r="K29" i="39"/>
  <c r="K24" i="45" s="1"/>
  <c r="C27" i="39"/>
  <c r="K27" i="39"/>
  <c r="G27" i="39"/>
  <c r="C16" i="39"/>
  <c r="C4" i="39"/>
  <c r="C15" i="39"/>
  <c r="C14" i="39"/>
  <c r="D12" i="39"/>
  <c r="H72" i="54"/>
  <c r="I72" i="54" s="1"/>
  <c r="J72" i="54" s="1"/>
  <c r="K72" i="54" s="1"/>
  <c r="L72" i="54" s="1"/>
  <c r="M72" i="54" s="1"/>
  <c r="H7" i="57"/>
  <c r="C4" i="54"/>
  <c r="C66" i="54"/>
  <c r="D66" i="54" s="1"/>
  <c r="E66" i="54" s="1"/>
  <c r="F66" i="54" s="1"/>
  <c r="G66" i="54" s="1"/>
  <c r="H66" i="54" s="1"/>
  <c r="I66" i="54" s="1"/>
  <c r="J66" i="54" s="1"/>
  <c r="K66" i="54" s="1"/>
  <c r="L66" i="54" s="1"/>
  <c r="M66" i="54" s="1"/>
  <c r="B65" i="54"/>
  <c r="B35" i="54" s="1"/>
  <c r="B32" i="54" s="1"/>
  <c r="D52" i="54"/>
  <c r="E4" i="54"/>
  <c r="L73" i="54"/>
  <c r="M73" i="54" s="1"/>
  <c r="D67" i="54"/>
  <c r="H68" i="54"/>
  <c r="I68" i="54" s="1"/>
  <c r="J68" i="54" s="1"/>
  <c r="K68" i="54" s="1"/>
  <c r="L68" i="54" s="1"/>
  <c r="M68" i="54" s="1"/>
  <c r="C28" i="54"/>
  <c r="H54" i="54"/>
  <c r="I54" i="54" s="1"/>
  <c r="J54" i="54" s="1"/>
  <c r="K54" i="54" s="1"/>
  <c r="L54" i="54" s="1"/>
  <c r="M54" i="54" s="1"/>
  <c r="G53" i="54"/>
  <c r="F55" i="54"/>
  <c r="G55" i="54" s="1"/>
  <c r="H55" i="54" s="1"/>
  <c r="I55" i="54" s="1"/>
  <c r="J55" i="54" s="1"/>
  <c r="K55" i="54" s="1"/>
  <c r="L55" i="54" s="1"/>
  <c r="M55" i="54" s="1"/>
  <c r="K60" i="54"/>
  <c r="L60" i="54" s="1"/>
  <c r="M60" i="54" s="1"/>
  <c r="M46" i="54"/>
  <c r="N46" i="54" s="1"/>
  <c r="L45" i="54"/>
  <c r="M45" i="54" s="1"/>
  <c r="J43" i="54"/>
  <c r="K43" i="54" s="1"/>
  <c r="L43" i="54" s="1"/>
  <c r="M43" i="54" s="1"/>
  <c r="I44" i="54"/>
  <c r="J44" i="54" s="1"/>
  <c r="K44" i="54" s="1"/>
  <c r="L44" i="54" s="1"/>
  <c r="M44" i="54" s="1"/>
  <c r="I42" i="54"/>
  <c r="J42" i="54" s="1"/>
  <c r="K42" i="54" s="1"/>
  <c r="L42" i="54" s="1"/>
  <c r="M42" i="54" s="1"/>
  <c r="N42" i="54" s="1"/>
  <c r="E40" i="54"/>
  <c r="F40" i="54" s="1"/>
  <c r="G40" i="54" s="1"/>
  <c r="H40" i="54" s="1"/>
  <c r="I40" i="54" s="1"/>
  <c r="J40" i="54" s="1"/>
  <c r="K40" i="54" s="1"/>
  <c r="L40" i="54" s="1"/>
  <c r="M40" i="54" s="1"/>
  <c r="N5" i="54"/>
  <c r="F39" i="54"/>
  <c r="G39" i="54" s="1"/>
  <c r="H39" i="54" s="1"/>
  <c r="I39" i="54" s="1"/>
  <c r="J39" i="54" s="1"/>
  <c r="K39" i="54" s="1"/>
  <c r="L39" i="54" s="1"/>
  <c r="M39" i="54" s="1"/>
  <c r="B4" i="54"/>
  <c r="B38" i="54"/>
  <c r="N5" i="53"/>
  <c r="E67" i="53"/>
  <c r="F67" i="53" s="1"/>
  <c r="G67" i="53" s="1"/>
  <c r="H67" i="53" s="1"/>
  <c r="I67" i="53" s="1"/>
  <c r="J67" i="53" s="1"/>
  <c r="K67" i="53" s="1"/>
  <c r="L67" i="53" s="1"/>
  <c r="M67" i="53" s="1"/>
  <c r="H70" i="53"/>
  <c r="I70" i="53" s="1"/>
  <c r="J70" i="53" s="1"/>
  <c r="K70" i="53" s="1"/>
  <c r="L70" i="53" s="1"/>
  <c r="M70" i="53" s="1"/>
  <c r="D66" i="53"/>
  <c r="E53" i="53"/>
  <c r="F53" i="53" s="1"/>
  <c r="G53" i="53" s="1"/>
  <c r="H53" i="53" s="1"/>
  <c r="I53" i="53" s="1"/>
  <c r="J53" i="53" s="1"/>
  <c r="K53" i="53" s="1"/>
  <c r="L53" i="53" s="1"/>
  <c r="M53" i="53" s="1"/>
  <c r="H41" i="53"/>
  <c r="I41" i="53" s="1"/>
  <c r="J41" i="53" s="1"/>
  <c r="K41" i="53" s="1"/>
  <c r="L41" i="53" s="1"/>
  <c r="M41" i="53" s="1"/>
  <c r="H43" i="53"/>
  <c r="I43" i="53" s="1"/>
  <c r="J43" i="53" s="1"/>
  <c r="K43" i="53" s="1"/>
  <c r="L43" i="53" s="1"/>
  <c r="M43" i="53" s="1"/>
  <c r="M45" i="53"/>
  <c r="N45" i="53" s="1"/>
  <c r="G40" i="53"/>
  <c r="H40" i="53" s="1"/>
  <c r="I40" i="53" s="1"/>
  <c r="J40" i="53" s="1"/>
  <c r="K40" i="53" s="1"/>
  <c r="L40" i="53" s="1"/>
  <c r="M40" i="53" s="1"/>
  <c r="G42" i="53"/>
  <c r="H42" i="53" s="1"/>
  <c r="I42" i="53" s="1"/>
  <c r="J42" i="53" s="1"/>
  <c r="K42" i="53" s="1"/>
  <c r="L42" i="53" s="1"/>
  <c r="M42" i="53" s="1"/>
  <c r="K46" i="53"/>
  <c r="L46" i="53" s="1"/>
  <c r="M46" i="53" s="1"/>
  <c r="L44" i="53"/>
  <c r="M44" i="53" s="1"/>
  <c r="C39" i="53"/>
  <c r="C4" i="53"/>
  <c r="N4" i="53" s="1"/>
  <c r="B37" i="53"/>
  <c r="B27" i="53" s="1"/>
  <c r="B24" i="53" s="1"/>
  <c r="B32" i="53"/>
  <c r="C35" i="53"/>
  <c r="C32" i="53" s="1"/>
  <c r="B51" i="53"/>
  <c r="C52" i="53"/>
  <c r="D38" i="53"/>
  <c r="H34" i="52"/>
  <c r="I34" i="52" s="1"/>
  <c r="J34" i="52" s="1"/>
  <c r="K34" i="52" s="1"/>
  <c r="G71" i="52"/>
  <c r="H71" i="52" s="1"/>
  <c r="I71" i="52" s="1"/>
  <c r="J71" i="52" s="1"/>
  <c r="K71" i="52" s="1"/>
  <c r="L71" i="52" s="1"/>
  <c r="M71" i="52" s="1"/>
  <c r="D68" i="52"/>
  <c r="E68" i="52" s="1"/>
  <c r="F68" i="52" s="1"/>
  <c r="G68" i="52" s="1"/>
  <c r="H68" i="52" s="1"/>
  <c r="I68" i="52" s="1"/>
  <c r="J68" i="52" s="1"/>
  <c r="K68" i="52" s="1"/>
  <c r="L68" i="52" s="1"/>
  <c r="M68" i="52" s="1"/>
  <c r="C67" i="52"/>
  <c r="D67" i="52" s="1"/>
  <c r="F70" i="52"/>
  <c r="G70" i="52" s="1"/>
  <c r="H70" i="52" s="1"/>
  <c r="I70" i="52" s="1"/>
  <c r="J70" i="52" s="1"/>
  <c r="K70" i="52" s="1"/>
  <c r="L70" i="52" s="1"/>
  <c r="M70" i="52" s="1"/>
  <c r="M7" i="57"/>
  <c r="E69" i="52"/>
  <c r="E7" i="57"/>
  <c r="I7" i="57"/>
  <c r="J60" i="52"/>
  <c r="J6" i="57"/>
  <c r="F56" i="52"/>
  <c r="F6" i="57"/>
  <c r="K6" i="57"/>
  <c r="K61" i="52"/>
  <c r="G6" i="57"/>
  <c r="G57" i="52"/>
  <c r="L62" i="52"/>
  <c r="L6" i="57"/>
  <c r="H6" i="57"/>
  <c r="H58" i="52"/>
  <c r="M6" i="57"/>
  <c r="M63" i="52"/>
  <c r="N63" i="52" s="1"/>
  <c r="I6" i="57"/>
  <c r="I59" i="52"/>
  <c r="E55" i="52"/>
  <c r="E6" i="57"/>
  <c r="C11" i="52"/>
  <c r="N11" i="52" s="1"/>
  <c r="J4" i="52"/>
  <c r="J46" i="52"/>
  <c r="J5" i="57"/>
  <c r="F5" i="57"/>
  <c r="F4" i="52"/>
  <c r="F42" i="52"/>
  <c r="B5" i="57"/>
  <c r="B38" i="52"/>
  <c r="B37" i="52" s="1"/>
  <c r="B27" i="52" s="1"/>
  <c r="K5" i="57"/>
  <c r="K47" i="52"/>
  <c r="K4" i="52"/>
  <c r="G4" i="52"/>
  <c r="G5" i="57"/>
  <c r="G43" i="52"/>
  <c r="C39" i="52"/>
  <c r="L4" i="52"/>
  <c r="L5" i="57"/>
  <c r="L48" i="52"/>
  <c r="H44" i="52"/>
  <c r="H4" i="52"/>
  <c r="D4" i="52"/>
  <c r="D40" i="52"/>
  <c r="D5" i="57"/>
  <c r="M49" i="52"/>
  <c r="N49" i="52" s="1"/>
  <c r="M4" i="52"/>
  <c r="M5" i="57"/>
  <c r="I45" i="52"/>
  <c r="I4" i="52"/>
  <c r="I5" i="57"/>
  <c r="E4" i="52"/>
  <c r="E5" i="57"/>
  <c r="E41" i="52"/>
  <c r="H5" i="57"/>
  <c r="B66" i="52"/>
  <c r="N17" i="52"/>
  <c r="B7" i="57"/>
  <c r="N5" i="52"/>
  <c r="B4" i="52"/>
  <c r="B52" i="52"/>
  <c r="D90" i="51"/>
  <c r="E90" i="51" s="1"/>
  <c r="F90" i="51" s="1"/>
  <c r="G90" i="51" s="1"/>
  <c r="H90" i="51" s="1"/>
  <c r="I90" i="51" s="1"/>
  <c r="J90" i="51" s="1"/>
  <c r="K90" i="51" s="1"/>
  <c r="L90" i="51" s="1"/>
  <c r="M90" i="51" s="1"/>
  <c r="E56" i="51"/>
  <c r="B18" i="51"/>
  <c r="N18" i="51" s="1"/>
  <c r="F64" i="51"/>
  <c r="G64" i="51" s="1"/>
  <c r="H64" i="51" s="1"/>
  <c r="I64" i="51" s="1"/>
  <c r="J64" i="51" s="1"/>
  <c r="K64" i="51" s="1"/>
  <c r="L64" i="51" s="1"/>
  <c r="M64" i="51" s="1"/>
  <c r="G48" i="51"/>
  <c r="E63" i="51"/>
  <c r="F63" i="51" s="1"/>
  <c r="G63" i="51" s="1"/>
  <c r="H63" i="51" s="1"/>
  <c r="I63" i="51" s="1"/>
  <c r="J63" i="51" s="1"/>
  <c r="K63" i="51" s="1"/>
  <c r="L63" i="51" s="1"/>
  <c r="M63" i="51" s="1"/>
  <c r="N63" i="51" s="1"/>
  <c r="D62" i="51"/>
  <c r="E62" i="51" s="1"/>
  <c r="F62" i="51" s="1"/>
  <c r="G62" i="51" s="1"/>
  <c r="H62" i="51" s="1"/>
  <c r="I62" i="51" s="1"/>
  <c r="J62" i="51" s="1"/>
  <c r="K62" i="51" s="1"/>
  <c r="L62" i="51" s="1"/>
  <c r="M62" i="51" s="1"/>
  <c r="J7" i="57"/>
  <c r="N31" i="51"/>
  <c r="C7" i="57"/>
  <c r="C89" i="51"/>
  <c r="F4" i="51"/>
  <c r="B87" i="51"/>
  <c r="C88" i="51"/>
  <c r="H78" i="51"/>
  <c r="I78" i="51" s="1"/>
  <c r="J78" i="51" s="1"/>
  <c r="K78" i="51" s="1"/>
  <c r="L78" i="51" s="1"/>
  <c r="M78" i="51" s="1"/>
  <c r="K82" i="51"/>
  <c r="L82" i="51" s="1"/>
  <c r="M82" i="51" s="1"/>
  <c r="D76" i="51"/>
  <c r="D6" i="57"/>
  <c r="D4" i="51"/>
  <c r="B4" i="51"/>
  <c r="J81" i="51"/>
  <c r="K81" i="51" s="1"/>
  <c r="L81" i="51" s="1"/>
  <c r="M81" i="51" s="1"/>
  <c r="M84" i="51"/>
  <c r="N84" i="51" s="1"/>
  <c r="G75" i="51"/>
  <c r="H75" i="51" s="1"/>
  <c r="I75" i="51" s="1"/>
  <c r="J75" i="51" s="1"/>
  <c r="K75" i="51" s="1"/>
  <c r="L75" i="51" s="1"/>
  <c r="M75" i="51" s="1"/>
  <c r="I79" i="51"/>
  <c r="J79" i="51" s="1"/>
  <c r="K79" i="51" s="1"/>
  <c r="L79" i="51" s="1"/>
  <c r="M79" i="51" s="1"/>
  <c r="I80" i="51"/>
  <c r="J80" i="51" s="1"/>
  <c r="K80" i="51" s="1"/>
  <c r="L80" i="51" s="1"/>
  <c r="M80" i="51" s="1"/>
  <c r="F77" i="51"/>
  <c r="G77" i="51" s="1"/>
  <c r="H77" i="51" s="1"/>
  <c r="I77" i="51" s="1"/>
  <c r="J77" i="51" s="1"/>
  <c r="K77" i="51" s="1"/>
  <c r="L77" i="51" s="1"/>
  <c r="M77" i="51" s="1"/>
  <c r="L83" i="51"/>
  <c r="M83" i="51" s="1"/>
  <c r="C4" i="51"/>
  <c r="C61" i="51"/>
  <c r="N5" i="51"/>
  <c r="C5" i="57"/>
  <c r="C60" i="51"/>
  <c r="B59" i="51"/>
  <c r="B22" i="50"/>
  <c r="C43" i="50"/>
  <c r="D21" i="40"/>
  <c r="D15" i="40"/>
  <c r="D24" i="44"/>
  <c r="R3" i="45"/>
  <c r="B57" i="45"/>
  <c r="B56" i="45"/>
  <c r="C4" i="52" l="1"/>
  <c r="D13" i="74"/>
  <c r="N17" i="74"/>
  <c r="B16" i="74"/>
  <c r="N16" i="74" s="1"/>
  <c r="N18" i="74" s="1"/>
  <c r="C13" i="74"/>
  <c r="N14" i="74"/>
  <c r="B13" i="74"/>
  <c r="N17" i="28"/>
  <c r="N16" i="28"/>
  <c r="B10" i="27"/>
  <c r="B5" i="27"/>
  <c r="D25" i="40"/>
  <c r="D22" i="40" s="1"/>
  <c r="R3" i="67"/>
  <c r="C56" i="68"/>
  <c r="R3" i="68"/>
  <c r="S3" i="68" s="1"/>
  <c r="B79" i="67"/>
  <c r="B8" i="39"/>
  <c r="B9" i="39" s="1"/>
  <c r="M3" i="67"/>
  <c r="M58" i="67" s="1"/>
  <c r="B80" i="68"/>
  <c r="E3" i="67"/>
  <c r="E56" i="67" s="1"/>
  <c r="D80" i="68"/>
  <c r="B80" i="67"/>
  <c r="D80" i="3"/>
  <c r="K56" i="68"/>
  <c r="B74" i="67"/>
  <c r="D75" i="3"/>
  <c r="B81" i="68"/>
  <c r="C3" i="67"/>
  <c r="C58" i="67" s="1"/>
  <c r="F3" i="67"/>
  <c r="F56" i="67" s="1"/>
  <c r="C79" i="67"/>
  <c r="F57" i="68"/>
  <c r="D81" i="68"/>
  <c r="C78" i="67"/>
  <c r="K3" i="67"/>
  <c r="K55" i="67" s="1"/>
  <c r="B75" i="68"/>
  <c r="D75" i="68"/>
  <c r="C80" i="67"/>
  <c r="B79" i="3"/>
  <c r="D78" i="67"/>
  <c r="B52" i="68"/>
  <c r="N3" i="67"/>
  <c r="P3" i="67" s="1"/>
  <c r="Q3" i="67" s="1"/>
  <c r="G3" i="67"/>
  <c r="G51" i="67" s="1"/>
  <c r="D79" i="67"/>
  <c r="B79" i="68"/>
  <c r="B78" i="67"/>
  <c r="B3" i="67"/>
  <c r="B56" i="67" s="1"/>
  <c r="C81" i="68"/>
  <c r="L3" i="67"/>
  <c r="L55" i="67" s="1"/>
  <c r="D3" i="67"/>
  <c r="D58" i="67" s="1"/>
  <c r="I3" i="67"/>
  <c r="I58" i="67" s="1"/>
  <c r="L59" i="68"/>
  <c r="C79" i="68"/>
  <c r="C80" i="68"/>
  <c r="H3" i="67"/>
  <c r="H58" i="67" s="1"/>
  <c r="J3" i="67"/>
  <c r="D74" i="67"/>
  <c r="D79" i="68"/>
  <c r="N90" i="51"/>
  <c r="N43" i="39"/>
  <c r="B26" i="46"/>
  <c r="I32" i="23"/>
  <c r="J32" i="18"/>
  <c r="M3" i="3"/>
  <c r="E3" i="3"/>
  <c r="L3" i="3"/>
  <c r="D3" i="3"/>
  <c r="K3" i="3"/>
  <c r="C3" i="3"/>
  <c r="C57" i="3" s="1"/>
  <c r="J3" i="3"/>
  <c r="B3" i="3"/>
  <c r="B59" i="3" s="1"/>
  <c r="I3" i="3"/>
  <c r="N5" i="27"/>
  <c r="H3" i="3"/>
  <c r="N3" i="3"/>
  <c r="F3" i="3"/>
  <c r="R3" i="3"/>
  <c r="G3" i="3"/>
  <c r="B25" i="40"/>
  <c r="B22" i="40" s="1"/>
  <c r="B23" i="40"/>
  <c r="G31" i="19"/>
  <c r="G40" i="19"/>
  <c r="C8" i="21"/>
  <c r="C34" i="21"/>
  <c r="B7" i="45"/>
  <c r="D79" i="3"/>
  <c r="N4" i="49"/>
  <c r="L32" i="21"/>
  <c r="B75" i="3"/>
  <c r="I32" i="20"/>
  <c r="I8" i="20"/>
  <c r="G40" i="21"/>
  <c r="G31" i="21"/>
  <c r="D8" i="21"/>
  <c r="D34" i="21"/>
  <c r="N62" i="51"/>
  <c r="N43" i="54"/>
  <c r="F31" i="21"/>
  <c r="J34" i="23"/>
  <c r="J8" i="23"/>
  <c r="F19" i="39"/>
  <c r="E22" i="3"/>
  <c r="E22" i="46" s="1"/>
  <c r="R3" i="44"/>
  <c r="J3" i="44"/>
  <c r="B3" i="44"/>
  <c r="B52" i="44" s="1"/>
  <c r="I3" i="44"/>
  <c r="E3" i="44"/>
  <c r="H3" i="44"/>
  <c r="M3" i="44"/>
  <c r="G3" i="44"/>
  <c r="N3" i="44"/>
  <c r="C2" i="63" s="1"/>
  <c r="F3" i="44"/>
  <c r="N4" i="44"/>
  <c r="K3" i="44"/>
  <c r="C3" i="44"/>
  <c r="C56" i="44" s="1"/>
  <c r="D3" i="44"/>
  <c r="L3" i="44"/>
  <c r="H32" i="18"/>
  <c r="S9" i="46"/>
  <c r="G8" i="23"/>
  <c r="G34" i="23"/>
  <c r="B80" i="3"/>
  <c r="E34" i="21"/>
  <c r="E8" i="21"/>
  <c r="D31" i="21"/>
  <c r="D40" i="21"/>
  <c r="E32" i="21"/>
  <c r="E20" i="40"/>
  <c r="E17" i="40" s="1"/>
  <c r="C25" i="40"/>
  <c r="C22" i="40" s="1"/>
  <c r="C23" i="40"/>
  <c r="D34" i="23"/>
  <c r="D8" i="23"/>
  <c r="C7" i="45"/>
  <c r="L8" i="23"/>
  <c r="L34" i="23"/>
  <c r="H14" i="63"/>
  <c r="D7" i="45"/>
  <c r="L40" i="19"/>
  <c r="L31" i="19"/>
  <c r="J31" i="21"/>
  <c r="J40" i="21"/>
  <c r="F32" i="19"/>
  <c r="D32" i="18"/>
  <c r="D68" i="53"/>
  <c r="D31" i="23"/>
  <c r="D40" i="23"/>
  <c r="C80" i="3"/>
  <c r="J40" i="23"/>
  <c r="J31" i="23"/>
  <c r="L32" i="19"/>
  <c r="H34" i="21"/>
  <c r="H8" i="21"/>
  <c r="C32" i="18"/>
  <c r="B81" i="3"/>
  <c r="B24" i="44"/>
  <c r="O38" i="44"/>
  <c r="O34" i="44"/>
  <c r="N4" i="50"/>
  <c r="N67" i="53"/>
  <c r="M4" i="57"/>
  <c r="N57" i="54"/>
  <c r="N60" i="54"/>
  <c r="N18" i="27"/>
  <c r="N29" i="39"/>
  <c r="B6" i="39"/>
  <c r="B5" i="39"/>
  <c r="O33" i="44"/>
  <c r="O40" i="44" s="1"/>
  <c r="B20" i="40"/>
  <c r="D20" i="40"/>
  <c r="D17" i="40" s="1"/>
  <c r="J4" i="44"/>
  <c r="N14" i="40"/>
  <c r="N28" i="39"/>
  <c r="N26" i="40"/>
  <c r="L4" i="57"/>
  <c r="F39" i="47"/>
  <c r="E64" i="47"/>
  <c r="F64" i="47" s="1"/>
  <c r="G64" i="47" s="1"/>
  <c r="H64" i="47" s="1"/>
  <c r="I64" i="47" s="1"/>
  <c r="J64" i="47" s="1"/>
  <c r="K64" i="47" s="1"/>
  <c r="L64" i="47" s="1"/>
  <c r="M64" i="47" s="1"/>
  <c r="K4" i="57"/>
  <c r="M26" i="46"/>
  <c r="D6" i="45"/>
  <c r="R3" i="46"/>
  <c r="N46" i="53"/>
  <c r="N56" i="54"/>
  <c r="B22" i="55"/>
  <c r="B26" i="56"/>
  <c r="G79" i="47"/>
  <c r="H79" i="47" s="1"/>
  <c r="I79" i="47" s="1"/>
  <c r="J79" i="47" s="1"/>
  <c r="K79" i="47" s="1"/>
  <c r="L79" i="47" s="1"/>
  <c r="M79" i="47" s="1"/>
  <c r="E55" i="53"/>
  <c r="F55" i="53" s="1"/>
  <c r="G55" i="53" s="1"/>
  <c r="H55" i="53" s="1"/>
  <c r="I55" i="53" s="1"/>
  <c r="J55" i="53" s="1"/>
  <c r="K55" i="53" s="1"/>
  <c r="L55" i="53" s="1"/>
  <c r="M55" i="53" s="1"/>
  <c r="F30" i="53"/>
  <c r="E31" i="49"/>
  <c r="F31" i="49" s="1"/>
  <c r="G31" i="49" s="1"/>
  <c r="H31" i="49" s="1"/>
  <c r="I31" i="49" s="1"/>
  <c r="J31" i="49" s="1"/>
  <c r="K31" i="49" s="1"/>
  <c r="L31" i="49" s="1"/>
  <c r="M31" i="49" s="1"/>
  <c r="H34" i="50"/>
  <c r="I34" i="50" s="1"/>
  <c r="J34" i="50" s="1"/>
  <c r="K34" i="50" s="1"/>
  <c r="L34" i="50" s="1"/>
  <c r="M34" i="50" s="1"/>
  <c r="B18" i="49"/>
  <c r="I35" i="49"/>
  <c r="J35" i="49" s="1"/>
  <c r="K35" i="49" s="1"/>
  <c r="L35" i="49" s="1"/>
  <c r="M35" i="49" s="1"/>
  <c r="E59" i="56"/>
  <c r="F59" i="56" s="1"/>
  <c r="G59" i="56" s="1"/>
  <c r="H59" i="56" s="1"/>
  <c r="I59" i="56" s="1"/>
  <c r="J59" i="56" s="1"/>
  <c r="K59" i="56" s="1"/>
  <c r="L59" i="56" s="1"/>
  <c r="M59" i="56" s="1"/>
  <c r="C42" i="49"/>
  <c r="C22" i="49" s="1"/>
  <c r="C19" i="49" s="1"/>
  <c r="D43" i="49"/>
  <c r="N37" i="56"/>
  <c r="K37" i="56"/>
  <c r="L37" i="56" s="1"/>
  <c r="M37" i="56" s="1"/>
  <c r="K40" i="23"/>
  <c r="K31" i="23"/>
  <c r="E46" i="50"/>
  <c r="F21" i="50"/>
  <c r="D48" i="47"/>
  <c r="E48" i="47" s="1"/>
  <c r="F48" i="47" s="1"/>
  <c r="G48" i="47" s="1"/>
  <c r="H48" i="47" s="1"/>
  <c r="I48" i="47" s="1"/>
  <c r="J48" i="47" s="1"/>
  <c r="K48" i="47" s="1"/>
  <c r="L48" i="47" s="1"/>
  <c r="M48" i="47" s="1"/>
  <c r="B28" i="55"/>
  <c r="C29" i="55"/>
  <c r="D30" i="50"/>
  <c r="E30" i="50" s="1"/>
  <c r="F30" i="50" s="1"/>
  <c r="G30" i="50" s="1"/>
  <c r="H30" i="50" s="1"/>
  <c r="I30" i="50" s="1"/>
  <c r="J30" i="50" s="1"/>
  <c r="K30" i="50" s="1"/>
  <c r="L30" i="50" s="1"/>
  <c r="M30" i="50" s="1"/>
  <c r="H72" i="53"/>
  <c r="I72" i="53" s="1"/>
  <c r="J72" i="53" s="1"/>
  <c r="K72" i="53" s="1"/>
  <c r="L72" i="53" s="1"/>
  <c r="M72" i="53" s="1"/>
  <c r="I34" i="53"/>
  <c r="F32" i="49"/>
  <c r="G32" i="49" s="1"/>
  <c r="H32" i="49" s="1"/>
  <c r="I32" i="49" s="1"/>
  <c r="J32" i="49" s="1"/>
  <c r="K32" i="49" s="1"/>
  <c r="L32" i="49" s="1"/>
  <c r="M32" i="49" s="1"/>
  <c r="B8" i="21"/>
  <c r="B34" i="21"/>
  <c r="E31" i="50"/>
  <c r="F31" i="50" s="1"/>
  <c r="G31" i="50" s="1"/>
  <c r="H31" i="50" s="1"/>
  <c r="I31" i="50" s="1"/>
  <c r="J31" i="50" s="1"/>
  <c r="K31" i="50" s="1"/>
  <c r="L31" i="50" s="1"/>
  <c r="M31" i="50" s="1"/>
  <c r="F32" i="18"/>
  <c r="I31" i="21"/>
  <c r="I40" i="21"/>
  <c r="B35" i="19"/>
  <c r="B8" i="19"/>
  <c r="K37" i="50"/>
  <c r="L37" i="50" s="1"/>
  <c r="M37" i="50" s="1"/>
  <c r="J4" i="57"/>
  <c r="N41" i="53"/>
  <c r="D43" i="55"/>
  <c r="C42" i="55"/>
  <c r="C22" i="55" s="1"/>
  <c r="C19" i="55" s="1"/>
  <c r="M39" i="56"/>
  <c r="N39" i="56" s="1"/>
  <c r="J36" i="50"/>
  <c r="K36" i="50" s="1"/>
  <c r="L36" i="50" s="1"/>
  <c r="M36" i="50" s="1"/>
  <c r="B36" i="47"/>
  <c r="D29" i="49"/>
  <c r="C28" i="49"/>
  <c r="C18" i="49" s="1"/>
  <c r="C15" i="49" s="1"/>
  <c r="D59" i="55"/>
  <c r="E25" i="55"/>
  <c r="B22" i="49"/>
  <c r="K34" i="23"/>
  <c r="K8" i="23"/>
  <c r="E45" i="50"/>
  <c r="F45" i="50" s="1"/>
  <c r="G45" i="50" s="1"/>
  <c r="H45" i="50" s="1"/>
  <c r="I45" i="50" s="1"/>
  <c r="J45" i="50" s="1"/>
  <c r="K45" i="50" s="1"/>
  <c r="L45" i="50" s="1"/>
  <c r="M45" i="50" s="1"/>
  <c r="F61" i="49"/>
  <c r="G25" i="49"/>
  <c r="B31" i="23"/>
  <c r="B40" i="23"/>
  <c r="E60" i="50"/>
  <c r="F25" i="50"/>
  <c r="E32" i="19"/>
  <c r="F40" i="23"/>
  <c r="F31" i="23"/>
  <c r="M8" i="21"/>
  <c r="M34" i="21"/>
  <c r="B40" i="19"/>
  <c r="B31" i="19"/>
  <c r="B37" i="47"/>
  <c r="E6" i="44"/>
  <c r="B74" i="51"/>
  <c r="G4" i="57"/>
  <c r="I73" i="52"/>
  <c r="N59" i="54"/>
  <c r="J36" i="56"/>
  <c r="K36" i="56" s="1"/>
  <c r="L36" i="56" s="1"/>
  <c r="M36" i="56" s="1"/>
  <c r="E31" i="56"/>
  <c r="F31" i="56" s="1"/>
  <c r="G31" i="56" s="1"/>
  <c r="H31" i="56" s="1"/>
  <c r="I31" i="56" s="1"/>
  <c r="J31" i="56" s="1"/>
  <c r="K31" i="56" s="1"/>
  <c r="L31" i="56" s="1"/>
  <c r="M31" i="56" s="1"/>
  <c r="I35" i="55"/>
  <c r="J35" i="55" s="1"/>
  <c r="K35" i="55" s="1"/>
  <c r="L35" i="55" s="1"/>
  <c r="M35" i="55" s="1"/>
  <c r="C46" i="47"/>
  <c r="C36" i="47" s="1"/>
  <c r="C33" i="47" s="1"/>
  <c r="D47" i="47"/>
  <c r="D58" i="55"/>
  <c r="E58" i="55" s="1"/>
  <c r="F58" i="55" s="1"/>
  <c r="G58" i="55" s="1"/>
  <c r="H58" i="55" s="1"/>
  <c r="I58" i="55" s="1"/>
  <c r="J58" i="55" s="1"/>
  <c r="K58" i="55" s="1"/>
  <c r="L58" i="55" s="1"/>
  <c r="M58" i="55" s="1"/>
  <c r="N4" i="56"/>
  <c r="L38" i="50"/>
  <c r="M38" i="50" s="1"/>
  <c r="H31" i="18"/>
  <c r="H40" i="18"/>
  <c r="I31" i="23"/>
  <c r="I40" i="23"/>
  <c r="H32" i="20"/>
  <c r="H8" i="20"/>
  <c r="B28" i="50"/>
  <c r="C29" i="50"/>
  <c r="C6" i="45"/>
  <c r="F60" i="49"/>
  <c r="G60" i="49" s="1"/>
  <c r="H60" i="49" s="1"/>
  <c r="I60" i="49" s="1"/>
  <c r="J60" i="49" s="1"/>
  <c r="K60" i="49" s="1"/>
  <c r="L60" i="49" s="1"/>
  <c r="M60" i="49" s="1"/>
  <c r="N60" i="49" s="1"/>
  <c r="M31" i="23"/>
  <c r="M40" i="23"/>
  <c r="K8" i="21"/>
  <c r="K34" i="21"/>
  <c r="B34" i="23"/>
  <c r="B8" i="23"/>
  <c r="E59" i="50"/>
  <c r="F59" i="50" s="1"/>
  <c r="G59" i="50" s="1"/>
  <c r="H59" i="50" s="1"/>
  <c r="I59" i="50" s="1"/>
  <c r="J59" i="50" s="1"/>
  <c r="K59" i="50" s="1"/>
  <c r="L59" i="50" s="1"/>
  <c r="M59" i="50" s="1"/>
  <c r="J8" i="20"/>
  <c r="J32" i="20"/>
  <c r="L32" i="18"/>
  <c r="G51" i="47"/>
  <c r="H51" i="47" s="1"/>
  <c r="I51" i="47" s="1"/>
  <c r="J51" i="47" s="1"/>
  <c r="K51" i="47" s="1"/>
  <c r="L51" i="47" s="1"/>
  <c r="M51" i="47" s="1"/>
  <c r="F40" i="19"/>
  <c r="F31" i="19"/>
  <c r="M31" i="21"/>
  <c r="M40" i="21"/>
  <c r="F34" i="23"/>
  <c r="F8" i="23"/>
  <c r="K31" i="19"/>
  <c r="K40" i="19"/>
  <c r="L34" i="21"/>
  <c r="L8" i="21"/>
  <c r="C60" i="47"/>
  <c r="D61" i="47"/>
  <c r="N63" i="47"/>
  <c r="N23" i="47"/>
  <c r="O7" i="57" s="1"/>
  <c r="D4" i="47"/>
  <c r="B6" i="57"/>
  <c r="B4" i="57" s="1"/>
  <c r="D54" i="53"/>
  <c r="E54" i="53" s="1"/>
  <c r="F54" i="53" s="1"/>
  <c r="G54" i="53" s="1"/>
  <c r="H54" i="53" s="1"/>
  <c r="I54" i="53" s="1"/>
  <c r="J54" i="53" s="1"/>
  <c r="K54" i="53" s="1"/>
  <c r="L54" i="53" s="1"/>
  <c r="M54" i="53" s="1"/>
  <c r="F32" i="56"/>
  <c r="G32" i="56" s="1"/>
  <c r="H32" i="56" s="1"/>
  <c r="I32" i="56" s="1"/>
  <c r="J32" i="56" s="1"/>
  <c r="K32" i="56" s="1"/>
  <c r="L32" i="56" s="1"/>
  <c r="M32" i="56" s="1"/>
  <c r="C56" i="55"/>
  <c r="C26" i="55" s="1"/>
  <c r="C23" i="55" s="1"/>
  <c r="D57" i="55"/>
  <c r="G33" i="50"/>
  <c r="H33" i="50" s="1"/>
  <c r="I33" i="50" s="1"/>
  <c r="J33" i="50" s="1"/>
  <c r="K33" i="50" s="1"/>
  <c r="L33" i="50" s="1"/>
  <c r="M33" i="50" s="1"/>
  <c r="H34" i="49"/>
  <c r="I34" i="49" s="1"/>
  <c r="J34" i="49" s="1"/>
  <c r="K34" i="49" s="1"/>
  <c r="L34" i="49" s="1"/>
  <c r="M34" i="49" s="1"/>
  <c r="C29" i="56"/>
  <c r="B28" i="56"/>
  <c r="J40" i="19"/>
  <c r="J31" i="19"/>
  <c r="D45" i="56"/>
  <c r="E21" i="56"/>
  <c r="J36" i="55"/>
  <c r="K36" i="55" s="1"/>
  <c r="L36" i="55" s="1"/>
  <c r="M36" i="55" s="1"/>
  <c r="N58" i="50"/>
  <c r="L38" i="56"/>
  <c r="M38" i="56" s="1"/>
  <c r="H35" i="47"/>
  <c r="G52" i="47"/>
  <c r="J40" i="18"/>
  <c r="J31" i="18"/>
  <c r="B40" i="18"/>
  <c r="B31" i="18"/>
  <c r="E31" i="21"/>
  <c r="E40" i="21"/>
  <c r="E31" i="19"/>
  <c r="E40" i="19"/>
  <c r="M32" i="21"/>
  <c r="F32" i="23"/>
  <c r="L40" i="21"/>
  <c r="L31" i="21"/>
  <c r="C42" i="56"/>
  <c r="C22" i="56" s="1"/>
  <c r="C19" i="56" s="1"/>
  <c r="D43" i="56"/>
  <c r="H40" i="19"/>
  <c r="H31" i="19"/>
  <c r="K32" i="19"/>
  <c r="B26" i="55"/>
  <c r="L38" i="55"/>
  <c r="M38" i="55" s="1"/>
  <c r="N38" i="55"/>
  <c r="B44" i="47"/>
  <c r="I40" i="19"/>
  <c r="I31" i="19"/>
  <c r="D44" i="56"/>
  <c r="E44" i="56" s="1"/>
  <c r="F44" i="56" s="1"/>
  <c r="G44" i="56" s="1"/>
  <c r="H44" i="56" s="1"/>
  <c r="I44" i="56" s="1"/>
  <c r="J44" i="56" s="1"/>
  <c r="K44" i="56" s="1"/>
  <c r="L44" i="56" s="1"/>
  <c r="M44" i="56" s="1"/>
  <c r="N4" i="54"/>
  <c r="N27" i="39"/>
  <c r="B29" i="45"/>
  <c r="B59" i="45" s="1"/>
  <c r="I35" i="56"/>
  <c r="J35" i="56" s="1"/>
  <c r="K35" i="56" s="1"/>
  <c r="L35" i="56" s="1"/>
  <c r="M35" i="56" s="1"/>
  <c r="N35" i="56"/>
  <c r="B22" i="56"/>
  <c r="G33" i="55"/>
  <c r="H33" i="55" s="1"/>
  <c r="I33" i="55" s="1"/>
  <c r="J33" i="55" s="1"/>
  <c r="K33" i="55" s="1"/>
  <c r="L33" i="55" s="1"/>
  <c r="M33" i="55" s="1"/>
  <c r="F32" i="55"/>
  <c r="G32" i="55" s="1"/>
  <c r="H32" i="55" s="1"/>
  <c r="I32" i="55" s="1"/>
  <c r="J32" i="55" s="1"/>
  <c r="K32" i="55" s="1"/>
  <c r="L32" i="55" s="1"/>
  <c r="M32" i="55" s="1"/>
  <c r="D44" i="50"/>
  <c r="E44" i="50" s="1"/>
  <c r="F44" i="50" s="1"/>
  <c r="G44" i="50" s="1"/>
  <c r="H44" i="50" s="1"/>
  <c r="I44" i="50" s="1"/>
  <c r="J44" i="50" s="1"/>
  <c r="K44" i="50" s="1"/>
  <c r="L44" i="50" s="1"/>
  <c r="M44" i="50" s="1"/>
  <c r="I35" i="50"/>
  <c r="J35" i="50" s="1"/>
  <c r="K35" i="50" s="1"/>
  <c r="L35" i="50" s="1"/>
  <c r="M35" i="50" s="1"/>
  <c r="C74" i="47"/>
  <c r="C44" i="47" s="1"/>
  <c r="C41" i="47" s="1"/>
  <c r="D75" i="47"/>
  <c r="B26" i="50"/>
  <c r="G33" i="49"/>
  <c r="H33" i="49" s="1"/>
  <c r="I33" i="49" s="1"/>
  <c r="J33" i="49" s="1"/>
  <c r="K33" i="49" s="1"/>
  <c r="L33" i="49" s="1"/>
  <c r="M33" i="49" s="1"/>
  <c r="C20" i="40"/>
  <c r="C17" i="40" s="1"/>
  <c r="D30" i="56"/>
  <c r="E30" i="56" s="1"/>
  <c r="F30" i="56" s="1"/>
  <c r="G30" i="56" s="1"/>
  <c r="H30" i="56" s="1"/>
  <c r="I30" i="56" s="1"/>
  <c r="J30" i="56" s="1"/>
  <c r="K30" i="56" s="1"/>
  <c r="L30" i="56" s="1"/>
  <c r="M30" i="56" s="1"/>
  <c r="B23" i="49"/>
  <c r="D45" i="49"/>
  <c r="E21" i="49"/>
  <c r="G32" i="19"/>
  <c r="D31" i="19"/>
  <c r="B32" i="19"/>
  <c r="G33" i="56"/>
  <c r="H33" i="56" s="1"/>
  <c r="I33" i="56" s="1"/>
  <c r="J33" i="56" s="1"/>
  <c r="K33" i="56" s="1"/>
  <c r="L33" i="56" s="1"/>
  <c r="M33" i="56" s="1"/>
  <c r="C6" i="44"/>
  <c r="O6" i="57"/>
  <c r="N43" i="53"/>
  <c r="N44" i="55"/>
  <c r="D44" i="55"/>
  <c r="E44" i="55" s="1"/>
  <c r="F44" i="55" s="1"/>
  <c r="G44" i="55" s="1"/>
  <c r="H44" i="55" s="1"/>
  <c r="I44" i="55" s="1"/>
  <c r="J44" i="55" s="1"/>
  <c r="K44" i="55" s="1"/>
  <c r="L44" i="55" s="1"/>
  <c r="M44" i="55" s="1"/>
  <c r="H34" i="56"/>
  <c r="I34" i="56" s="1"/>
  <c r="J34" i="56" s="1"/>
  <c r="K34" i="56" s="1"/>
  <c r="L34" i="56" s="1"/>
  <c r="M34" i="56" s="1"/>
  <c r="N34" i="56"/>
  <c r="D77" i="47"/>
  <c r="M39" i="55"/>
  <c r="N39" i="55" s="1"/>
  <c r="C56" i="49"/>
  <c r="D57" i="49"/>
  <c r="E49" i="47"/>
  <c r="F49" i="47" s="1"/>
  <c r="G49" i="47" s="1"/>
  <c r="H49" i="47" s="1"/>
  <c r="I49" i="47" s="1"/>
  <c r="J49" i="47" s="1"/>
  <c r="K49" i="47" s="1"/>
  <c r="L49" i="47" s="1"/>
  <c r="M49" i="47" s="1"/>
  <c r="F32" i="50"/>
  <c r="G32" i="50" s="1"/>
  <c r="H32" i="50" s="1"/>
  <c r="I32" i="50" s="1"/>
  <c r="J32" i="50" s="1"/>
  <c r="K32" i="50" s="1"/>
  <c r="L32" i="50" s="1"/>
  <c r="M32" i="50" s="1"/>
  <c r="M39" i="50"/>
  <c r="N39" i="50" s="1"/>
  <c r="D30" i="55"/>
  <c r="E30" i="55" s="1"/>
  <c r="F30" i="55" s="1"/>
  <c r="G30" i="55" s="1"/>
  <c r="H30" i="55" s="1"/>
  <c r="I30" i="55" s="1"/>
  <c r="J30" i="55" s="1"/>
  <c r="K30" i="55" s="1"/>
  <c r="L30" i="55" s="1"/>
  <c r="M30" i="55" s="1"/>
  <c r="L38" i="49"/>
  <c r="M38" i="49" s="1"/>
  <c r="N78" i="47"/>
  <c r="J36" i="49"/>
  <c r="K36" i="49" s="1"/>
  <c r="L36" i="49" s="1"/>
  <c r="M36" i="49" s="1"/>
  <c r="K37" i="55"/>
  <c r="L37" i="55" s="1"/>
  <c r="M37" i="55" s="1"/>
  <c r="N37" i="55"/>
  <c r="C56" i="50"/>
  <c r="C26" i="50" s="1"/>
  <c r="C23" i="50" s="1"/>
  <c r="D57" i="50"/>
  <c r="E46" i="55"/>
  <c r="F21" i="55"/>
  <c r="M34" i="23"/>
  <c r="M8" i="23"/>
  <c r="D44" i="49"/>
  <c r="E44" i="49" s="1"/>
  <c r="F44" i="49" s="1"/>
  <c r="G44" i="49" s="1"/>
  <c r="H44" i="49" s="1"/>
  <c r="I44" i="49" s="1"/>
  <c r="J44" i="49" s="1"/>
  <c r="K44" i="49" s="1"/>
  <c r="L44" i="49" s="1"/>
  <c r="M44" i="49" s="1"/>
  <c r="N44" i="49"/>
  <c r="H34" i="19"/>
  <c r="H8" i="19"/>
  <c r="H32" i="19"/>
  <c r="F32" i="21"/>
  <c r="D58" i="56"/>
  <c r="E58" i="56" s="1"/>
  <c r="F58" i="56" s="1"/>
  <c r="G58" i="56" s="1"/>
  <c r="H58" i="56" s="1"/>
  <c r="I58" i="56" s="1"/>
  <c r="J58" i="56" s="1"/>
  <c r="K58" i="56" s="1"/>
  <c r="L58" i="56" s="1"/>
  <c r="M58" i="56" s="1"/>
  <c r="H34" i="55"/>
  <c r="I34" i="55" s="1"/>
  <c r="J34" i="55" s="1"/>
  <c r="K34" i="55" s="1"/>
  <c r="L34" i="55" s="1"/>
  <c r="M34" i="55" s="1"/>
  <c r="C56" i="56"/>
  <c r="C26" i="56" s="1"/>
  <c r="C23" i="56" s="1"/>
  <c r="D57" i="56"/>
  <c r="G80" i="47"/>
  <c r="H43" i="47"/>
  <c r="E31" i="55"/>
  <c r="F31" i="55" s="1"/>
  <c r="G31" i="55" s="1"/>
  <c r="H31" i="55" s="1"/>
  <c r="I31" i="55" s="1"/>
  <c r="J31" i="55" s="1"/>
  <c r="K31" i="55" s="1"/>
  <c r="L31" i="55" s="1"/>
  <c r="M31" i="55" s="1"/>
  <c r="M39" i="49"/>
  <c r="N39" i="49" s="1"/>
  <c r="N58" i="49"/>
  <c r="D58" i="49"/>
  <c r="E58" i="49" s="1"/>
  <c r="F58" i="49" s="1"/>
  <c r="G58" i="49" s="1"/>
  <c r="H58" i="49" s="1"/>
  <c r="I58" i="49" s="1"/>
  <c r="J58" i="49" s="1"/>
  <c r="K58" i="49" s="1"/>
  <c r="L58" i="49" s="1"/>
  <c r="M58" i="49" s="1"/>
  <c r="E60" i="56"/>
  <c r="F25" i="56"/>
  <c r="E59" i="49"/>
  <c r="F59" i="49" s="1"/>
  <c r="G59" i="49" s="1"/>
  <c r="H59" i="49" s="1"/>
  <c r="I59" i="49" s="1"/>
  <c r="J59" i="49" s="1"/>
  <c r="K59" i="49" s="1"/>
  <c r="L59" i="49" s="1"/>
  <c r="M59" i="49" s="1"/>
  <c r="K37" i="49"/>
  <c r="L37" i="49" s="1"/>
  <c r="M37" i="49" s="1"/>
  <c r="N37" i="49"/>
  <c r="N4" i="55"/>
  <c r="N76" i="47"/>
  <c r="E50" i="47"/>
  <c r="E4" i="47"/>
  <c r="E45" i="55"/>
  <c r="F45" i="55" s="1"/>
  <c r="G45" i="55" s="1"/>
  <c r="H45" i="55" s="1"/>
  <c r="I45" i="55" s="1"/>
  <c r="J45" i="55" s="1"/>
  <c r="K45" i="55" s="1"/>
  <c r="L45" i="55" s="1"/>
  <c r="M45" i="55" s="1"/>
  <c r="G34" i="21"/>
  <c r="G8" i="21"/>
  <c r="M32" i="23"/>
  <c r="M32" i="19"/>
  <c r="B32" i="18"/>
  <c r="F34" i="19"/>
  <c r="F8" i="19"/>
  <c r="M31" i="19"/>
  <c r="J34" i="19"/>
  <c r="J8" i="19"/>
  <c r="F8" i="21"/>
  <c r="F34" i="21"/>
  <c r="F26" i="46"/>
  <c r="E26" i="46"/>
  <c r="H26" i="46"/>
  <c r="L26" i="46"/>
  <c r="G26" i="46"/>
  <c r="J26" i="46"/>
  <c r="D4" i="57"/>
  <c r="N73" i="54"/>
  <c r="C65" i="54"/>
  <c r="C35" i="54" s="1"/>
  <c r="N69" i="54"/>
  <c r="N70" i="54"/>
  <c r="N71" i="52"/>
  <c r="N70" i="52"/>
  <c r="F4" i="57"/>
  <c r="N54" i="52"/>
  <c r="C38" i="52"/>
  <c r="C37" i="52" s="1"/>
  <c r="N4" i="52"/>
  <c r="H4" i="57"/>
  <c r="D27" i="46"/>
  <c r="C27" i="46"/>
  <c r="O38" i="45"/>
  <c r="O33" i="45"/>
  <c r="O40" i="45" s="1"/>
  <c r="O38" i="3"/>
  <c r="O33" i="3"/>
  <c r="O39" i="46"/>
  <c r="O33" i="46"/>
  <c r="O34" i="46" s="1"/>
  <c r="I26" i="46"/>
  <c r="K26" i="46"/>
  <c r="N26" i="44"/>
  <c r="B57" i="39"/>
  <c r="N56" i="39"/>
  <c r="R26" i="45" s="1"/>
  <c r="C26" i="45"/>
  <c r="N26" i="45" s="1"/>
  <c r="C26" i="3"/>
  <c r="N54" i="39"/>
  <c r="R26" i="3" s="1"/>
  <c r="N55" i="39"/>
  <c r="R26" i="44" s="1"/>
  <c r="E49" i="39"/>
  <c r="E48" i="39"/>
  <c r="E27" i="44" s="1"/>
  <c r="E47" i="39"/>
  <c r="B27" i="46"/>
  <c r="N44" i="39"/>
  <c r="B7" i="39"/>
  <c r="N45" i="39"/>
  <c r="C29" i="3"/>
  <c r="C81" i="3" s="1"/>
  <c r="C29" i="44"/>
  <c r="D30" i="39"/>
  <c r="C29" i="45"/>
  <c r="C59" i="45" s="1"/>
  <c r="C5" i="39"/>
  <c r="C7" i="39"/>
  <c r="C6" i="39"/>
  <c r="D10" i="39"/>
  <c r="E12" i="39"/>
  <c r="C57" i="39"/>
  <c r="N74" i="54"/>
  <c r="N66" i="54"/>
  <c r="D51" i="54"/>
  <c r="D31" i="54" s="1"/>
  <c r="D28" i="54" s="1"/>
  <c r="E52" i="54"/>
  <c r="N55" i="54"/>
  <c r="D65" i="54"/>
  <c r="D35" i="54" s="1"/>
  <c r="D32" i="54" s="1"/>
  <c r="E67" i="54"/>
  <c r="N72" i="54"/>
  <c r="N68" i="54"/>
  <c r="N71" i="54"/>
  <c r="H53" i="54"/>
  <c r="N58" i="54"/>
  <c r="N54" i="54"/>
  <c r="I4" i="57"/>
  <c r="N45" i="54"/>
  <c r="N40" i="54"/>
  <c r="N44" i="54"/>
  <c r="N41" i="54"/>
  <c r="N39" i="54"/>
  <c r="C38" i="54"/>
  <c r="B37" i="54"/>
  <c r="O5" i="57"/>
  <c r="E66" i="53"/>
  <c r="D65" i="53"/>
  <c r="D35" i="53" s="1"/>
  <c r="D32" i="53" s="1"/>
  <c r="N72" i="53"/>
  <c r="N71" i="53"/>
  <c r="E4" i="57"/>
  <c r="N69" i="53"/>
  <c r="N70" i="53"/>
  <c r="N55" i="53"/>
  <c r="N53" i="53"/>
  <c r="N40" i="53"/>
  <c r="N47" i="53"/>
  <c r="N44" i="53"/>
  <c r="N42" i="53"/>
  <c r="D39" i="53"/>
  <c r="E39" i="53" s="1"/>
  <c r="F39" i="53" s="1"/>
  <c r="G39" i="53" s="1"/>
  <c r="H39" i="53" s="1"/>
  <c r="I39" i="53" s="1"/>
  <c r="J39" i="53" s="1"/>
  <c r="K39" i="53" s="1"/>
  <c r="L39" i="53" s="1"/>
  <c r="M39" i="53" s="1"/>
  <c r="C37" i="53"/>
  <c r="C27" i="53" s="1"/>
  <c r="B31" i="53"/>
  <c r="C51" i="53"/>
  <c r="C31" i="53" s="1"/>
  <c r="C28" i="53" s="1"/>
  <c r="D52" i="53"/>
  <c r="E38" i="53"/>
  <c r="E67" i="52"/>
  <c r="F67" i="52" s="1"/>
  <c r="G67" i="52" s="1"/>
  <c r="H67" i="52" s="1"/>
  <c r="I67" i="52" s="1"/>
  <c r="J67" i="52" s="1"/>
  <c r="K67" i="52" s="1"/>
  <c r="L67" i="52" s="1"/>
  <c r="M67" i="52" s="1"/>
  <c r="L34" i="52"/>
  <c r="K75" i="52"/>
  <c r="L75" i="52" s="1"/>
  <c r="M75" i="52" s="1"/>
  <c r="N75" i="52" s="1"/>
  <c r="J74" i="52"/>
  <c r="H72" i="52"/>
  <c r="I72" i="52" s="1"/>
  <c r="J72" i="52" s="1"/>
  <c r="K72" i="52" s="1"/>
  <c r="L72" i="52" s="1"/>
  <c r="M72" i="52" s="1"/>
  <c r="F69" i="52"/>
  <c r="G69" i="52" s="1"/>
  <c r="H69" i="52" s="1"/>
  <c r="I69" i="52" s="1"/>
  <c r="J69" i="52" s="1"/>
  <c r="K69" i="52" s="1"/>
  <c r="L69" i="52" s="1"/>
  <c r="M69" i="52" s="1"/>
  <c r="J73" i="52"/>
  <c r="K73" i="52" s="1"/>
  <c r="L73" i="52" s="1"/>
  <c r="M73" i="52" s="1"/>
  <c r="N68" i="52"/>
  <c r="C6" i="57"/>
  <c r="C53" i="52"/>
  <c r="M62" i="52"/>
  <c r="N62" i="52" s="1"/>
  <c r="K60" i="52"/>
  <c r="L60" i="52" s="1"/>
  <c r="M60" i="52" s="1"/>
  <c r="J59" i="52"/>
  <c r="K59" i="52" s="1"/>
  <c r="L59" i="52" s="1"/>
  <c r="M59" i="52" s="1"/>
  <c r="L61" i="52"/>
  <c r="M61" i="52" s="1"/>
  <c r="F55" i="52"/>
  <c r="G55" i="52" s="1"/>
  <c r="H55" i="52" s="1"/>
  <c r="I55" i="52" s="1"/>
  <c r="J55" i="52" s="1"/>
  <c r="K55" i="52" s="1"/>
  <c r="L55" i="52" s="1"/>
  <c r="M55" i="52" s="1"/>
  <c r="G56" i="52"/>
  <c r="H56" i="52" s="1"/>
  <c r="I56" i="52" s="1"/>
  <c r="J56" i="52" s="1"/>
  <c r="K56" i="52" s="1"/>
  <c r="L56" i="52" s="1"/>
  <c r="M56" i="52" s="1"/>
  <c r="I58" i="52"/>
  <c r="J58" i="52" s="1"/>
  <c r="K58" i="52" s="1"/>
  <c r="L58" i="52" s="1"/>
  <c r="M58" i="52" s="1"/>
  <c r="H57" i="52"/>
  <c r="I57" i="52" s="1"/>
  <c r="J57" i="52" s="1"/>
  <c r="K57" i="52" s="1"/>
  <c r="L57" i="52" s="1"/>
  <c r="M57" i="52" s="1"/>
  <c r="F41" i="52"/>
  <c r="G41" i="52" s="1"/>
  <c r="H41" i="52" s="1"/>
  <c r="I41" i="52" s="1"/>
  <c r="J41" i="52" s="1"/>
  <c r="K41" i="52" s="1"/>
  <c r="L41" i="52" s="1"/>
  <c r="M41" i="52" s="1"/>
  <c r="H43" i="52"/>
  <c r="I43" i="52" s="1"/>
  <c r="J43" i="52" s="1"/>
  <c r="K43" i="52" s="1"/>
  <c r="L43" i="52" s="1"/>
  <c r="M43" i="52" s="1"/>
  <c r="L47" i="52"/>
  <c r="M47" i="52" s="1"/>
  <c r="G42" i="52"/>
  <c r="H42" i="52" s="1"/>
  <c r="I42" i="52" s="1"/>
  <c r="J42" i="52" s="1"/>
  <c r="K42" i="52" s="1"/>
  <c r="L42" i="52" s="1"/>
  <c r="M42" i="52" s="1"/>
  <c r="K46" i="52"/>
  <c r="L46" i="52" s="1"/>
  <c r="M46" i="52" s="1"/>
  <c r="E40" i="52"/>
  <c r="F40" i="52" s="1"/>
  <c r="G40" i="52" s="1"/>
  <c r="H40" i="52" s="1"/>
  <c r="I40" i="52" s="1"/>
  <c r="J40" i="52" s="1"/>
  <c r="K40" i="52" s="1"/>
  <c r="L40" i="52" s="1"/>
  <c r="M40" i="52" s="1"/>
  <c r="M48" i="52"/>
  <c r="N48" i="52" s="1"/>
  <c r="D39" i="52"/>
  <c r="E39" i="52" s="1"/>
  <c r="F39" i="52" s="1"/>
  <c r="G39" i="52" s="1"/>
  <c r="H39" i="52" s="1"/>
  <c r="I39" i="52" s="1"/>
  <c r="J39" i="52" s="1"/>
  <c r="K39" i="52" s="1"/>
  <c r="L39" i="52" s="1"/>
  <c r="M39" i="52" s="1"/>
  <c r="J45" i="52"/>
  <c r="K45" i="52" s="1"/>
  <c r="L45" i="52" s="1"/>
  <c r="M45" i="52" s="1"/>
  <c r="I44" i="52"/>
  <c r="J44" i="52" s="1"/>
  <c r="K44" i="52" s="1"/>
  <c r="L44" i="52" s="1"/>
  <c r="M44" i="52" s="1"/>
  <c r="N7" i="57"/>
  <c r="C66" i="52"/>
  <c r="B65" i="52"/>
  <c r="B24" i="52"/>
  <c r="B51" i="52"/>
  <c r="C52" i="52"/>
  <c r="F56" i="51"/>
  <c r="E91" i="51"/>
  <c r="N83" i="51"/>
  <c r="N79" i="51"/>
  <c r="N78" i="51"/>
  <c r="H48" i="51"/>
  <c r="G65" i="51"/>
  <c r="H65" i="51" s="1"/>
  <c r="I65" i="51" s="1"/>
  <c r="J65" i="51" s="1"/>
  <c r="K65" i="51" s="1"/>
  <c r="L65" i="51" s="1"/>
  <c r="M65" i="51" s="1"/>
  <c r="D89" i="51"/>
  <c r="E89" i="51" s="1"/>
  <c r="F89" i="51" s="1"/>
  <c r="G89" i="51" s="1"/>
  <c r="H89" i="51" s="1"/>
  <c r="I89" i="51" s="1"/>
  <c r="J89" i="51" s="1"/>
  <c r="K89" i="51" s="1"/>
  <c r="L89" i="51" s="1"/>
  <c r="M89" i="51" s="1"/>
  <c r="B57" i="51"/>
  <c r="D88" i="51"/>
  <c r="C87" i="51"/>
  <c r="C57" i="51" s="1"/>
  <c r="C54" i="51" s="1"/>
  <c r="E76" i="51"/>
  <c r="F76" i="51" s="1"/>
  <c r="G76" i="51" s="1"/>
  <c r="H76" i="51" s="1"/>
  <c r="I76" i="51" s="1"/>
  <c r="J76" i="51" s="1"/>
  <c r="K76" i="51" s="1"/>
  <c r="L76" i="51" s="1"/>
  <c r="M76" i="51" s="1"/>
  <c r="N80" i="51"/>
  <c r="N75" i="51"/>
  <c r="N81" i="51"/>
  <c r="C74" i="51"/>
  <c r="B73" i="51"/>
  <c r="N4" i="51"/>
  <c r="N77" i="51"/>
  <c r="N82" i="51"/>
  <c r="B49" i="51"/>
  <c r="N5" i="57"/>
  <c r="C59" i="51"/>
  <c r="C49" i="51" s="1"/>
  <c r="C46" i="51" s="1"/>
  <c r="D60" i="51"/>
  <c r="D61" i="51"/>
  <c r="E61" i="51" s="1"/>
  <c r="F61" i="51" s="1"/>
  <c r="G61" i="51" s="1"/>
  <c r="H61" i="51" s="1"/>
  <c r="I61" i="51" s="1"/>
  <c r="J61" i="51" s="1"/>
  <c r="K61" i="51" s="1"/>
  <c r="L61" i="51" s="1"/>
  <c r="M61" i="51" s="1"/>
  <c r="N64" i="51"/>
  <c r="B19" i="50"/>
  <c r="D43" i="50"/>
  <c r="C42" i="50"/>
  <c r="E21" i="40"/>
  <c r="E15" i="40"/>
  <c r="D13" i="40"/>
  <c r="C57" i="45"/>
  <c r="C56" i="67" l="1"/>
  <c r="C56" i="45"/>
  <c r="C59" i="44"/>
  <c r="C57" i="44"/>
  <c r="B11" i="28"/>
  <c r="B11" i="74"/>
  <c r="N13" i="74"/>
  <c r="N15" i="74" s="1"/>
  <c r="B7" i="44"/>
  <c r="B35" i="44" s="1"/>
  <c r="B8" i="28"/>
  <c r="N18" i="28"/>
  <c r="B7" i="27"/>
  <c r="C5" i="27"/>
  <c r="C10" i="27"/>
  <c r="D19" i="40"/>
  <c r="D16" i="40" s="1"/>
  <c r="B59" i="44"/>
  <c r="B56" i="44"/>
  <c r="B54" i="44"/>
  <c r="B57" i="44"/>
  <c r="C55" i="67"/>
  <c r="M52" i="68"/>
  <c r="M55" i="67"/>
  <c r="C57" i="68"/>
  <c r="M59" i="68"/>
  <c r="M56" i="68"/>
  <c r="M54" i="68"/>
  <c r="M57" i="68"/>
  <c r="D52" i="68"/>
  <c r="D59" i="68"/>
  <c r="D57" i="68"/>
  <c r="F58" i="67"/>
  <c r="C8" i="39"/>
  <c r="D8" i="39" s="1"/>
  <c r="N55" i="67"/>
  <c r="P55" i="67" s="1"/>
  <c r="Q55" i="67" s="1"/>
  <c r="F51" i="67"/>
  <c r="G58" i="67"/>
  <c r="G56" i="67"/>
  <c r="N58" i="67"/>
  <c r="P58" i="67" s="1"/>
  <c r="Q58" i="67" s="1"/>
  <c r="S3" i="67"/>
  <c r="N56" i="67"/>
  <c r="P56" i="67" s="1"/>
  <c r="Q56" i="67" s="1"/>
  <c r="C59" i="68"/>
  <c r="D56" i="68"/>
  <c r="F55" i="67"/>
  <c r="K57" i="68"/>
  <c r="K51" i="67"/>
  <c r="J51" i="67"/>
  <c r="F52" i="68"/>
  <c r="F59" i="68"/>
  <c r="K56" i="67"/>
  <c r="K58" i="67"/>
  <c r="F56" i="68"/>
  <c r="L51" i="67"/>
  <c r="H55" i="67"/>
  <c r="G55" i="67"/>
  <c r="H56" i="67"/>
  <c r="P3" i="68"/>
  <c r="Q3" i="68" s="1"/>
  <c r="E58" i="67"/>
  <c r="J58" i="67"/>
  <c r="G52" i="68"/>
  <c r="H51" i="67"/>
  <c r="G59" i="68"/>
  <c r="H57" i="68"/>
  <c r="J55" i="67"/>
  <c r="H59" i="68"/>
  <c r="H56" i="68"/>
  <c r="B55" i="67"/>
  <c r="K52" i="68"/>
  <c r="B58" i="67"/>
  <c r="N59" i="68"/>
  <c r="P59" i="68" s="1"/>
  <c r="Q59" i="68" s="1"/>
  <c r="M51" i="67"/>
  <c r="B51" i="67"/>
  <c r="N56" i="68"/>
  <c r="P56" i="68" s="1"/>
  <c r="Q56" i="68" s="1"/>
  <c r="M53" i="67"/>
  <c r="N57" i="68"/>
  <c r="P57" i="68" s="1"/>
  <c r="Q57" i="68" s="1"/>
  <c r="M56" i="67"/>
  <c r="H52" i="68"/>
  <c r="E59" i="68"/>
  <c r="I56" i="68"/>
  <c r="L57" i="68"/>
  <c r="E57" i="68"/>
  <c r="I52" i="68"/>
  <c r="I59" i="68"/>
  <c r="E56" i="68"/>
  <c r="L56" i="68"/>
  <c r="J52" i="68"/>
  <c r="J56" i="67"/>
  <c r="L52" i="68"/>
  <c r="E52" i="68"/>
  <c r="D55" i="67"/>
  <c r="I57" i="68"/>
  <c r="J57" i="68"/>
  <c r="D56" i="67"/>
  <c r="E55" i="67"/>
  <c r="B56" i="68"/>
  <c r="D51" i="67"/>
  <c r="B59" i="68"/>
  <c r="J56" i="68"/>
  <c r="J59" i="68"/>
  <c r="L58" i="67"/>
  <c r="G57" i="68"/>
  <c r="E51" i="67"/>
  <c r="B57" i="68"/>
  <c r="I55" i="67"/>
  <c r="L56" i="67"/>
  <c r="G56" i="68"/>
  <c r="I51" i="67"/>
  <c r="K59" i="68"/>
  <c r="C59" i="3"/>
  <c r="I56" i="67"/>
  <c r="C2" i="16"/>
  <c r="E11" i="16" s="1"/>
  <c r="B52" i="3"/>
  <c r="B2" i="22"/>
  <c r="B4" i="67"/>
  <c r="B4" i="68"/>
  <c r="C2" i="22"/>
  <c r="B2" i="16"/>
  <c r="B17" i="16" s="1"/>
  <c r="C2" i="17"/>
  <c r="E19" i="17" s="1"/>
  <c r="B56" i="3"/>
  <c r="C3" i="46"/>
  <c r="C58" i="46" s="1"/>
  <c r="B2" i="17"/>
  <c r="B19" i="17" s="1"/>
  <c r="N4" i="46"/>
  <c r="N4" i="67"/>
  <c r="P4" i="67" s="1"/>
  <c r="Q4" i="67" s="1"/>
  <c r="R4" i="68"/>
  <c r="N4" i="68"/>
  <c r="R4" i="67"/>
  <c r="D7" i="44"/>
  <c r="B57" i="3"/>
  <c r="B3" i="46"/>
  <c r="B58" i="46" s="1"/>
  <c r="C56" i="3"/>
  <c r="C79" i="3"/>
  <c r="C7" i="44"/>
  <c r="N32" i="55"/>
  <c r="E68" i="53"/>
  <c r="F68" i="53" s="1"/>
  <c r="G68" i="53" s="1"/>
  <c r="H68" i="53" s="1"/>
  <c r="I68" i="53" s="1"/>
  <c r="J68" i="53" s="1"/>
  <c r="K68" i="53" s="1"/>
  <c r="L68" i="53" s="1"/>
  <c r="M68" i="53" s="1"/>
  <c r="N68" i="53"/>
  <c r="D36" i="45"/>
  <c r="D35" i="45"/>
  <c r="B36" i="45"/>
  <c r="B35" i="45"/>
  <c r="N30" i="55"/>
  <c r="N38" i="56"/>
  <c r="N35" i="55"/>
  <c r="N35" i="49"/>
  <c r="E7" i="45"/>
  <c r="E7" i="44"/>
  <c r="H15" i="63"/>
  <c r="H26" i="63"/>
  <c r="N3" i="46"/>
  <c r="B2" i="63"/>
  <c r="N31" i="55"/>
  <c r="N31" i="56"/>
  <c r="B19" i="40"/>
  <c r="B16" i="40" s="1"/>
  <c r="B17" i="40"/>
  <c r="B11" i="40"/>
  <c r="G19" i="39"/>
  <c r="F22" i="3"/>
  <c r="F17" i="39"/>
  <c r="P26" i="44"/>
  <c r="Q26" i="44" s="1"/>
  <c r="N36" i="49"/>
  <c r="N30" i="56"/>
  <c r="N36" i="55"/>
  <c r="N34" i="49"/>
  <c r="N58" i="55"/>
  <c r="N32" i="49"/>
  <c r="C36" i="45"/>
  <c r="C35" i="45"/>
  <c r="N38" i="50"/>
  <c r="N45" i="50"/>
  <c r="N35" i="50"/>
  <c r="N33" i="50"/>
  <c r="N37" i="50"/>
  <c r="N65" i="51"/>
  <c r="N67" i="52"/>
  <c r="N54" i="53"/>
  <c r="N64" i="47"/>
  <c r="C25" i="45"/>
  <c r="C55" i="45" s="1"/>
  <c r="B12" i="44"/>
  <c r="K4" i="44"/>
  <c r="N6" i="57"/>
  <c r="P6" i="57" s="1"/>
  <c r="G39" i="47"/>
  <c r="F65" i="47"/>
  <c r="N51" i="47"/>
  <c r="N48" i="47"/>
  <c r="N79" i="47"/>
  <c r="D2" i="16"/>
  <c r="D17" i="16" s="1"/>
  <c r="D2" i="17"/>
  <c r="D57" i="3"/>
  <c r="D2" i="22"/>
  <c r="D56" i="3"/>
  <c r="D52" i="3"/>
  <c r="G61" i="49"/>
  <c r="H61" i="49" s="1"/>
  <c r="I61" i="49" s="1"/>
  <c r="J61" i="49" s="1"/>
  <c r="K61" i="49" s="1"/>
  <c r="L61" i="49" s="1"/>
  <c r="M61" i="49" s="1"/>
  <c r="N56" i="52"/>
  <c r="F60" i="56"/>
  <c r="G60" i="56" s="1"/>
  <c r="H60" i="56" s="1"/>
  <c r="I60" i="56" s="1"/>
  <c r="J60" i="56" s="1"/>
  <c r="K60" i="56" s="1"/>
  <c r="L60" i="56" s="1"/>
  <c r="M60" i="56" s="1"/>
  <c r="H80" i="47"/>
  <c r="I80" i="47" s="1"/>
  <c r="J80" i="47" s="1"/>
  <c r="K80" i="47" s="1"/>
  <c r="L80" i="47" s="1"/>
  <c r="M80" i="47" s="1"/>
  <c r="N80" i="47" s="1"/>
  <c r="C26" i="49"/>
  <c r="C19" i="40"/>
  <c r="C16" i="40" s="1"/>
  <c r="N33" i="55"/>
  <c r="H52" i="47"/>
  <c r="I52" i="47" s="1"/>
  <c r="J52" i="47" s="1"/>
  <c r="K52" i="47" s="1"/>
  <c r="L52" i="47" s="1"/>
  <c r="M52" i="47" s="1"/>
  <c r="E45" i="56"/>
  <c r="F45" i="56" s="1"/>
  <c r="G45" i="56" s="1"/>
  <c r="H45" i="56" s="1"/>
  <c r="I45" i="56" s="1"/>
  <c r="J45" i="56" s="1"/>
  <c r="K45" i="56" s="1"/>
  <c r="L45" i="56" s="1"/>
  <c r="M45" i="56" s="1"/>
  <c r="N45" i="56"/>
  <c r="B18" i="50"/>
  <c r="D6" i="44"/>
  <c r="N34" i="50"/>
  <c r="B23" i="56"/>
  <c r="P7" i="57"/>
  <c r="N73" i="52"/>
  <c r="D56" i="56"/>
  <c r="E57" i="56"/>
  <c r="N33" i="56"/>
  <c r="B19" i="56"/>
  <c r="I35" i="47"/>
  <c r="H53" i="47"/>
  <c r="N59" i="50"/>
  <c r="E29" i="49"/>
  <c r="D28" i="49"/>
  <c r="D18" i="49" s="1"/>
  <c r="D15" i="49" s="1"/>
  <c r="E43" i="55"/>
  <c r="D42" i="55"/>
  <c r="D22" i="55" s="1"/>
  <c r="D19" i="55" s="1"/>
  <c r="N31" i="50"/>
  <c r="G21" i="50"/>
  <c r="F47" i="50"/>
  <c r="B19" i="55"/>
  <c r="E46" i="49"/>
  <c r="F21" i="49"/>
  <c r="N4" i="47"/>
  <c r="O4" i="57" s="1"/>
  <c r="D60" i="47"/>
  <c r="D40" i="47" s="1"/>
  <c r="D37" i="47" s="1"/>
  <c r="E61" i="47"/>
  <c r="F61" i="50"/>
  <c r="G25" i="50"/>
  <c r="N30" i="50"/>
  <c r="F46" i="50"/>
  <c r="G46" i="50" s="1"/>
  <c r="H46" i="50" s="1"/>
  <c r="I46" i="50" s="1"/>
  <c r="J46" i="50" s="1"/>
  <c r="K46" i="50" s="1"/>
  <c r="L46" i="50" s="1"/>
  <c r="M46" i="50" s="1"/>
  <c r="N59" i="56"/>
  <c r="N31" i="49"/>
  <c r="I43" i="47"/>
  <c r="H81" i="47"/>
  <c r="E59" i="55"/>
  <c r="F59" i="55" s="1"/>
  <c r="G59" i="55" s="1"/>
  <c r="H59" i="55" s="1"/>
  <c r="I59" i="55" s="1"/>
  <c r="J59" i="55" s="1"/>
  <c r="K59" i="55" s="1"/>
  <c r="L59" i="55" s="1"/>
  <c r="M59" i="55" s="1"/>
  <c r="D42" i="49"/>
  <c r="E43" i="49"/>
  <c r="N45" i="55"/>
  <c r="F47" i="55"/>
  <c r="G21" i="55"/>
  <c r="E77" i="47"/>
  <c r="F77" i="47" s="1"/>
  <c r="G77" i="47" s="1"/>
  <c r="H77" i="47" s="1"/>
  <c r="I77" i="47" s="1"/>
  <c r="J77" i="47" s="1"/>
  <c r="K77" i="47" s="1"/>
  <c r="L77" i="47" s="1"/>
  <c r="M77" i="47" s="1"/>
  <c r="E45" i="49"/>
  <c r="F45" i="49" s="1"/>
  <c r="G45" i="49" s="1"/>
  <c r="H45" i="49" s="1"/>
  <c r="I45" i="49" s="1"/>
  <c r="J45" i="49" s="1"/>
  <c r="K45" i="49" s="1"/>
  <c r="L45" i="49" s="1"/>
  <c r="M45" i="49" s="1"/>
  <c r="N45" i="49"/>
  <c r="N33" i="49"/>
  <c r="B41" i="47"/>
  <c r="B18" i="56"/>
  <c r="E57" i="55"/>
  <c r="D56" i="55"/>
  <c r="C40" i="47"/>
  <c r="F60" i="50"/>
  <c r="G60" i="50" s="1"/>
  <c r="H60" i="50" s="1"/>
  <c r="I60" i="50" s="1"/>
  <c r="J60" i="50" s="1"/>
  <c r="K60" i="50" s="1"/>
  <c r="L60" i="50" s="1"/>
  <c r="M60" i="50" s="1"/>
  <c r="B33" i="47"/>
  <c r="F56" i="53"/>
  <c r="G30" i="53"/>
  <c r="B23" i="55"/>
  <c r="N34" i="55"/>
  <c r="F46" i="55"/>
  <c r="G46" i="55" s="1"/>
  <c r="H46" i="55" s="1"/>
  <c r="I46" i="55" s="1"/>
  <c r="J46" i="55" s="1"/>
  <c r="K46" i="55" s="1"/>
  <c r="L46" i="55" s="1"/>
  <c r="M46" i="55" s="1"/>
  <c r="N32" i="50"/>
  <c r="N44" i="50"/>
  <c r="D42" i="56"/>
  <c r="E43" i="56"/>
  <c r="B19" i="49"/>
  <c r="D56" i="49"/>
  <c r="D26" i="49" s="1"/>
  <c r="D23" i="49" s="1"/>
  <c r="E57" i="49"/>
  <c r="E46" i="56"/>
  <c r="F21" i="56"/>
  <c r="C28" i="50"/>
  <c r="C18" i="50" s="1"/>
  <c r="C15" i="50" s="1"/>
  <c r="D29" i="50"/>
  <c r="B29" i="46"/>
  <c r="F50" i="47"/>
  <c r="G50" i="47" s="1"/>
  <c r="H50" i="47" s="1"/>
  <c r="I50" i="47" s="1"/>
  <c r="J50" i="47" s="1"/>
  <c r="K50" i="47" s="1"/>
  <c r="L50" i="47" s="1"/>
  <c r="M50" i="47" s="1"/>
  <c r="N50" i="47" s="1"/>
  <c r="N59" i="49"/>
  <c r="N58" i="56"/>
  <c r="B6" i="44"/>
  <c r="N38" i="49"/>
  <c r="N49" i="47"/>
  <c r="B23" i="50"/>
  <c r="C28" i="56"/>
  <c r="C18" i="56" s="1"/>
  <c r="C15" i="56" s="1"/>
  <c r="C14" i="56" s="1"/>
  <c r="D29" i="56"/>
  <c r="N32" i="56"/>
  <c r="N36" i="56"/>
  <c r="N36" i="50"/>
  <c r="C28" i="55"/>
  <c r="C18" i="55" s="1"/>
  <c r="C15" i="55" s="1"/>
  <c r="C14" i="55" s="1"/>
  <c r="D29" i="55"/>
  <c r="B15" i="49"/>
  <c r="F61" i="56"/>
  <c r="G25" i="56"/>
  <c r="D74" i="47"/>
  <c r="E75" i="47"/>
  <c r="I25" i="45"/>
  <c r="E57" i="50"/>
  <c r="D56" i="50"/>
  <c r="D26" i="50" s="1"/>
  <c r="D23" i="50" s="1"/>
  <c r="N44" i="56"/>
  <c r="E47" i="47"/>
  <c r="D46" i="47"/>
  <c r="D36" i="47" s="1"/>
  <c r="D33" i="47" s="1"/>
  <c r="G62" i="49"/>
  <c r="H25" i="49"/>
  <c r="E60" i="55"/>
  <c r="F25" i="55"/>
  <c r="J34" i="53"/>
  <c r="I73" i="53"/>
  <c r="B18" i="55"/>
  <c r="S26" i="44"/>
  <c r="N72" i="52"/>
  <c r="D38" i="52"/>
  <c r="E38" i="52" s="1"/>
  <c r="C4" i="57"/>
  <c r="N4" i="57" s="1"/>
  <c r="N60" i="52"/>
  <c r="N44" i="52"/>
  <c r="S36" i="46"/>
  <c r="S37" i="46" s="1"/>
  <c r="O40" i="3"/>
  <c r="O41" i="46"/>
  <c r="P26" i="45"/>
  <c r="Q26" i="45" s="1"/>
  <c r="S26" i="45"/>
  <c r="C26" i="46"/>
  <c r="N26" i="46" s="1"/>
  <c r="N26" i="3"/>
  <c r="F47" i="39"/>
  <c r="F27" i="3" s="1"/>
  <c r="F48" i="39"/>
  <c r="F27" i="44" s="1"/>
  <c r="F49" i="39"/>
  <c r="F27" i="45" s="1"/>
  <c r="E27" i="45"/>
  <c r="E27" i="3"/>
  <c r="D35" i="39"/>
  <c r="D34" i="39"/>
  <c r="D36" i="39"/>
  <c r="C29" i="46"/>
  <c r="E30" i="39"/>
  <c r="E10" i="39"/>
  <c r="F12" i="39"/>
  <c r="D16" i="39"/>
  <c r="D15" i="39"/>
  <c r="D14" i="39"/>
  <c r="D4" i="39"/>
  <c r="F52" i="54"/>
  <c r="E51" i="54"/>
  <c r="E31" i="54" s="1"/>
  <c r="E28" i="54" s="1"/>
  <c r="C32" i="54"/>
  <c r="F67" i="54"/>
  <c r="E65" i="54"/>
  <c r="I53" i="54"/>
  <c r="C37" i="54"/>
  <c r="C27" i="54" s="1"/>
  <c r="C24" i="54" s="1"/>
  <c r="D38" i="54"/>
  <c r="B27" i="54"/>
  <c r="P5" i="57"/>
  <c r="F66" i="53"/>
  <c r="E65" i="53"/>
  <c r="E35" i="53" s="1"/>
  <c r="E32" i="53" s="1"/>
  <c r="D37" i="53"/>
  <c r="D27" i="53" s="1"/>
  <c r="D24" i="53" s="1"/>
  <c r="N39" i="53"/>
  <c r="D51" i="53"/>
  <c r="D31" i="53" s="1"/>
  <c r="D28" i="53" s="1"/>
  <c r="E52" i="53"/>
  <c r="B28" i="53"/>
  <c r="F38" i="53"/>
  <c r="E37" i="53"/>
  <c r="E27" i="53" s="1"/>
  <c r="E24" i="53" s="1"/>
  <c r="C24" i="53"/>
  <c r="K74" i="52"/>
  <c r="L74" i="52" s="1"/>
  <c r="M74" i="52" s="1"/>
  <c r="M34" i="52"/>
  <c r="M77" i="52" s="1"/>
  <c r="N77" i="52" s="1"/>
  <c r="L76" i="52"/>
  <c r="N69" i="52"/>
  <c r="D53" i="52"/>
  <c r="E53" i="52" s="1"/>
  <c r="F53" i="52" s="1"/>
  <c r="G53" i="52" s="1"/>
  <c r="H53" i="52" s="1"/>
  <c r="I53" i="52" s="1"/>
  <c r="J53" i="52" s="1"/>
  <c r="K53" i="52" s="1"/>
  <c r="L53" i="52" s="1"/>
  <c r="M53" i="52" s="1"/>
  <c r="N57" i="52"/>
  <c r="N61" i="52"/>
  <c r="N58" i="52"/>
  <c r="N55" i="52"/>
  <c r="N59" i="52"/>
  <c r="N45" i="52"/>
  <c r="N46" i="52"/>
  <c r="N47" i="52"/>
  <c r="N41" i="52"/>
  <c r="N39" i="52"/>
  <c r="N40" i="52"/>
  <c r="N43" i="52"/>
  <c r="N42" i="52"/>
  <c r="C65" i="52"/>
  <c r="C35" i="52" s="1"/>
  <c r="C32" i="52" s="1"/>
  <c r="D66" i="52"/>
  <c r="B35" i="52"/>
  <c r="C27" i="52"/>
  <c r="B31" i="52"/>
  <c r="C51" i="52"/>
  <c r="C31" i="52" s="1"/>
  <c r="C28" i="52" s="1"/>
  <c r="D52" i="52"/>
  <c r="G56" i="51"/>
  <c r="F92" i="51"/>
  <c r="F91" i="51"/>
  <c r="G91" i="51" s="1"/>
  <c r="H91" i="51" s="1"/>
  <c r="I91" i="51" s="1"/>
  <c r="J91" i="51" s="1"/>
  <c r="K91" i="51" s="1"/>
  <c r="L91" i="51" s="1"/>
  <c r="M91" i="51" s="1"/>
  <c r="I48" i="51"/>
  <c r="H66" i="51"/>
  <c r="N61" i="51"/>
  <c r="N89" i="51"/>
  <c r="B54" i="51"/>
  <c r="D87" i="51"/>
  <c r="E88" i="51"/>
  <c r="B53" i="51"/>
  <c r="N76" i="51"/>
  <c r="C73" i="51"/>
  <c r="C53" i="51" s="1"/>
  <c r="C50" i="51" s="1"/>
  <c r="C45" i="51" s="1"/>
  <c r="D74" i="51"/>
  <c r="D59" i="51"/>
  <c r="D49" i="51" s="1"/>
  <c r="D46" i="51" s="1"/>
  <c r="E60" i="51"/>
  <c r="B46" i="51"/>
  <c r="C22" i="50"/>
  <c r="D42" i="50"/>
  <c r="D22" i="50" s="1"/>
  <c r="D19" i="50" s="1"/>
  <c r="E43" i="50"/>
  <c r="F21" i="40"/>
  <c r="E19" i="40"/>
  <c r="E16" i="40" s="1"/>
  <c r="E25" i="40"/>
  <c r="E22" i="40" s="1"/>
  <c r="E13" i="40"/>
  <c r="F15" i="40"/>
  <c r="D25" i="45"/>
  <c r="D55" i="45" s="1"/>
  <c r="E24" i="44"/>
  <c r="E6" i="45"/>
  <c r="F20" i="40"/>
  <c r="F17" i="40" s="1"/>
  <c r="F6" i="44"/>
  <c r="D56" i="44"/>
  <c r="D52" i="44"/>
  <c r="D54" i="44"/>
  <c r="D57" i="44"/>
  <c r="G20" i="40"/>
  <c r="G17" i="40" s="1"/>
  <c r="E2" i="16"/>
  <c r="E56" i="3"/>
  <c r="E2" i="17"/>
  <c r="E2" i="22"/>
  <c r="E52" i="3"/>
  <c r="C24" i="40"/>
  <c r="C28" i="45"/>
  <c r="D28" i="45"/>
  <c r="D24" i="40"/>
  <c r="B24" i="40"/>
  <c r="B28" i="45"/>
  <c r="D57" i="45"/>
  <c r="D56" i="45"/>
  <c r="D3" i="46"/>
  <c r="D52" i="45"/>
  <c r="B12" i="45"/>
  <c r="B36" i="44" l="1"/>
  <c r="C11" i="28"/>
  <c r="C10" i="28" s="1"/>
  <c r="C11" i="74"/>
  <c r="B10" i="74"/>
  <c r="B7" i="74" s="1"/>
  <c r="B8" i="74"/>
  <c r="B5" i="74" s="1"/>
  <c r="B4" i="27"/>
  <c r="B6" i="27" s="1"/>
  <c r="C7" i="27"/>
  <c r="B5" i="28"/>
  <c r="B7" i="28"/>
  <c r="B9" i="28" s="1"/>
  <c r="D5" i="27"/>
  <c r="D10" i="27"/>
  <c r="C9" i="39"/>
  <c r="C12" i="16"/>
  <c r="E10" i="16"/>
  <c r="I23" i="16"/>
  <c r="G11" i="16"/>
  <c r="M22" i="16"/>
  <c r="K11" i="16"/>
  <c r="M12" i="16"/>
  <c r="C21" i="16"/>
  <c r="I9" i="16"/>
  <c r="I15" i="16" s="1"/>
  <c r="G22" i="16"/>
  <c r="G10" i="16"/>
  <c r="M21" i="16"/>
  <c r="C10" i="16"/>
  <c r="G14" i="16"/>
  <c r="E20" i="16"/>
  <c r="G21" i="16"/>
  <c r="I13" i="16"/>
  <c r="C9" i="16"/>
  <c r="C15" i="16" s="1"/>
  <c r="C36" i="16" s="1"/>
  <c r="G24" i="16"/>
  <c r="C17" i="16"/>
  <c r="M11" i="16"/>
  <c r="I19" i="16"/>
  <c r="G9" i="16"/>
  <c r="G15" i="16" s="1"/>
  <c r="C25" i="16"/>
  <c r="C38" i="16" s="1"/>
  <c r="K13" i="16"/>
  <c r="E21" i="16"/>
  <c r="K23" i="16"/>
  <c r="K12" i="16"/>
  <c r="G12" i="16"/>
  <c r="E19" i="16"/>
  <c r="K24" i="16"/>
  <c r="C24" i="16"/>
  <c r="C16" i="16"/>
  <c r="C18" i="16" s="1"/>
  <c r="C37" i="16" s="1"/>
  <c r="M19" i="16"/>
  <c r="G13" i="16"/>
  <c r="K14" i="16"/>
  <c r="M13" i="16"/>
  <c r="M9" i="16"/>
  <c r="M15" i="16" s="1"/>
  <c r="K21" i="16"/>
  <c r="I22" i="16"/>
  <c r="M23" i="16"/>
  <c r="G20" i="16"/>
  <c r="I11" i="16"/>
  <c r="K20" i="16"/>
  <c r="E23" i="16"/>
  <c r="I10" i="16"/>
  <c r="E24" i="16"/>
  <c r="K19" i="16"/>
  <c r="M10" i="16"/>
  <c r="I14" i="16"/>
  <c r="E13" i="16"/>
  <c r="E22" i="16"/>
  <c r="M24" i="16"/>
  <c r="C19" i="16"/>
  <c r="E9" i="16"/>
  <c r="E15" i="16" s="1"/>
  <c r="E36" i="16" s="1"/>
  <c r="M14" i="16"/>
  <c r="E12" i="16"/>
  <c r="K22" i="16"/>
  <c r="C13" i="16"/>
  <c r="C23" i="16"/>
  <c r="C20" i="16"/>
  <c r="G19" i="16"/>
  <c r="E14" i="16"/>
  <c r="M20" i="16"/>
  <c r="I12" i="16"/>
  <c r="C27" i="16"/>
  <c r="C40" i="16" s="1"/>
  <c r="C14" i="16"/>
  <c r="G23" i="16"/>
  <c r="I24" i="16"/>
  <c r="I20" i="16"/>
  <c r="C11" i="16"/>
  <c r="I21" i="16"/>
  <c r="K10" i="16"/>
  <c r="C22" i="16"/>
  <c r="K9" i="16"/>
  <c r="K15" i="16" s="1"/>
  <c r="H24" i="16"/>
  <c r="D24" i="16"/>
  <c r="D27" i="16"/>
  <c r="D40" i="16" s="1"/>
  <c r="B21" i="16"/>
  <c r="H19" i="16"/>
  <c r="L19" i="16"/>
  <c r="B10" i="16"/>
  <c r="D20" i="16"/>
  <c r="F19" i="16"/>
  <c r="J10" i="16"/>
  <c r="J20" i="16"/>
  <c r="D19" i="16"/>
  <c r="B24" i="17"/>
  <c r="B22" i="16"/>
  <c r="J19" i="16"/>
  <c r="C14" i="68"/>
  <c r="L23" i="16"/>
  <c r="D23" i="16"/>
  <c r="F24" i="16"/>
  <c r="B25" i="16"/>
  <c r="B38" i="16" s="1"/>
  <c r="L24" i="16"/>
  <c r="J24" i="16"/>
  <c r="L9" i="16"/>
  <c r="L15" i="16" s="1"/>
  <c r="H11" i="16"/>
  <c r="B19" i="16"/>
  <c r="J13" i="16"/>
  <c r="J11" i="16"/>
  <c r="D13" i="16"/>
  <c r="F9" i="16"/>
  <c r="F15" i="16" s="1"/>
  <c r="L12" i="16"/>
  <c r="F13" i="16"/>
  <c r="B27" i="16"/>
  <c r="B40" i="16" s="1"/>
  <c r="B20" i="16"/>
  <c r="H13" i="16"/>
  <c r="D14" i="16"/>
  <c r="L21" i="16"/>
  <c r="F12" i="16"/>
  <c r="H21" i="16"/>
  <c r="D10" i="16"/>
  <c r="L20" i="16"/>
  <c r="S4" i="67"/>
  <c r="C60" i="46"/>
  <c r="L13" i="16"/>
  <c r="L14" i="16"/>
  <c r="J22" i="16"/>
  <c r="H14" i="16"/>
  <c r="D12" i="16"/>
  <c r="B12" i="16"/>
  <c r="D9" i="16"/>
  <c r="D15" i="16" s="1"/>
  <c r="D36" i="16" s="1"/>
  <c r="H22" i="16"/>
  <c r="F22" i="16"/>
  <c r="B24" i="16"/>
  <c r="B9" i="16"/>
  <c r="B15" i="16" s="1"/>
  <c r="B36" i="16" s="1"/>
  <c r="H12" i="16"/>
  <c r="D22" i="16"/>
  <c r="J12" i="16"/>
  <c r="B60" i="46"/>
  <c r="C24" i="17"/>
  <c r="L10" i="16"/>
  <c r="F23" i="16"/>
  <c r="S4" i="68"/>
  <c r="P4" i="68"/>
  <c r="Q4" i="68" s="1"/>
  <c r="B5" i="68"/>
  <c r="B5" i="67"/>
  <c r="F20" i="16"/>
  <c r="D11" i="16"/>
  <c r="J23" i="16"/>
  <c r="L22" i="16"/>
  <c r="F10" i="16"/>
  <c r="H10" i="16"/>
  <c r="H20" i="16"/>
  <c r="J9" i="16"/>
  <c r="J15" i="16" s="1"/>
  <c r="B23" i="16"/>
  <c r="D21" i="16"/>
  <c r="F21" i="16"/>
  <c r="H9" i="16"/>
  <c r="H15" i="16" s="1"/>
  <c r="F14" i="16"/>
  <c r="H23" i="16"/>
  <c r="B11" i="16"/>
  <c r="L11" i="16"/>
  <c r="B16" i="16"/>
  <c r="B18" i="16" s="1"/>
  <c r="B37" i="16" s="1"/>
  <c r="B13" i="16"/>
  <c r="J14" i="16"/>
  <c r="F11" i="16"/>
  <c r="B12" i="68"/>
  <c r="B12" i="67"/>
  <c r="C12" i="68"/>
  <c r="C12" i="67"/>
  <c r="C4" i="68"/>
  <c r="C4" i="67"/>
  <c r="D19" i="17"/>
  <c r="R4" i="46"/>
  <c r="B14" i="68"/>
  <c r="B12" i="3"/>
  <c r="B12" i="46" s="1"/>
  <c r="B14" i="16"/>
  <c r="J21" i="16"/>
  <c r="G2" i="63"/>
  <c r="I2" i="63" s="1"/>
  <c r="J2" i="63" s="1"/>
  <c r="B28" i="44"/>
  <c r="B58" i="44" s="1"/>
  <c r="B18" i="40"/>
  <c r="C11" i="40"/>
  <c r="F22" i="46"/>
  <c r="F19" i="17"/>
  <c r="R26" i="46"/>
  <c r="S26" i="46" s="1"/>
  <c r="H19" i="39"/>
  <c r="G22" i="3"/>
  <c r="G17" i="39"/>
  <c r="C12" i="3"/>
  <c r="F7" i="44"/>
  <c r="C35" i="44"/>
  <c r="C36" i="44"/>
  <c r="D35" i="44"/>
  <c r="D36" i="44"/>
  <c r="B10" i="40"/>
  <c r="B7" i="40" s="1"/>
  <c r="B8" i="40"/>
  <c r="B5" i="40" s="1"/>
  <c r="H27" i="63"/>
  <c r="H31" i="63"/>
  <c r="H35" i="63" s="1"/>
  <c r="H28" i="63"/>
  <c r="G7" i="44"/>
  <c r="B3" i="22"/>
  <c r="B3" i="17"/>
  <c r="B4" i="46"/>
  <c r="B3" i="16"/>
  <c r="B57" i="46"/>
  <c r="B53" i="46"/>
  <c r="N52" i="47"/>
  <c r="B13" i="3"/>
  <c r="B71" i="3" s="1"/>
  <c r="M4" i="44"/>
  <c r="L4" i="44"/>
  <c r="G65" i="47"/>
  <c r="H65" i="47" s="1"/>
  <c r="I65" i="47" s="1"/>
  <c r="J65" i="47" s="1"/>
  <c r="K65" i="47" s="1"/>
  <c r="L65" i="47" s="1"/>
  <c r="M65" i="47" s="1"/>
  <c r="H39" i="47"/>
  <c r="G66" i="47"/>
  <c r="N77" i="47"/>
  <c r="N25" i="45"/>
  <c r="D16" i="16"/>
  <c r="D18" i="16" s="1"/>
  <c r="D37" i="16" s="1"/>
  <c r="D25" i="16"/>
  <c r="D38" i="16" s="1"/>
  <c r="E57" i="3"/>
  <c r="N74" i="52"/>
  <c r="F47" i="47"/>
  <c r="E46" i="47"/>
  <c r="E36" i="47" s="1"/>
  <c r="E33" i="47" s="1"/>
  <c r="F75" i="47"/>
  <c r="E74" i="47"/>
  <c r="E44" i="47" s="1"/>
  <c r="E41" i="47" s="1"/>
  <c r="D28" i="56"/>
  <c r="D18" i="56" s="1"/>
  <c r="D15" i="56" s="1"/>
  <c r="E29" i="56"/>
  <c r="F46" i="56"/>
  <c r="G46" i="56" s="1"/>
  <c r="H46" i="56" s="1"/>
  <c r="I46" i="56" s="1"/>
  <c r="J46" i="56" s="1"/>
  <c r="K46" i="56" s="1"/>
  <c r="L46" i="56" s="1"/>
  <c r="M46" i="56" s="1"/>
  <c r="N46" i="56"/>
  <c r="D22" i="56"/>
  <c r="C37" i="47"/>
  <c r="N47" i="55"/>
  <c r="G47" i="55"/>
  <c r="H47" i="55" s="1"/>
  <c r="I47" i="55" s="1"/>
  <c r="J47" i="55" s="1"/>
  <c r="K47" i="55" s="1"/>
  <c r="L47" i="55" s="1"/>
  <c r="M47" i="55" s="1"/>
  <c r="N46" i="50"/>
  <c r="F61" i="47"/>
  <c r="E60" i="47"/>
  <c r="I53" i="47"/>
  <c r="J53" i="47" s="1"/>
  <c r="K53" i="47" s="1"/>
  <c r="L53" i="47" s="1"/>
  <c r="M53" i="47" s="1"/>
  <c r="B15" i="50"/>
  <c r="R25" i="45"/>
  <c r="E56" i="50"/>
  <c r="E26" i="50" s="1"/>
  <c r="F57" i="50"/>
  <c r="D44" i="47"/>
  <c r="B32" i="47"/>
  <c r="J35" i="47"/>
  <c r="I54" i="47"/>
  <c r="N61" i="49"/>
  <c r="F61" i="55"/>
  <c r="G25" i="55"/>
  <c r="G62" i="56"/>
  <c r="H25" i="56"/>
  <c r="E56" i="49"/>
  <c r="E26" i="49" s="1"/>
  <c r="E23" i="49" s="1"/>
  <c r="F57" i="49"/>
  <c r="N60" i="50"/>
  <c r="D26" i="55"/>
  <c r="I81" i="47"/>
  <c r="J81" i="47" s="1"/>
  <c r="K81" i="47" s="1"/>
  <c r="L81" i="47" s="1"/>
  <c r="M81" i="47" s="1"/>
  <c r="E42" i="55"/>
  <c r="F43" i="55"/>
  <c r="N60" i="56"/>
  <c r="F60" i="55"/>
  <c r="G60" i="55" s="1"/>
  <c r="H60" i="55" s="1"/>
  <c r="I60" i="55" s="1"/>
  <c r="J60" i="55" s="1"/>
  <c r="K60" i="55" s="1"/>
  <c r="L60" i="55" s="1"/>
  <c r="M60" i="55" s="1"/>
  <c r="N60" i="55"/>
  <c r="G61" i="56"/>
  <c r="H61" i="56" s="1"/>
  <c r="I61" i="56" s="1"/>
  <c r="J61" i="56" s="1"/>
  <c r="K61" i="56" s="1"/>
  <c r="L61" i="56" s="1"/>
  <c r="M61" i="56" s="1"/>
  <c r="F57" i="55"/>
  <c r="E56" i="55"/>
  <c r="E26" i="55" s="1"/>
  <c r="E23" i="55" s="1"/>
  <c r="J43" i="47"/>
  <c r="I82" i="47"/>
  <c r="F47" i="49"/>
  <c r="G21" i="49"/>
  <c r="F57" i="56"/>
  <c r="E56" i="56"/>
  <c r="E26" i="56" s="1"/>
  <c r="E23" i="56" s="1"/>
  <c r="N91" i="51"/>
  <c r="H63" i="49"/>
  <c r="I25" i="49"/>
  <c r="B15" i="56"/>
  <c r="F43" i="49"/>
  <c r="E42" i="49"/>
  <c r="E22" i="49" s="1"/>
  <c r="E19" i="49" s="1"/>
  <c r="G62" i="50"/>
  <c r="H25" i="50"/>
  <c r="F46" i="49"/>
  <c r="G46" i="49" s="1"/>
  <c r="H46" i="49" s="1"/>
  <c r="I46" i="49" s="1"/>
  <c r="J46" i="49" s="1"/>
  <c r="K46" i="49" s="1"/>
  <c r="L46" i="49" s="1"/>
  <c r="M46" i="49" s="1"/>
  <c r="D26" i="56"/>
  <c r="C23" i="49"/>
  <c r="C11" i="57" s="1"/>
  <c r="C32" i="45" s="1"/>
  <c r="B15" i="55"/>
  <c r="H62" i="49"/>
  <c r="I62" i="49" s="1"/>
  <c r="J62" i="49" s="1"/>
  <c r="K62" i="49" s="1"/>
  <c r="L62" i="49" s="1"/>
  <c r="M62" i="49" s="1"/>
  <c r="B14" i="49"/>
  <c r="E29" i="50"/>
  <c r="D28" i="50"/>
  <c r="D18" i="50" s="1"/>
  <c r="D15" i="50" s="1"/>
  <c r="D14" i="50" s="1"/>
  <c r="D22" i="49"/>
  <c r="G61" i="50"/>
  <c r="H61" i="50" s="1"/>
  <c r="I61" i="50" s="1"/>
  <c r="J61" i="50" s="1"/>
  <c r="K61" i="50" s="1"/>
  <c r="L61" i="50" s="1"/>
  <c r="M61" i="50" s="1"/>
  <c r="G47" i="50"/>
  <c r="H47" i="50" s="1"/>
  <c r="I47" i="50" s="1"/>
  <c r="J47" i="50" s="1"/>
  <c r="K47" i="50" s="1"/>
  <c r="L47" i="50" s="1"/>
  <c r="M47" i="50" s="1"/>
  <c r="F29" i="49"/>
  <c r="E28" i="49"/>
  <c r="J73" i="53"/>
  <c r="K73" i="53" s="1"/>
  <c r="L73" i="53" s="1"/>
  <c r="M73" i="53" s="1"/>
  <c r="D28" i="55"/>
  <c r="D18" i="55" s="1"/>
  <c r="D15" i="55" s="1"/>
  <c r="E29" i="55"/>
  <c r="N46" i="55"/>
  <c r="G57" i="53"/>
  <c r="H30" i="53"/>
  <c r="N59" i="55"/>
  <c r="H21" i="50"/>
  <c r="G48" i="50"/>
  <c r="K34" i="53"/>
  <c r="J74" i="53"/>
  <c r="K74" i="53" s="1"/>
  <c r="L74" i="53" s="1"/>
  <c r="M74" i="53" s="1"/>
  <c r="N74" i="53" s="1"/>
  <c r="F47" i="56"/>
  <c r="G21" i="56"/>
  <c r="E42" i="56"/>
  <c r="E22" i="56" s="1"/>
  <c r="E19" i="56" s="1"/>
  <c r="F43" i="56"/>
  <c r="G56" i="53"/>
  <c r="H56" i="53" s="1"/>
  <c r="I56" i="53" s="1"/>
  <c r="J56" i="53" s="1"/>
  <c r="K56" i="53" s="1"/>
  <c r="L56" i="53" s="1"/>
  <c r="M56" i="53" s="1"/>
  <c r="G48" i="55"/>
  <c r="H21" i="55"/>
  <c r="C23" i="54"/>
  <c r="D37" i="52"/>
  <c r="D27" i="52" s="1"/>
  <c r="D24" i="52" s="1"/>
  <c r="P4" i="57"/>
  <c r="F27" i="46"/>
  <c r="C57" i="46"/>
  <c r="S26" i="3"/>
  <c r="P26" i="3"/>
  <c r="Q26" i="3" s="1"/>
  <c r="P26" i="46"/>
  <c r="Q26" i="46" s="1"/>
  <c r="G47" i="39"/>
  <c r="G27" i="3" s="1"/>
  <c r="G49" i="39"/>
  <c r="G48" i="39"/>
  <c r="E27" i="46"/>
  <c r="D29" i="44"/>
  <c r="D29" i="3"/>
  <c r="D81" i="3" s="1"/>
  <c r="F30" i="39"/>
  <c r="D29" i="45"/>
  <c r="E35" i="39"/>
  <c r="E29" i="44" s="1"/>
  <c r="E59" i="44" s="1"/>
  <c r="E34" i="39"/>
  <c r="E29" i="3" s="1"/>
  <c r="E36" i="39"/>
  <c r="E29" i="45" s="1"/>
  <c r="E59" i="45" s="1"/>
  <c r="E15" i="39"/>
  <c r="E4" i="39"/>
  <c r="E57" i="39" s="1"/>
  <c r="E14" i="39"/>
  <c r="E16" i="39"/>
  <c r="D7" i="39"/>
  <c r="D5" i="39"/>
  <c r="D6" i="39"/>
  <c r="F10" i="39"/>
  <c r="G12" i="39"/>
  <c r="D57" i="39"/>
  <c r="G52" i="54"/>
  <c r="F51" i="54"/>
  <c r="F31" i="54" s="1"/>
  <c r="F28" i="54" s="1"/>
  <c r="G67" i="54"/>
  <c r="F65" i="54"/>
  <c r="F35" i="54" s="1"/>
  <c r="F32" i="54" s="1"/>
  <c r="E35" i="54"/>
  <c r="J53" i="54"/>
  <c r="D37" i="54"/>
  <c r="D27" i="54" s="1"/>
  <c r="D24" i="54" s="1"/>
  <c r="D23" i="54" s="1"/>
  <c r="E38" i="54"/>
  <c r="B24" i="54"/>
  <c r="D23" i="53"/>
  <c r="F65" i="53"/>
  <c r="F35" i="53" s="1"/>
  <c r="F32" i="53" s="1"/>
  <c r="G66" i="53"/>
  <c r="B23" i="53"/>
  <c r="E51" i="53"/>
  <c r="E31" i="53" s="1"/>
  <c r="F52" i="53"/>
  <c r="C23" i="53"/>
  <c r="F37" i="53"/>
  <c r="F27" i="53" s="1"/>
  <c r="G38" i="53"/>
  <c r="M76" i="52"/>
  <c r="N76" i="52" s="1"/>
  <c r="N53" i="52"/>
  <c r="D65" i="52"/>
  <c r="D35" i="52" s="1"/>
  <c r="D32" i="52" s="1"/>
  <c r="E66" i="52"/>
  <c r="B32" i="52"/>
  <c r="B11" i="57" s="1"/>
  <c r="C24" i="52"/>
  <c r="C23" i="52" s="1"/>
  <c r="E37" i="52"/>
  <c r="F38" i="52"/>
  <c r="B28" i="52"/>
  <c r="D51" i="52"/>
  <c r="E52" i="52"/>
  <c r="H56" i="51"/>
  <c r="G93" i="51"/>
  <c r="G92" i="51"/>
  <c r="H92" i="51" s="1"/>
  <c r="I92" i="51" s="1"/>
  <c r="J92" i="51" s="1"/>
  <c r="K92" i="51" s="1"/>
  <c r="L92" i="51" s="1"/>
  <c r="M92" i="51" s="1"/>
  <c r="J48" i="51"/>
  <c r="I67" i="51"/>
  <c r="I66" i="51"/>
  <c r="J66" i="51" s="1"/>
  <c r="K66" i="51" s="1"/>
  <c r="L66" i="51" s="1"/>
  <c r="M66" i="51" s="1"/>
  <c r="D57" i="51"/>
  <c r="F88" i="51"/>
  <c r="E87" i="51"/>
  <c r="E57" i="51" s="1"/>
  <c r="E54" i="51" s="1"/>
  <c r="D73" i="51"/>
  <c r="E74" i="51"/>
  <c r="B50" i="51"/>
  <c r="B45" i="51" s="1"/>
  <c r="E59" i="51"/>
  <c r="F60" i="51"/>
  <c r="C19" i="50"/>
  <c r="F43" i="50"/>
  <c r="E42" i="50"/>
  <c r="E22" i="50" s="1"/>
  <c r="E19" i="50" s="1"/>
  <c r="G21" i="40"/>
  <c r="G19" i="40" s="1"/>
  <c r="G16" i="40" s="1"/>
  <c r="F25" i="40"/>
  <c r="F22" i="40" s="1"/>
  <c r="E24" i="40"/>
  <c r="G15" i="40"/>
  <c r="F13" i="40"/>
  <c r="F24" i="44"/>
  <c r="F19" i="40"/>
  <c r="F16" i="40" s="1"/>
  <c r="E8" i="39"/>
  <c r="D9" i="39"/>
  <c r="H6" i="44"/>
  <c r="H20" i="40"/>
  <c r="H17" i="40" s="1"/>
  <c r="H7" i="44"/>
  <c r="G6" i="44"/>
  <c r="B44" i="44"/>
  <c r="E57" i="44"/>
  <c r="E54" i="44"/>
  <c r="E56" i="44"/>
  <c r="E52" i="44"/>
  <c r="F57" i="3"/>
  <c r="F2" i="16"/>
  <c r="F2" i="17"/>
  <c r="F2" i="22"/>
  <c r="F52" i="3"/>
  <c r="F56" i="3"/>
  <c r="E17" i="16"/>
  <c r="E25" i="16"/>
  <c r="E38" i="16" s="1"/>
  <c r="E27" i="16"/>
  <c r="E16" i="16"/>
  <c r="E18" i="16" s="1"/>
  <c r="E37" i="16" s="1"/>
  <c r="E35" i="44"/>
  <c r="E36" i="44"/>
  <c r="B58" i="45"/>
  <c r="D58" i="45"/>
  <c r="C58" i="45"/>
  <c r="E35" i="45"/>
  <c r="E36" i="45"/>
  <c r="F6" i="45"/>
  <c r="B14" i="45"/>
  <c r="E56" i="45"/>
  <c r="E57" i="45"/>
  <c r="E55" i="45"/>
  <c r="E3" i="46"/>
  <c r="E52" i="45"/>
  <c r="C12" i="45"/>
  <c r="B44" i="45"/>
  <c r="D57" i="46"/>
  <c r="D58" i="46"/>
  <c r="D53" i="46"/>
  <c r="N53" i="47" l="1"/>
  <c r="D11" i="28"/>
  <c r="D10" i="28" s="1"/>
  <c r="D11" i="74"/>
  <c r="C4" i="27"/>
  <c r="C6" i="27" s="1"/>
  <c r="B9" i="74"/>
  <c r="B4" i="74"/>
  <c r="B6" i="74" s="1"/>
  <c r="C10" i="74"/>
  <c r="C7" i="74" s="1"/>
  <c r="C8" i="74"/>
  <c r="C5" i="74" s="1"/>
  <c r="D7" i="27"/>
  <c r="B4" i="28"/>
  <c r="B6" i="28" s="1"/>
  <c r="C8" i="28"/>
  <c r="B14" i="67"/>
  <c r="B45" i="67" s="1"/>
  <c r="B14" i="3"/>
  <c r="B46" i="3" s="1"/>
  <c r="E5" i="27"/>
  <c r="E10" i="27"/>
  <c r="E7" i="27" s="1"/>
  <c r="C32" i="16"/>
  <c r="E32" i="16"/>
  <c r="M32" i="16"/>
  <c r="I32" i="16"/>
  <c r="K32" i="16"/>
  <c r="G32" i="16"/>
  <c r="C31" i="16"/>
  <c r="D32" i="16"/>
  <c r="L32" i="16"/>
  <c r="C14" i="67"/>
  <c r="C45" i="67" s="1"/>
  <c r="B31" i="16"/>
  <c r="F32" i="16"/>
  <c r="B32" i="16"/>
  <c r="J32" i="16"/>
  <c r="H32" i="16"/>
  <c r="C67" i="67"/>
  <c r="C43" i="67"/>
  <c r="B7" i="68"/>
  <c r="B7" i="67"/>
  <c r="B68" i="3"/>
  <c r="B44" i="3"/>
  <c r="B9" i="17"/>
  <c r="B6" i="67"/>
  <c r="B13" i="67"/>
  <c r="B13" i="68"/>
  <c r="B6" i="68"/>
  <c r="C5" i="67"/>
  <c r="C6" i="67" s="1"/>
  <c r="C5" i="68"/>
  <c r="C6" i="68" s="1"/>
  <c r="B43" i="67"/>
  <c r="B67" i="67"/>
  <c r="D12" i="68"/>
  <c r="D12" i="67"/>
  <c r="B46" i="68"/>
  <c r="B69" i="68"/>
  <c r="C44" i="68"/>
  <c r="C68" i="68"/>
  <c r="D4" i="68"/>
  <c r="D4" i="67"/>
  <c r="C69" i="68"/>
  <c r="C46" i="68"/>
  <c r="B27" i="67"/>
  <c r="B57" i="67" s="1"/>
  <c r="B28" i="68"/>
  <c r="B44" i="68"/>
  <c r="B68" i="68"/>
  <c r="G22" i="46"/>
  <c r="G19" i="17"/>
  <c r="N92" i="51"/>
  <c r="B9" i="57"/>
  <c r="N47" i="50"/>
  <c r="F7" i="45"/>
  <c r="B7" i="3"/>
  <c r="I19" i="39"/>
  <c r="H22" i="3"/>
  <c r="H17" i="39"/>
  <c r="B4" i="16"/>
  <c r="B5" i="16" s="1"/>
  <c r="B5" i="46"/>
  <c r="B6" i="46" s="1"/>
  <c r="B4" i="17"/>
  <c r="B4" i="22"/>
  <c r="B35" i="22" s="1"/>
  <c r="D11" i="40"/>
  <c r="N46" i="49"/>
  <c r="P25" i="45"/>
  <c r="Q25" i="45" s="1"/>
  <c r="D8" i="63"/>
  <c r="D9" i="63" s="1"/>
  <c r="C4" i="46"/>
  <c r="C3" i="16"/>
  <c r="C3" i="17"/>
  <c r="C3" i="22"/>
  <c r="C8" i="40"/>
  <c r="C5" i="40" s="1"/>
  <c r="C10" i="40"/>
  <c r="C7" i="40" s="1"/>
  <c r="C28" i="3" s="1"/>
  <c r="C58" i="3" s="1"/>
  <c r="C44" i="3"/>
  <c r="C68" i="3"/>
  <c r="C9" i="17"/>
  <c r="B6" i="16"/>
  <c r="B34" i="16" s="1"/>
  <c r="B28" i="16"/>
  <c r="B41" i="16" s="1"/>
  <c r="B26" i="16"/>
  <c r="B39" i="16" s="1"/>
  <c r="B7" i="16"/>
  <c r="D12" i="3"/>
  <c r="N73" i="53"/>
  <c r="C60" i="45"/>
  <c r="N65" i="47"/>
  <c r="D14" i="3"/>
  <c r="D69" i="3" s="1"/>
  <c r="C12" i="44"/>
  <c r="C44" i="44" s="1"/>
  <c r="D31" i="16"/>
  <c r="C14" i="45"/>
  <c r="B14" i="44"/>
  <c r="B46" i="44" s="1"/>
  <c r="H66" i="47"/>
  <c r="I66" i="47" s="1"/>
  <c r="J66" i="47" s="1"/>
  <c r="K66" i="47" s="1"/>
  <c r="L66" i="47" s="1"/>
  <c r="M66" i="47" s="1"/>
  <c r="I39" i="47"/>
  <c r="H67" i="47"/>
  <c r="N81" i="47"/>
  <c r="S25" i="45"/>
  <c r="E28" i="55"/>
  <c r="F29" i="55"/>
  <c r="G47" i="49"/>
  <c r="H47" i="49" s="1"/>
  <c r="I47" i="49" s="1"/>
  <c r="J47" i="49" s="1"/>
  <c r="K47" i="49" s="1"/>
  <c r="L47" i="49" s="1"/>
  <c r="M47" i="49" s="1"/>
  <c r="E22" i="55"/>
  <c r="H63" i="56"/>
  <c r="I25" i="56"/>
  <c r="G43" i="56"/>
  <c r="F42" i="56"/>
  <c r="F22" i="56" s="1"/>
  <c r="F19" i="56" s="1"/>
  <c r="L34" i="53"/>
  <c r="K75" i="53"/>
  <c r="B14" i="56"/>
  <c r="H62" i="56"/>
  <c r="I62" i="56" s="1"/>
  <c r="J62" i="56" s="1"/>
  <c r="K62" i="56" s="1"/>
  <c r="L62" i="56" s="1"/>
  <c r="M62" i="56" s="1"/>
  <c r="B14" i="50"/>
  <c r="E28" i="56"/>
  <c r="F29" i="56"/>
  <c r="H49" i="55"/>
  <c r="I21" i="55"/>
  <c r="J82" i="47"/>
  <c r="K82" i="47" s="1"/>
  <c r="L82" i="47" s="1"/>
  <c r="M82" i="47" s="1"/>
  <c r="N82" i="47"/>
  <c r="G62" i="55"/>
  <c r="H25" i="55"/>
  <c r="J54" i="47"/>
  <c r="K54" i="47" s="1"/>
  <c r="L54" i="47" s="1"/>
  <c r="M54" i="47" s="1"/>
  <c r="D41" i="47"/>
  <c r="C32" i="47"/>
  <c r="H48" i="55"/>
  <c r="I48" i="55" s="1"/>
  <c r="J48" i="55" s="1"/>
  <c r="K48" i="55" s="1"/>
  <c r="L48" i="55" s="1"/>
  <c r="M48" i="55" s="1"/>
  <c r="J83" i="47"/>
  <c r="K43" i="47"/>
  <c r="G61" i="55"/>
  <c r="H61" i="55" s="1"/>
  <c r="I61" i="55" s="1"/>
  <c r="J61" i="55" s="1"/>
  <c r="K61" i="55" s="1"/>
  <c r="L61" i="55" s="1"/>
  <c r="M61" i="55" s="1"/>
  <c r="K35" i="47"/>
  <c r="J55" i="47"/>
  <c r="F56" i="50"/>
  <c r="G57" i="50"/>
  <c r="N61" i="50"/>
  <c r="N62" i="49"/>
  <c r="C14" i="49"/>
  <c r="H63" i="50"/>
  <c r="I25" i="50"/>
  <c r="N61" i="56"/>
  <c r="D23" i="55"/>
  <c r="D14" i="55" s="1"/>
  <c r="E23" i="50"/>
  <c r="E40" i="47"/>
  <c r="G75" i="47"/>
  <c r="F74" i="47"/>
  <c r="G48" i="56"/>
  <c r="H21" i="56"/>
  <c r="H48" i="50"/>
  <c r="I48" i="50" s="1"/>
  <c r="J48" i="50" s="1"/>
  <c r="K48" i="50" s="1"/>
  <c r="L48" i="50" s="1"/>
  <c r="M48" i="50" s="1"/>
  <c r="H62" i="50"/>
  <c r="I62" i="50" s="1"/>
  <c r="J62" i="50" s="1"/>
  <c r="K62" i="50" s="1"/>
  <c r="L62" i="50" s="1"/>
  <c r="M62" i="50" s="1"/>
  <c r="G57" i="56"/>
  <c r="F56" i="56"/>
  <c r="G57" i="55"/>
  <c r="F56" i="55"/>
  <c r="G61" i="47"/>
  <c r="F60" i="47"/>
  <c r="F40" i="47" s="1"/>
  <c r="F37" i="47" s="1"/>
  <c r="D19" i="56"/>
  <c r="D14" i="56" s="1"/>
  <c r="G47" i="56"/>
  <c r="H47" i="56" s="1"/>
  <c r="I47" i="56" s="1"/>
  <c r="J47" i="56" s="1"/>
  <c r="K47" i="56" s="1"/>
  <c r="L47" i="56" s="1"/>
  <c r="M47" i="56" s="1"/>
  <c r="H49" i="50"/>
  <c r="I21" i="50"/>
  <c r="H58" i="53"/>
  <c r="I30" i="53"/>
  <c r="E18" i="49"/>
  <c r="D19" i="49"/>
  <c r="D23" i="56"/>
  <c r="I64" i="49"/>
  <c r="J25" i="49"/>
  <c r="F56" i="49"/>
  <c r="G57" i="49"/>
  <c r="N56" i="53"/>
  <c r="H57" i="53"/>
  <c r="I57" i="53" s="1"/>
  <c r="J57" i="53" s="1"/>
  <c r="K57" i="53" s="1"/>
  <c r="L57" i="53" s="1"/>
  <c r="M57" i="53" s="1"/>
  <c r="F28" i="49"/>
  <c r="F18" i="49" s="1"/>
  <c r="F15" i="49" s="1"/>
  <c r="G29" i="49"/>
  <c r="F29" i="50"/>
  <c r="E28" i="50"/>
  <c r="E18" i="50" s="1"/>
  <c r="B14" i="55"/>
  <c r="G43" i="49"/>
  <c r="F42" i="49"/>
  <c r="I63" i="49"/>
  <c r="J63" i="49" s="1"/>
  <c r="K63" i="49" s="1"/>
  <c r="L63" i="49" s="1"/>
  <c r="M63" i="49" s="1"/>
  <c r="G48" i="49"/>
  <c r="H21" i="49"/>
  <c r="F42" i="55"/>
  <c r="F22" i="55" s="1"/>
  <c r="F19" i="55" s="1"/>
  <c r="G43" i="55"/>
  <c r="F46" i="47"/>
  <c r="F36" i="47" s="1"/>
  <c r="F33" i="47" s="1"/>
  <c r="G47" i="47"/>
  <c r="G27" i="44"/>
  <c r="G27" i="45"/>
  <c r="H49" i="39"/>
  <c r="H27" i="45" s="1"/>
  <c r="H48" i="39"/>
  <c r="H27" i="44" s="1"/>
  <c r="H47" i="39"/>
  <c r="G30" i="39"/>
  <c r="D59" i="44"/>
  <c r="E29" i="46"/>
  <c r="E60" i="46" s="1"/>
  <c r="E24" i="17"/>
  <c r="E59" i="3"/>
  <c r="F36" i="39"/>
  <c r="F35" i="39"/>
  <c r="F34" i="39"/>
  <c r="D59" i="45"/>
  <c r="D29" i="46"/>
  <c r="D59" i="3"/>
  <c r="E5" i="39"/>
  <c r="E6" i="39"/>
  <c r="E7" i="39"/>
  <c r="F16" i="39"/>
  <c r="F15" i="39"/>
  <c r="F4" i="39"/>
  <c r="F57" i="39" s="1"/>
  <c r="F14" i="39"/>
  <c r="H12" i="39"/>
  <c r="G10" i="39"/>
  <c r="H52" i="54"/>
  <c r="G51" i="54"/>
  <c r="G31" i="54" s="1"/>
  <c r="G28" i="54" s="1"/>
  <c r="G65" i="54"/>
  <c r="H67" i="54"/>
  <c r="E32" i="54"/>
  <c r="K53" i="54"/>
  <c r="F38" i="54"/>
  <c r="E37" i="54"/>
  <c r="E27" i="54" s="1"/>
  <c r="E24" i="54" s="1"/>
  <c r="B23" i="54"/>
  <c r="D9" i="57"/>
  <c r="H66" i="53"/>
  <c r="G65" i="53"/>
  <c r="G35" i="53" s="1"/>
  <c r="G32" i="53" s="1"/>
  <c r="G52" i="53"/>
  <c r="F51" i="53"/>
  <c r="E28" i="53"/>
  <c r="F24" i="53"/>
  <c r="H38" i="53"/>
  <c r="G37" i="53"/>
  <c r="E65" i="52"/>
  <c r="E35" i="52" s="1"/>
  <c r="E32" i="52" s="1"/>
  <c r="F66" i="52"/>
  <c r="C9" i="57"/>
  <c r="F37" i="52"/>
  <c r="F27" i="52" s="1"/>
  <c r="F24" i="52" s="1"/>
  <c r="G38" i="52"/>
  <c r="E27" i="52"/>
  <c r="E51" i="52"/>
  <c r="E31" i="52" s="1"/>
  <c r="E28" i="52" s="1"/>
  <c r="F52" i="52"/>
  <c r="B23" i="52"/>
  <c r="D31" i="52"/>
  <c r="H94" i="51"/>
  <c r="I56" i="51"/>
  <c r="H93" i="51"/>
  <c r="I93" i="51" s="1"/>
  <c r="J93" i="51" s="1"/>
  <c r="K93" i="51" s="1"/>
  <c r="L93" i="51" s="1"/>
  <c r="M93" i="51" s="1"/>
  <c r="J68" i="51"/>
  <c r="K68" i="51" s="1"/>
  <c r="L68" i="51" s="1"/>
  <c r="M68" i="51" s="1"/>
  <c r="N68" i="51" s="1"/>
  <c r="K48" i="51"/>
  <c r="J67" i="51"/>
  <c r="K67" i="51" s="1"/>
  <c r="L67" i="51" s="1"/>
  <c r="M67" i="51" s="1"/>
  <c r="N66" i="51"/>
  <c r="F87" i="51"/>
  <c r="F57" i="51" s="1"/>
  <c r="F54" i="51" s="1"/>
  <c r="G88" i="51"/>
  <c r="B32" i="45"/>
  <c r="D54" i="51"/>
  <c r="B10" i="57"/>
  <c r="B32" i="44" s="1"/>
  <c r="D53" i="51"/>
  <c r="F74" i="51"/>
  <c r="E73" i="51"/>
  <c r="E53" i="51" s="1"/>
  <c r="E50" i="51" s="1"/>
  <c r="E49" i="51"/>
  <c r="B32" i="3"/>
  <c r="B82" i="3" s="1"/>
  <c r="F59" i="51"/>
  <c r="F49" i="51" s="1"/>
  <c r="F46" i="51" s="1"/>
  <c r="G60" i="51"/>
  <c r="C14" i="50"/>
  <c r="C10" i="57"/>
  <c r="F42" i="50"/>
  <c r="F22" i="50" s="1"/>
  <c r="F19" i="50" s="1"/>
  <c r="G43" i="50"/>
  <c r="B9" i="40"/>
  <c r="E28" i="45"/>
  <c r="E58" i="45" s="1"/>
  <c r="H21" i="40"/>
  <c r="H19" i="40" s="1"/>
  <c r="H16" i="40" s="1"/>
  <c r="G25" i="40"/>
  <c r="G22" i="40" s="1"/>
  <c r="H15" i="40"/>
  <c r="G13" i="40"/>
  <c r="G24" i="44"/>
  <c r="F35" i="44"/>
  <c r="F36" i="44"/>
  <c r="E9" i="39"/>
  <c r="F8" i="39"/>
  <c r="F57" i="44"/>
  <c r="F56" i="44"/>
  <c r="F52" i="44"/>
  <c r="F54" i="44"/>
  <c r="I6" i="44"/>
  <c r="I20" i="40"/>
  <c r="I17" i="40" s="1"/>
  <c r="B13" i="44"/>
  <c r="C14" i="3"/>
  <c r="C69" i="3" s="1"/>
  <c r="G56" i="3"/>
  <c r="G57" i="3"/>
  <c r="G2" i="16"/>
  <c r="G2" i="17"/>
  <c r="G2" i="22"/>
  <c r="G52" i="3"/>
  <c r="B10" i="17"/>
  <c r="B45" i="3"/>
  <c r="E31" i="16"/>
  <c r="E40" i="16"/>
  <c r="F27" i="16"/>
  <c r="F25" i="16"/>
  <c r="F38" i="16" s="1"/>
  <c r="F17" i="16"/>
  <c r="F16" i="16"/>
  <c r="F18" i="16" s="1"/>
  <c r="F37" i="16" s="1"/>
  <c r="F36" i="16"/>
  <c r="E58" i="46"/>
  <c r="E57" i="46"/>
  <c r="E53" i="46"/>
  <c r="B46" i="45"/>
  <c r="G6" i="45"/>
  <c r="B45" i="46"/>
  <c r="F56" i="45"/>
  <c r="F55" i="45"/>
  <c r="F57" i="45"/>
  <c r="F3" i="46"/>
  <c r="F52" i="45"/>
  <c r="C44" i="45"/>
  <c r="D12" i="45"/>
  <c r="B32" i="68" l="1"/>
  <c r="B31" i="67"/>
  <c r="C32" i="3"/>
  <c r="C82" i="3" s="1"/>
  <c r="C32" i="68"/>
  <c r="C31" i="67"/>
  <c r="D32" i="3"/>
  <c r="D60" i="3" s="1"/>
  <c r="D31" i="67"/>
  <c r="D32" i="68"/>
  <c r="D4" i="27"/>
  <c r="D6" i="27" s="1"/>
  <c r="D10" i="74"/>
  <c r="D7" i="74" s="1"/>
  <c r="D8" i="74"/>
  <c r="D5" i="74" s="1"/>
  <c r="C9" i="74"/>
  <c r="C4" i="74"/>
  <c r="C6" i="74" s="1"/>
  <c r="E11" i="28"/>
  <c r="E10" i="28" s="1"/>
  <c r="E11" i="74"/>
  <c r="B68" i="67"/>
  <c r="B69" i="3"/>
  <c r="B11" i="17"/>
  <c r="C5" i="28"/>
  <c r="C7" i="28"/>
  <c r="C9" i="28" s="1"/>
  <c r="D7" i="28"/>
  <c r="D8" i="28"/>
  <c r="D5" i="28" s="1"/>
  <c r="F5" i="27"/>
  <c r="F10" i="27"/>
  <c r="D12" i="44"/>
  <c r="D12" i="46" s="1"/>
  <c r="C12" i="46"/>
  <c r="C45" i="46" s="1"/>
  <c r="C15" i="3"/>
  <c r="C68" i="67"/>
  <c r="B71" i="68"/>
  <c r="B45" i="68"/>
  <c r="B44" i="67"/>
  <c r="B70" i="67"/>
  <c r="E12" i="68"/>
  <c r="E12" i="67"/>
  <c r="E4" i="68"/>
  <c r="E4" i="67"/>
  <c r="B58" i="68"/>
  <c r="D43" i="67"/>
  <c r="D67" i="67"/>
  <c r="C13" i="67"/>
  <c r="C13" i="68"/>
  <c r="C28" i="68"/>
  <c r="C58" i="68" s="1"/>
  <c r="C27" i="67"/>
  <c r="C57" i="67" s="1"/>
  <c r="D68" i="68"/>
  <c r="D44" i="68"/>
  <c r="B34" i="67"/>
  <c r="B35" i="67"/>
  <c r="D14" i="67"/>
  <c r="D14" i="68"/>
  <c r="B35" i="68"/>
  <c r="B36" i="68"/>
  <c r="B15" i="67"/>
  <c r="B15" i="68"/>
  <c r="D5" i="68"/>
  <c r="D5" i="67"/>
  <c r="N48" i="55"/>
  <c r="N47" i="49"/>
  <c r="E12" i="3"/>
  <c r="I7" i="44"/>
  <c r="N63" i="49"/>
  <c r="C26" i="16"/>
  <c r="C39" i="16" s="1"/>
  <c r="C6" i="16"/>
  <c r="C34" i="16" s="1"/>
  <c r="C28" i="16"/>
  <c r="C41" i="16" s="1"/>
  <c r="C7" i="16"/>
  <c r="D68" i="3"/>
  <c r="D9" i="17"/>
  <c r="D44" i="3"/>
  <c r="E11" i="40"/>
  <c r="E4" i="27"/>
  <c r="E6" i="27" s="1"/>
  <c r="N61" i="55"/>
  <c r="C9" i="40"/>
  <c r="D8" i="40"/>
  <c r="D5" i="40" s="1"/>
  <c r="D10" i="40"/>
  <c r="D7" i="40" s="1"/>
  <c r="H19" i="17"/>
  <c r="H22" i="46"/>
  <c r="B8" i="16"/>
  <c r="B35" i="16"/>
  <c r="C4" i="17"/>
  <c r="C5" i="46"/>
  <c r="C6" i="46" s="1"/>
  <c r="C4" i="16"/>
  <c r="C5" i="16" s="1"/>
  <c r="C4" i="22"/>
  <c r="C35" i="22" s="1"/>
  <c r="J19" i="39"/>
  <c r="I22" i="3"/>
  <c r="I17" i="39"/>
  <c r="G7" i="45"/>
  <c r="G36" i="45" s="1"/>
  <c r="N62" i="56"/>
  <c r="D4" i="46"/>
  <c r="D3" i="17"/>
  <c r="D3" i="16"/>
  <c r="D3" i="22"/>
  <c r="B6" i="17"/>
  <c r="B35" i="3"/>
  <c r="B36" i="3"/>
  <c r="B7" i="46"/>
  <c r="N47" i="56"/>
  <c r="B60" i="44"/>
  <c r="N66" i="47"/>
  <c r="E12" i="44"/>
  <c r="B14" i="46"/>
  <c r="B47" i="46" s="1"/>
  <c r="I67" i="47"/>
  <c r="J67" i="47" s="1"/>
  <c r="K67" i="47" s="1"/>
  <c r="L67" i="47" s="1"/>
  <c r="M67" i="47" s="1"/>
  <c r="J39" i="47"/>
  <c r="I68" i="47"/>
  <c r="J68" i="47" s="1"/>
  <c r="K68" i="47" s="1"/>
  <c r="L68" i="47" s="1"/>
  <c r="M68" i="47" s="1"/>
  <c r="N68" i="47" s="1"/>
  <c r="N54" i="47"/>
  <c r="C23" i="17"/>
  <c r="H48" i="49"/>
  <c r="I48" i="49" s="1"/>
  <c r="J48" i="49" s="1"/>
  <c r="K48" i="49" s="1"/>
  <c r="L48" i="49" s="1"/>
  <c r="M48" i="49" s="1"/>
  <c r="E15" i="49"/>
  <c r="H48" i="56"/>
  <c r="I48" i="56" s="1"/>
  <c r="J48" i="56" s="1"/>
  <c r="K48" i="56" s="1"/>
  <c r="L48" i="56" s="1"/>
  <c r="M48" i="56" s="1"/>
  <c r="I50" i="55"/>
  <c r="J21" i="55"/>
  <c r="H43" i="56"/>
  <c r="G42" i="56"/>
  <c r="G46" i="47"/>
  <c r="H47" i="47"/>
  <c r="E15" i="50"/>
  <c r="K25" i="49"/>
  <c r="J65" i="49"/>
  <c r="J30" i="53"/>
  <c r="I59" i="53"/>
  <c r="F26" i="56"/>
  <c r="E37" i="47"/>
  <c r="I49" i="55"/>
  <c r="J49" i="55" s="1"/>
  <c r="K49" i="55" s="1"/>
  <c r="L49" i="55" s="1"/>
  <c r="M49" i="55" s="1"/>
  <c r="E19" i="55"/>
  <c r="G29" i="50"/>
  <c r="F28" i="50"/>
  <c r="J64" i="49"/>
  <c r="K64" i="49" s="1"/>
  <c r="L64" i="49" s="1"/>
  <c r="M64" i="49" s="1"/>
  <c r="N64" i="49"/>
  <c r="I58" i="53"/>
  <c r="J58" i="53" s="1"/>
  <c r="K58" i="53" s="1"/>
  <c r="L58" i="53" s="1"/>
  <c r="M58" i="53" s="1"/>
  <c r="H57" i="56"/>
  <c r="G56" i="56"/>
  <c r="G26" i="56" s="1"/>
  <c r="G23" i="56" s="1"/>
  <c r="L43" i="47"/>
  <c r="K84" i="47"/>
  <c r="F28" i="56"/>
  <c r="F18" i="56" s="1"/>
  <c r="F15" i="56" s="1"/>
  <c r="G29" i="56"/>
  <c r="N67" i="51"/>
  <c r="I50" i="50"/>
  <c r="J21" i="50"/>
  <c r="K83" i="47"/>
  <c r="L83" i="47" s="1"/>
  <c r="M83" i="47" s="1"/>
  <c r="H63" i="55"/>
  <c r="I25" i="55"/>
  <c r="E18" i="56"/>
  <c r="F22" i="49"/>
  <c r="G28" i="49"/>
  <c r="H29" i="49"/>
  <c r="I49" i="50"/>
  <c r="J49" i="50" s="1"/>
  <c r="K49" i="50" s="1"/>
  <c r="L49" i="50" s="1"/>
  <c r="M49" i="50" s="1"/>
  <c r="H57" i="50"/>
  <c r="G56" i="50"/>
  <c r="G26" i="50" s="1"/>
  <c r="G23" i="50" s="1"/>
  <c r="H62" i="55"/>
  <c r="I62" i="55" s="1"/>
  <c r="J62" i="55" s="1"/>
  <c r="K62" i="55" s="1"/>
  <c r="L62" i="55" s="1"/>
  <c r="M62" i="55" s="1"/>
  <c r="F26" i="49"/>
  <c r="G42" i="55"/>
  <c r="G22" i="55" s="1"/>
  <c r="G19" i="55" s="1"/>
  <c r="H43" i="55"/>
  <c r="H43" i="49"/>
  <c r="G42" i="49"/>
  <c r="G22" i="49" s="1"/>
  <c r="G19" i="49" s="1"/>
  <c r="H61" i="47"/>
  <c r="G60" i="47"/>
  <c r="N62" i="50"/>
  <c r="N48" i="50"/>
  <c r="F44" i="47"/>
  <c r="I64" i="50"/>
  <c r="J25" i="50"/>
  <c r="F26" i="50"/>
  <c r="L75" i="53"/>
  <c r="M75" i="53" s="1"/>
  <c r="I64" i="56"/>
  <c r="J25" i="56"/>
  <c r="G29" i="55"/>
  <c r="F28" i="55"/>
  <c r="F18" i="55" s="1"/>
  <c r="F15" i="55" s="1"/>
  <c r="D14" i="49"/>
  <c r="F26" i="55"/>
  <c r="H75" i="47"/>
  <c r="G74" i="47"/>
  <c r="G44" i="47" s="1"/>
  <c r="G41" i="47" s="1"/>
  <c r="I63" i="50"/>
  <c r="J63" i="50" s="1"/>
  <c r="K63" i="50" s="1"/>
  <c r="L63" i="50" s="1"/>
  <c r="M63" i="50" s="1"/>
  <c r="K55" i="47"/>
  <c r="L55" i="47" s="1"/>
  <c r="M55" i="47" s="1"/>
  <c r="N55" i="47" s="1"/>
  <c r="D32" i="47"/>
  <c r="M34" i="53"/>
  <c r="M77" i="53" s="1"/>
  <c r="N77" i="53" s="1"/>
  <c r="L76" i="53"/>
  <c r="I63" i="56"/>
  <c r="J63" i="56" s="1"/>
  <c r="K63" i="56" s="1"/>
  <c r="L63" i="56" s="1"/>
  <c r="M63" i="56" s="1"/>
  <c r="E18" i="55"/>
  <c r="N93" i="51"/>
  <c r="H49" i="49"/>
  <c r="I21" i="49"/>
  <c r="N57" i="53"/>
  <c r="G56" i="49"/>
  <c r="G26" i="49" s="1"/>
  <c r="G23" i="49" s="1"/>
  <c r="H57" i="49"/>
  <c r="H57" i="55"/>
  <c r="G56" i="55"/>
  <c r="G26" i="55" s="1"/>
  <c r="G23" i="55" s="1"/>
  <c r="H49" i="56"/>
  <c r="I21" i="56"/>
  <c r="L35" i="47"/>
  <c r="K56" i="47"/>
  <c r="C13" i="44"/>
  <c r="C45" i="44" s="1"/>
  <c r="I49" i="39"/>
  <c r="I48" i="39"/>
  <c r="I27" i="44" s="1"/>
  <c r="I47" i="39"/>
  <c r="I27" i="3" s="1"/>
  <c r="G27" i="46"/>
  <c r="H27" i="3"/>
  <c r="H57" i="3" s="1"/>
  <c r="F29" i="45"/>
  <c r="H30" i="39"/>
  <c r="D60" i="46"/>
  <c r="F29" i="44"/>
  <c r="F59" i="44" s="1"/>
  <c r="G36" i="39"/>
  <c r="G29" i="45" s="1"/>
  <c r="G59" i="45" s="1"/>
  <c r="G35" i="39"/>
  <c r="G29" i="44" s="1"/>
  <c r="G59" i="44" s="1"/>
  <c r="G34" i="39"/>
  <c r="G29" i="3" s="1"/>
  <c r="F29" i="3"/>
  <c r="G14" i="39"/>
  <c r="G16" i="39"/>
  <c r="G15" i="39"/>
  <c r="G4" i="39"/>
  <c r="G57" i="39" s="1"/>
  <c r="H10" i="39"/>
  <c r="I12" i="39"/>
  <c r="F5" i="39"/>
  <c r="F6" i="39"/>
  <c r="F7" i="39"/>
  <c r="E11" i="57"/>
  <c r="E32" i="45" s="1"/>
  <c r="E23" i="54"/>
  <c r="I52" i="54"/>
  <c r="H51" i="54"/>
  <c r="H31" i="54" s="1"/>
  <c r="H28" i="54" s="1"/>
  <c r="G35" i="54"/>
  <c r="H65" i="54"/>
  <c r="H35" i="54" s="1"/>
  <c r="H32" i="54" s="1"/>
  <c r="I67" i="54"/>
  <c r="L53" i="54"/>
  <c r="F37" i="54"/>
  <c r="G38" i="54"/>
  <c r="H65" i="53"/>
  <c r="H35" i="53" s="1"/>
  <c r="H32" i="53" s="1"/>
  <c r="I66" i="53"/>
  <c r="G51" i="53"/>
  <c r="G31" i="53" s="1"/>
  <c r="G28" i="53" s="1"/>
  <c r="H52" i="53"/>
  <c r="F31" i="53"/>
  <c r="E23" i="53"/>
  <c r="I38" i="53"/>
  <c r="H37" i="53"/>
  <c r="H27" i="53" s="1"/>
  <c r="H24" i="53" s="1"/>
  <c r="G27" i="53"/>
  <c r="F65" i="52"/>
  <c r="F35" i="52" s="1"/>
  <c r="F32" i="52" s="1"/>
  <c r="G66" i="52"/>
  <c r="C60" i="3"/>
  <c r="C27" i="17"/>
  <c r="C40" i="17" s="1"/>
  <c r="E24" i="52"/>
  <c r="G37" i="52"/>
  <c r="G27" i="52" s="1"/>
  <c r="G24" i="52" s="1"/>
  <c r="H38" i="52"/>
  <c r="D28" i="52"/>
  <c r="G52" i="52"/>
  <c r="F51" i="52"/>
  <c r="F31" i="52" s="1"/>
  <c r="F28" i="52" s="1"/>
  <c r="I94" i="51"/>
  <c r="J94" i="51" s="1"/>
  <c r="K94" i="51" s="1"/>
  <c r="L94" i="51" s="1"/>
  <c r="M94" i="51" s="1"/>
  <c r="N94" i="51"/>
  <c r="I95" i="51"/>
  <c r="J56" i="51"/>
  <c r="L48" i="51"/>
  <c r="K69" i="51"/>
  <c r="D11" i="57"/>
  <c r="H88" i="51"/>
  <c r="G87" i="51"/>
  <c r="B60" i="45"/>
  <c r="F73" i="51"/>
  <c r="F53" i="51" s="1"/>
  <c r="F50" i="51" s="1"/>
  <c r="F45" i="51" s="1"/>
  <c r="G74" i="51"/>
  <c r="D50" i="51"/>
  <c r="B32" i="46"/>
  <c r="B61" i="46" s="1"/>
  <c r="B8" i="57"/>
  <c r="G59" i="51"/>
  <c r="G49" i="51" s="1"/>
  <c r="G46" i="51" s="1"/>
  <c r="H60" i="51"/>
  <c r="B27" i="17"/>
  <c r="B40" i="17" s="1"/>
  <c r="B60" i="3"/>
  <c r="E46" i="51"/>
  <c r="G42" i="50"/>
  <c r="H43" i="50"/>
  <c r="C32" i="44"/>
  <c r="C8" i="57"/>
  <c r="B28" i="3"/>
  <c r="B28" i="46" s="1"/>
  <c r="B59" i="46" s="1"/>
  <c r="B4" i="40"/>
  <c r="B6" i="40" s="1"/>
  <c r="I21" i="40"/>
  <c r="I19" i="40" s="1"/>
  <c r="I16" i="40" s="1"/>
  <c r="C28" i="44"/>
  <c r="C18" i="40"/>
  <c r="C4" i="40"/>
  <c r="C6" i="40" s="1"/>
  <c r="G24" i="40"/>
  <c r="H25" i="40"/>
  <c r="H22" i="40" s="1"/>
  <c r="H13" i="40"/>
  <c r="I15" i="40"/>
  <c r="H24" i="44"/>
  <c r="B15" i="3"/>
  <c r="B72" i="3" s="1"/>
  <c r="G8" i="39"/>
  <c r="F9" i="39"/>
  <c r="B15" i="44"/>
  <c r="G57" i="44"/>
  <c r="G56" i="44"/>
  <c r="G52" i="44"/>
  <c r="G54" i="44"/>
  <c r="H36" i="44"/>
  <c r="H35" i="44"/>
  <c r="G36" i="44"/>
  <c r="G35" i="44"/>
  <c r="J20" i="40"/>
  <c r="J17" i="40" s="1"/>
  <c r="B45" i="44"/>
  <c r="J6" i="44"/>
  <c r="C13" i="3"/>
  <c r="C11" i="17"/>
  <c r="C46" i="3"/>
  <c r="D11" i="17"/>
  <c r="D46" i="3"/>
  <c r="G16" i="16"/>
  <c r="G18" i="16" s="1"/>
  <c r="G37" i="16" s="1"/>
  <c r="G27" i="16"/>
  <c r="G17" i="16"/>
  <c r="G25" i="16"/>
  <c r="G38" i="16" s="1"/>
  <c r="G36" i="16"/>
  <c r="H56" i="3"/>
  <c r="H2" i="16"/>
  <c r="H2" i="17"/>
  <c r="H2" i="22"/>
  <c r="H52" i="3"/>
  <c r="F31" i="16"/>
  <c r="F40" i="16"/>
  <c r="G55" i="45"/>
  <c r="G57" i="45"/>
  <c r="G56" i="45"/>
  <c r="G3" i="46"/>
  <c r="G52" i="45"/>
  <c r="F28" i="45"/>
  <c r="F24" i="40"/>
  <c r="H6" i="45"/>
  <c r="D14" i="45"/>
  <c r="F57" i="46"/>
  <c r="F58" i="46"/>
  <c r="F53" i="46"/>
  <c r="F35" i="45"/>
  <c r="F36" i="45"/>
  <c r="B13" i="45"/>
  <c r="C46" i="45"/>
  <c r="E12" i="45"/>
  <c r="D44" i="45"/>
  <c r="D82" i="3" l="1"/>
  <c r="D27" i="17"/>
  <c r="D40" i="17" s="1"/>
  <c r="B81" i="67"/>
  <c r="B59" i="67"/>
  <c r="D82" i="68"/>
  <c r="D60" i="68"/>
  <c r="D81" i="67"/>
  <c r="D59" i="67"/>
  <c r="C81" i="67"/>
  <c r="C59" i="67"/>
  <c r="C82" i="68"/>
  <c r="C60" i="68"/>
  <c r="B60" i="68"/>
  <c r="B82" i="68"/>
  <c r="D9" i="28"/>
  <c r="C7" i="67"/>
  <c r="C35" i="67" s="1"/>
  <c r="D4" i="74"/>
  <c r="D6" i="74" s="1"/>
  <c r="D9" i="74"/>
  <c r="F11" i="28"/>
  <c r="F10" i="28" s="1"/>
  <c r="F11" i="74"/>
  <c r="E8" i="74"/>
  <c r="E10" i="74"/>
  <c r="D44" i="44"/>
  <c r="C7" i="3"/>
  <c r="C36" i="3" s="1"/>
  <c r="F7" i="27"/>
  <c r="D4" i="28"/>
  <c r="D6" i="28" s="1"/>
  <c r="C4" i="28"/>
  <c r="C6" i="28" s="1"/>
  <c r="C7" i="68"/>
  <c r="C36" i="68" s="1"/>
  <c r="E7" i="28"/>
  <c r="E8" i="28"/>
  <c r="E5" i="28" s="1"/>
  <c r="G5" i="27"/>
  <c r="G10" i="27"/>
  <c r="C15" i="67"/>
  <c r="C71" i="67" s="1"/>
  <c r="C15" i="68"/>
  <c r="C47" i="68" s="1"/>
  <c r="D45" i="67"/>
  <c r="D68" i="67"/>
  <c r="D6" i="67"/>
  <c r="D6" i="68"/>
  <c r="E14" i="67"/>
  <c r="E45" i="67" s="1"/>
  <c r="E14" i="68"/>
  <c r="E46" i="68" s="1"/>
  <c r="E5" i="67"/>
  <c r="E6" i="67" s="1"/>
  <c r="E5" i="68"/>
  <c r="E6" i="68" s="1"/>
  <c r="C71" i="68"/>
  <c r="C45" i="68"/>
  <c r="C44" i="67"/>
  <c r="C70" i="67"/>
  <c r="E44" i="68"/>
  <c r="D9" i="40"/>
  <c r="D27" i="67"/>
  <c r="D57" i="67" s="1"/>
  <c r="D28" i="68"/>
  <c r="D58" i="68" s="1"/>
  <c r="D7" i="68"/>
  <c r="D7" i="67"/>
  <c r="B71" i="67"/>
  <c r="B46" i="67"/>
  <c r="F12" i="68"/>
  <c r="F12" i="67"/>
  <c r="D13" i="68"/>
  <c r="D13" i="67"/>
  <c r="E43" i="67"/>
  <c r="B72" i="68"/>
  <c r="B47" i="68"/>
  <c r="B16" i="67"/>
  <c r="B16" i="68"/>
  <c r="F4" i="67"/>
  <c r="F4" i="68"/>
  <c r="D46" i="68"/>
  <c r="D69" i="68"/>
  <c r="J7" i="44"/>
  <c r="F11" i="40"/>
  <c r="D4" i="22"/>
  <c r="D35" i="22" s="1"/>
  <c r="D4" i="17"/>
  <c r="D4" i="16"/>
  <c r="D5" i="16" s="1"/>
  <c r="D5" i="46"/>
  <c r="D6" i="46" s="1"/>
  <c r="D7" i="3"/>
  <c r="B37" i="46"/>
  <c r="B36" i="46"/>
  <c r="G35" i="45"/>
  <c r="C45" i="3"/>
  <c r="C71" i="3"/>
  <c r="C47" i="3"/>
  <c r="C72" i="3"/>
  <c r="F14" i="44"/>
  <c r="F46" i="44" s="1"/>
  <c r="F12" i="3"/>
  <c r="N83" i="47"/>
  <c r="E10" i="40"/>
  <c r="E7" i="40" s="1"/>
  <c r="E8" i="40"/>
  <c r="E5" i="40" s="1"/>
  <c r="C35" i="16"/>
  <c r="C8" i="16"/>
  <c r="E9" i="17"/>
  <c r="E44" i="3"/>
  <c r="N48" i="49"/>
  <c r="N67" i="47"/>
  <c r="N58" i="53"/>
  <c r="E10" i="57"/>
  <c r="E32" i="44" s="1"/>
  <c r="E60" i="44" s="1"/>
  <c r="E14" i="44"/>
  <c r="E46" i="44" s="1"/>
  <c r="I22" i="46"/>
  <c r="I19" i="17"/>
  <c r="H7" i="45"/>
  <c r="H36" i="45" s="1"/>
  <c r="D6" i="16"/>
  <c r="D34" i="16" s="1"/>
  <c r="D28" i="16"/>
  <c r="D41" i="16" s="1"/>
  <c r="D7" i="16"/>
  <c r="D26" i="16"/>
  <c r="D39" i="16" s="1"/>
  <c r="K19" i="39"/>
  <c r="J22" i="3"/>
  <c r="J17" i="39"/>
  <c r="E3" i="22"/>
  <c r="E3" i="16"/>
  <c r="E3" i="17"/>
  <c r="E4" i="46"/>
  <c r="N75" i="53"/>
  <c r="C16" i="3"/>
  <c r="C73" i="3" s="1"/>
  <c r="C10" i="17"/>
  <c r="D14" i="44"/>
  <c r="D46" i="44" s="1"/>
  <c r="C14" i="44"/>
  <c r="K39" i="47"/>
  <c r="J69" i="47"/>
  <c r="I57" i="49"/>
  <c r="H56" i="49"/>
  <c r="H26" i="49" s="1"/>
  <c r="H23" i="49" s="1"/>
  <c r="I75" i="47"/>
  <c r="H74" i="47"/>
  <c r="H44" i="47" s="1"/>
  <c r="H41" i="47" s="1"/>
  <c r="G40" i="47"/>
  <c r="N62" i="55"/>
  <c r="F19" i="49"/>
  <c r="I63" i="55"/>
  <c r="J63" i="55" s="1"/>
  <c r="K63" i="55" s="1"/>
  <c r="L63" i="55" s="1"/>
  <c r="M63" i="55" s="1"/>
  <c r="J60" i="53"/>
  <c r="K30" i="53"/>
  <c r="N63" i="56"/>
  <c r="F23" i="50"/>
  <c r="I61" i="47"/>
  <c r="H60" i="47"/>
  <c r="H40" i="47" s="1"/>
  <c r="H37" i="47" s="1"/>
  <c r="F23" i="49"/>
  <c r="J51" i="50"/>
  <c r="K21" i="50"/>
  <c r="N65" i="49"/>
  <c r="K65" i="49"/>
  <c r="L65" i="49" s="1"/>
  <c r="M65" i="49" s="1"/>
  <c r="M76" i="53"/>
  <c r="N76" i="53" s="1"/>
  <c r="F23" i="55"/>
  <c r="H29" i="55"/>
  <c r="G28" i="55"/>
  <c r="G18" i="55" s="1"/>
  <c r="G15" i="55" s="1"/>
  <c r="G14" i="55" s="1"/>
  <c r="J65" i="50"/>
  <c r="K25" i="50"/>
  <c r="N49" i="50"/>
  <c r="J50" i="50"/>
  <c r="K50" i="50" s="1"/>
  <c r="L50" i="50" s="1"/>
  <c r="M50" i="50" s="1"/>
  <c r="H29" i="56"/>
  <c r="G28" i="56"/>
  <c r="G18" i="56" s="1"/>
  <c r="G15" i="56" s="1"/>
  <c r="K66" i="49"/>
  <c r="L25" i="49"/>
  <c r="G22" i="56"/>
  <c r="I50" i="56"/>
  <c r="J21" i="56"/>
  <c r="I50" i="49"/>
  <c r="J21" i="49"/>
  <c r="J65" i="56"/>
  <c r="K25" i="56"/>
  <c r="J64" i="50"/>
  <c r="K64" i="50" s="1"/>
  <c r="L64" i="50" s="1"/>
  <c r="M64" i="50" s="1"/>
  <c r="H56" i="50"/>
  <c r="I57" i="50"/>
  <c r="I57" i="56"/>
  <c r="H56" i="56"/>
  <c r="H26" i="56" s="1"/>
  <c r="H23" i="56" s="1"/>
  <c r="F18" i="50"/>
  <c r="I43" i="56"/>
  <c r="H42" i="56"/>
  <c r="H22" i="56" s="1"/>
  <c r="H19" i="56" s="1"/>
  <c r="I49" i="56"/>
  <c r="J49" i="56" s="1"/>
  <c r="K49" i="56" s="1"/>
  <c r="L49" i="56" s="1"/>
  <c r="M49" i="56" s="1"/>
  <c r="I49" i="49"/>
  <c r="J49" i="49" s="1"/>
  <c r="K49" i="49" s="1"/>
  <c r="L49" i="49" s="1"/>
  <c r="M49" i="49" s="1"/>
  <c r="N63" i="50"/>
  <c r="J64" i="56"/>
  <c r="K64" i="56" s="1"/>
  <c r="L64" i="56" s="1"/>
  <c r="M64" i="56" s="1"/>
  <c r="H42" i="49"/>
  <c r="H22" i="49" s="1"/>
  <c r="H19" i="49" s="1"/>
  <c r="I43" i="49"/>
  <c r="L84" i="47"/>
  <c r="M84" i="47" s="1"/>
  <c r="N84" i="47"/>
  <c r="H29" i="50"/>
  <c r="G28" i="50"/>
  <c r="G18" i="50" s="1"/>
  <c r="G15" i="50" s="1"/>
  <c r="E32" i="47"/>
  <c r="E14" i="50"/>
  <c r="J51" i="55"/>
  <c r="K21" i="55"/>
  <c r="F41" i="47"/>
  <c r="H28" i="49"/>
  <c r="H18" i="49" s="1"/>
  <c r="H15" i="49" s="1"/>
  <c r="I29" i="49"/>
  <c r="E15" i="56"/>
  <c r="L85" i="47"/>
  <c r="M43" i="47"/>
  <c r="M86" i="47" s="1"/>
  <c r="N86" i="47" s="1"/>
  <c r="J50" i="55"/>
  <c r="K50" i="55" s="1"/>
  <c r="L50" i="55" s="1"/>
  <c r="M50" i="55" s="1"/>
  <c r="N50" i="55"/>
  <c r="L56" i="47"/>
  <c r="M56" i="47" s="1"/>
  <c r="I43" i="55"/>
  <c r="H42" i="55"/>
  <c r="G18" i="49"/>
  <c r="N49" i="55"/>
  <c r="F23" i="56"/>
  <c r="I47" i="47"/>
  <c r="H46" i="47"/>
  <c r="H36" i="47" s="1"/>
  <c r="H33" i="47" s="1"/>
  <c r="N48" i="56"/>
  <c r="E14" i="49"/>
  <c r="M35" i="47"/>
  <c r="M58" i="47" s="1"/>
  <c r="N58" i="47" s="1"/>
  <c r="L57" i="47"/>
  <c r="H56" i="55"/>
  <c r="I57" i="55"/>
  <c r="E15" i="55"/>
  <c r="I64" i="55"/>
  <c r="J25" i="55"/>
  <c r="J59" i="53"/>
  <c r="K59" i="53" s="1"/>
  <c r="L59" i="53" s="1"/>
  <c r="M59" i="53" s="1"/>
  <c r="G36" i="47"/>
  <c r="D13" i="3"/>
  <c r="I27" i="45"/>
  <c r="I27" i="46" s="1"/>
  <c r="H27" i="46"/>
  <c r="J47" i="39"/>
  <c r="K46" i="39"/>
  <c r="J49" i="39"/>
  <c r="J27" i="45" s="1"/>
  <c r="J48" i="39"/>
  <c r="J27" i="44" s="1"/>
  <c r="F29" i="46"/>
  <c r="F59" i="3"/>
  <c r="F59" i="45"/>
  <c r="I30" i="39"/>
  <c r="G29" i="46"/>
  <c r="G60" i="46" s="1"/>
  <c r="G24" i="17"/>
  <c r="G59" i="3"/>
  <c r="H34" i="39"/>
  <c r="H36" i="39"/>
  <c r="H29" i="45" s="1"/>
  <c r="H59" i="45" s="1"/>
  <c r="H35" i="39"/>
  <c r="I10" i="39"/>
  <c r="J12" i="39"/>
  <c r="E60" i="45"/>
  <c r="G7" i="39"/>
  <c r="G6" i="39"/>
  <c r="G5" i="39"/>
  <c r="H14" i="39"/>
  <c r="H16" i="39"/>
  <c r="H15" i="39"/>
  <c r="H4" i="39"/>
  <c r="J52" i="54"/>
  <c r="I51" i="54"/>
  <c r="I31" i="54" s="1"/>
  <c r="I28" i="54" s="1"/>
  <c r="G32" i="54"/>
  <c r="I65" i="54"/>
  <c r="J67" i="54"/>
  <c r="M53" i="54"/>
  <c r="F27" i="54"/>
  <c r="H38" i="54"/>
  <c r="G37" i="54"/>
  <c r="G27" i="54" s="1"/>
  <c r="G24" i="54" s="1"/>
  <c r="J66" i="53"/>
  <c r="I65" i="53"/>
  <c r="I35" i="53" s="1"/>
  <c r="I32" i="53" s="1"/>
  <c r="I52" i="53"/>
  <c r="H51" i="53"/>
  <c r="H31" i="53" s="1"/>
  <c r="H28" i="53" s="1"/>
  <c r="H23" i="53" s="1"/>
  <c r="F28" i="53"/>
  <c r="I37" i="53"/>
  <c r="I27" i="53" s="1"/>
  <c r="I24" i="53" s="1"/>
  <c r="J38" i="53"/>
  <c r="G24" i="53"/>
  <c r="G65" i="52"/>
  <c r="G35" i="52" s="1"/>
  <c r="G32" i="52" s="1"/>
  <c r="H66" i="52"/>
  <c r="F23" i="52"/>
  <c r="H37" i="52"/>
  <c r="H27" i="52" s="1"/>
  <c r="H24" i="52" s="1"/>
  <c r="I38" i="52"/>
  <c r="E23" i="52"/>
  <c r="D23" i="52"/>
  <c r="G51" i="52"/>
  <c r="G31" i="52" s="1"/>
  <c r="G28" i="52" s="1"/>
  <c r="H52" i="52"/>
  <c r="J95" i="51"/>
  <c r="K95" i="51" s="1"/>
  <c r="L95" i="51" s="1"/>
  <c r="M95" i="51" s="1"/>
  <c r="K56" i="51"/>
  <c r="J96" i="51"/>
  <c r="M48" i="51"/>
  <c r="M71" i="51" s="1"/>
  <c r="N71" i="51" s="1"/>
  <c r="L70" i="51"/>
  <c r="M70" i="51" s="1"/>
  <c r="N70" i="51" s="1"/>
  <c r="L69" i="51"/>
  <c r="M69" i="51" s="1"/>
  <c r="N69" i="51"/>
  <c r="D32" i="45"/>
  <c r="H87" i="51"/>
  <c r="H57" i="51" s="1"/>
  <c r="H54" i="51" s="1"/>
  <c r="I88" i="51"/>
  <c r="G57" i="51"/>
  <c r="G73" i="51"/>
  <c r="G53" i="51" s="1"/>
  <c r="H74" i="51"/>
  <c r="D10" i="57"/>
  <c r="D45" i="51"/>
  <c r="E9" i="57"/>
  <c r="E45" i="51"/>
  <c r="H59" i="51"/>
  <c r="H49" i="51" s="1"/>
  <c r="I60" i="51"/>
  <c r="G22" i="50"/>
  <c r="I43" i="50"/>
  <c r="H42" i="50"/>
  <c r="H22" i="50" s="1"/>
  <c r="H19" i="50" s="1"/>
  <c r="C32" i="46"/>
  <c r="C60" i="44"/>
  <c r="B23" i="17"/>
  <c r="B58" i="3"/>
  <c r="D28" i="44"/>
  <c r="D58" i="44" s="1"/>
  <c r="D18" i="40"/>
  <c r="J21" i="40"/>
  <c r="J19" i="40" s="1"/>
  <c r="J16" i="40" s="1"/>
  <c r="C58" i="44"/>
  <c r="C28" i="46"/>
  <c r="C59" i="46" s="1"/>
  <c r="D28" i="3"/>
  <c r="D23" i="17" s="1"/>
  <c r="H24" i="40"/>
  <c r="G28" i="45"/>
  <c r="G58" i="45" s="1"/>
  <c r="I25" i="40"/>
  <c r="I22" i="40" s="1"/>
  <c r="D4" i="40"/>
  <c r="D6" i="40" s="1"/>
  <c r="I13" i="40"/>
  <c r="J15" i="40"/>
  <c r="I24" i="44"/>
  <c r="C12" i="17"/>
  <c r="B47" i="3"/>
  <c r="B12" i="17"/>
  <c r="E14" i="3"/>
  <c r="E46" i="3" s="1"/>
  <c r="G9" i="39"/>
  <c r="H8" i="39"/>
  <c r="K20" i="40"/>
  <c r="K17" i="40" s="1"/>
  <c r="D13" i="44"/>
  <c r="R4" i="44"/>
  <c r="F12" i="44"/>
  <c r="H56" i="44"/>
  <c r="H57" i="44"/>
  <c r="H54" i="44"/>
  <c r="H52" i="44"/>
  <c r="B47" i="44"/>
  <c r="E44" i="44"/>
  <c r="K6" i="44"/>
  <c r="B16" i="3"/>
  <c r="B73" i="3" s="1"/>
  <c r="I56" i="3"/>
  <c r="I2" i="17"/>
  <c r="I2" i="16"/>
  <c r="I2" i="22"/>
  <c r="I57" i="3"/>
  <c r="I52" i="3"/>
  <c r="H27" i="16"/>
  <c r="H17" i="16"/>
  <c r="H16" i="16"/>
  <c r="H18" i="16" s="1"/>
  <c r="H37" i="16" s="1"/>
  <c r="H36" i="16"/>
  <c r="H25" i="16"/>
  <c r="H38" i="16" s="1"/>
  <c r="G31" i="16"/>
  <c r="G40" i="16"/>
  <c r="E44" i="45"/>
  <c r="E12" i="46"/>
  <c r="B45" i="45"/>
  <c r="B13" i="46"/>
  <c r="I6" i="45"/>
  <c r="D46" i="45"/>
  <c r="F58" i="45"/>
  <c r="E14" i="45"/>
  <c r="H56" i="45"/>
  <c r="H55" i="45"/>
  <c r="H3" i="46"/>
  <c r="H57" i="45"/>
  <c r="H52" i="45"/>
  <c r="B15" i="45"/>
  <c r="C13" i="45"/>
  <c r="G58" i="46"/>
  <c r="G57" i="46"/>
  <c r="G53" i="46"/>
  <c r="D45" i="46"/>
  <c r="F12" i="45"/>
  <c r="E32" i="68" l="1"/>
  <c r="E31" i="67"/>
  <c r="H32" i="47"/>
  <c r="E7" i="3"/>
  <c r="E9" i="28"/>
  <c r="C34" i="67"/>
  <c r="F4" i="27"/>
  <c r="F6" i="27" s="1"/>
  <c r="G11" i="28"/>
  <c r="G10" i="28" s="1"/>
  <c r="G11" i="74"/>
  <c r="F10" i="74"/>
  <c r="F7" i="74" s="1"/>
  <c r="F8" i="74"/>
  <c r="F5" i="74" s="1"/>
  <c r="E7" i="74"/>
  <c r="E5" i="74"/>
  <c r="C6" i="17"/>
  <c r="C7" i="46"/>
  <c r="C37" i="46" s="1"/>
  <c r="C35" i="3"/>
  <c r="C35" i="68"/>
  <c r="G7" i="27"/>
  <c r="E4" i="28"/>
  <c r="E6" i="28" s="1"/>
  <c r="F7" i="28"/>
  <c r="F8" i="28"/>
  <c r="F5" i="28" s="1"/>
  <c r="C72" i="68"/>
  <c r="C46" i="67"/>
  <c r="H5" i="27"/>
  <c r="H10" i="27"/>
  <c r="D14" i="46"/>
  <c r="D47" i="46" s="1"/>
  <c r="B16" i="44"/>
  <c r="B48" i="44" s="1"/>
  <c r="F43" i="67"/>
  <c r="F44" i="68"/>
  <c r="E13" i="68"/>
  <c r="E13" i="67"/>
  <c r="E7" i="68"/>
  <c r="E7" i="67"/>
  <c r="B73" i="68"/>
  <c r="B48" i="68"/>
  <c r="E27" i="67"/>
  <c r="E57" i="67" s="1"/>
  <c r="E28" i="68"/>
  <c r="E58" i="68" s="1"/>
  <c r="D15" i="67"/>
  <c r="D15" i="68"/>
  <c r="B72" i="67"/>
  <c r="B47" i="67"/>
  <c r="F5" i="67"/>
  <c r="F5" i="68"/>
  <c r="G12" i="68"/>
  <c r="G12" i="67"/>
  <c r="B19" i="68"/>
  <c r="B19" i="67"/>
  <c r="D15" i="3"/>
  <c r="D12" i="17" s="1"/>
  <c r="B20" i="68"/>
  <c r="B20" i="67"/>
  <c r="G4" i="67"/>
  <c r="G4" i="68"/>
  <c r="C16" i="67"/>
  <c r="C16" i="68"/>
  <c r="D44" i="67"/>
  <c r="D70" i="67"/>
  <c r="D34" i="67"/>
  <c r="D35" i="67"/>
  <c r="F14" i="67"/>
  <c r="F45" i="67" s="1"/>
  <c r="F14" i="68"/>
  <c r="D45" i="68"/>
  <c r="D71" i="68"/>
  <c r="D36" i="68"/>
  <c r="D35" i="68"/>
  <c r="E28" i="16"/>
  <c r="E41" i="16" s="1"/>
  <c r="E26" i="16"/>
  <c r="E39" i="16" s="1"/>
  <c r="E6" i="16"/>
  <c r="E34" i="16" s="1"/>
  <c r="E7" i="16"/>
  <c r="G11" i="40"/>
  <c r="D36" i="3"/>
  <c r="D35" i="3"/>
  <c r="D6" i="17"/>
  <c r="D7" i="46"/>
  <c r="F8" i="40"/>
  <c r="F5" i="40" s="1"/>
  <c r="F10" i="40"/>
  <c r="F7" i="40" s="1"/>
  <c r="D45" i="3"/>
  <c r="D71" i="3"/>
  <c r="K7" i="44"/>
  <c r="N50" i="50"/>
  <c r="J22" i="46"/>
  <c r="J19" i="17"/>
  <c r="F44" i="3"/>
  <c r="F9" i="17"/>
  <c r="I7" i="45"/>
  <c r="L19" i="39"/>
  <c r="K22" i="3"/>
  <c r="K17" i="39"/>
  <c r="F3" i="22"/>
  <c r="F3" i="16"/>
  <c r="F3" i="17"/>
  <c r="F4" i="46"/>
  <c r="G14" i="44"/>
  <c r="D8" i="16"/>
  <c r="D35" i="16"/>
  <c r="N59" i="53"/>
  <c r="G12" i="3"/>
  <c r="E4" i="17"/>
  <c r="E5" i="17" s="1"/>
  <c r="E4" i="22"/>
  <c r="E11" i="22" s="1"/>
  <c r="E4" i="16"/>
  <c r="E5" i="16" s="1"/>
  <c r="E5" i="46"/>
  <c r="E6" i="46" s="1"/>
  <c r="C15" i="44"/>
  <c r="C47" i="44" s="1"/>
  <c r="N64" i="50"/>
  <c r="H14" i="49"/>
  <c r="B20" i="3"/>
  <c r="B19" i="3"/>
  <c r="C46" i="44"/>
  <c r="C14" i="46"/>
  <c r="C47" i="46" s="1"/>
  <c r="H35" i="45"/>
  <c r="K69" i="47"/>
  <c r="L69" i="47" s="1"/>
  <c r="M69" i="47" s="1"/>
  <c r="L39" i="47"/>
  <c r="K70" i="47"/>
  <c r="B19" i="45"/>
  <c r="B20" i="45"/>
  <c r="G19" i="56"/>
  <c r="K60" i="53"/>
  <c r="L60" i="53" s="1"/>
  <c r="M60" i="53" s="1"/>
  <c r="K51" i="55"/>
  <c r="L51" i="55" s="1"/>
  <c r="M51" i="55" s="1"/>
  <c r="F15" i="50"/>
  <c r="K66" i="56"/>
  <c r="L25" i="56"/>
  <c r="L67" i="49"/>
  <c r="M25" i="49"/>
  <c r="M68" i="49" s="1"/>
  <c r="N68" i="49" s="1"/>
  <c r="K51" i="50"/>
  <c r="L51" i="50" s="1"/>
  <c r="M51" i="50" s="1"/>
  <c r="I42" i="49"/>
  <c r="J43" i="49"/>
  <c r="J75" i="47"/>
  <c r="I74" i="47"/>
  <c r="N49" i="56"/>
  <c r="K65" i="56"/>
  <c r="L65" i="56" s="1"/>
  <c r="M65" i="56" s="1"/>
  <c r="N66" i="49"/>
  <c r="L66" i="49"/>
  <c r="M66" i="49" s="1"/>
  <c r="F14" i="55"/>
  <c r="K52" i="55"/>
  <c r="L21" i="55"/>
  <c r="H28" i="50"/>
  <c r="I29" i="50"/>
  <c r="F14" i="49"/>
  <c r="F14" i="3"/>
  <c r="F11" i="17" s="1"/>
  <c r="H22" i="55"/>
  <c r="F32" i="47"/>
  <c r="I56" i="56"/>
  <c r="J57" i="56"/>
  <c r="J51" i="49"/>
  <c r="K21" i="49"/>
  <c r="K66" i="50"/>
  <c r="L25" i="50"/>
  <c r="J57" i="49"/>
  <c r="I56" i="49"/>
  <c r="I26" i="49" s="1"/>
  <c r="I23" i="49" s="1"/>
  <c r="J29" i="49"/>
  <c r="I28" i="49"/>
  <c r="E14" i="55"/>
  <c r="J43" i="55"/>
  <c r="I42" i="55"/>
  <c r="I22" i="55" s="1"/>
  <c r="I19" i="55" s="1"/>
  <c r="N56" i="47"/>
  <c r="M85" i="47"/>
  <c r="N85" i="47" s="1"/>
  <c r="N64" i="56"/>
  <c r="F14" i="56"/>
  <c r="J50" i="49"/>
  <c r="K50" i="49" s="1"/>
  <c r="L50" i="49" s="1"/>
  <c r="M50" i="49" s="1"/>
  <c r="G14" i="56"/>
  <c r="K65" i="50"/>
  <c r="L65" i="50" s="1"/>
  <c r="M65" i="50" s="1"/>
  <c r="K52" i="50"/>
  <c r="L21" i="50"/>
  <c r="E13" i="3"/>
  <c r="F10" i="57"/>
  <c r="F32" i="44" s="1"/>
  <c r="F60" i="44" s="1"/>
  <c r="I56" i="55"/>
  <c r="I26" i="55" s="1"/>
  <c r="I23" i="55" s="1"/>
  <c r="J57" i="55"/>
  <c r="F11" i="57"/>
  <c r="F32" i="45" s="1"/>
  <c r="J57" i="50"/>
  <c r="I56" i="50"/>
  <c r="I26" i="50" s="1"/>
  <c r="I23" i="50" s="1"/>
  <c r="J51" i="56"/>
  <c r="K21" i="56"/>
  <c r="I29" i="56"/>
  <c r="H28" i="56"/>
  <c r="G37" i="47"/>
  <c r="J65" i="55"/>
  <c r="K25" i="55"/>
  <c r="H26" i="55"/>
  <c r="J47" i="47"/>
  <c r="I46" i="47"/>
  <c r="I36" i="47" s="1"/>
  <c r="I33" i="47" s="1"/>
  <c r="H26" i="50"/>
  <c r="J50" i="56"/>
  <c r="K50" i="56" s="1"/>
  <c r="L50" i="56" s="1"/>
  <c r="M50" i="56" s="1"/>
  <c r="N63" i="55"/>
  <c r="F18" i="40"/>
  <c r="N95" i="51"/>
  <c r="G33" i="47"/>
  <c r="J64" i="55"/>
  <c r="K64" i="55" s="1"/>
  <c r="L64" i="55" s="1"/>
  <c r="M64" i="55" s="1"/>
  <c r="M57" i="47"/>
  <c r="N57" i="47" s="1"/>
  <c r="G15" i="49"/>
  <c r="E14" i="56"/>
  <c r="N49" i="49"/>
  <c r="J43" i="56"/>
  <c r="I42" i="56"/>
  <c r="I22" i="56" s="1"/>
  <c r="I19" i="56" s="1"/>
  <c r="I29" i="55"/>
  <c r="H28" i="55"/>
  <c r="J61" i="47"/>
  <c r="I60" i="47"/>
  <c r="I40" i="47" s="1"/>
  <c r="I37" i="47" s="1"/>
  <c r="K61" i="53"/>
  <c r="L61" i="53" s="1"/>
  <c r="M61" i="53" s="1"/>
  <c r="N61" i="53" s="1"/>
  <c r="L30" i="53"/>
  <c r="G23" i="54"/>
  <c r="D10" i="17"/>
  <c r="J27" i="3"/>
  <c r="J57" i="3" s="1"/>
  <c r="K47" i="39"/>
  <c r="K27" i="3" s="1"/>
  <c r="L46" i="39"/>
  <c r="K49" i="39"/>
  <c r="K27" i="45" s="1"/>
  <c r="K48" i="39"/>
  <c r="K27" i="44" s="1"/>
  <c r="F60" i="46"/>
  <c r="H29" i="3"/>
  <c r="I36" i="39"/>
  <c r="I29" i="45" s="1"/>
  <c r="I59" i="45" s="1"/>
  <c r="I34" i="39"/>
  <c r="I29" i="3" s="1"/>
  <c r="I35" i="39"/>
  <c r="I29" i="44" s="1"/>
  <c r="I59" i="44" s="1"/>
  <c r="H29" i="44"/>
  <c r="H59" i="44" s="1"/>
  <c r="J30" i="39"/>
  <c r="H6" i="39"/>
  <c r="H7" i="39"/>
  <c r="H5" i="39"/>
  <c r="H57" i="39"/>
  <c r="J10" i="39"/>
  <c r="K12" i="39"/>
  <c r="I15" i="39"/>
  <c r="I14" i="39"/>
  <c r="I16" i="39"/>
  <c r="I4" i="39"/>
  <c r="K52" i="54"/>
  <c r="J51" i="54"/>
  <c r="J31" i="54" s="1"/>
  <c r="J28" i="54" s="1"/>
  <c r="I35" i="54"/>
  <c r="K67" i="54"/>
  <c r="J65" i="54"/>
  <c r="J35" i="54" s="1"/>
  <c r="J32" i="54" s="1"/>
  <c r="N53" i="54"/>
  <c r="F24" i="54"/>
  <c r="H37" i="54"/>
  <c r="I38" i="54"/>
  <c r="K66" i="53"/>
  <c r="J65" i="53"/>
  <c r="J35" i="53" s="1"/>
  <c r="J32" i="53" s="1"/>
  <c r="I51" i="53"/>
  <c r="I31" i="53" s="1"/>
  <c r="I28" i="53" s="1"/>
  <c r="I23" i="53" s="1"/>
  <c r="J52" i="53"/>
  <c r="F23" i="53"/>
  <c r="J37" i="53"/>
  <c r="J27" i="53" s="1"/>
  <c r="K38" i="53"/>
  <c r="G23" i="53"/>
  <c r="G23" i="52"/>
  <c r="I66" i="52"/>
  <c r="H65" i="52"/>
  <c r="H35" i="52" s="1"/>
  <c r="I37" i="52"/>
  <c r="I27" i="52" s="1"/>
  <c r="J38" i="52"/>
  <c r="I52" i="52"/>
  <c r="H51" i="52"/>
  <c r="H31" i="52" s="1"/>
  <c r="L56" i="51"/>
  <c r="K97" i="51"/>
  <c r="L97" i="51" s="1"/>
  <c r="M97" i="51" s="1"/>
  <c r="N97" i="51" s="1"/>
  <c r="K96" i="51"/>
  <c r="L96" i="51" s="1"/>
  <c r="M96" i="51" s="1"/>
  <c r="N96" i="51"/>
  <c r="D60" i="45"/>
  <c r="G54" i="51"/>
  <c r="I87" i="51"/>
  <c r="J88" i="51"/>
  <c r="G50" i="51"/>
  <c r="H73" i="51"/>
  <c r="I74" i="51"/>
  <c r="D8" i="57"/>
  <c r="D32" i="44"/>
  <c r="I59" i="51"/>
  <c r="I49" i="51" s="1"/>
  <c r="I46" i="51" s="1"/>
  <c r="J60" i="51"/>
  <c r="E32" i="3"/>
  <c r="E8" i="57"/>
  <c r="H46" i="51"/>
  <c r="C61" i="46"/>
  <c r="G19" i="50"/>
  <c r="J43" i="50"/>
  <c r="I42" i="50"/>
  <c r="I22" i="50" s="1"/>
  <c r="I19" i="50" s="1"/>
  <c r="D58" i="3"/>
  <c r="E4" i="40"/>
  <c r="E6" i="40" s="1"/>
  <c r="E18" i="40"/>
  <c r="E28" i="44"/>
  <c r="E58" i="44" s="1"/>
  <c r="K21" i="40"/>
  <c r="K19" i="40" s="1"/>
  <c r="K16" i="40" s="1"/>
  <c r="D28" i="46"/>
  <c r="D59" i="46" s="1"/>
  <c r="H28" i="45"/>
  <c r="H58" i="45" s="1"/>
  <c r="J25" i="40"/>
  <c r="J22" i="40" s="1"/>
  <c r="E28" i="3"/>
  <c r="E9" i="40"/>
  <c r="J13" i="40"/>
  <c r="K15" i="40"/>
  <c r="J24" i="44"/>
  <c r="E11" i="17"/>
  <c r="H9" i="39"/>
  <c r="I8" i="39"/>
  <c r="L20" i="40"/>
  <c r="L17" i="40" s="1"/>
  <c r="I56" i="44"/>
  <c r="I57" i="44"/>
  <c r="I52" i="44"/>
  <c r="I54" i="44"/>
  <c r="P4" i="44"/>
  <c r="Q4" i="44" s="1"/>
  <c r="S4" i="44"/>
  <c r="D45" i="44"/>
  <c r="L6" i="44"/>
  <c r="G12" i="44"/>
  <c r="E13" i="44"/>
  <c r="I35" i="44"/>
  <c r="I36" i="44"/>
  <c r="J35" i="44"/>
  <c r="J36" i="44"/>
  <c r="F44" i="44"/>
  <c r="B48" i="3"/>
  <c r="B13" i="17"/>
  <c r="I17" i="16"/>
  <c r="I25" i="16"/>
  <c r="I38" i="16" s="1"/>
  <c r="I16" i="16"/>
  <c r="I18" i="16" s="1"/>
  <c r="I37" i="16" s="1"/>
  <c r="I27" i="16"/>
  <c r="I36" i="16"/>
  <c r="H31" i="16"/>
  <c r="H40" i="16"/>
  <c r="J56" i="3"/>
  <c r="J2" i="16"/>
  <c r="J2" i="22"/>
  <c r="J52" i="3"/>
  <c r="J2" i="17"/>
  <c r="C13" i="17"/>
  <c r="C48" i="3"/>
  <c r="J6" i="45"/>
  <c r="B46" i="46"/>
  <c r="E45" i="46"/>
  <c r="F44" i="45"/>
  <c r="F12" i="46"/>
  <c r="B16" i="45"/>
  <c r="B47" i="45"/>
  <c r="B15" i="46"/>
  <c r="I56" i="45"/>
  <c r="I57" i="45"/>
  <c r="I55" i="45"/>
  <c r="I3" i="46"/>
  <c r="I52" i="45"/>
  <c r="C45" i="45"/>
  <c r="C13" i="46"/>
  <c r="C15" i="45"/>
  <c r="D13" i="45"/>
  <c r="G12" i="45"/>
  <c r="H57" i="46"/>
  <c r="H58" i="46"/>
  <c r="H53" i="46"/>
  <c r="F14" i="45"/>
  <c r="E46" i="45"/>
  <c r="E14" i="46"/>
  <c r="E59" i="67" l="1"/>
  <c r="E60" i="68"/>
  <c r="F60" i="45"/>
  <c r="F9" i="28"/>
  <c r="G4" i="27"/>
  <c r="G6" i="27" s="1"/>
  <c r="H11" i="28"/>
  <c r="H10" i="28" s="1"/>
  <c r="H11" i="74"/>
  <c r="G10" i="74"/>
  <c r="G7" i="74" s="1"/>
  <c r="G8" i="74"/>
  <c r="F4" i="74"/>
  <c r="F6" i="74" s="1"/>
  <c r="F9" i="74"/>
  <c r="E4" i="74"/>
  <c r="E9" i="74"/>
  <c r="C36" i="46"/>
  <c r="H7" i="27"/>
  <c r="F4" i="28"/>
  <c r="F6" i="28" s="1"/>
  <c r="G8" i="28"/>
  <c r="G5" i="28" s="1"/>
  <c r="G7" i="28"/>
  <c r="I5" i="27"/>
  <c r="I10" i="27"/>
  <c r="C16" i="44"/>
  <c r="C48" i="44" s="1"/>
  <c r="C19" i="44"/>
  <c r="C50" i="44" s="1"/>
  <c r="B19" i="44"/>
  <c r="B50" i="44" s="1"/>
  <c r="D19" i="44"/>
  <c r="D47" i="3"/>
  <c r="D72" i="3"/>
  <c r="E23" i="22"/>
  <c r="E10" i="22"/>
  <c r="C19" i="68"/>
  <c r="C19" i="67"/>
  <c r="E35" i="68"/>
  <c r="E36" i="68"/>
  <c r="E35" i="67"/>
  <c r="E34" i="67"/>
  <c r="C20" i="3"/>
  <c r="C20" i="68"/>
  <c r="C51" i="68" s="1"/>
  <c r="C20" i="67"/>
  <c r="C50" i="67" s="1"/>
  <c r="F7" i="67"/>
  <c r="F7" i="68"/>
  <c r="C73" i="68"/>
  <c r="C48" i="68"/>
  <c r="F6" i="68"/>
  <c r="D16" i="67"/>
  <c r="D16" i="68"/>
  <c r="C47" i="67"/>
  <c r="C72" i="67"/>
  <c r="F6" i="67"/>
  <c r="E44" i="67"/>
  <c r="E45" i="68"/>
  <c r="H4" i="67"/>
  <c r="H4" i="68"/>
  <c r="G44" i="68"/>
  <c r="G14" i="68"/>
  <c r="G46" i="68" s="1"/>
  <c r="G14" i="67"/>
  <c r="F13" i="68"/>
  <c r="F13" i="67"/>
  <c r="F27" i="67"/>
  <c r="F57" i="67" s="1"/>
  <c r="F28" i="68"/>
  <c r="F46" i="68"/>
  <c r="B50" i="67"/>
  <c r="D72" i="68"/>
  <c r="D47" i="68"/>
  <c r="E15" i="3"/>
  <c r="E12" i="22" s="1"/>
  <c r="E15" i="67"/>
  <c r="E46" i="67" s="1"/>
  <c r="E15" i="68"/>
  <c r="E47" i="68" s="1"/>
  <c r="G5" i="68"/>
  <c r="G6" i="68" s="1"/>
  <c r="G5" i="67"/>
  <c r="G6" i="67" s="1"/>
  <c r="H12" i="68"/>
  <c r="H12" i="67"/>
  <c r="B51" i="68"/>
  <c r="D46" i="67"/>
  <c r="D71" i="67"/>
  <c r="B50" i="68"/>
  <c r="B21" i="68"/>
  <c r="G43" i="67"/>
  <c r="B21" i="67"/>
  <c r="B49" i="67"/>
  <c r="N64" i="55"/>
  <c r="B20" i="44"/>
  <c r="B51" i="44" s="1"/>
  <c r="F7" i="3"/>
  <c r="E5" i="22"/>
  <c r="E19" i="22"/>
  <c r="E24" i="22"/>
  <c r="E9" i="22"/>
  <c r="K22" i="46"/>
  <c r="K19" i="17"/>
  <c r="H12" i="3"/>
  <c r="J7" i="45"/>
  <c r="M19" i="39"/>
  <c r="L22" i="3"/>
  <c r="L17" i="39"/>
  <c r="E36" i="3"/>
  <c r="E6" i="22"/>
  <c r="E35" i="3"/>
  <c r="E7" i="46"/>
  <c r="E6" i="17"/>
  <c r="E34" i="17" s="1"/>
  <c r="F4" i="16"/>
  <c r="F5" i="16" s="1"/>
  <c r="F4" i="22"/>
  <c r="F11" i="22" s="1"/>
  <c r="F4" i="17"/>
  <c r="F5" i="17" s="1"/>
  <c r="F5" i="46"/>
  <c r="F6" i="46" s="1"/>
  <c r="E35" i="16"/>
  <c r="E8" i="16"/>
  <c r="L7" i="44"/>
  <c r="G3" i="22"/>
  <c r="G3" i="16"/>
  <c r="G3" i="17"/>
  <c r="G4" i="46"/>
  <c r="H11" i="40"/>
  <c r="F6" i="16"/>
  <c r="F26" i="16"/>
  <c r="F39" i="16" s="1"/>
  <c r="F28" i="16"/>
  <c r="F41" i="16" s="1"/>
  <c r="G9" i="17"/>
  <c r="G44" i="3"/>
  <c r="G10" i="40"/>
  <c r="G8" i="40"/>
  <c r="G5" i="40" s="1"/>
  <c r="N50" i="56"/>
  <c r="D37" i="46"/>
  <c r="D36" i="46"/>
  <c r="D15" i="44"/>
  <c r="D47" i="44" s="1"/>
  <c r="N60" i="53"/>
  <c r="N69" i="47"/>
  <c r="C19" i="3"/>
  <c r="H14" i="3"/>
  <c r="I36" i="45"/>
  <c r="I35" i="45"/>
  <c r="F46" i="3"/>
  <c r="R4" i="3"/>
  <c r="S4" i="3" s="1"/>
  <c r="L70" i="47"/>
  <c r="M70" i="47" s="1"/>
  <c r="M39" i="47"/>
  <c r="M72" i="47" s="1"/>
  <c r="N72" i="47" s="1"/>
  <c r="L71" i="47"/>
  <c r="C20" i="45"/>
  <c r="C19" i="45"/>
  <c r="F13" i="44"/>
  <c r="F45" i="44" s="1"/>
  <c r="F28" i="44"/>
  <c r="F58" i="44" s="1"/>
  <c r="E45" i="3"/>
  <c r="E10" i="17"/>
  <c r="K57" i="50"/>
  <c r="J56" i="50"/>
  <c r="J26" i="50" s="1"/>
  <c r="J23" i="50" s="1"/>
  <c r="L66" i="50"/>
  <c r="M66" i="50" s="1"/>
  <c r="I44" i="47"/>
  <c r="F14" i="50"/>
  <c r="J29" i="55"/>
  <c r="I28" i="55"/>
  <c r="I18" i="55" s="1"/>
  <c r="I15" i="55" s="1"/>
  <c r="I14" i="55" s="1"/>
  <c r="K47" i="47"/>
  <c r="J46" i="47"/>
  <c r="J36" i="47" s="1"/>
  <c r="J33" i="47" s="1"/>
  <c r="N50" i="49"/>
  <c r="K52" i="49"/>
  <c r="L21" i="49"/>
  <c r="K75" i="47"/>
  <c r="J74" i="47"/>
  <c r="J44" i="47" s="1"/>
  <c r="J41" i="47" s="1"/>
  <c r="L62" i="53"/>
  <c r="M30" i="53"/>
  <c r="M63" i="53" s="1"/>
  <c r="N63" i="53" s="1"/>
  <c r="G32" i="47"/>
  <c r="K43" i="55"/>
  <c r="J42" i="55"/>
  <c r="J22" i="55" s="1"/>
  <c r="J19" i="55" s="1"/>
  <c r="K51" i="49"/>
  <c r="L51" i="49" s="1"/>
  <c r="M51" i="49" s="1"/>
  <c r="I28" i="50"/>
  <c r="I18" i="50" s="1"/>
  <c r="I15" i="50" s="1"/>
  <c r="I14" i="50" s="1"/>
  <c r="J29" i="50"/>
  <c r="J42" i="49"/>
  <c r="J22" i="49" s="1"/>
  <c r="J19" i="49" s="1"/>
  <c r="K43" i="49"/>
  <c r="H23" i="55"/>
  <c r="H18" i="56"/>
  <c r="L53" i="50"/>
  <c r="M21" i="50"/>
  <c r="M54" i="50" s="1"/>
  <c r="N54" i="50" s="1"/>
  <c r="I18" i="49"/>
  <c r="J56" i="56"/>
  <c r="J26" i="56" s="1"/>
  <c r="J23" i="56" s="1"/>
  <c r="K57" i="56"/>
  <c r="H18" i="50"/>
  <c r="I22" i="49"/>
  <c r="J42" i="56"/>
  <c r="J22" i="56" s="1"/>
  <c r="J19" i="56" s="1"/>
  <c r="K43" i="56"/>
  <c r="G14" i="49"/>
  <c r="K66" i="55"/>
  <c r="L25" i="55"/>
  <c r="J29" i="56"/>
  <c r="I28" i="56"/>
  <c r="I18" i="56" s="1"/>
  <c r="I15" i="56" s="1"/>
  <c r="L52" i="50"/>
  <c r="M52" i="50" s="1"/>
  <c r="K29" i="49"/>
  <c r="J28" i="49"/>
  <c r="J18" i="49" s="1"/>
  <c r="J15" i="49" s="1"/>
  <c r="I26" i="56"/>
  <c r="H19" i="55"/>
  <c r="L53" i="55"/>
  <c r="M21" i="55"/>
  <c r="M54" i="55" s="1"/>
  <c r="N54" i="55" s="1"/>
  <c r="M67" i="49"/>
  <c r="N67" i="49" s="1"/>
  <c r="N51" i="55"/>
  <c r="H18" i="55"/>
  <c r="K61" i="47"/>
  <c r="J60" i="47"/>
  <c r="J40" i="47" s="1"/>
  <c r="J37" i="47" s="1"/>
  <c r="H23" i="50"/>
  <c r="K65" i="55"/>
  <c r="L65" i="55" s="1"/>
  <c r="M65" i="55" s="1"/>
  <c r="N65" i="55"/>
  <c r="K52" i="56"/>
  <c r="L21" i="56"/>
  <c r="J56" i="55"/>
  <c r="K57" i="55"/>
  <c r="L52" i="55"/>
  <c r="M52" i="55" s="1"/>
  <c r="L67" i="56"/>
  <c r="M25" i="56"/>
  <c r="M68" i="56" s="1"/>
  <c r="N68" i="56" s="1"/>
  <c r="K51" i="56"/>
  <c r="L51" i="56" s="1"/>
  <c r="M51" i="56" s="1"/>
  <c r="N65" i="50"/>
  <c r="K57" i="49"/>
  <c r="J56" i="49"/>
  <c r="J26" i="49" s="1"/>
  <c r="J23" i="49" s="1"/>
  <c r="N65" i="56"/>
  <c r="G9" i="57"/>
  <c r="N51" i="50"/>
  <c r="L66" i="56"/>
  <c r="M66" i="56" s="1"/>
  <c r="N66" i="56"/>
  <c r="L67" i="50"/>
  <c r="M25" i="50"/>
  <c r="M68" i="50" s="1"/>
  <c r="N68" i="50" s="1"/>
  <c r="F13" i="3"/>
  <c r="F10" i="17" s="1"/>
  <c r="J27" i="46"/>
  <c r="M46" i="39"/>
  <c r="L49" i="39"/>
  <c r="L27" i="45" s="1"/>
  <c r="L47" i="39"/>
  <c r="L27" i="3" s="1"/>
  <c r="L48" i="39"/>
  <c r="L27" i="44" s="1"/>
  <c r="K27" i="46"/>
  <c r="I29" i="46"/>
  <c r="I60" i="46" s="1"/>
  <c r="I24" i="17"/>
  <c r="I59" i="3"/>
  <c r="K30" i="39"/>
  <c r="H29" i="46"/>
  <c r="H59" i="3"/>
  <c r="J35" i="39"/>
  <c r="J36" i="39"/>
  <c r="J29" i="45" s="1"/>
  <c r="J59" i="45" s="1"/>
  <c r="J34" i="39"/>
  <c r="J29" i="3" s="1"/>
  <c r="J15" i="39"/>
  <c r="J4" i="39"/>
  <c r="J57" i="39" s="1"/>
  <c r="J14" i="39"/>
  <c r="J16" i="39"/>
  <c r="I5" i="39"/>
  <c r="I7" i="39"/>
  <c r="I6" i="39"/>
  <c r="K10" i="39"/>
  <c r="L12" i="39"/>
  <c r="I57" i="39"/>
  <c r="L52" i="54"/>
  <c r="K51" i="54"/>
  <c r="K31" i="54" s="1"/>
  <c r="K28" i="54" s="1"/>
  <c r="I32" i="54"/>
  <c r="K65" i="54"/>
  <c r="K35" i="54" s="1"/>
  <c r="K32" i="54" s="1"/>
  <c r="L67" i="54"/>
  <c r="F23" i="54"/>
  <c r="F9" i="57"/>
  <c r="H27" i="54"/>
  <c r="J38" i="54"/>
  <c r="I37" i="54"/>
  <c r="I27" i="54" s="1"/>
  <c r="I24" i="54" s="1"/>
  <c r="K65" i="53"/>
  <c r="K35" i="53" s="1"/>
  <c r="K32" i="53" s="1"/>
  <c r="L66" i="53"/>
  <c r="J51" i="53"/>
  <c r="J31" i="53" s="1"/>
  <c r="K52" i="53"/>
  <c r="J24" i="53"/>
  <c r="K37" i="53"/>
  <c r="K27" i="53" s="1"/>
  <c r="K24" i="53" s="1"/>
  <c r="L38" i="53"/>
  <c r="J66" i="52"/>
  <c r="I65" i="52"/>
  <c r="I35" i="52" s="1"/>
  <c r="I32" i="52" s="1"/>
  <c r="H32" i="52"/>
  <c r="I24" i="52"/>
  <c r="K38" i="52"/>
  <c r="J37" i="52"/>
  <c r="J27" i="52" s="1"/>
  <c r="J24" i="52" s="1"/>
  <c r="J52" i="52"/>
  <c r="I51" i="52"/>
  <c r="I31" i="52" s="1"/>
  <c r="I28" i="52" s="1"/>
  <c r="H28" i="52"/>
  <c r="M56" i="51"/>
  <c r="M99" i="51" s="1"/>
  <c r="N99" i="51" s="1"/>
  <c r="L98" i="51"/>
  <c r="I57" i="51"/>
  <c r="K88" i="51"/>
  <c r="J87" i="51"/>
  <c r="J57" i="51" s="1"/>
  <c r="J54" i="51" s="1"/>
  <c r="G11" i="57"/>
  <c r="G45" i="51"/>
  <c r="D60" i="44"/>
  <c r="D32" i="46"/>
  <c r="D61" i="46" s="1"/>
  <c r="H53" i="51"/>
  <c r="I73" i="51"/>
  <c r="I53" i="51" s="1"/>
  <c r="I50" i="51" s="1"/>
  <c r="J74" i="51"/>
  <c r="J59" i="51"/>
  <c r="J49" i="51" s="1"/>
  <c r="K60" i="51"/>
  <c r="E27" i="22"/>
  <c r="E40" i="22" s="1"/>
  <c r="E60" i="3"/>
  <c r="E27" i="17"/>
  <c r="E40" i="17" s="1"/>
  <c r="E32" i="46"/>
  <c r="E61" i="46" s="1"/>
  <c r="G10" i="57"/>
  <c r="G14" i="50"/>
  <c r="J42" i="50"/>
  <c r="J22" i="50" s="1"/>
  <c r="K43" i="50"/>
  <c r="E28" i="46"/>
  <c r="E59" i="46" s="1"/>
  <c r="L21" i="40"/>
  <c r="L19" i="40" s="1"/>
  <c r="L16" i="40" s="1"/>
  <c r="E23" i="17"/>
  <c r="E58" i="3"/>
  <c r="K25" i="40"/>
  <c r="K22" i="40" s="1"/>
  <c r="J24" i="40"/>
  <c r="M15" i="40"/>
  <c r="L15" i="40"/>
  <c r="F9" i="40"/>
  <c r="F28" i="3"/>
  <c r="F4" i="40"/>
  <c r="F6" i="40" s="1"/>
  <c r="K13" i="40"/>
  <c r="K24" i="44"/>
  <c r="B17" i="44"/>
  <c r="J8" i="39"/>
  <c r="I9" i="39"/>
  <c r="R6" i="44"/>
  <c r="R5" i="44"/>
  <c r="H12" i="44"/>
  <c r="G44" i="44"/>
  <c r="G46" i="44"/>
  <c r="E45" i="44"/>
  <c r="E15" i="44"/>
  <c r="M20" i="40"/>
  <c r="M17" i="40" s="1"/>
  <c r="J56" i="44"/>
  <c r="J57" i="44"/>
  <c r="J54" i="44"/>
  <c r="J52" i="44"/>
  <c r="B17" i="17"/>
  <c r="B51" i="3"/>
  <c r="D16" i="3"/>
  <c r="D73" i="3" s="1"/>
  <c r="G14" i="3"/>
  <c r="J16" i="16"/>
  <c r="J18" i="16" s="1"/>
  <c r="J37" i="16" s="1"/>
  <c r="J17" i="16"/>
  <c r="J27" i="16"/>
  <c r="J25" i="16"/>
  <c r="J38" i="16" s="1"/>
  <c r="J36" i="16"/>
  <c r="K2" i="22"/>
  <c r="K2" i="16"/>
  <c r="K2" i="17"/>
  <c r="K57" i="3"/>
  <c r="K56" i="3"/>
  <c r="K52" i="3"/>
  <c r="P4" i="3"/>
  <c r="Q4" i="3" s="1"/>
  <c r="I31" i="16"/>
  <c r="I40" i="16"/>
  <c r="G12" i="46"/>
  <c r="G44" i="45"/>
  <c r="I24" i="40"/>
  <c r="I28" i="45"/>
  <c r="H12" i="45"/>
  <c r="J55" i="45"/>
  <c r="J57" i="45"/>
  <c r="J56" i="45"/>
  <c r="J3" i="46"/>
  <c r="J52" i="45"/>
  <c r="R5" i="45"/>
  <c r="F46" i="45"/>
  <c r="F14" i="46"/>
  <c r="F47" i="46" s="1"/>
  <c r="I58" i="46"/>
  <c r="I57" i="46"/>
  <c r="I53" i="46"/>
  <c r="G14" i="45"/>
  <c r="D13" i="46"/>
  <c r="D45" i="45"/>
  <c r="E47" i="46"/>
  <c r="C47" i="45"/>
  <c r="C15" i="46"/>
  <c r="C48" i="46" s="1"/>
  <c r="C46" i="46"/>
  <c r="F45" i="46"/>
  <c r="K6" i="45"/>
  <c r="D15" i="45"/>
  <c r="B48" i="46"/>
  <c r="B48" i="45"/>
  <c r="B16" i="46"/>
  <c r="E13" i="45"/>
  <c r="C16" i="45"/>
  <c r="F31" i="67" l="1"/>
  <c r="F32" i="68"/>
  <c r="G32" i="3"/>
  <c r="G60" i="3" s="1"/>
  <c r="G32" i="68"/>
  <c r="G60" i="68" s="1"/>
  <c r="G31" i="67"/>
  <c r="G59" i="67" s="1"/>
  <c r="G9" i="28"/>
  <c r="H4" i="27"/>
  <c r="H6" i="27" s="1"/>
  <c r="I11" i="28"/>
  <c r="I10" i="28" s="1"/>
  <c r="I11" i="74"/>
  <c r="H10" i="74"/>
  <c r="H7" i="74" s="1"/>
  <c r="H8" i="74"/>
  <c r="H5" i="74" s="1"/>
  <c r="G5" i="74"/>
  <c r="G4" i="74"/>
  <c r="G9" i="74"/>
  <c r="E6" i="74"/>
  <c r="I7" i="27"/>
  <c r="G4" i="28"/>
  <c r="G6" i="28" s="1"/>
  <c r="H7" i="28"/>
  <c r="H8" i="28"/>
  <c r="H5" i="28" s="1"/>
  <c r="J5" i="27"/>
  <c r="J10" i="27"/>
  <c r="B21" i="44"/>
  <c r="G13" i="44"/>
  <c r="G45" i="44" s="1"/>
  <c r="C20" i="44"/>
  <c r="C51" i="44" s="1"/>
  <c r="B20" i="46"/>
  <c r="B52" i="46" s="1"/>
  <c r="E12" i="17"/>
  <c r="E47" i="3"/>
  <c r="H44" i="68"/>
  <c r="F44" i="67"/>
  <c r="F15" i="3"/>
  <c r="F12" i="17" s="1"/>
  <c r="F15" i="67"/>
  <c r="F15" i="68"/>
  <c r="I4" i="67"/>
  <c r="I4" i="68"/>
  <c r="H5" i="68"/>
  <c r="H6" i="68" s="1"/>
  <c r="H5" i="67"/>
  <c r="H6" i="67" s="1"/>
  <c r="G45" i="67"/>
  <c r="D73" i="68"/>
  <c r="D48" i="68"/>
  <c r="D20" i="3"/>
  <c r="D20" i="68"/>
  <c r="D51" i="68" s="1"/>
  <c r="D20" i="67"/>
  <c r="D50" i="67" s="1"/>
  <c r="E16" i="67"/>
  <c r="E47" i="67" s="1"/>
  <c r="E16" i="68"/>
  <c r="B74" i="68"/>
  <c r="D47" i="67"/>
  <c r="D72" i="67"/>
  <c r="G7" i="68"/>
  <c r="G7" i="67"/>
  <c r="F58" i="68"/>
  <c r="I12" i="67"/>
  <c r="I12" i="68"/>
  <c r="C22" i="3"/>
  <c r="C75" i="3" s="1"/>
  <c r="C22" i="68"/>
  <c r="C22" i="67"/>
  <c r="D19" i="3"/>
  <c r="D19" i="68"/>
  <c r="D19" i="67"/>
  <c r="H14" i="68"/>
  <c r="H46" i="68" s="1"/>
  <c r="H14" i="67"/>
  <c r="H45" i="67" s="1"/>
  <c r="F34" i="67"/>
  <c r="F35" i="67"/>
  <c r="G13" i="3"/>
  <c r="G45" i="3" s="1"/>
  <c r="G13" i="68"/>
  <c r="G13" i="67"/>
  <c r="B73" i="67"/>
  <c r="F45" i="68"/>
  <c r="C17" i="3"/>
  <c r="C70" i="3" s="1"/>
  <c r="C17" i="68"/>
  <c r="C17" i="67"/>
  <c r="C49" i="67"/>
  <c r="C21" i="67"/>
  <c r="C73" i="67" s="1"/>
  <c r="F35" i="68"/>
  <c r="F36" i="68"/>
  <c r="B17" i="68"/>
  <c r="B17" i="67"/>
  <c r="C50" i="68"/>
  <c r="C21" i="68"/>
  <c r="C74" i="68" s="1"/>
  <c r="H43" i="67"/>
  <c r="G4" i="22"/>
  <c r="G4" i="16"/>
  <c r="G5" i="16" s="1"/>
  <c r="G4" i="17"/>
  <c r="G5" i="17" s="1"/>
  <c r="G5" i="46"/>
  <c r="G6" i="46" s="1"/>
  <c r="I12" i="3"/>
  <c r="L19" i="17"/>
  <c r="L22" i="46"/>
  <c r="H9" i="17"/>
  <c r="H44" i="3"/>
  <c r="M22" i="3"/>
  <c r="M17" i="39"/>
  <c r="N17" i="39" s="1"/>
  <c r="N19" i="39"/>
  <c r="N70" i="47"/>
  <c r="H3" i="17"/>
  <c r="H3" i="16"/>
  <c r="H3" i="22"/>
  <c r="H4" i="46"/>
  <c r="F19" i="22"/>
  <c r="F5" i="22"/>
  <c r="F24" i="22"/>
  <c r="F9" i="22"/>
  <c r="H8" i="40"/>
  <c r="H5" i="40" s="1"/>
  <c r="H10" i="40"/>
  <c r="H7" i="40" s="1"/>
  <c r="E37" i="46"/>
  <c r="E36" i="46"/>
  <c r="F35" i="3"/>
  <c r="F6" i="17"/>
  <c r="F34" i="17" s="1"/>
  <c r="F36" i="3"/>
  <c r="F6" i="22"/>
  <c r="F7" i="46"/>
  <c r="I14" i="44"/>
  <c r="I46" i="44" s="1"/>
  <c r="M7" i="44"/>
  <c r="G7" i="40"/>
  <c r="G4" i="40" s="1"/>
  <c r="G6" i="40" s="1"/>
  <c r="F8" i="16"/>
  <c r="F34" i="16"/>
  <c r="E34" i="22"/>
  <c r="E8" i="22"/>
  <c r="K7" i="45"/>
  <c r="K35" i="45" s="1"/>
  <c r="I11" i="40"/>
  <c r="G26" i="16"/>
  <c r="G39" i="16" s="1"/>
  <c r="G28" i="16"/>
  <c r="G41" i="16" s="1"/>
  <c r="G6" i="16"/>
  <c r="G7" i="3"/>
  <c r="H11" i="57"/>
  <c r="H32" i="45" s="1"/>
  <c r="J14" i="49"/>
  <c r="G15" i="3"/>
  <c r="G47" i="3" s="1"/>
  <c r="C22" i="45"/>
  <c r="D16" i="44"/>
  <c r="D48" i="44" s="1"/>
  <c r="B17" i="3"/>
  <c r="B70" i="3" s="1"/>
  <c r="M71" i="47"/>
  <c r="N71" i="47" s="1"/>
  <c r="D20" i="45"/>
  <c r="D19" i="45"/>
  <c r="F45" i="3"/>
  <c r="L29" i="49"/>
  <c r="K28" i="49"/>
  <c r="K18" i="49" s="1"/>
  <c r="K15" i="49" s="1"/>
  <c r="J32" i="47"/>
  <c r="K56" i="56"/>
  <c r="K26" i="56" s="1"/>
  <c r="K23" i="56" s="1"/>
  <c r="L57" i="56"/>
  <c r="J28" i="55"/>
  <c r="J18" i="55" s="1"/>
  <c r="J15" i="55" s="1"/>
  <c r="K29" i="55"/>
  <c r="M67" i="50"/>
  <c r="N67" i="50" s="1"/>
  <c r="M67" i="56"/>
  <c r="N67" i="56" s="1"/>
  <c r="K56" i="55"/>
  <c r="K26" i="55" s="1"/>
  <c r="K23" i="55" s="1"/>
  <c r="L57" i="55"/>
  <c r="K42" i="49"/>
  <c r="K22" i="49" s="1"/>
  <c r="K19" i="49" s="1"/>
  <c r="L43" i="49"/>
  <c r="N51" i="49"/>
  <c r="K46" i="47"/>
  <c r="K36" i="47" s="1"/>
  <c r="K33" i="47" s="1"/>
  <c r="L47" i="47"/>
  <c r="K42" i="56"/>
  <c r="K22" i="56" s="1"/>
  <c r="K19" i="56" s="1"/>
  <c r="L43" i="56"/>
  <c r="K56" i="49"/>
  <c r="K26" i="49" s="1"/>
  <c r="K23" i="49" s="1"/>
  <c r="L57" i="49"/>
  <c r="J26" i="55"/>
  <c r="L61" i="47"/>
  <c r="K60" i="47"/>
  <c r="K40" i="47" s="1"/>
  <c r="K37" i="47" s="1"/>
  <c r="M53" i="55"/>
  <c r="N53" i="55" s="1"/>
  <c r="K29" i="56"/>
  <c r="J28" i="56"/>
  <c r="J18" i="56" s="1"/>
  <c r="J15" i="56" s="1"/>
  <c r="J14" i="56" s="1"/>
  <c r="I15" i="49"/>
  <c r="L53" i="56"/>
  <c r="M21" i="56"/>
  <c r="M54" i="56" s="1"/>
  <c r="N54" i="56" s="1"/>
  <c r="L67" i="55"/>
  <c r="M25" i="55"/>
  <c r="M68" i="55" s="1"/>
  <c r="N68" i="55" s="1"/>
  <c r="I19" i="49"/>
  <c r="I41" i="47"/>
  <c r="K56" i="50"/>
  <c r="K26" i="50" s="1"/>
  <c r="L57" i="50"/>
  <c r="N51" i="56"/>
  <c r="N52" i="55"/>
  <c r="L52" i="56"/>
  <c r="M52" i="56" s="1"/>
  <c r="H15" i="55"/>
  <c r="L66" i="55"/>
  <c r="M66" i="55" s="1"/>
  <c r="M53" i="50"/>
  <c r="N53" i="50" s="1"/>
  <c r="L43" i="55"/>
  <c r="K42" i="55"/>
  <c r="K22" i="55" s="1"/>
  <c r="K19" i="55" s="1"/>
  <c r="M62" i="53"/>
  <c r="N62" i="53" s="1"/>
  <c r="N66" i="50"/>
  <c r="K29" i="50"/>
  <c r="J28" i="50"/>
  <c r="J18" i="50" s="1"/>
  <c r="J15" i="50" s="1"/>
  <c r="L75" i="47"/>
  <c r="K74" i="47"/>
  <c r="K44" i="47" s="1"/>
  <c r="K41" i="47" s="1"/>
  <c r="L52" i="49"/>
  <c r="M52" i="49" s="1"/>
  <c r="I23" i="56"/>
  <c r="I14" i="56" s="1"/>
  <c r="N52" i="50"/>
  <c r="H15" i="50"/>
  <c r="H15" i="56"/>
  <c r="L53" i="49"/>
  <c r="M21" i="49"/>
  <c r="M54" i="49" s="1"/>
  <c r="N54" i="49" s="1"/>
  <c r="L27" i="46"/>
  <c r="F10" i="22"/>
  <c r="M49" i="39"/>
  <c r="M48" i="39"/>
  <c r="M47" i="39"/>
  <c r="N46" i="39"/>
  <c r="J29" i="44"/>
  <c r="J59" i="44" s="1"/>
  <c r="H60" i="46"/>
  <c r="J59" i="3"/>
  <c r="L30" i="39"/>
  <c r="K36" i="39"/>
  <c r="K29" i="45" s="1"/>
  <c r="K59" i="45" s="1"/>
  <c r="K35" i="39"/>
  <c r="K29" i="44" s="1"/>
  <c r="K59" i="44" s="1"/>
  <c r="K34" i="39"/>
  <c r="K29" i="3" s="1"/>
  <c r="L10" i="39"/>
  <c r="M12" i="39"/>
  <c r="J5" i="39"/>
  <c r="J7" i="39"/>
  <c r="J6" i="39"/>
  <c r="K15" i="39"/>
  <c r="K16" i="39"/>
  <c r="K4" i="39"/>
  <c r="K57" i="39" s="1"/>
  <c r="K14" i="39"/>
  <c r="M52" i="54"/>
  <c r="L51" i="54"/>
  <c r="M67" i="54"/>
  <c r="L65" i="54"/>
  <c r="L35" i="54" s="1"/>
  <c r="I23" i="54"/>
  <c r="K38" i="54"/>
  <c r="J37" i="54"/>
  <c r="J27" i="54" s="1"/>
  <c r="J24" i="54" s="1"/>
  <c r="J23" i="54" s="1"/>
  <c r="I9" i="57"/>
  <c r="F32" i="3"/>
  <c r="F8" i="57"/>
  <c r="H24" i="54"/>
  <c r="M66" i="53"/>
  <c r="M65" i="53" s="1"/>
  <c r="M35" i="53" s="1"/>
  <c r="L65" i="53"/>
  <c r="L35" i="53" s="1"/>
  <c r="L32" i="53" s="1"/>
  <c r="J28" i="53"/>
  <c r="J23" i="53" s="1"/>
  <c r="K51" i="53"/>
  <c r="K31" i="53" s="1"/>
  <c r="K28" i="53" s="1"/>
  <c r="K23" i="53" s="1"/>
  <c r="L52" i="53"/>
  <c r="L37" i="53"/>
  <c r="L27" i="53" s="1"/>
  <c r="L24" i="53" s="1"/>
  <c r="M38" i="53"/>
  <c r="J65" i="52"/>
  <c r="J35" i="52" s="1"/>
  <c r="J32" i="52" s="1"/>
  <c r="K66" i="52"/>
  <c r="I23" i="52"/>
  <c r="K37" i="52"/>
  <c r="K27" i="52" s="1"/>
  <c r="K24" i="52" s="1"/>
  <c r="L38" i="52"/>
  <c r="K52" i="52"/>
  <c r="J51" i="52"/>
  <c r="J31" i="52" s="1"/>
  <c r="J28" i="52" s="1"/>
  <c r="H23" i="52"/>
  <c r="M98" i="51"/>
  <c r="N98" i="51" s="1"/>
  <c r="G32" i="45"/>
  <c r="I54" i="51"/>
  <c r="I45" i="51" s="1"/>
  <c r="L88" i="51"/>
  <c r="K87" i="51"/>
  <c r="K57" i="51" s="1"/>
  <c r="K54" i="51" s="1"/>
  <c r="H50" i="51"/>
  <c r="J73" i="51"/>
  <c r="J53" i="51" s="1"/>
  <c r="J50" i="51" s="1"/>
  <c r="K74" i="51"/>
  <c r="J46" i="51"/>
  <c r="K59" i="51"/>
  <c r="K49" i="51" s="1"/>
  <c r="K46" i="51" s="1"/>
  <c r="L60" i="51"/>
  <c r="K42" i="50"/>
  <c r="K22" i="50" s="1"/>
  <c r="K19" i="50" s="1"/>
  <c r="L43" i="50"/>
  <c r="G32" i="44"/>
  <c r="G8" i="57"/>
  <c r="J19" i="50"/>
  <c r="H28" i="44"/>
  <c r="H58" i="44" s="1"/>
  <c r="G28" i="44"/>
  <c r="G58" i="44" s="1"/>
  <c r="G18" i="40"/>
  <c r="M21" i="40"/>
  <c r="J28" i="45"/>
  <c r="J58" i="45" s="1"/>
  <c r="K24" i="40"/>
  <c r="L25" i="40"/>
  <c r="L22" i="40" s="1"/>
  <c r="F23" i="22"/>
  <c r="F58" i="3"/>
  <c r="F23" i="17"/>
  <c r="F28" i="46"/>
  <c r="F59" i="46" s="1"/>
  <c r="M13" i="40"/>
  <c r="L13" i="40"/>
  <c r="L24" i="44"/>
  <c r="B51" i="45"/>
  <c r="C51" i="45"/>
  <c r="C17" i="44"/>
  <c r="B18" i="44"/>
  <c r="B49" i="44"/>
  <c r="D50" i="44"/>
  <c r="J9" i="39"/>
  <c r="K8" i="39"/>
  <c r="D20" i="44"/>
  <c r="D51" i="44" s="1"/>
  <c r="K57" i="44"/>
  <c r="K52" i="44"/>
  <c r="K54" i="44"/>
  <c r="K56" i="44"/>
  <c r="N17" i="40"/>
  <c r="N20" i="40"/>
  <c r="F15" i="44"/>
  <c r="H14" i="44"/>
  <c r="I12" i="44"/>
  <c r="K35" i="44"/>
  <c r="K36" i="44"/>
  <c r="E47" i="44"/>
  <c r="M6" i="44"/>
  <c r="N5" i="44"/>
  <c r="C3" i="63" s="1"/>
  <c r="C4" i="63" s="1"/>
  <c r="L35" i="44"/>
  <c r="L36" i="44"/>
  <c r="H44" i="44"/>
  <c r="G11" i="17"/>
  <c r="G46" i="3"/>
  <c r="D13" i="17"/>
  <c r="D48" i="3"/>
  <c r="E16" i="3"/>
  <c r="C17" i="17"/>
  <c r="C51" i="3"/>
  <c r="J31" i="16"/>
  <c r="J40" i="16"/>
  <c r="L2" i="16"/>
  <c r="L56" i="3"/>
  <c r="L2" i="22"/>
  <c r="L2" i="17"/>
  <c r="L52" i="3"/>
  <c r="L57" i="3"/>
  <c r="K25" i="16"/>
  <c r="K38" i="16" s="1"/>
  <c r="K16" i="16"/>
  <c r="K18" i="16" s="1"/>
  <c r="K37" i="16" s="1"/>
  <c r="K27" i="16"/>
  <c r="K17" i="16"/>
  <c r="K36" i="16"/>
  <c r="H46" i="3"/>
  <c r="H11" i="17"/>
  <c r="C17" i="45"/>
  <c r="C18" i="45" s="1"/>
  <c r="R6" i="45"/>
  <c r="C48" i="45"/>
  <c r="C16" i="46"/>
  <c r="C49" i="46" s="1"/>
  <c r="L6" i="45"/>
  <c r="D16" i="45"/>
  <c r="E45" i="45"/>
  <c r="E13" i="46"/>
  <c r="D47" i="45"/>
  <c r="D15" i="46"/>
  <c r="H14" i="45"/>
  <c r="J35" i="45"/>
  <c r="J36" i="45"/>
  <c r="H44" i="45"/>
  <c r="H12" i="46"/>
  <c r="I58" i="45"/>
  <c r="D46" i="46"/>
  <c r="E15" i="45"/>
  <c r="G46" i="45"/>
  <c r="G14" i="46"/>
  <c r="J58" i="46"/>
  <c r="J57" i="46"/>
  <c r="J53" i="46"/>
  <c r="G45" i="46"/>
  <c r="B49" i="46"/>
  <c r="I12" i="45"/>
  <c r="F13" i="45"/>
  <c r="K55" i="45"/>
  <c r="K57" i="45"/>
  <c r="K56" i="45"/>
  <c r="K3" i="46"/>
  <c r="K52" i="45"/>
  <c r="G27" i="17" l="1"/>
  <c r="G40" i="17" s="1"/>
  <c r="F60" i="68"/>
  <c r="I32" i="3"/>
  <c r="I32" i="68"/>
  <c r="I60" i="68" s="1"/>
  <c r="I31" i="67"/>
  <c r="I59" i="67" s="1"/>
  <c r="G27" i="22"/>
  <c r="G40" i="22" s="1"/>
  <c r="F59" i="67"/>
  <c r="H60" i="45"/>
  <c r="H9" i="28"/>
  <c r="I4" i="27"/>
  <c r="I6" i="27" s="1"/>
  <c r="J11" i="28"/>
  <c r="J10" i="28" s="1"/>
  <c r="J11" i="74"/>
  <c r="I8" i="74"/>
  <c r="I5" i="74" s="1"/>
  <c r="I10" i="74"/>
  <c r="I7" i="74" s="1"/>
  <c r="H4" i="74"/>
  <c r="H9" i="74"/>
  <c r="G6" i="74"/>
  <c r="C21" i="44"/>
  <c r="J7" i="27"/>
  <c r="H4" i="28"/>
  <c r="H6" i="28" s="1"/>
  <c r="I7" i="28"/>
  <c r="I8" i="28"/>
  <c r="I5" i="28" s="1"/>
  <c r="K10" i="27"/>
  <c r="E20" i="44"/>
  <c r="E51" i="44" s="1"/>
  <c r="E19" i="44"/>
  <c r="E50" i="44" s="1"/>
  <c r="E16" i="44"/>
  <c r="E48" i="44" s="1"/>
  <c r="K36" i="45"/>
  <c r="F47" i="3"/>
  <c r="G11" i="22"/>
  <c r="G10" i="22"/>
  <c r="F12" i="22"/>
  <c r="G10" i="17"/>
  <c r="D17" i="68"/>
  <c r="D17" i="67"/>
  <c r="R22" i="68"/>
  <c r="R22" i="67"/>
  <c r="C70" i="68"/>
  <c r="C49" i="68"/>
  <c r="C18" i="68"/>
  <c r="B24" i="68"/>
  <c r="B24" i="67"/>
  <c r="C75" i="68"/>
  <c r="C52" i="68"/>
  <c r="N22" i="68"/>
  <c r="I5" i="67"/>
  <c r="I6" i="67" s="1"/>
  <c r="I5" i="68"/>
  <c r="I6" i="68" s="1"/>
  <c r="G44" i="67"/>
  <c r="I44" i="68"/>
  <c r="H13" i="67"/>
  <c r="H13" i="68"/>
  <c r="H7" i="68"/>
  <c r="H7" i="67"/>
  <c r="B23" i="67"/>
  <c r="B23" i="68"/>
  <c r="D50" i="68"/>
  <c r="D21" i="68"/>
  <c r="F16" i="67"/>
  <c r="F47" i="67" s="1"/>
  <c r="F16" i="68"/>
  <c r="C74" i="67"/>
  <c r="C51" i="67"/>
  <c r="N22" i="67"/>
  <c r="H28" i="68"/>
  <c r="H58" i="68" s="1"/>
  <c r="H27" i="67"/>
  <c r="H57" i="67" s="1"/>
  <c r="B48" i="67"/>
  <c r="B69" i="67"/>
  <c r="B18" i="67"/>
  <c r="G45" i="68"/>
  <c r="I43" i="67"/>
  <c r="F47" i="68"/>
  <c r="B49" i="68"/>
  <c r="B70" i="68"/>
  <c r="B18" i="68"/>
  <c r="F46" i="67"/>
  <c r="D49" i="67"/>
  <c r="D21" i="67"/>
  <c r="G28" i="3"/>
  <c r="G28" i="68"/>
  <c r="G27" i="67"/>
  <c r="G57" i="67" s="1"/>
  <c r="G9" i="40"/>
  <c r="E48" i="68"/>
  <c r="G15" i="67"/>
  <c r="G46" i="67" s="1"/>
  <c r="G15" i="68"/>
  <c r="G47" i="68" s="1"/>
  <c r="E20" i="68"/>
  <c r="E20" i="67"/>
  <c r="E50" i="67" s="1"/>
  <c r="J12" i="67"/>
  <c r="J12" i="68"/>
  <c r="G34" i="67"/>
  <c r="G35" i="67"/>
  <c r="C18" i="3"/>
  <c r="C15" i="17" s="1"/>
  <c r="C36" i="17" s="1"/>
  <c r="C14" i="17"/>
  <c r="C49" i="3"/>
  <c r="E19" i="67"/>
  <c r="E19" i="68"/>
  <c r="I14" i="68"/>
  <c r="I14" i="67"/>
  <c r="I45" i="67" s="1"/>
  <c r="J4" i="67"/>
  <c r="J4" i="68"/>
  <c r="G36" i="68"/>
  <c r="G35" i="68"/>
  <c r="B24" i="3"/>
  <c r="B77" i="3" s="1"/>
  <c r="C48" i="67"/>
  <c r="C69" i="67"/>
  <c r="C18" i="67"/>
  <c r="M7" i="45"/>
  <c r="M22" i="46"/>
  <c r="M19" i="17"/>
  <c r="N52" i="49"/>
  <c r="R22" i="3"/>
  <c r="N22" i="45"/>
  <c r="C52" i="45"/>
  <c r="G34" i="16"/>
  <c r="G8" i="16"/>
  <c r="H6" i="16"/>
  <c r="H28" i="16"/>
  <c r="H41" i="16" s="1"/>
  <c r="H26" i="16"/>
  <c r="H39" i="16" s="1"/>
  <c r="J12" i="3"/>
  <c r="G5" i="22"/>
  <c r="G19" i="22"/>
  <c r="G24" i="22"/>
  <c r="G9" i="22"/>
  <c r="F37" i="46"/>
  <c r="F36" i="46"/>
  <c r="J11" i="40"/>
  <c r="F34" i="22"/>
  <c r="F8" i="22"/>
  <c r="I9" i="17"/>
  <c r="I44" i="3"/>
  <c r="G6" i="17"/>
  <c r="G34" i="17" s="1"/>
  <c r="G6" i="22"/>
  <c r="G35" i="3"/>
  <c r="G36" i="3"/>
  <c r="G7" i="46"/>
  <c r="H7" i="3"/>
  <c r="H4" i="16"/>
  <c r="H5" i="16" s="1"/>
  <c r="H4" i="17"/>
  <c r="H5" i="17" s="1"/>
  <c r="H4" i="22"/>
  <c r="H5" i="46"/>
  <c r="H6" i="46" s="1"/>
  <c r="I13" i="3"/>
  <c r="I45" i="3" s="1"/>
  <c r="C23" i="3"/>
  <c r="C76" i="3" s="1"/>
  <c r="L7" i="45"/>
  <c r="L36" i="45" s="1"/>
  <c r="I3" i="17"/>
  <c r="I3" i="22"/>
  <c r="I3" i="16"/>
  <c r="I4" i="46"/>
  <c r="I10" i="40"/>
  <c r="I8" i="40"/>
  <c r="H15" i="3"/>
  <c r="E19" i="3"/>
  <c r="E20" i="3"/>
  <c r="E17" i="3"/>
  <c r="R22" i="45"/>
  <c r="C22" i="44"/>
  <c r="C22" i="46" s="1"/>
  <c r="R22" i="44"/>
  <c r="N22" i="3"/>
  <c r="C52" i="3"/>
  <c r="C19" i="17"/>
  <c r="E17" i="44"/>
  <c r="E49" i="44" s="1"/>
  <c r="D17" i="3"/>
  <c r="B17" i="45"/>
  <c r="B49" i="45" s="1"/>
  <c r="B19" i="46"/>
  <c r="B51" i="46" s="1"/>
  <c r="C20" i="46"/>
  <c r="C52" i="46" s="1"/>
  <c r="B50" i="45"/>
  <c r="B21" i="45"/>
  <c r="B50" i="3"/>
  <c r="B16" i="17"/>
  <c r="B18" i="17" s="1"/>
  <c r="B21" i="3"/>
  <c r="B74" i="3" s="1"/>
  <c r="B49" i="3"/>
  <c r="B14" i="17"/>
  <c r="B18" i="3"/>
  <c r="B15" i="17" s="1"/>
  <c r="B36" i="17" s="1"/>
  <c r="E19" i="45"/>
  <c r="E20" i="45"/>
  <c r="H14" i="50"/>
  <c r="N66" i="55"/>
  <c r="L60" i="47"/>
  <c r="L40" i="47" s="1"/>
  <c r="L37" i="47" s="1"/>
  <c r="M61" i="47"/>
  <c r="K28" i="55"/>
  <c r="K18" i="55" s="1"/>
  <c r="L29" i="55"/>
  <c r="L74" i="47"/>
  <c r="L44" i="47" s="1"/>
  <c r="L41" i="47" s="1"/>
  <c r="M75" i="47"/>
  <c r="I32" i="47"/>
  <c r="M67" i="55"/>
  <c r="N67" i="55" s="1"/>
  <c r="I14" i="49"/>
  <c r="M47" i="47"/>
  <c r="L46" i="47"/>
  <c r="L36" i="47" s="1"/>
  <c r="L33" i="47" s="1"/>
  <c r="M57" i="55"/>
  <c r="L56" i="55"/>
  <c r="L26" i="55" s="1"/>
  <c r="L23" i="55" s="1"/>
  <c r="K14" i="49"/>
  <c r="M53" i="49"/>
  <c r="N53" i="49"/>
  <c r="J23" i="55"/>
  <c r="J14" i="55" s="1"/>
  <c r="K32" i="47"/>
  <c r="L56" i="56"/>
  <c r="L26" i="56" s="1"/>
  <c r="M57" i="56"/>
  <c r="M29" i="49"/>
  <c r="L28" i="49"/>
  <c r="L18" i="49" s="1"/>
  <c r="K23" i="50"/>
  <c r="L56" i="49"/>
  <c r="L26" i="49" s="1"/>
  <c r="L23" i="49" s="1"/>
  <c r="M57" i="49"/>
  <c r="K28" i="50"/>
  <c r="K18" i="50" s="1"/>
  <c r="L29" i="50"/>
  <c r="L42" i="56"/>
  <c r="L22" i="56" s="1"/>
  <c r="L19" i="56" s="1"/>
  <c r="M43" i="56"/>
  <c r="M43" i="55"/>
  <c r="L42" i="55"/>
  <c r="L22" i="55" s="1"/>
  <c r="L19" i="55" s="1"/>
  <c r="M53" i="56"/>
  <c r="N53" i="56" s="1"/>
  <c r="K28" i="56"/>
  <c r="K18" i="56" s="1"/>
  <c r="L29" i="56"/>
  <c r="I10" i="57"/>
  <c r="I32" i="44" s="1"/>
  <c r="I60" i="44" s="1"/>
  <c r="J11" i="57"/>
  <c r="J32" i="45" s="1"/>
  <c r="H14" i="55"/>
  <c r="H14" i="56"/>
  <c r="N52" i="56"/>
  <c r="M57" i="50"/>
  <c r="L56" i="50"/>
  <c r="L26" i="50" s="1"/>
  <c r="L23" i="50" s="1"/>
  <c r="M43" i="49"/>
  <c r="L42" i="49"/>
  <c r="L22" i="49" s="1"/>
  <c r="L19" i="49" s="1"/>
  <c r="H13" i="44"/>
  <c r="H45" i="44" s="1"/>
  <c r="M27" i="45"/>
  <c r="N27" i="45" s="1"/>
  <c r="N49" i="39"/>
  <c r="R27" i="45" s="1"/>
  <c r="M27" i="44"/>
  <c r="N27" i="44" s="1"/>
  <c r="C16" i="63" s="1"/>
  <c r="C17" i="63" s="1"/>
  <c r="N48" i="39"/>
  <c r="R27" i="44" s="1"/>
  <c r="M27" i="3"/>
  <c r="M57" i="3" s="1"/>
  <c r="N47" i="39"/>
  <c r="R27" i="3" s="1"/>
  <c r="J29" i="46"/>
  <c r="J60" i="46" s="1"/>
  <c r="L36" i="39"/>
  <c r="L29" i="45" s="1"/>
  <c r="L59" i="45" s="1"/>
  <c r="L35" i="39"/>
  <c r="L29" i="44" s="1"/>
  <c r="L59" i="44" s="1"/>
  <c r="L34" i="39"/>
  <c r="L29" i="3" s="1"/>
  <c r="K29" i="46"/>
  <c r="K60" i="46" s="1"/>
  <c r="K24" i="17"/>
  <c r="K59" i="3"/>
  <c r="M30" i="39"/>
  <c r="N31" i="39"/>
  <c r="L4" i="39"/>
  <c r="L16" i="39"/>
  <c r="L15" i="39"/>
  <c r="L14" i="39"/>
  <c r="M10" i="39"/>
  <c r="N12" i="39"/>
  <c r="K6" i="39"/>
  <c r="K5" i="39"/>
  <c r="K7" i="39"/>
  <c r="N52" i="54"/>
  <c r="M51" i="54"/>
  <c r="M31" i="54" s="1"/>
  <c r="M28" i="54" s="1"/>
  <c r="L31" i="54"/>
  <c r="M65" i="54"/>
  <c r="N67" i="54"/>
  <c r="L32" i="54"/>
  <c r="I60" i="3"/>
  <c r="I27" i="17"/>
  <c r="I40" i="17" s="1"/>
  <c r="L38" i="54"/>
  <c r="K37" i="54"/>
  <c r="K27" i="54" s="1"/>
  <c r="K24" i="54" s="1"/>
  <c r="K23" i="54" s="1"/>
  <c r="H23" i="54"/>
  <c r="H9" i="57"/>
  <c r="F27" i="17"/>
  <c r="F40" i="17" s="1"/>
  <c r="F60" i="3"/>
  <c r="F27" i="22"/>
  <c r="F40" i="22" s="1"/>
  <c r="F32" i="46"/>
  <c r="F61" i="46" s="1"/>
  <c r="N65" i="53"/>
  <c r="N66" i="53"/>
  <c r="M32" i="53"/>
  <c r="N32" i="53" s="1"/>
  <c r="N35" i="53"/>
  <c r="M52" i="53"/>
  <c r="L51" i="53"/>
  <c r="L31" i="53" s="1"/>
  <c r="L28" i="53" s="1"/>
  <c r="L23" i="53" s="1"/>
  <c r="M37" i="53"/>
  <c r="N38" i="53"/>
  <c r="K65" i="52"/>
  <c r="K35" i="52" s="1"/>
  <c r="K32" i="52" s="1"/>
  <c r="L66" i="52"/>
  <c r="J23" i="52"/>
  <c r="M38" i="52"/>
  <c r="L37" i="52"/>
  <c r="L27" i="52" s="1"/>
  <c r="L24" i="52" s="1"/>
  <c r="L52" i="52"/>
  <c r="K51" i="52"/>
  <c r="K31" i="52" s="1"/>
  <c r="K28" i="52" s="1"/>
  <c r="L87" i="51"/>
  <c r="L57" i="51" s="1"/>
  <c r="L54" i="51" s="1"/>
  <c r="M88" i="51"/>
  <c r="G60" i="45"/>
  <c r="I11" i="57"/>
  <c r="H10" i="57"/>
  <c r="H45" i="51"/>
  <c r="L74" i="51"/>
  <c r="K73" i="51"/>
  <c r="K53" i="51" s="1"/>
  <c r="L59" i="51"/>
  <c r="L49" i="51" s="1"/>
  <c r="L46" i="51" s="1"/>
  <c r="M60" i="51"/>
  <c r="J45" i="51"/>
  <c r="J9" i="57"/>
  <c r="J14" i="50"/>
  <c r="J10" i="57"/>
  <c r="M43" i="50"/>
  <c r="L42" i="50"/>
  <c r="L22" i="50" s="1"/>
  <c r="L19" i="50" s="1"/>
  <c r="G32" i="46"/>
  <c r="G60" i="44"/>
  <c r="K28" i="45"/>
  <c r="K58" i="45" s="1"/>
  <c r="H18" i="40"/>
  <c r="M19" i="40"/>
  <c r="I18" i="40"/>
  <c r="L28" i="45"/>
  <c r="M25" i="40"/>
  <c r="N13" i="40"/>
  <c r="N15" i="40" s="1"/>
  <c r="H4" i="40"/>
  <c r="H6" i="40" s="1"/>
  <c r="H9" i="40"/>
  <c r="H28" i="3"/>
  <c r="M24" i="44"/>
  <c r="G12" i="22"/>
  <c r="B23" i="3"/>
  <c r="G12" i="17"/>
  <c r="H13" i="3"/>
  <c r="H10" i="17" s="1"/>
  <c r="D51" i="45"/>
  <c r="D21" i="44"/>
  <c r="D17" i="44"/>
  <c r="F19" i="44"/>
  <c r="C49" i="44"/>
  <c r="C18" i="44"/>
  <c r="K9" i="39"/>
  <c r="L8" i="39"/>
  <c r="H46" i="44"/>
  <c r="L56" i="44"/>
  <c r="L54" i="44"/>
  <c r="L57" i="44"/>
  <c r="L52" i="44"/>
  <c r="J12" i="44"/>
  <c r="F47" i="44"/>
  <c r="I44" i="44"/>
  <c r="B23" i="44"/>
  <c r="P5" i="44"/>
  <c r="Q5" i="44" s="1"/>
  <c r="N6" i="44"/>
  <c r="S5" i="44"/>
  <c r="F16" i="3"/>
  <c r="I14" i="3"/>
  <c r="D51" i="3"/>
  <c r="D17" i="17"/>
  <c r="E48" i="3"/>
  <c r="E13" i="22"/>
  <c r="E13" i="17"/>
  <c r="K40" i="16"/>
  <c r="K31" i="16"/>
  <c r="M2" i="16"/>
  <c r="M2" i="17"/>
  <c r="M56" i="3"/>
  <c r="M52" i="3"/>
  <c r="M2" i="22"/>
  <c r="L17" i="16"/>
  <c r="L27" i="16"/>
  <c r="L36" i="16"/>
  <c r="L25" i="16"/>
  <c r="L38" i="16" s="1"/>
  <c r="L16" i="16"/>
  <c r="L18" i="16" s="1"/>
  <c r="L37" i="16" s="1"/>
  <c r="C17" i="46"/>
  <c r="C49" i="45"/>
  <c r="E16" i="45"/>
  <c r="E15" i="46"/>
  <c r="E48" i="46" s="1"/>
  <c r="E47" i="45"/>
  <c r="F15" i="45"/>
  <c r="G13" i="45"/>
  <c r="I14" i="45"/>
  <c r="M6" i="45"/>
  <c r="N5" i="45"/>
  <c r="H45" i="46"/>
  <c r="D48" i="46"/>
  <c r="F13" i="46"/>
  <c r="F45" i="45"/>
  <c r="S4" i="45"/>
  <c r="P4" i="45"/>
  <c r="Q4" i="45" s="1"/>
  <c r="L55" i="45"/>
  <c r="L56" i="45"/>
  <c r="L57" i="45"/>
  <c r="L3" i="46"/>
  <c r="L52" i="45"/>
  <c r="S4" i="46"/>
  <c r="P4" i="46"/>
  <c r="Q4" i="46" s="1"/>
  <c r="J12" i="45"/>
  <c r="H46" i="45"/>
  <c r="H14" i="46"/>
  <c r="H47" i="46" s="1"/>
  <c r="D48" i="45"/>
  <c r="D16" i="46"/>
  <c r="K58" i="46"/>
  <c r="K57" i="46"/>
  <c r="K53" i="46"/>
  <c r="I12" i="46"/>
  <c r="I44" i="45"/>
  <c r="G47" i="46"/>
  <c r="E46" i="46"/>
  <c r="J32" i="68" l="1"/>
  <c r="J60" i="68" s="1"/>
  <c r="J31" i="67"/>
  <c r="J59" i="67" s="1"/>
  <c r="H32" i="3"/>
  <c r="H27" i="17" s="1"/>
  <c r="H40" i="17" s="1"/>
  <c r="H32" i="68"/>
  <c r="H31" i="67"/>
  <c r="J60" i="45"/>
  <c r="I9" i="28"/>
  <c r="K11" i="28"/>
  <c r="K10" i="28" s="1"/>
  <c r="K11" i="74"/>
  <c r="J8" i="74"/>
  <c r="J5" i="74" s="1"/>
  <c r="J10" i="74"/>
  <c r="I9" i="74"/>
  <c r="I4" i="74"/>
  <c r="I6" i="74" s="1"/>
  <c r="H6" i="74"/>
  <c r="K7" i="28"/>
  <c r="K8" i="28"/>
  <c r="K5" i="28" s="1"/>
  <c r="I4" i="28"/>
  <c r="I6" i="28" s="1"/>
  <c r="J7" i="28"/>
  <c r="J8" i="28"/>
  <c r="J5" i="28" s="1"/>
  <c r="K7" i="27"/>
  <c r="K11" i="40"/>
  <c r="K5" i="27"/>
  <c r="K4" i="67"/>
  <c r="K4" i="68"/>
  <c r="L10" i="27"/>
  <c r="J4" i="27"/>
  <c r="J6" i="27" s="1"/>
  <c r="B25" i="44"/>
  <c r="B55" i="44" s="1"/>
  <c r="C25" i="44"/>
  <c r="C55" i="44" s="1"/>
  <c r="L35" i="45"/>
  <c r="R24" i="44"/>
  <c r="F16" i="44"/>
  <c r="F48" i="44" s="1"/>
  <c r="B54" i="3"/>
  <c r="B21" i="17"/>
  <c r="B76" i="68"/>
  <c r="B53" i="68"/>
  <c r="F17" i="67"/>
  <c r="F17" i="68"/>
  <c r="F49" i="68" s="1"/>
  <c r="J43" i="67"/>
  <c r="D73" i="67"/>
  <c r="H36" i="68"/>
  <c r="H35" i="68"/>
  <c r="B53" i="67"/>
  <c r="B76" i="67"/>
  <c r="F19" i="67"/>
  <c r="F19" i="68"/>
  <c r="H34" i="67"/>
  <c r="H35" i="67"/>
  <c r="C24" i="67"/>
  <c r="C24" i="68"/>
  <c r="H15" i="68"/>
  <c r="H47" i="68" s="1"/>
  <c r="H15" i="67"/>
  <c r="H46" i="67" s="1"/>
  <c r="H45" i="68"/>
  <c r="B54" i="68"/>
  <c r="B77" i="68"/>
  <c r="J14" i="68"/>
  <c r="J46" i="68" s="1"/>
  <c r="J14" i="67"/>
  <c r="J45" i="67" s="1"/>
  <c r="E51" i="68"/>
  <c r="H44" i="67"/>
  <c r="G58" i="3"/>
  <c r="G23" i="17"/>
  <c r="G23" i="22"/>
  <c r="I46" i="68"/>
  <c r="G58" i="68"/>
  <c r="S22" i="67"/>
  <c r="P22" i="67"/>
  <c r="Q22" i="67" s="1"/>
  <c r="N51" i="67"/>
  <c r="P51" i="67" s="1"/>
  <c r="Q51" i="67" s="1"/>
  <c r="D74" i="68"/>
  <c r="S22" i="68"/>
  <c r="N52" i="68"/>
  <c r="P52" i="68" s="1"/>
  <c r="Q52" i="68" s="1"/>
  <c r="P22" i="68"/>
  <c r="Q22" i="68" s="1"/>
  <c r="B75" i="67"/>
  <c r="B52" i="67"/>
  <c r="J44" i="68"/>
  <c r="H12" i="22"/>
  <c r="G28" i="46"/>
  <c r="G59" i="46" s="1"/>
  <c r="J5" i="68"/>
  <c r="J5" i="67"/>
  <c r="E17" i="68"/>
  <c r="E17" i="67"/>
  <c r="E50" i="68"/>
  <c r="E21" i="68"/>
  <c r="F20" i="68"/>
  <c r="F51" i="68" s="1"/>
  <c r="F20" i="67"/>
  <c r="F50" i="67" s="1"/>
  <c r="C23" i="68"/>
  <c r="C23" i="67"/>
  <c r="E21" i="67"/>
  <c r="E49" i="67"/>
  <c r="D48" i="67"/>
  <c r="D69" i="67"/>
  <c r="D18" i="67"/>
  <c r="K12" i="67"/>
  <c r="K12" i="68"/>
  <c r="F48" i="68"/>
  <c r="D49" i="68"/>
  <c r="D70" i="68"/>
  <c r="D18" i="68"/>
  <c r="G16" i="68"/>
  <c r="G16" i="67"/>
  <c r="I13" i="67"/>
  <c r="I13" i="68"/>
  <c r="I5" i="40"/>
  <c r="J3" i="16"/>
  <c r="J3" i="22"/>
  <c r="J3" i="17"/>
  <c r="J4" i="46"/>
  <c r="J9" i="17"/>
  <c r="J44" i="3"/>
  <c r="I7" i="40"/>
  <c r="I28" i="3" s="1"/>
  <c r="H6" i="22"/>
  <c r="H36" i="3"/>
  <c r="H35" i="3"/>
  <c r="H6" i="17"/>
  <c r="H34" i="17" s="1"/>
  <c r="H7" i="46"/>
  <c r="G34" i="22"/>
  <c r="G8" i="22"/>
  <c r="J10" i="40"/>
  <c r="J7" i="40" s="1"/>
  <c r="J8" i="40"/>
  <c r="J5" i="40" s="1"/>
  <c r="I28" i="16"/>
  <c r="I41" i="16" s="1"/>
  <c r="I6" i="16"/>
  <c r="I26" i="16"/>
  <c r="I39" i="16" s="1"/>
  <c r="K12" i="3"/>
  <c r="H34" i="16"/>
  <c r="H8" i="16"/>
  <c r="S22" i="45"/>
  <c r="P22" i="45"/>
  <c r="Q22" i="45" s="1"/>
  <c r="B20" i="17"/>
  <c r="B76" i="3"/>
  <c r="D14" i="17"/>
  <c r="D70" i="3"/>
  <c r="H19" i="22"/>
  <c r="H5" i="22"/>
  <c r="H24" i="22"/>
  <c r="H9" i="22"/>
  <c r="H11" i="22"/>
  <c r="I4" i="16"/>
  <c r="I5" i="16" s="1"/>
  <c r="I4" i="22"/>
  <c r="I10" i="22" s="1"/>
  <c r="I4" i="17"/>
  <c r="I5" i="17" s="1"/>
  <c r="I5" i="46"/>
  <c r="I6" i="46" s="1"/>
  <c r="N6" i="45"/>
  <c r="D3" i="63"/>
  <c r="D4" i="63" s="1"/>
  <c r="D16" i="63"/>
  <c r="D17" i="63" s="1"/>
  <c r="G36" i="46"/>
  <c r="G37" i="46"/>
  <c r="H15" i="44"/>
  <c r="H47" i="44" s="1"/>
  <c r="G15" i="44"/>
  <c r="G47" i="44" s="1"/>
  <c r="K11" i="57"/>
  <c r="K32" i="45" s="1"/>
  <c r="L32" i="47"/>
  <c r="N25" i="40"/>
  <c r="N27" i="40" s="1"/>
  <c r="M22" i="40"/>
  <c r="N19" i="40"/>
  <c r="N21" i="40" s="1"/>
  <c r="M16" i="40"/>
  <c r="I15" i="3"/>
  <c r="F20" i="3"/>
  <c r="F19" i="3"/>
  <c r="C24" i="3"/>
  <c r="C77" i="3" s="1"/>
  <c r="D25" i="44"/>
  <c r="C24" i="45"/>
  <c r="N22" i="44"/>
  <c r="R22" i="46" s="1"/>
  <c r="C52" i="44"/>
  <c r="C24" i="44"/>
  <c r="C54" i="44" s="1"/>
  <c r="N22" i="46"/>
  <c r="C53" i="46"/>
  <c r="S22" i="3"/>
  <c r="P22" i="3"/>
  <c r="Q22" i="3" s="1"/>
  <c r="D49" i="3"/>
  <c r="D18" i="3"/>
  <c r="D15" i="17" s="1"/>
  <c r="D36" i="17" s="1"/>
  <c r="B18" i="45"/>
  <c r="B17" i="46"/>
  <c r="B50" i="46" s="1"/>
  <c r="B21" i="46"/>
  <c r="B37" i="17"/>
  <c r="C19" i="46"/>
  <c r="C16" i="17"/>
  <c r="C18" i="17" s="1"/>
  <c r="C50" i="3"/>
  <c r="C21" i="3"/>
  <c r="C74" i="3" s="1"/>
  <c r="F20" i="45"/>
  <c r="F19" i="45"/>
  <c r="D20" i="46"/>
  <c r="D52" i="46" s="1"/>
  <c r="M42" i="49"/>
  <c r="N43" i="49"/>
  <c r="M29" i="50"/>
  <c r="L28" i="50"/>
  <c r="L18" i="50" s="1"/>
  <c r="L15" i="50" s="1"/>
  <c r="L14" i="50" s="1"/>
  <c r="M46" i="47"/>
  <c r="N47" i="47"/>
  <c r="K15" i="50"/>
  <c r="M42" i="55"/>
  <c r="N43" i="55"/>
  <c r="M56" i="50"/>
  <c r="N57" i="50"/>
  <c r="M56" i="49"/>
  <c r="N57" i="49"/>
  <c r="L15" i="49"/>
  <c r="M42" i="56"/>
  <c r="N43" i="56"/>
  <c r="M28" i="49"/>
  <c r="N29" i="49"/>
  <c r="L28" i="55"/>
  <c r="L18" i="55" s="1"/>
  <c r="L15" i="55" s="1"/>
  <c r="L14" i="55" s="1"/>
  <c r="M29" i="55"/>
  <c r="L28" i="56"/>
  <c r="L18" i="56" s="1"/>
  <c r="L15" i="56" s="1"/>
  <c r="M29" i="56"/>
  <c r="M56" i="56"/>
  <c r="N57" i="56"/>
  <c r="M56" i="55"/>
  <c r="N57" i="55"/>
  <c r="K15" i="55"/>
  <c r="K15" i="56"/>
  <c r="L23" i="56"/>
  <c r="M74" i="47"/>
  <c r="N75" i="47"/>
  <c r="M60" i="47"/>
  <c r="N61" i="47"/>
  <c r="S27" i="45"/>
  <c r="P27" i="45"/>
  <c r="Q27" i="45" s="1"/>
  <c r="P27" i="44"/>
  <c r="Q27" i="44" s="1"/>
  <c r="S27" i="44"/>
  <c r="M27" i="46"/>
  <c r="N27" i="46" s="1"/>
  <c r="N27" i="3"/>
  <c r="L29" i="46"/>
  <c r="L60" i="46" s="1"/>
  <c r="L59" i="3"/>
  <c r="M34" i="39"/>
  <c r="M35" i="39"/>
  <c r="M36" i="39"/>
  <c r="N30" i="39"/>
  <c r="L5" i="39"/>
  <c r="L6" i="39"/>
  <c r="L7" i="39"/>
  <c r="M15" i="39"/>
  <c r="N15" i="39" s="1"/>
  <c r="M14" i="39"/>
  <c r="N14" i="39" s="1"/>
  <c r="M4" i="39"/>
  <c r="M16" i="39"/>
  <c r="N16" i="39" s="1"/>
  <c r="N10" i="39"/>
  <c r="L57" i="39"/>
  <c r="L28" i="54"/>
  <c r="N28" i="54" s="1"/>
  <c r="N31" i="54"/>
  <c r="N51" i="54"/>
  <c r="M35" i="54"/>
  <c r="N65" i="54"/>
  <c r="L37" i="54"/>
  <c r="L27" i="54" s="1"/>
  <c r="L24" i="54" s="1"/>
  <c r="M38" i="54"/>
  <c r="H27" i="22"/>
  <c r="H40" i="22" s="1"/>
  <c r="H60" i="3"/>
  <c r="M51" i="53"/>
  <c r="N52" i="53"/>
  <c r="M27" i="53"/>
  <c r="N37" i="53"/>
  <c r="M66" i="52"/>
  <c r="L65" i="52"/>
  <c r="L35" i="52" s="1"/>
  <c r="L32" i="52" s="1"/>
  <c r="K23" i="52"/>
  <c r="M37" i="52"/>
  <c r="N38" i="52"/>
  <c r="L51" i="52"/>
  <c r="L31" i="52" s="1"/>
  <c r="L28" i="52" s="1"/>
  <c r="M52" i="52"/>
  <c r="I32" i="45"/>
  <c r="I8" i="57"/>
  <c r="M87" i="51"/>
  <c r="N88" i="51"/>
  <c r="K50" i="51"/>
  <c r="H32" i="44"/>
  <c r="H8" i="57"/>
  <c r="M74" i="51"/>
  <c r="L73" i="51"/>
  <c r="L53" i="51" s="1"/>
  <c r="L50" i="51" s="1"/>
  <c r="L45" i="51" s="1"/>
  <c r="M59" i="51"/>
  <c r="N60" i="51"/>
  <c r="J32" i="3"/>
  <c r="G61" i="46"/>
  <c r="J8" i="57"/>
  <c r="J32" i="44"/>
  <c r="M42" i="50"/>
  <c r="N43" i="50"/>
  <c r="L24" i="40"/>
  <c r="I28" i="44"/>
  <c r="I58" i="44" s="1"/>
  <c r="J28" i="44"/>
  <c r="J58" i="44" s="1"/>
  <c r="H58" i="3"/>
  <c r="H23" i="22"/>
  <c r="H23" i="17"/>
  <c r="H28" i="46"/>
  <c r="H59" i="46" s="1"/>
  <c r="B53" i="3"/>
  <c r="G15" i="45"/>
  <c r="I13" i="44"/>
  <c r="I45" i="44" s="1"/>
  <c r="J14" i="3"/>
  <c r="J11" i="17" s="1"/>
  <c r="I10" i="17"/>
  <c r="G16" i="3"/>
  <c r="G48" i="3" s="1"/>
  <c r="H12" i="17"/>
  <c r="H10" i="22"/>
  <c r="H45" i="3"/>
  <c r="E20" i="46"/>
  <c r="J13" i="44"/>
  <c r="J45" i="44" s="1"/>
  <c r="E21" i="44"/>
  <c r="E18" i="44"/>
  <c r="F20" i="44"/>
  <c r="F51" i="44" s="1"/>
  <c r="M8" i="39"/>
  <c r="L9" i="39"/>
  <c r="F50" i="44"/>
  <c r="G19" i="44"/>
  <c r="D18" i="44"/>
  <c r="D49" i="44"/>
  <c r="R7" i="44"/>
  <c r="M57" i="44"/>
  <c r="M52" i="44"/>
  <c r="M54" i="44"/>
  <c r="M56" i="44"/>
  <c r="K12" i="44"/>
  <c r="B53" i="44"/>
  <c r="J14" i="44"/>
  <c r="J46" i="44" s="1"/>
  <c r="C23" i="44"/>
  <c r="M36" i="44"/>
  <c r="M35" i="44"/>
  <c r="N7" i="44"/>
  <c r="C5" i="63" s="1"/>
  <c r="J44" i="44"/>
  <c r="P6" i="44"/>
  <c r="Q6" i="44" s="1"/>
  <c r="S6" i="44"/>
  <c r="H47" i="3"/>
  <c r="F13" i="22"/>
  <c r="F48" i="3"/>
  <c r="F13" i="17"/>
  <c r="E51" i="3"/>
  <c r="E17" i="22"/>
  <c r="E17" i="17"/>
  <c r="I46" i="3"/>
  <c r="I11" i="17"/>
  <c r="E49" i="3"/>
  <c r="E14" i="17"/>
  <c r="E14" i="22"/>
  <c r="E18" i="3"/>
  <c r="E15" i="17" s="1"/>
  <c r="E36" i="17" s="1"/>
  <c r="L40" i="16"/>
  <c r="L31" i="16"/>
  <c r="N56" i="3"/>
  <c r="P56" i="3" s="1"/>
  <c r="Q56" i="3" s="1"/>
  <c r="P3" i="3"/>
  <c r="Q3" i="3" s="1"/>
  <c r="S3" i="3"/>
  <c r="N52" i="3"/>
  <c r="P52" i="3" s="1"/>
  <c r="Q52" i="3" s="1"/>
  <c r="C53" i="3"/>
  <c r="C20" i="17"/>
  <c r="M27" i="16"/>
  <c r="M25" i="16"/>
  <c r="M38" i="16" s="1"/>
  <c r="M16" i="16"/>
  <c r="M18" i="16" s="1"/>
  <c r="M37" i="16" s="1"/>
  <c r="M17" i="16"/>
  <c r="M36" i="16"/>
  <c r="B24" i="46"/>
  <c r="B54" i="45"/>
  <c r="C50" i="46"/>
  <c r="C18" i="46"/>
  <c r="N23" i="40"/>
  <c r="L58" i="45"/>
  <c r="R7" i="45"/>
  <c r="M55" i="45"/>
  <c r="M57" i="45"/>
  <c r="M56" i="45"/>
  <c r="M3" i="46"/>
  <c r="M52" i="45"/>
  <c r="F16" i="45"/>
  <c r="S5" i="45"/>
  <c r="P5" i="45"/>
  <c r="Q5" i="45" s="1"/>
  <c r="K12" i="45"/>
  <c r="D49" i="46"/>
  <c r="J12" i="46"/>
  <c r="J44" i="45"/>
  <c r="L58" i="46"/>
  <c r="L57" i="46"/>
  <c r="L53" i="46"/>
  <c r="I14" i="46"/>
  <c r="I46" i="45"/>
  <c r="E48" i="45"/>
  <c r="E16" i="46"/>
  <c r="J14" i="45"/>
  <c r="I45" i="46"/>
  <c r="B23" i="45"/>
  <c r="D50" i="45"/>
  <c r="G45" i="45"/>
  <c r="G13" i="46"/>
  <c r="F47" i="45"/>
  <c r="F15" i="46"/>
  <c r="H13" i="45"/>
  <c r="F46" i="46"/>
  <c r="H59" i="67" l="1"/>
  <c r="H60" i="68"/>
  <c r="K60" i="45"/>
  <c r="J9" i="28"/>
  <c r="K9" i="28"/>
  <c r="L11" i="28"/>
  <c r="L10" i="28" s="1"/>
  <c r="L11" i="74"/>
  <c r="K8" i="74"/>
  <c r="K10" i="74"/>
  <c r="K7" i="74" s="1"/>
  <c r="J7" i="74"/>
  <c r="L7" i="28"/>
  <c r="L8" i="28"/>
  <c r="L5" i="28" s="1"/>
  <c r="J4" i="28"/>
  <c r="J6" i="28" s="1"/>
  <c r="K4" i="28"/>
  <c r="K6" i="28" s="1"/>
  <c r="L7" i="27"/>
  <c r="L11" i="40"/>
  <c r="K3" i="17"/>
  <c r="K3" i="16"/>
  <c r="K3" i="22"/>
  <c r="K4" i="46"/>
  <c r="K10" i="40"/>
  <c r="K7" i="40" s="1"/>
  <c r="K8" i="40"/>
  <c r="K5" i="40" s="1"/>
  <c r="L5" i="27"/>
  <c r="L4" i="68"/>
  <c r="L4" i="67"/>
  <c r="K4" i="27"/>
  <c r="K6" i="27" s="1"/>
  <c r="K5" i="68"/>
  <c r="K6" i="68" s="1"/>
  <c r="K5" i="67"/>
  <c r="K6" i="67" s="1"/>
  <c r="M10" i="27"/>
  <c r="B30" i="44"/>
  <c r="B10" i="44" s="1"/>
  <c r="G16" i="44"/>
  <c r="G48" i="44" s="1"/>
  <c r="I15" i="44"/>
  <c r="I47" i="44" s="1"/>
  <c r="B32" i="17"/>
  <c r="E23" i="67"/>
  <c r="E52" i="67" s="1"/>
  <c r="I4" i="40"/>
  <c r="I6" i="40" s="1"/>
  <c r="I9" i="40"/>
  <c r="I11" i="22"/>
  <c r="F18" i="68"/>
  <c r="C77" i="68"/>
  <c r="C54" i="68"/>
  <c r="K14" i="67"/>
  <c r="K45" i="67" s="1"/>
  <c r="K14" i="68"/>
  <c r="K46" i="68" s="1"/>
  <c r="J13" i="67"/>
  <c r="J13" i="68"/>
  <c r="C76" i="67"/>
  <c r="C53" i="67"/>
  <c r="E48" i="67"/>
  <c r="E18" i="67"/>
  <c r="G19" i="68"/>
  <c r="G19" i="67"/>
  <c r="C53" i="68"/>
  <c r="C76" i="68"/>
  <c r="D24" i="3"/>
  <c r="D77" i="3" s="1"/>
  <c r="D24" i="67"/>
  <c r="D24" i="68"/>
  <c r="F48" i="67"/>
  <c r="F18" i="67"/>
  <c r="K43" i="67"/>
  <c r="J6" i="67"/>
  <c r="C25" i="3"/>
  <c r="C78" i="3" s="1"/>
  <c r="C10" i="3" s="1"/>
  <c r="C25" i="68"/>
  <c r="C30" i="68" s="1"/>
  <c r="C25" i="67"/>
  <c r="J7" i="67"/>
  <c r="J7" i="68"/>
  <c r="J6" i="68"/>
  <c r="I7" i="67"/>
  <c r="I7" i="68"/>
  <c r="F21" i="68"/>
  <c r="F50" i="68"/>
  <c r="E49" i="68"/>
  <c r="E18" i="68"/>
  <c r="D23" i="68"/>
  <c r="D23" i="67"/>
  <c r="J27" i="67"/>
  <c r="J57" i="67" s="1"/>
  <c r="J28" i="68"/>
  <c r="I27" i="67"/>
  <c r="I28" i="68"/>
  <c r="I58" i="68" s="1"/>
  <c r="F21" i="67"/>
  <c r="F49" i="67"/>
  <c r="K44" i="68"/>
  <c r="E24" i="67"/>
  <c r="E53" i="67" s="1"/>
  <c r="E24" i="68"/>
  <c r="E54" i="68" s="1"/>
  <c r="G48" i="68"/>
  <c r="L12" i="67"/>
  <c r="L12" i="68"/>
  <c r="I45" i="68"/>
  <c r="K14" i="3"/>
  <c r="K11" i="17" s="1"/>
  <c r="I15" i="68"/>
  <c r="I47" i="68" s="1"/>
  <c r="I15" i="67"/>
  <c r="I46" i="67" s="1"/>
  <c r="I44" i="67"/>
  <c r="G17" i="67"/>
  <c r="G17" i="68"/>
  <c r="G49" i="68" s="1"/>
  <c r="G20" i="68"/>
  <c r="G51" i="68" s="1"/>
  <c r="G20" i="67"/>
  <c r="G50" i="67" s="1"/>
  <c r="H16" i="3"/>
  <c r="H13" i="17" s="1"/>
  <c r="H16" i="68"/>
  <c r="H48" i="68" s="1"/>
  <c r="H16" i="67"/>
  <c r="H47" i="67" s="1"/>
  <c r="G47" i="67"/>
  <c r="C52" i="67"/>
  <c r="C75" i="67"/>
  <c r="G19" i="3"/>
  <c r="L12" i="3"/>
  <c r="J4" i="22"/>
  <c r="J27" i="22" s="1"/>
  <c r="J40" i="22" s="1"/>
  <c r="J4" i="16"/>
  <c r="J5" i="16" s="1"/>
  <c r="J4" i="17"/>
  <c r="J5" i="17" s="1"/>
  <c r="J5" i="46"/>
  <c r="I7" i="3"/>
  <c r="I34" i="16"/>
  <c r="I8" i="16"/>
  <c r="H37" i="46"/>
  <c r="H36" i="46"/>
  <c r="N57" i="3"/>
  <c r="P57" i="3" s="1"/>
  <c r="Q57" i="3" s="1"/>
  <c r="B16" i="63"/>
  <c r="G16" i="63" s="1"/>
  <c r="G17" i="63" s="1"/>
  <c r="L11" i="57"/>
  <c r="L32" i="45" s="1"/>
  <c r="J6" i="16"/>
  <c r="J26" i="16"/>
  <c r="J39" i="16" s="1"/>
  <c r="J28" i="16"/>
  <c r="J41" i="16" s="1"/>
  <c r="I19" i="22"/>
  <c r="I5" i="22"/>
  <c r="I24" i="22"/>
  <c r="I9" i="22"/>
  <c r="I27" i="22"/>
  <c r="I40" i="22" s="1"/>
  <c r="K9" i="17"/>
  <c r="K44" i="3"/>
  <c r="J7" i="3"/>
  <c r="R27" i="46"/>
  <c r="H34" i="22"/>
  <c r="H8" i="22"/>
  <c r="G20" i="3"/>
  <c r="D17" i="45"/>
  <c r="G15" i="46"/>
  <c r="G48" i="46" s="1"/>
  <c r="K13" i="3"/>
  <c r="K10" i="17" s="1"/>
  <c r="E24" i="3"/>
  <c r="C54" i="3"/>
  <c r="C21" i="17"/>
  <c r="C32" i="17" s="1"/>
  <c r="S22" i="44"/>
  <c r="P22" i="44"/>
  <c r="Q22" i="44" s="1"/>
  <c r="N24" i="44"/>
  <c r="P22" i="46"/>
  <c r="Q22" i="46" s="1"/>
  <c r="S22" i="46"/>
  <c r="B18" i="46"/>
  <c r="C51" i="46"/>
  <c r="C21" i="46"/>
  <c r="D21" i="45"/>
  <c r="C37" i="17"/>
  <c r="C50" i="45"/>
  <c r="C21" i="45"/>
  <c r="D16" i="17"/>
  <c r="D18" i="17" s="1"/>
  <c r="D19" i="46"/>
  <c r="D50" i="3"/>
  <c r="D21" i="3"/>
  <c r="D74" i="3" s="1"/>
  <c r="D55" i="44"/>
  <c r="G19" i="45"/>
  <c r="G20" i="45"/>
  <c r="G47" i="45"/>
  <c r="M22" i="56"/>
  <c r="N42" i="56"/>
  <c r="M40" i="47"/>
  <c r="N60" i="47"/>
  <c r="K14" i="56"/>
  <c r="M26" i="55"/>
  <c r="N56" i="55"/>
  <c r="M36" i="47"/>
  <c r="N46" i="47"/>
  <c r="M44" i="47"/>
  <c r="N74" i="47"/>
  <c r="M28" i="55"/>
  <c r="N29" i="55"/>
  <c r="M26" i="50"/>
  <c r="N56" i="50"/>
  <c r="L14" i="49"/>
  <c r="M28" i="50"/>
  <c r="N29" i="50"/>
  <c r="M26" i="56"/>
  <c r="N56" i="56"/>
  <c r="K14" i="50"/>
  <c r="K9" i="57"/>
  <c r="M28" i="56"/>
  <c r="N29" i="56"/>
  <c r="M18" i="49"/>
  <c r="N28" i="49"/>
  <c r="M26" i="49"/>
  <c r="N56" i="49"/>
  <c r="K14" i="55"/>
  <c r="L14" i="56"/>
  <c r="M22" i="55"/>
  <c r="N42" i="55"/>
  <c r="M22" i="49"/>
  <c r="N42" i="49"/>
  <c r="P27" i="46"/>
  <c r="Q27" i="46" s="1"/>
  <c r="S27" i="46"/>
  <c r="P27" i="3"/>
  <c r="Q27" i="3" s="1"/>
  <c r="S27" i="3"/>
  <c r="M29" i="45"/>
  <c r="N36" i="39"/>
  <c r="R29" i="45" s="1"/>
  <c r="M29" i="44"/>
  <c r="N35" i="39"/>
  <c r="R29" i="44" s="1"/>
  <c r="M29" i="3"/>
  <c r="N34" i="39"/>
  <c r="R29" i="3" s="1"/>
  <c r="M7" i="39"/>
  <c r="N7" i="39" s="1"/>
  <c r="M6" i="39"/>
  <c r="N6" i="39" s="1"/>
  <c r="M5" i="39"/>
  <c r="N5" i="39" s="1"/>
  <c r="N4" i="39"/>
  <c r="N57" i="39" s="1"/>
  <c r="M57" i="39"/>
  <c r="L23" i="54"/>
  <c r="M32" i="54"/>
  <c r="N32" i="54" s="1"/>
  <c r="N35" i="54"/>
  <c r="M37" i="54"/>
  <c r="N38" i="54"/>
  <c r="L9" i="57"/>
  <c r="M31" i="53"/>
  <c r="N51" i="53"/>
  <c r="M24" i="53"/>
  <c r="N27" i="53"/>
  <c r="L23" i="52"/>
  <c r="M65" i="52"/>
  <c r="N66" i="52"/>
  <c r="M27" i="52"/>
  <c r="N37" i="52"/>
  <c r="M51" i="52"/>
  <c r="N52" i="52"/>
  <c r="I60" i="45"/>
  <c r="I32" i="46"/>
  <c r="I61" i="46" s="1"/>
  <c r="M57" i="51"/>
  <c r="N87" i="51"/>
  <c r="M73" i="51"/>
  <c r="N74" i="51"/>
  <c r="K45" i="51"/>
  <c r="K10" i="57"/>
  <c r="H60" i="44"/>
  <c r="H32" i="46"/>
  <c r="H61" i="46" s="1"/>
  <c r="L10" i="57"/>
  <c r="L32" i="44" s="1"/>
  <c r="M49" i="51"/>
  <c r="N59" i="51"/>
  <c r="J60" i="3"/>
  <c r="J27" i="17"/>
  <c r="J40" i="17" s="1"/>
  <c r="M22" i="50"/>
  <c r="N42" i="50"/>
  <c r="J32" i="46"/>
  <c r="J60" i="44"/>
  <c r="J18" i="40"/>
  <c r="K28" i="44"/>
  <c r="K58" i="44" s="1"/>
  <c r="J28" i="3"/>
  <c r="J9" i="40"/>
  <c r="J4" i="40"/>
  <c r="J6" i="40" s="1"/>
  <c r="I23" i="22"/>
  <c r="I23" i="17"/>
  <c r="I58" i="3"/>
  <c r="I28" i="46"/>
  <c r="I59" i="46" s="1"/>
  <c r="G13" i="22"/>
  <c r="D23" i="3"/>
  <c r="D76" i="3" s="1"/>
  <c r="J13" i="3"/>
  <c r="I12" i="22"/>
  <c r="I47" i="3"/>
  <c r="G13" i="17"/>
  <c r="J46" i="3"/>
  <c r="I12" i="17"/>
  <c r="C23" i="45"/>
  <c r="C53" i="45" s="1"/>
  <c r="E51" i="45"/>
  <c r="F51" i="45"/>
  <c r="J15" i="44"/>
  <c r="F21" i="44"/>
  <c r="G20" i="44"/>
  <c r="G51" i="44" s="1"/>
  <c r="F17" i="44"/>
  <c r="G50" i="44"/>
  <c r="H19" i="44"/>
  <c r="M9" i="39"/>
  <c r="N8" i="39"/>
  <c r="K44" i="44"/>
  <c r="N56" i="44"/>
  <c r="P56" i="44" s="1"/>
  <c r="Q56" i="44" s="1"/>
  <c r="N57" i="44"/>
  <c r="P57" i="44" s="1"/>
  <c r="Q57" i="44" s="1"/>
  <c r="N52" i="44"/>
  <c r="P52" i="44" s="1"/>
  <c r="Q52" i="44" s="1"/>
  <c r="S3" i="44"/>
  <c r="P3" i="44"/>
  <c r="Q3" i="44" s="1"/>
  <c r="K14" i="44"/>
  <c r="K46" i="44" s="1"/>
  <c r="P7" i="44"/>
  <c r="Q7" i="44" s="1"/>
  <c r="S7" i="44"/>
  <c r="N35" i="44"/>
  <c r="P35" i="44" s="1"/>
  <c r="Q35" i="44" s="1"/>
  <c r="N36" i="44"/>
  <c r="P36" i="44" s="1"/>
  <c r="Q36" i="44" s="1"/>
  <c r="L12" i="44"/>
  <c r="C53" i="44"/>
  <c r="C30" i="44"/>
  <c r="F17" i="3"/>
  <c r="F17" i="17"/>
  <c r="F17" i="22"/>
  <c r="F51" i="3"/>
  <c r="E52" i="46"/>
  <c r="M40" i="16"/>
  <c r="M31" i="16"/>
  <c r="B55" i="46"/>
  <c r="E17" i="45"/>
  <c r="D54" i="45"/>
  <c r="G46" i="46"/>
  <c r="H13" i="46"/>
  <c r="H45" i="45"/>
  <c r="F48" i="46"/>
  <c r="I47" i="46"/>
  <c r="K14" i="45"/>
  <c r="K44" i="45"/>
  <c r="K12" i="46"/>
  <c r="M28" i="45"/>
  <c r="M24" i="40"/>
  <c r="N22" i="40"/>
  <c r="E49" i="46"/>
  <c r="S6" i="45"/>
  <c r="P6" i="45"/>
  <c r="Q6" i="45" s="1"/>
  <c r="H15" i="45"/>
  <c r="I13" i="45"/>
  <c r="G16" i="45"/>
  <c r="B23" i="46"/>
  <c r="B53" i="45"/>
  <c r="B30" i="45"/>
  <c r="B10" i="45" s="1"/>
  <c r="J46" i="45"/>
  <c r="J14" i="46"/>
  <c r="J47" i="46" s="1"/>
  <c r="J45" i="46"/>
  <c r="F48" i="45"/>
  <c r="F16" i="46"/>
  <c r="L12" i="45"/>
  <c r="M57" i="46"/>
  <c r="M58" i="46"/>
  <c r="M53" i="46"/>
  <c r="P3" i="45"/>
  <c r="Q3" i="45" s="1"/>
  <c r="N57" i="45"/>
  <c r="P57" i="45" s="1"/>
  <c r="Q57" i="45" s="1"/>
  <c r="S3" i="45"/>
  <c r="N56" i="45"/>
  <c r="P56" i="45" s="1"/>
  <c r="Q56" i="45" s="1"/>
  <c r="N55" i="45"/>
  <c r="P55" i="45" s="1"/>
  <c r="Q55" i="45" s="1"/>
  <c r="N52" i="45"/>
  <c r="P52" i="45" s="1"/>
  <c r="Q52" i="45" s="1"/>
  <c r="M36" i="45"/>
  <c r="M35" i="45"/>
  <c r="N7" i="45"/>
  <c r="D5" i="63" s="1"/>
  <c r="L32" i="3" l="1"/>
  <c r="L27" i="17" s="1"/>
  <c r="L40" i="17" s="1"/>
  <c r="L31" i="67"/>
  <c r="L59" i="67" s="1"/>
  <c r="L32" i="68"/>
  <c r="L60" i="68" s="1"/>
  <c r="K32" i="3"/>
  <c r="K60" i="3" s="1"/>
  <c r="K32" i="68"/>
  <c r="K31" i="67"/>
  <c r="L60" i="45"/>
  <c r="L9" i="28"/>
  <c r="M11" i="28"/>
  <c r="M11" i="74"/>
  <c r="L8" i="74"/>
  <c r="L5" i="74" s="1"/>
  <c r="L10" i="74"/>
  <c r="N11" i="74"/>
  <c r="K5" i="74"/>
  <c r="K4" i="74"/>
  <c r="K9" i="74"/>
  <c r="J4" i="74"/>
  <c r="J9" i="74"/>
  <c r="N10" i="27"/>
  <c r="N12" i="27" s="1"/>
  <c r="L4" i="28"/>
  <c r="L6" i="28" s="1"/>
  <c r="B43" i="44"/>
  <c r="B42" i="44"/>
  <c r="K7" i="67"/>
  <c r="K7" i="68"/>
  <c r="K7" i="3"/>
  <c r="K28" i="16"/>
  <c r="K41" i="16" s="1"/>
  <c r="K26" i="16"/>
  <c r="K39" i="16" s="1"/>
  <c r="K6" i="16"/>
  <c r="L3" i="17"/>
  <c r="L3" i="22"/>
  <c r="L3" i="16"/>
  <c r="L4" i="46"/>
  <c r="K4" i="22"/>
  <c r="K4" i="17"/>
  <c r="K5" i="17" s="1"/>
  <c r="K4" i="16"/>
  <c r="K5" i="16" s="1"/>
  <c r="K5" i="46"/>
  <c r="K6" i="46" s="1"/>
  <c r="M7" i="27"/>
  <c r="M11" i="40"/>
  <c r="M5" i="27"/>
  <c r="M4" i="68"/>
  <c r="M4" i="67"/>
  <c r="L8" i="40"/>
  <c r="L5" i="40" s="1"/>
  <c r="L10" i="40"/>
  <c r="L7" i="40" s="1"/>
  <c r="K27" i="67"/>
  <c r="K57" i="67" s="1"/>
  <c r="K28" i="68"/>
  <c r="K58" i="68" s="1"/>
  <c r="K28" i="3"/>
  <c r="K23" i="17" s="1"/>
  <c r="L4" i="27"/>
  <c r="L6" i="27" s="1"/>
  <c r="L5" i="68"/>
  <c r="L5" i="67"/>
  <c r="E23" i="68"/>
  <c r="E53" i="68" s="1"/>
  <c r="D23" i="44"/>
  <c r="D53" i="44" s="1"/>
  <c r="H16" i="44"/>
  <c r="H48" i="44" s="1"/>
  <c r="E23" i="3"/>
  <c r="E20" i="17" s="1"/>
  <c r="K46" i="3"/>
  <c r="D24" i="46"/>
  <c r="D55" i="46" s="1"/>
  <c r="C30" i="3"/>
  <c r="C42" i="3" s="1"/>
  <c r="I36" i="68"/>
  <c r="I35" i="68"/>
  <c r="L44" i="68"/>
  <c r="I35" i="67"/>
  <c r="I34" i="67"/>
  <c r="J11" i="22"/>
  <c r="L43" i="67"/>
  <c r="D77" i="68"/>
  <c r="D54" i="68"/>
  <c r="J45" i="68"/>
  <c r="G18" i="68"/>
  <c r="I57" i="67"/>
  <c r="D53" i="67"/>
  <c r="D76" i="67"/>
  <c r="J44" i="67"/>
  <c r="K15" i="3"/>
  <c r="J58" i="68"/>
  <c r="J35" i="68"/>
  <c r="J36" i="68"/>
  <c r="H13" i="22"/>
  <c r="G48" i="67"/>
  <c r="G18" i="67"/>
  <c r="J34" i="67"/>
  <c r="J35" i="67"/>
  <c r="C42" i="68"/>
  <c r="C43" i="68"/>
  <c r="D52" i="67"/>
  <c r="D75" i="67"/>
  <c r="C77" i="67"/>
  <c r="C10" i="67" s="1"/>
  <c r="C11" i="67" s="1"/>
  <c r="C54" i="67"/>
  <c r="D25" i="68"/>
  <c r="D30" i="68" s="1"/>
  <c r="D25" i="67"/>
  <c r="D29" i="67" s="1"/>
  <c r="D21" i="17"/>
  <c r="D76" i="68"/>
  <c r="D53" i="68"/>
  <c r="C78" i="68"/>
  <c r="C10" i="68" s="1"/>
  <c r="C55" i="68"/>
  <c r="I16" i="67"/>
  <c r="I16" i="68"/>
  <c r="I48" i="68" s="1"/>
  <c r="G21" i="68"/>
  <c r="G50" i="68"/>
  <c r="G49" i="67"/>
  <c r="G21" i="67"/>
  <c r="H19" i="67"/>
  <c r="H19" i="68"/>
  <c r="H48" i="3"/>
  <c r="F24" i="3"/>
  <c r="F21" i="17" s="1"/>
  <c r="F24" i="67"/>
  <c r="F53" i="67" s="1"/>
  <c r="F24" i="68"/>
  <c r="C29" i="67"/>
  <c r="D54" i="3"/>
  <c r="K13" i="67"/>
  <c r="K13" i="68"/>
  <c r="H20" i="67"/>
  <c r="H50" i="67" s="1"/>
  <c r="H20" i="68"/>
  <c r="C25" i="46"/>
  <c r="C56" i="46" s="1"/>
  <c r="L14" i="68"/>
  <c r="L46" i="68" s="1"/>
  <c r="L14" i="67"/>
  <c r="L45" i="67" s="1"/>
  <c r="M12" i="68"/>
  <c r="M12" i="67"/>
  <c r="J10" i="22"/>
  <c r="C55" i="3"/>
  <c r="J15" i="68"/>
  <c r="J47" i="68" s="1"/>
  <c r="J15" i="67"/>
  <c r="J46" i="67" s="1"/>
  <c r="C22" i="17"/>
  <c r="J6" i="46"/>
  <c r="L9" i="17"/>
  <c r="L44" i="3"/>
  <c r="D18" i="45"/>
  <c r="D49" i="45"/>
  <c r="D17" i="46"/>
  <c r="B17" i="63"/>
  <c r="I6" i="17"/>
  <c r="I34" i="17" s="1"/>
  <c r="I35" i="3"/>
  <c r="I6" i="22"/>
  <c r="I36" i="3"/>
  <c r="I7" i="46"/>
  <c r="J5" i="22"/>
  <c r="J19" i="22"/>
  <c r="J24" i="22"/>
  <c r="J9" i="22"/>
  <c r="N54" i="44"/>
  <c r="P54" i="44" s="1"/>
  <c r="Q54" i="44" s="1"/>
  <c r="C20" i="63"/>
  <c r="C21" i="63" s="1"/>
  <c r="J6" i="22"/>
  <c r="J36" i="3"/>
  <c r="J35" i="3"/>
  <c r="J6" i="17"/>
  <c r="J34" i="17" s="1"/>
  <c r="J7" i="46"/>
  <c r="J8" i="16"/>
  <c r="J34" i="16"/>
  <c r="M12" i="3"/>
  <c r="B37" i="45"/>
  <c r="B39" i="45"/>
  <c r="B37" i="44"/>
  <c r="B39" i="44"/>
  <c r="H19" i="3"/>
  <c r="H20" i="3"/>
  <c r="E54" i="3"/>
  <c r="E21" i="22"/>
  <c r="E21" i="17"/>
  <c r="F25" i="44"/>
  <c r="D25" i="3"/>
  <c r="P24" i="44"/>
  <c r="Q24" i="44" s="1"/>
  <c r="S24" i="44"/>
  <c r="K13" i="44"/>
  <c r="K45" i="44" s="1"/>
  <c r="D51" i="46"/>
  <c r="D21" i="46"/>
  <c r="E19" i="46"/>
  <c r="D24" i="17"/>
  <c r="D37" i="17"/>
  <c r="E16" i="22"/>
  <c r="E16" i="17"/>
  <c r="E18" i="17" s="1"/>
  <c r="E50" i="3"/>
  <c r="E21" i="3"/>
  <c r="E18" i="22" s="1"/>
  <c r="E37" i="22" s="1"/>
  <c r="E25" i="44"/>
  <c r="F20" i="46"/>
  <c r="F52" i="46" s="1"/>
  <c r="H20" i="45"/>
  <c r="H19" i="45"/>
  <c r="K45" i="3"/>
  <c r="M18" i="50"/>
  <c r="N28" i="50"/>
  <c r="M23" i="49"/>
  <c r="N23" i="49" s="1"/>
  <c r="N26" i="49"/>
  <c r="M37" i="47"/>
  <c r="N37" i="47" s="1"/>
  <c r="N40" i="47"/>
  <c r="M15" i="49"/>
  <c r="N18" i="49"/>
  <c r="M41" i="47"/>
  <c r="N41" i="47" s="1"/>
  <c r="N44" i="47"/>
  <c r="M33" i="47"/>
  <c r="N36" i="47"/>
  <c r="M19" i="56"/>
  <c r="N19" i="56" s="1"/>
  <c r="N22" i="56"/>
  <c r="M19" i="49"/>
  <c r="N19" i="49" s="1"/>
  <c r="N22" i="49"/>
  <c r="M23" i="50"/>
  <c r="N23" i="50" s="1"/>
  <c r="N26" i="50"/>
  <c r="M18" i="56"/>
  <c r="N28" i="56"/>
  <c r="M23" i="55"/>
  <c r="N23" i="55" s="1"/>
  <c r="N26" i="55"/>
  <c r="M19" i="55"/>
  <c r="N19" i="55" s="1"/>
  <c r="N22" i="55"/>
  <c r="M23" i="56"/>
  <c r="N23" i="56" s="1"/>
  <c r="N26" i="56"/>
  <c r="M18" i="55"/>
  <c r="N28" i="55"/>
  <c r="B11" i="45"/>
  <c r="B31" i="45" s="1"/>
  <c r="N29" i="45"/>
  <c r="D22" i="63" s="1"/>
  <c r="M59" i="45"/>
  <c r="N29" i="44"/>
  <c r="C22" i="63" s="1"/>
  <c r="M59" i="44"/>
  <c r="M29" i="46"/>
  <c r="M24" i="17"/>
  <c r="N29" i="3"/>
  <c r="B22" i="63" s="1"/>
  <c r="M59" i="3"/>
  <c r="N9" i="39"/>
  <c r="M27" i="54"/>
  <c r="N37" i="54"/>
  <c r="P6" i="56" s="1"/>
  <c r="M28" i="53"/>
  <c r="N28" i="53" s="1"/>
  <c r="N31" i="53"/>
  <c r="N24" i="53"/>
  <c r="M35" i="52"/>
  <c r="N65" i="52"/>
  <c r="M24" i="52"/>
  <c r="N24" i="52" s="1"/>
  <c r="N27" i="52"/>
  <c r="M31" i="52"/>
  <c r="N51" i="52"/>
  <c r="L8" i="57"/>
  <c r="M54" i="51"/>
  <c r="N57" i="51"/>
  <c r="K32" i="44"/>
  <c r="K8" i="57"/>
  <c r="M53" i="51"/>
  <c r="N73" i="51"/>
  <c r="M46" i="51"/>
  <c r="N49" i="51"/>
  <c r="M19" i="50"/>
  <c r="N22" i="50"/>
  <c r="J61" i="46"/>
  <c r="L60" i="44"/>
  <c r="L28" i="44"/>
  <c r="K9" i="40"/>
  <c r="K4" i="40"/>
  <c r="K6" i="40" s="1"/>
  <c r="M18" i="40"/>
  <c r="K18" i="40"/>
  <c r="J58" i="3"/>
  <c r="J23" i="17"/>
  <c r="J23" i="22"/>
  <c r="J28" i="46"/>
  <c r="J59" i="46" s="1"/>
  <c r="J10" i="17"/>
  <c r="J45" i="3"/>
  <c r="D53" i="3"/>
  <c r="D20" i="17"/>
  <c r="C30" i="45"/>
  <c r="I16" i="3"/>
  <c r="I13" i="17" s="1"/>
  <c r="C23" i="46"/>
  <c r="G51" i="45"/>
  <c r="G21" i="44"/>
  <c r="G17" i="44"/>
  <c r="L13" i="44"/>
  <c r="L45" i="44" s="1"/>
  <c r="F49" i="44"/>
  <c r="F18" i="44"/>
  <c r="H20" i="44"/>
  <c r="H51" i="44" s="1"/>
  <c r="I19" i="44"/>
  <c r="H17" i="44"/>
  <c r="H49" i="44" s="1"/>
  <c r="H50" i="44"/>
  <c r="L44" i="44"/>
  <c r="L14" i="44"/>
  <c r="L46" i="44" s="1"/>
  <c r="M12" i="44"/>
  <c r="J47" i="44"/>
  <c r="C10" i="44"/>
  <c r="C43" i="44"/>
  <c r="C42" i="44"/>
  <c r="B11" i="44"/>
  <c r="J15" i="3"/>
  <c r="F18" i="3"/>
  <c r="F15" i="17" s="1"/>
  <c r="F36" i="17" s="1"/>
  <c r="F14" i="17"/>
  <c r="F14" i="22"/>
  <c r="F49" i="3"/>
  <c r="L14" i="3"/>
  <c r="G17" i="3"/>
  <c r="G17" i="17"/>
  <c r="G51" i="3"/>
  <c r="G17" i="22"/>
  <c r="C7" i="17"/>
  <c r="C35" i="17" s="1"/>
  <c r="C35" i="23"/>
  <c r="C11" i="3"/>
  <c r="E24" i="46"/>
  <c r="E55" i="46" s="1"/>
  <c r="E54" i="45"/>
  <c r="E17" i="46"/>
  <c r="E49" i="45"/>
  <c r="E18" i="45"/>
  <c r="F49" i="46"/>
  <c r="B54" i="46"/>
  <c r="G48" i="45"/>
  <c r="G16" i="46"/>
  <c r="J13" i="45"/>
  <c r="M58" i="45"/>
  <c r="N28" i="45"/>
  <c r="D12" i="63" s="1"/>
  <c r="H46" i="46"/>
  <c r="N58" i="46"/>
  <c r="P58" i="46" s="1"/>
  <c r="Q58" i="46" s="1"/>
  <c r="N57" i="46"/>
  <c r="P57" i="46" s="1"/>
  <c r="Q57" i="46" s="1"/>
  <c r="P3" i="46"/>
  <c r="Q3" i="46" s="1"/>
  <c r="N53" i="46"/>
  <c r="P53" i="46" s="1"/>
  <c r="Q53" i="46" s="1"/>
  <c r="S3" i="46"/>
  <c r="N24" i="40"/>
  <c r="R28" i="45"/>
  <c r="K46" i="45"/>
  <c r="K14" i="46"/>
  <c r="K47" i="46" s="1"/>
  <c r="S7" i="45"/>
  <c r="N36" i="45"/>
  <c r="P36" i="45" s="1"/>
  <c r="Q36" i="45" s="1"/>
  <c r="N35" i="45"/>
  <c r="P35" i="45" s="1"/>
  <c r="Q35" i="45" s="1"/>
  <c r="P7" i="45"/>
  <c r="Q7" i="45" s="1"/>
  <c r="L12" i="46"/>
  <c r="L44" i="45"/>
  <c r="L14" i="45"/>
  <c r="B43" i="45"/>
  <c r="B42" i="45"/>
  <c r="I13" i="46"/>
  <c r="I45" i="45"/>
  <c r="D23" i="45"/>
  <c r="K45" i="46"/>
  <c r="H16" i="45"/>
  <c r="I15" i="45"/>
  <c r="H47" i="45"/>
  <c r="H15" i="46"/>
  <c r="M12" i="45"/>
  <c r="L60" i="3" l="1"/>
  <c r="L32" i="46"/>
  <c r="L61" i="46" s="1"/>
  <c r="K27" i="17"/>
  <c r="K40" i="17" s="1"/>
  <c r="K27" i="22"/>
  <c r="K40" i="22" s="1"/>
  <c r="K59" i="67"/>
  <c r="K60" i="68"/>
  <c r="K6" i="74"/>
  <c r="N11" i="28"/>
  <c r="M10" i="28"/>
  <c r="N7" i="27"/>
  <c r="N9" i="27"/>
  <c r="N6" i="3" s="1"/>
  <c r="M8" i="74"/>
  <c r="M10" i="74"/>
  <c r="M7" i="74" s="1"/>
  <c r="L7" i="74"/>
  <c r="N10" i="74"/>
  <c r="N12" i="74" s="1"/>
  <c r="J6" i="74"/>
  <c r="K11" i="22"/>
  <c r="K23" i="22"/>
  <c r="M8" i="28"/>
  <c r="E20" i="22"/>
  <c r="E32" i="22" s="1"/>
  <c r="K28" i="46"/>
  <c r="K59" i="46" s="1"/>
  <c r="K58" i="3"/>
  <c r="K10" i="22"/>
  <c r="K12" i="22"/>
  <c r="L28" i="68"/>
  <c r="L58" i="68" s="1"/>
  <c r="L27" i="67"/>
  <c r="K8" i="16"/>
  <c r="K34" i="16"/>
  <c r="L6" i="67"/>
  <c r="L4" i="16"/>
  <c r="L5" i="16" s="1"/>
  <c r="L4" i="22"/>
  <c r="L4" i="17"/>
  <c r="L5" i="17" s="1"/>
  <c r="L5" i="46"/>
  <c r="M8" i="40"/>
  <c r="M5" i="40" s="1"/>
  <c r="N5" i="40" s="1"/>
  <c r="M10" i="40"/>
  <c r="M7" i="40" s="1"/>
  <c r="N7" i="40" s="1"/>
  <c r="K6" i="17"/>
  <c r="K34" i="17" s="1"/>
  <c r="K6" i="22"/>
  <c r="K35" i="3"/>
  <c r="K36" i="3"/>
  <c r="K7" i="46"/>
  <c r="L9" i="40"/>
  <c r="K36" i="68"/>
  <c r="K35" i="68"/>
  <c r="N4" i="27"/>
  <c r="N6" i="27" s="1"/>
  <c r="R5" i="68"/>
  <c r="R6" i="68" s="1"/>
  <c r="R5" i="67"/>
  <c r="R6" i="67" s="1"/>
  <c r="K34" i="67"/>
  <c r="K35" i="67"/>
  <c r="L28" i="16"/>
  <c r="L41" i="16" s="1"/>
  <c r="L26" i="16"/>
  <c r="L39" i="16" s="1"/>
  <c r="L6" i="16"/>
  <c r="M3" i="17"/>
  <c r="M3" i="16"/>
  <c r="M3" i="22"/>
  <c r="M4" i="46"/>
  <c r="M4" i="27"/>
  <c r="M6" i="27" s="1"/>
  <c r="M5" i="67"/>
  <c r="M6" i="67" s="1"/>
  <c r="M5" i="68"/>
  <c r="M6" i="68" s="1"/>
  <c r="L6" i="68"/>
  <c r="N11" i="40"/>
  <c r="K19" i="22"/>
  <c r="K5" i="22"/>
  <c r="K24" i="22"/>
  <c r="K9" i="22"/>
  <c r="D30" i="44"/>
  <c r="D42" i="44" s="1"/>
  <c r="C37" i="3"/>
  <c r="C39" i="3"/>
  <c r="E53" i="3"/>
  <c r="G22" i="63"/>
  <c r="G23" i="63" s="1"/>
  <c r="E23" i="44"/>
  <c r="E30" i="44" s="1"/>
  <c r="E42" i="44" s="1"/>
  <c r="I16" i="44"/>
  <c r="I48" i="44" s="1"/>
  <c r="G23" i="44"/>
  <c r="R12" i="3"/>
  <c r="C30" i="67"/>
  <c r="C37" i="67" s="1"/>
  <c r="C43" i="3"/>
  <c r="C25" i="17"/>
  <c r="C31" i="17" s="1"/>
  <c r="C11" i="68"/>
  <c r="C31" i="68" s="1"/>
  <c r="C37" i="68"/>
  <c r="C39" i="68"/>
  <c r="G24" i="3"/>
  <c r="G54" i="3" s="1"/>
  <c r="G24" i="67"/>
  <c r="G53" i="67" s="1"/>
  <c r="G24" i="68"/>
  <c r="G54" i="68" s="1"/>
  <c r="M43" i="67"/>
  <c r="N12" i="67"/>
  <c r="H21" i="68"/>
  <c r="H50" i="68"/>
  <c r="M44" i="68"/>
  <c r="N12" i="68"/>
  <c r="H49" i="67"/>
  <c r="H21" i="67"/>
  <c r="K15" i="68"/>
  <c r="K47" i="68" s="1"/>
  <c r="K15" i="67"/>
  <c r="K46" i="67" s="1"/>
  <c r="I47" i="67"/>
  <c r="D42" i="68"/>
  <c r="D43" i="68"/>
  <c r="F23" i="68"/>
  <c r="F23" i="67"/>
  <c r="F54" i="3"/>
  <c r="R12" i="68"/>
  <c r="R12" i="67"/>
  <c r="D54" i="67"/>
  <c r="D77" i="67"/>
  <c r="D10" i="67" s="1"/>
  <c r="F21" i="22"/>
  <c r="K45" i="68"/>
  <c r="D78" i="68"/>
  <c r="D55" i="68"/>
  <c r="J16" i="67"/>
  <c r="J16" i="68"/>
  <c r="J48" i="68" s="1"/>
  <c r="K44" i="67"/>
  <c r="D42" i="67"/>
  <c r="D41" i="67"/>
  <c r="H51" i="68"/>
  <c r="I20" i="67"/>
  <c r="I20" i="68"/>
  <c r="I51" i="68" s="1"/>
  <c r="I19" i="67"/>
  <c r="I49" i="67" s="1"/>
  <c r="I19" i="68"/>
  <c r="E25" i="67"/>
  <c r="E25" i="68"/>
  <c r="L13" i="67"/>
  <c r="L13" i="68"/>
  <c r="M14" i="67"/>
  <c r="M14" i="68"/>
  <c r="H17" i="67"/>
  <c r="H17" i="68"/>
  <c r="C41" i="67"/>
  <c r="C38" i="67"/>
  <c r="C36" i="67"/>
  <c r="C42" i="67"/>
  <c r="F54" i="68"/>
  <c r="J37" i="46"/>
  <c r="J36" i="46"/>
  <c r="I36" i="46"/>
  <c r="I37" i="46"/>
  <c r="D30" i="3"/>
  <c r="D25" i="17" s="1"/>
  <c r="D38" i="17" s="1"/>
  <c r="D78" i="3"/>
  <c r="D10" i="3" s="1"/>
  <c r="D7" i="17" s="1"/>
  <c r="D35" i="17" s="1"/>
  <c r="I34" i="22"/>
  <c r="I8" i="22"/>
  <c r="J34" i="22"/>
  <c r="J8" i="22"/>
  <c r="I16" i="63"/>
  <c r="J16" i="63" s="1"/>
  <c r="I17" i="63"/>
  <c r="J17" i="63" s="1"/>
  <c r="D13" i="63"/>
  <c r="N12" i="3"/>
  <c r="M9" i="17"/>
  <c r="M44" i="3"/>
  <c r="D50" i="46"/>
  <c r="D18" i="46"/>
  <c r="D23" i="63"/>
  <c r="B23" i="63"/>
  <c r="C23" i="63"/>
  <c r="B33" i="45"/>
  <c r="B40" i="45" s="1"/>
  <c r="B38" i="45"/>
  <c r="C11" i="44"/>
  <c r="C31" i="44" s="1"/>
  <c r="C37" i="44"/>
  <c r="C39" i="44"/>
  <c r="E32" i="17"/>
  <c r="I20" i="3"/>
  <c r="I19" i="3"/>
  <c r="R29" i="46"/>
  <c r="G25" i="44"/>
  <c r="D22" i="17"/>
  <c r="D55" i="3"/>
  <c r="D25" i="46"/>
  <c r="D56" i="46" s="1"/>
  <c r="C24" i="46"/>
  <c r="C55" i="46" s="1"/>
  <c r="C54" i="45"/>
  <c r="E25" i="3"/>
  <c r="E25" i="46" s="1"/>
  <c r="E56" i="46" s="1"/>
  <c r="D32" i="17"/>
  <c r="E37" i="17"/>
  <c r="E51" i="46"/>
  <c r="E21" i="46"/>
  <c r="E50" i="45"/>
  <c r="E21" i="45"/>
  <c r="F19" i="46"/>
  <c r="E55" i="44"/>
  <c r="F55" i="44"/>
  <c r="F16" i="17"/>
  <c r="F18" i="17" s="1"/>
  <c r="F16" i="22"/>
  <c r="F50" i="3"/>
  <c r="F21" i="3"/>
  <c r="F18" i="22" s="1"/>
  <c r="F37" i="22" s="1"/>
  <c r="I20" i="45"/>
  <c r="I19" i="45"/>
  <c r="K15" i="44"/>
  <c r="K47" i="44" s="1"/>
  <c r="K12" i="17"/>
  <c r="M15" i="55"/>
  <c r="N18" i="55"/>
  <c r="M15" i="50"/>
  <c r="N15" i="50" s="1"/>
  <c r="N18" i="50"/>
  <c r="M14" i="49"/>
  <c r="N14" i="49" s="1"/>
  <c r="N15" i="49"/>
  <c r="M32" i="47"/>
  <c r="N32" i="47" s="1"/>
  <c r="N33" i="47"/>
  <c r="M15" i="56"/>
  <c r="N18" i="56"/>
  <c r="L18" i="40"/>
  <c r="I48" i="3"/>
  <c r="C10" i="45"/>
  <c r="S29" i="45"/>
  <c r="P29" i="45"/>
  <c r="Q29" i="45" s="1"/>
  <c r="N59" i="45"/>
  <c r="P59" i="45" s="1"/>
  <c r="Q59" i="45" s="1"/>
  <c r="P29" i="3"/>
  <c r="Q29" i="3" s="1"/>
  <c r="S29" i="3"/>
  <c r="N59" i="3"/>
  <c r="P59" i="3" s="1"/>
  <c r="Q59" i="3" s="1"/>
  <c r="P29" i="44"/>
  <c r="Q29" i="44" s="1"/>
  <c r="S29" i="44"/>
  <c r="N59" i="44"/>
  <c r="P59" i="44" s="1"/>
  <c r="Q59" i="44" s="1"/>
  <c r="N29" i="46"/>
  <c r="M60" i="46"/>
  <c r="M24" i="54"/>
  <c r="N27" i="54"/>
  <c r="M23" i="53"/>
  <c r="N23" i="53" s="1"/>
  <c r="M32" i="52"/>
  <c r="N32" i="52" s="1"/>
  <c r="N35" i="52"/>
  <c r="M28" i="52"/>
  <c r="N31" i="52"/>
  <c r="N54" i="51"/>
  <c r="K60" i="44"/>
  <c r="K32" i="46"/>
  <c r="K61" i="46" s="1"/>
  <c r="M50" i="51"/>
  <c r="N50" i="51" s="1"/>
  <c r="N53" i="51"/>
  <c r="N46" i="51"/>
  <c r="M14" i="50"/>
  <c r="N14" i="50" s="1"/>
  <c r="N19" i="50"/>
  <c r="L4" i="40"/>
  <c r="L6" i="40" s="1"/>
  <c r="N16" i="40"/>
  <c r="R28" i="44" s="1"/>
  <c r="M28" i="44"/>
  <c r="M58" i="44" s="1"/>
  <c r="L28" i="3"/>
  <c r="L28" i="46" s="1"/>
  <c r="L59" i="46" s="1"/>
  <c r="L58" i="44"/>
  <c r="G20" i="46"/>
  <c r="G52" i="46" s="1"/>
  <c r="H17" i="3"/>
  <c r="H14" i="22" s="1"/>
  <c r="L15" i="44"/>
  <c r="L47" i="44" s="1"/>
  <c r="I13" i="22"/>
  <c r="M14" i="3"/>
  <c r="M46" i="3" s="1"/>
  <c r="C43" i="45"/>
  <c r="C42" i="45"/>
  <c r="F23" i="44"/>
  <c r="F30" i="44" s="1"/>
  <c r="K47" i="3"/>
  <c r="C54" i="46"/>
  <c r="F17" i="45"/>
  <c r="H21" i="44"/>
  <c r="G18" i="44"/>
  <c r="G49" i="44"/>
  <c r="I50" i="44"/>
  <c r="I20" i="44"/>
  <c r="I51" i="44" s="1"/>
  <c r="J19" i="44"/>
  <c r="H18" i="44"/>
  <c r="B31" i="44"/>
  <c r="M14" i="44"/>
  <c r="M44" i="44"/>
  <c r="N12" i="44"/>
  <c r="R12" i="44"/>
  <c r="F23" i="3"/>
  <c r="J12" i="17"/>
  <c r="J47" i="3"/>
  <c r="J12" i="22"/>
  <c r="H17" i="22"/>
  <c r="H51" i="3"/>
  <c r="H17" i="17"/>
  <c r="L46" i="3"/>
  <c r="L11" i="17"/>
  <c r="J16" i="3"/>
  <c r="G49" i="3"/>
  <c r="G14" i="17"/>
  <c r="G14" i="22"/>
  <c r="G18" i="3"/>
  <c r="G15" i="17" s="1"/>
  <c r="G36" i="17" s="1"/>
  <c r="L13" i="3"/>
  <c r="C31" i="3"/>
  <c r="C38" i="3" s="1"/>
  <c r="C8" i="17"/>
  <c r="F23" i="45"/>
  <c r="E50" i="46"/>
  <c r="E18" i="46"/>
  <c r="H17" i="45"/>
  <c r="H18" i="45" s="1"/>
  <c r="H48" i="46"/>
  <c r="K13" i="45"/>
  <c r="D53" i="45"/>
  <c r="D23" i="46"/>
  <c r="D30" i="45"/>
  <c r="D10" i="45" s="1"/>
  <c r="I46" i="46"/>
  <c r="G50" i="45"/>
  <c r="G49" i="46"/>
  <c r="R12" i="45"/>
  <c r="M12" i="46"/>
  <c r="M44" i="45"/>
  <c r="N12" i="45"/>
  <c r="I47" i="45"/>
  <c r="I15" i="46"/>
  <c r="I48" i="46" s="1"/>
  <c r="J15" i="45"/>
  <c r="L46" i="45"/>
  <c r="L14" i="46"/>
  <c r="L47" i="46" s="1"/>
  <c r="L45" i="46"/>
  <c r="N58" i="45"/>
  <c r="P58" i="45" s="1"/>
  <c r="Q58" i="45" s="1"/>
  <c r="P28" i="45"/>
  <c r="Q28" i="45" s="1"/>
  <c r="S28" i="45"/>
  <c r="J45" i="45"/>
  <c r="J13" i="46"/>
  <c r="H48" i="45"/>
  <c r="H16" i="46"/>
  <c r="H49" i="46" s="1"/>
  <c r="M14" i="45"/>
  <c r="E23" i="45"/>
  <c r="I16" i="45"/>
  <c r="M4" i="40" l="1"/>
  <c r="R5" i="3"/>
  <c r="R6" i="3" s="1"/>
  <c r="M4" i="74"/>
  <c r="M9" i="74"/>
  <c r="N8" i="40"/>
  <c r="N9" i="40" s="1"/>
  <c r="M5" i="74"/>
  <c r="N5" i="74" s="1"/>
  <c r="N8" i="74"/>
  <c r="L4" i="74"/>
  <c r="L9" i="74"/>
  <c r="N7" i="74"/>
  <c r="M28" i="3"/>
  <c r="N28" i="3" s="1"/>
  <c r="B12" i="63" s="1"/>
  <c r="S12" i="3"/>
  <c r="M5" i="28"/>
  <c r="N8" i="28"/>
  <c r="N5" i="28" s="1"/>
  <c r="M7" i="28"/>
  <c r="M9" i="28" s="1"/>
  <c r="N10" i="28"/>
  <c r="N12" i="28" s="1"/>
  <c r="E53" i="44"/>
  <c r="D43" i="44"/>
  <c r="N5" i="68"/>
  <c r="N6" i="68" s="1"/>
  <c r="M6" i="40"/>
  <c r="D10" i="44"/>
  <c r="D37" i="44" s="1"/>
  <c r="L5" i="22"/>
  <c r="L19" i="22"/>
  <c r="L24" i="22"/>
  <c r="L27" i="22"/>
  <c r="L40" i="22" s="1"/>
  <c r="L9" i="22"/>
  <c r="K37" i="46"/>
  <c r="K36" i="46"/>
  <c r="L8" i="16"/>
  <c r="L34" i="16"/>
  <c r="K34" i="22"/>
  <c r="K8" i="22"/>
  <c r="L7" i="68"/>
  <c r="L7" i="3"/>
  <c r="L7" i="67"/>
  <c r="N5" i="67"/>
  <c r="M27" i="67"/>
  <c r="M57" i="67" s="1"/>
  <c r="M28" i="68"/>
  <c r="M9" i="40"/>
  <c r="N10" i="40"/>
  <c r="N12" i="40" s="1"/>
  <c r="L57" i="67"/>
  <c r="M4" i="16"/>
  <c r="M5" i="16" s="1"/>
  <c r="M4" i="17"/>
  <c r="M5" i="17" s="1"/>
  <c r="M4" i="22"/>
  <c r="M5" i="46"/>
  <c r="M6" i="46" s="1"/>
  <c r="N5" i="3"/>
  <c r="M26" i="16"/>
  <c r="M39" i="16" s="1"/>
  <c r="M6" i="16"/>
  <c r="M28" i="16"/>
  <c r="M41" i="16" s="1"/>
  <c r="L11" i="22"/>
  <c r="L6" i="46"/>
  <c r="H23" i="44"/>
  <c r="J16" i="44"/>
  <c r="J48" i="44" s="1"/>
  <c r="G21" i="17"/>
  <c r="G21" i="22"/>
  <c r="C32" i="67"/>
  <c r="C39" i="67" s="1"/>
  <c r="C38" i="17"/>
  <c r="D42" i="3"/>
  <c r="D39" i="3"/>
  <c r="D37" i="3"/>
  <c r="D43" i="3"/>
  <c r="D11" i="67"/>
  <c r="D30" i="67" s="1"/>
  <c r="D36" i="67"/>
  <c r="D38" i="67"/>
  <c r="E54" i="67"/>
  <c r="E29" i="67"/>
  <c r="I21" i="68"/>
  <c r="I50" i="68"/>
  <c r="K16" i="67"/>
  <c r="K16" i="68"/>
  <c r="K48" i="68" s="1"/>
  <c r="I21" i="67"/>
  <c r="I50" i="67"/>
  <c r="P12" i="67"/>
  <c r="Q12" i="67" s="1"/>
  <c r="S12" i="67"/>
  <c r="N43" i="67"/>
  <c r="P43" i="67" s="1"/>
  <c r="Q43" i="67" s="1"/>
  <c r="M13" i="67"/>
  <c r="M13" i="68"/>
  <c r="H49" i="68"/>
  <c r="H18" i="68"/>
  <c r="R28" i="3"/>
  <c r="R27" i="67"/>
  <c r="R28" i="68"/>
  <c r="R14" i="67"/>
  <c r="R14" i="68"/>
  <c r="F25" i="3"/>
  <c r="F25" i="46" s="1"/>
  <c r="F56" i="46" s="1"/>
  <c r="F25" i="67"/>
  <c r="F54" i="67" s="1"/>
  <c r="F25" i="68"/>
  <c r="F55" i="68" s="1"/>
  <c r="I17" i="3"/>
  <c r="I49" i="3" s="1"/>
  <c r="I17" i="67"/>
  <c r="I17" i="68"/>
  <c r="M46" i="68"/>
  <c r="N14" i="68"/>
  <c r="H24" i="3"/>
  <c r="H54" i="3" s="1"/>
  <c r="H24" i="68"/>
  <c r="H54" i="68" s="1"/>
  <c r="H24" i="67"/>
  <c r="H53" i="67" s="1"/>
  <c r="J17" i="67"/>
  <c r="J48" i="67" s="1"/>
  <c r="J17" i="68"/>
  <c r="M45" i="67"/>
  <c r="N14" i="67"/>
  <c r="L15" i="68"/>
  <c r="L47" i="68" s="1"/>
  <c r="L15" i="67"/>
  <c r="L46" i="67" s="1"/>
  <c r="P12" i="68"/>
  <c r="Q12" i="68" s="1"/>
  <c r="N44" i="68"/>
  <c r="P44" i="68" s="1"/>
  <c r="Q44" i="68" s="1"/>
  <c r="S12" i="68"/>
  <c r="G23" i="68"/>
  <c r="G23" i="67"/>
  <c r="H48" i="67"/>
  <c r="H18" i="67"/>
  <c r="J19" i="68"/>
  <c r="J19" i="67"/>
  <c r="J47" i="67"/>
  <c r="J20" i="3"/>
  <c r="J20" i="67"/>
  <c r="J50" i="67" s="1"/>
  <c r="J20" i="68"/>
  <c r="L45" i="68"/>
  <c r="F52" i="67"/>
  <c r="L44" i="67"/>
  <c r="F53" i="68"/>
  <c r="E55" i="68"/>
  <c r="E30" i="68"/>
  <c r="D10" i="68"/>
  <c r="C33" i="68"/>
  <c r="C40" i="68" s="1"/>
  <c r="C38" i="68"/>
  <c r="G17" i="45"/>
  <c r="R12" i="46"/>
  <c r="N44" i="3"/>
  <c r="P44" i="3" s="1"/>
  <c r="Q44" i="3" s="1"/>
  <c r="P12" i="3"/>
  <c r="Q12" i="3" s="1"/>
  <c r="I23" i="63"/>
  <c r="J23" i="63" s="1"/>
  <c r="I22" i="63"/>
  <c r="J22" i="63" s="1"/>
  <c r="M9" i="57"/>
  <c r="D11" i="45"/>
  <c r="D31" i="45" s="1"/>
  <c r="D37" i="45"/>
  <c r="D39" i="45"/>
  <c r="C10" i="46"/>
  <c r="C11" i="46" s="1"/>
  <c r="C37" i="45"/>
  <c r="C39" i="45"/>
  <c r="B33" i="44"/>
  <c r="B40" i="44" s="1"/>
  <c r="B38" i="44"/>
  <c r="C33" i="44"/>
  <c r="C40" i="44" s="1"/>
  <c r="C38" i="44"/>
  <c r="J19" i="3"/>
  <c r="C30" i="46"/>
  <c r="H25" i="44"/>
  <c r="E30" i="3"/>
  <c r="E42" i="3" s="1"/>
  <c r="D11" i="3"/>
  <c r="D31" i="3" s="1"/>
  <c r="E43" i="44"/>
  <c r="E22" i="22"/>
  <c r="E22" i="17"/>
  <c r="E55" i="3"/>
  <c r="D31" i="17"/>
  <c r="D35" i="23"/>
  <c r="G21" i="45"/>
  <c r="G16" i="17"/>
  <c r="G18" i="17" s="1"/>
  <c r="G50" i="3"/>
  <c r="G16" i="22"/>
  <c r="G19" i="46"/>
  <c r="G51" i="46" s="1"/>
  <c r="G21" i="3"/>
  <c r="G18" i="22" s="1"/>
  <c r="G37" i="22" s="1"/>
  <c r="F37" i="17"/>
  <c r="F24" i="17"/>
  <c r="M11" i="17"/>
  <c r="F50" i="45"/>
  <c r="F21" i="45"/>
  <c r="G55" i="44"/>
  <c r="F51" i="46"/>
  <c r="F21" i="46"/>
  <c r="N14" i="3"/>
  <c r="J20" i="45"/>
  <c r="J19" i="45"/>
  <c r="M13" i="3"/>
  <c r="M45" i="3" s="1"/>
  <c r="M14" i="56"/>
  <c r="N14" i="56" s="1"/>
  <c r="N15" i="56"/>
  <c r="N28" i="44"/>
  <c r="M14" i="55"/>
  <c r="N14" i="55" s="1"/>
  <c r="N15" i="55"/>
  <c r="L58" i="3"/>
  <c r="C11" i="45"/>
  <c r="C31" i="45" s="1"/>
  <c r="D62" i="45"/>
  <c r="D63" i="45" s="1"/>
  <c r="P29" i="46"/>
  <c r="Q29" i="46" s="1"/>
  <c r="S29" i="46"/>
  <c r="N60" i="46"/>
  <c r="P60" i="46" s="1"/>
  <c r="Q60" i="46" s="1"/>
  <c r="M23" i="54"/>
  <c r="N23" i="54" s="1"/>
  <c r="N24" i="54"/>
  <c r="O9" i="57" s="1"/>
  <c r="M11" i="57"/>
  <c r="N11" i="57" s="1"/>
  <c r="R32" i="45" s="1"/>
  <c r="O11" i="57"/>
  <c r="M23" i="52"/>
  <c r="N23" i="52" s="1"/>
  <c r="N28" i="52"/>
  <c r="O10" i="57" s="1"/>
  <c r="M10" i="57"/>
  <c r="N10" i="57" s="1"/>
  <c r="R32" i="44" s="1"/>
  <c r="M45" i="51"/>
  <c r="N45" i="51" s="1"/>
  <c r="L23" i="17"/>
  <c r="N18" i="40"/>
  <c r="L23" i="22"/>
  <c r="N4" i="40"/>
  <c r="N6" i="40" s="1"/>
  <c r="H49" i="3"/>
  <c r="H18" i="3"/>
  <c r="H15" i="17" s="1"/>
  <c r="H36" i="17" s="1"/>
  <c r="H14" i="17"/>
  <c r="K15" i="45"/>
  <c r="K15" i="46" s="1"/>
  <c r="K48" i="46" s="1"/>
  <c r="L15" i="3"/>
  <c r="L12" i="22" s="1"/>
  <c r="R14" i="3"/>
  <c r="F53" i="44"/>
  <c r="H20" i="46"/>
  <c r="H52" i="46" s="1"/>
  <c r="H51" i="45"/>
  <c r="I51" i="45"/>
  <c r="F18" i="45"/>
  <c r="F49" i="45"/>
  <c r="F17" i="46"/>
  <c r="I21" i="44"/>
  <c r="J50" i="44"/>
  <c r="J20" i="44"/>
  <c r="J51" i="44" s="1"/>
  <c r="K19" i="44"/>
  <c r="I17" i="44"/>
  <c r="R14" i="44"/>
  <c r="G53" i="44"/>
  <c r="G30" i="44"/>
  <c r="M13" i="44"/>
  <c r="S12" i="44"/>
  <c r="N44" i="44"/>
  <c r="P12" i="44"/>
  <c r="Q12" i="44" s="1"/>
  <c r="F42" i="44"/>
  <c r="F43" i="44"/>
  <c r="M46" i="44"/>
  <c r="N14" i="44"/>
  <c r="F20" i="17"/>
  <c r="F20" i="22"/>
  <c r="F32" i="22" s="1"/>
  <c r="F53" i="3"/>
  <c r="G23" i="3"/>
  <c r="I17" i="22"/>
  <c r="I51" i="3"/>
  <c r="I17" i="17"/>
  <c r="K16" i="3"/>
  <c r="J13" i="17"/>
  <c r="J48" i="3"/>
  <c r="J13" i="22"/>
  <c r="L10" i="22"/>
  <c r="L45" i="3"/>
  <c r="L10" i="17"/>
  <c r="C33" i="3"/>
  <c r="C26" i="17"/>
  <c r="L15" i="45"/>
  <c r="H17" i="46"/>
  <c r="H18" i="46" s="1"/>
  <c r="H49" i="45"/>
  <c r="G24" i="46"/>
  <c r="G55" i="46" s="1"/>
  <c r="G54" i="45"/>
  <c r="I48" i="45"/>
  <c r="I16" i="46"/>
  <c r="I49" i="46" s="1"/>
  <c r="E23" i="46"/>
  <c r="E53" i="45"/>
  <c r="E30" i="45"/>
  <c r="R14" i="45"/>
  <c r="J46" i="46"/>
  <c r="H50" i="45"/>
  <c r="L13" i="45"/>
  <c r="M45" i="46"/>
  <c r="N12" i="46"/>
  <c r="M46" i="45"/>
  <c r="M14" i="46"/>
  <c r="N14" i="45"/>
  <c r="J16" i="45"/>
  <c r="J15" i="46"/>
  <c r="J48" i="46" s="1"/>
  <c r="J47" i="45"/>
  <c r="S12" i="45"/>
  <c r="P12" i="45"/>
  <c r="Q12" i="45" s="1"/>
  <c r="N44" i="45"/>
  <c r="P44" i="45" s="1"/>
  <c r="Q44" i="45" s="1"/>
  <c r="D43" i="45"/>
  <c r="D42" i="45"/>
  <c r="K13" i="46"/>
  <c r="K45" i="45"/>
  <c r="F53" i="45"/>
  <c r="F23" i="46"/>
  <c r="D54" i="46"/>
  <c r="D30" i="46"/>
  <c r="M32" i="3" l="1"/>
  <c r="M27" i="22" s="1"/>
  <c r="M40" i="22" s="1"/>
  <c r="M32" i="68"/>
  <c r="M31" i="67"/>
  <c r="M23" i="22"/>
  <c r="M28" i="46"/>
  <c r="M59" i="46" s="1"/>
  <c r="N9" i="74"/>
  <c r="M7" i="67"/>
  <c r="M35" i="67" s="1"/>
  <c r="M6" i="74"/>
  <c r="M11" i="22"/>
  <c r="M23" i="17"/>
  <c r="M58" i="3"/>
  <c r="L6" i="74"/>
  <c r="N4" i="74"/>
  <c r="N6" i="74" s="1"/>
  <c r="M7" i="3"/>
  <c r="M35" i="3" s="1"/>
  <c r="M7" i="68"/>
  <c r="N7" i="68" s="1"/>
  <c r="S5" i="68"/>
  <c r="P5" i="68"/>
  <c r="Q5" i="68" s="1"/>
  <c r="M4" i="28"/>
  <c r="M6" i="28" s="1"/>
  <c r="N7" i="28"/>
  <c r="D11" i="44"/>
  <c r="D31" i="44" s="1"/>
  <c r="D38" i="44" s="1"/>
  <c r="I23" i="44"/>
  <c r="D10" i="46"/>
  <c r="D11" i="46" s="1"/>
  <c r="D31" i="46" s="1"/>
  <c r="D62" i="44"/>
  <c r="D63" i="44" s="1"/>
  <c r="E63" i="44" s="1"/>
  <c r="F63" i="44" s="1"/>
  <c r="F64" i="44" s="1"/>
  <c r="D39" i="44"/>
  <c r="N5" i="46"/>
  <c r="N6" i="46" s="1"/>
  <c r="L35" i="67"/>
  <c r="L34" i="67"/>
  <c r="M58" i="68"/>
  <c r="N28" i="68"/>
  <c r="S28" i="68" s="1"/>
  <c r="P5" i="67"/>
  <c r="Q5" i="67" s="1"/>
  <c r="S5" i="67"/>
  <c r="N6" i="67"/>
  <c r="L6" i="17"/>
  <c r="L34" i="17" s="1"/>
  <c r="L35" i="3"/>
  <c r="L36" i="3"/>
  <c r="L6" i="22"/>
  <c r="L7" i="46"/>
  <c r="M19" i="22"/>
  <c r="M5" i="22"/>
  <c r="M24" i="22"/>
  <c r="M9" i="22"/>
  <c r="L36" i="68"/>
  <c r="L35" i="68"/>
  <c r="M8" i="16"/>
  <c r="M34" i="16"/>
  <c r="P5" i="3"/>
  <c r="Q5" i="3" s="1"/>
  <c r="B3" i="63"/>
  <c r="R5" i="46"/>
  <c r="R6" i="46" s="1"/>
  <c r="S5" i="3"/>
  <c r="N27" i="67"/>
  <c r="S27" i="67" s="1"/>
  <c r="S6" i="68"/>
  <c r="P6" i="68"/>
  <c r="Q6" i="68" s="1"/>
  <c r="K16" i="44"/>
  <c r="K48" i="44" s="1"/>
  <c r="J18" i="67"/>
  <c r="I14" i="22"/>
  <c r="I14" i="17"/>
  <c r="H21" i="22"/>
  <c r="H21" i="17"/>
  <c r="I18" i="3"/>
  <c r="I15" i="17" s="1"/>
  <c r="I36" i="17" s="1"/>
  <c r="K17" i="67"/>
  <c r="K48" i="67" s="1"/>
  <c r="I24" i="3"/>
  <c r="I54" i="3" s="1"/>
  <c r="I24" i="68"/>
  <c r="I24" i="67"/>
  <c r="I53" i="67" s="1"/>
  <c r="I49" i="68"/>
  <c r="I18" i="68"/>
  <c r="R13" i="68"/>
  <c r="R13" i="67"/>
  <c r="J51" i="68"/>
  <c r="J49" i="68"/>
  <c r="J18" i="68"/>
  <c r="F22" i="17"/>
  <c r="J50" i="68"/>
  <c r="J21" i="68"/>
  <c r="M44" i="67"/>
  <c r="N13" i="67"/>
  <c r="D11" i="68"/>
  <c r="D31" i="68" s="1"/>
  <c r="D39" i="68"/>
  <c r="D37" i="68"/>
  <c r="E42" i="68"/>
  <c r="E43" i="68"/>
  <c r="K19" i="68"/>
  <c r="K19" i="67"/>
  <c r="F55" i="3"/>
  <c r="F30" i="68"/>
  <c r="R13" i="3"/>
  <c r="E42" i="67"/>
  <c r="E41" i="67"/>
  <c r="I48" i="67"/>
  <c r="I18" i="67"/>
  <c r="G25" i="3"/>
  <c r="G22" i="17" s="1"/>
  <c r="G25" i="67"/>
  <c r="G54" i="67" s="1"/>
  <c r="G25" i="68"/>
  <c r="G55" i="68" s="1"/>
  <c r="K47" i="67"/>
  <c r="M15" i="68"/>
  <c r="M15" i="67"/>
  <c r="J21" i="67"/>
  <c r="J49" i="67"/>
  <c r="K20" i="67"/>
  <c r="K50" i="67" s="1"/>
  <c r="K20" i="68"/>
  <c r="K51" i="68" s="1"/>
  <c r="L16" i="67"/>
  <c r="L47" i="67" s="1"/>
  <c r="L16" i="68"/>
  <c r="F29" i="67"/>
  <c r="G52" i="67"/>
  <c r="S14" i="68"/>
  <c r="N46" i="68"/>
  <c r="P46" i="68" s="1"/>
  <c r="Q46" i="68" s="1"/>
  <c r="P14" i="68"/>
  <c r="Q14" i="68" s="1"/>
  <c r="N45" i="67"/>
  <c r="P45" i="67" s="1"/>
  <c r="Q45" i="67" s="1"/>
  <c r="S14" i="67"/>
  <c r="P14" i="67"/>
  <c r="Q14" i="67" s="1"/>
  <c r="F22" i="22"/>
  <c r="H23" i="3"/>
  <c r="H53" i="3" s="1"/>
  <c r="H23" i="68"/>
  <c r="H23" i="67"/>
  <c r="F30" i="3"/>
  <c r="F42" i="3" s="1"/>
  <c r="G53" i="68"/>
  <c r="M45" i="68"/>
  <c r="N13" i="68"/>
  <c r="D32" i="67"/>
  <c r="D39" i="67" s="1"/>
  <c r="D37" i="67"/>
  <c r="L16" i="44"/>
  <c r="G17" i="46"/>
  <c r="G49" i="45"/>
  <c r="G18" i="45"/>
  <c r="S28" i="44"/>
  <c r="C12" i="63"/>
  <c r="G12" i="63" s="1"/>
  <c r="G13" i="63" s="1"/>
  <c r="B13" i="63"/>
  <c r="C40" i="46"/>
  <c r="C38" i="46"/>
  <c r="N9" i="57"/>
  <c r="D33" i="45"/>
  <c r="D40" i="45" s="1"/>
  <c r="D38" i="45"/>
  <c r="C33" i="45"/>
  <c r="C40" i="45" s="1"/>
  <c r="C38" i="45"/>
  <c r="D26" i="17"/>
  <c r="D38" i="3"/>
  <c r="C28" i="17"/>
  <c r="C40" i="3"/>
  <c r="K20" i="3"/>
  <c r="K19" i="3"/>
  <c r="R14" i="46"/>
  <c r="C43" i="46"/>
  <c r="C44" i="46"/>
  <c r="C31" i="46"/>
  <c r="P28" i="3"/>
  <c r="Q28" i="3" s="1"/>
  <c r="R28" i="46"/>
  <c r="I25" i="44"/>
  <c r="E43" i="3"/>
  <c r="E25" i="22"/>
  <c r="E38" i="22" s="1"/>
  <c r="E25" i="17"/>
  <c r="E38" i="17" s="1"/>
  <c r="N13" i="3"/>
  <c r="D8" i="17"/>
  <c r="D33" i="3"/>
  <c r="P14" i="3"/>
  <c r="Q14" i="3" s="1"/>
  <c r="N46" i="3"/>
  <c r="P46" i="3" s="1"/>
  <c r="Q46" i="3" s="1"/>
  <c r="F32" i="17"/>
  <c r="G21" i="46"/>
  <c r="G37" i="17"/>
  <c r="H21" i="45"/>
  <c r="H50" i="3"/>
  <c r="H21" i="3"/>
  <c r="H18" i="22" s="1"/>
  <c r="H37" i="22" s="1"/>
  <c r="H16" i="22"/>
  <c r="H16" i="17"/>
  <c r="H18" i="17" s="1"/>
  <c r="H19" i="46"/>
  <c r="H51" i="46" s="1"/>
  <c r="H55" i="44"/>
  <c r="S14" i="3"/>
  <c r="K20" i="45"/>
  <c r="K19" i="45"/>
  <c r="N58" i="44"/>
  <c r="P58" i="44" s="1"/>
  <c r="Q58" i="44" s="1"/>
  <c r="P28" i="44"/>
  <c r="Q28" i="44" s="1"/>
  <c r="M10" i="22"/>
  <c r="M10" i="17"/>
  <c r="M32" i="45"/>
  <c r="S28" i="3"/>
  <c r="N28" i="46"/>
  <c r="N59" i="46" s="1"/>
  <c r="P59" i="46" s="1"/>
  <c r="Q59" i="46" s="1"/>
  <c r="N58" i="3"/>
  <c r="P58" i="3" s="1"/>
  <c r="Q58" i="3" s="1"/>
  <c r="M32" i="44"/>
  <c r="M60" i="44" s="1"/>
  <c r="O8" i="57"/>
  <c r="M8" i="57"/>
  <c r="N8" i="57" s="1"/>
  <c r="P11" i="57"/>
  <c r="P10" i="57"/>
  <c r="F30" i="45"/>
  <c r="F43" i="45" s="1"/>
  <c r="K47" i="45"/>
  <c r="L47" i="3"/>
  <c r="L12" i="17"/>
  <c r="I20" i="46"/>
  <c r="F50" i="46"/>
  <c r="F18" i="46"/>
  <c r="J51" i="45"/>
  <c r="K20" i="44"/>
  <c r="K51" i="44" s="1"/>
  <c r="J21" i="44"/>
  <c r="I18" i="44"/>
  <c r="I49" i="44"/>
  <c r="K50" i="44"/>
  <c r="J17" i="44"/>
  <c r="R13" i="44"/>
  <c r="H53" i="44"/>
  <c r="H30" i="44"/>
  <c r="P14" i="44"/>
  <c r="Q14" i="44" s="1"/>
  <c r="N46" i="44"/>
  <c r="P46" i="44" s="1"/>
  <c r="Q46" i="44" s="1"/>
  <c r="S14" i="44"/>
  <c r="P44" i="44"/>
  <c r="Q44" i="44" s="1"/>
  <c r="M15" i="44"/>
  <c r="M45" i="44"/>
  <c r="N13" i="44"/>
  <c r="G43" i="44"/>
  <c r="G42" i="44"/>
  <c r="G20" i="17"/>
  <c r="G32" i="17" s="1"/>
  <c r="G53" i="3"/>
  <c r="G20" i="22"/>
  <c r="G32" i="22" s="1"/>
  <c r="L16" i="3"/>
  <c r="L13" i="22" s="1"/>
  <c r="J17" i="22"/>
  <c r="J51" i="3"/>
  <c r="J17" i="17"/>
  <c r="J17" i="3"/>
  <c r="M15" i="3"/>
  <c r="K13" i="17"/>
  <c r="K48" i="3"/>
  <c r="K13" i="22"/>
  <c r="J17" i="45"/>
  <c r="H50" i="46"/>
  <c r="F24" i="46"/>
  <c r="F54" i="45"/>
  <c r="D44" i="46"/>
  <c r="D43" i="46"/>
  <c r="N46" i="45"/>
  <c r="P46" i="45" s="1"/>
  <c r="Q46" i="45" s="1"/>
  <c r="P14" i="45"/>
  <c r="Q14" i="45" s="1"/>
  <c r="S14" i="45"/>
  <c r="S12" i="46"/>
  <c r="P12" i="46"/>
  <c r="Q12" i="46" s="1"/>
  <c r="N45" i="46"/>
  <c r="P45" i="46" s="1"/>
  <c r="Q45" i="46" s="1"/>
  <c r="M13" i="45"/>
  <c r="L47" i="45"/>
  <c r="L15" i="46"/>
  <c r="L48" i="46" s="1"/>
  <c r="K16" i="45"/>
  <c r="K46" i="46"/>
  <c r="J48" i="45"/>
  <c r="J16" i="46"/>
  <c r="J49" i="46" s="1"/>
  <c r="M47" i="46"/>
  <c r="N14" i="46"/>
  <c r="E43" i="45"/>
  <c r="E42" i="45"/>
  <c r="F54" i="46"/>
  <c r="G23" i="45"/>
  <c r="L45" i="45"/>
  <c r="L13" i="46"/>
  <c r="E54" i="46"/>
  <c r="E30" i="46"/>
  <c r="N32" i="3" l="1"/>
  <c r="B29" i="63" s="1"/>
  <c r="B30" i="63" s="1"/>
  <c r="M27" i="17"/>
  <c r="M40" i="17" s="1"/>
  <c r="M60" i="3"/>
  <c r="M59" i="67"/>
  <c r="N31" i="67"/>
  <c r="R32" i="3"/>
  <c r="R31" i="67"/>
  <c r="R32" i="68"/>
  <c r="M60" i="68"/>
  <c r="N32" i="68"/>
  <c r="M60" i="45"/>
  <c r="R7" i="68"/>
  <c r="S7" i="68" s="1"/>
  <c r="N9" i="28"/>
  <c r="N7" i="67"/>
  <c r="N35" i="67" s="1"/>
  <c r="P35" i="67" s="1"/>
  <c r="Q35" i="67" s="1"/>
  <c r="M34" i="67"/>
  <c r="M7" i="46"/>
  <c r="M36" i="46" s="1"/>
  <c r="M6" i="22"/>
  <c r="M8" i="22" s="1"/>
  <c r="M6" i="17"/>
  <c r="M34" i="17" s="1"/>
  <c r="M36" i="3"/>
  <c r="N7" i="3"/>
  <c r="P7" i="3" s="1"/>
  <c r="Q7" i="3" s="1"/>
  <c r="M35" i="68"/>
  <c r="M36" i="68"/>
  <c r="D33" i="44"/>
  <c r="D40" i="44" s="1"/>
  <c r="R7" i="67"/>
  <c r="N4" i="28"/>
  <c r="N6" i="28" s="1"/>
  <c r="R7" i="3"/>
  <c r="D38" i="46"/>
  <c r="D40" i="46"/>
  <c r="E64" i="44"/>
  <c r="E65" i="44" s="1"/>
  <c r="E66" i="44" s="1"/>
  <c r="E10" i="44" s="1"/>
  <c r="E37" i="44" s="1"/>
  <c r="G63" i="44"/>
  <c r="G64" i="44" s="1"/>
  <c r="P5" i="46"/>
  <c r="Q5" i="46" s="1"/>
  <c r="G3" i="63"/>
  <c r="B4" i="63"/>
  <c r="N57" i="67"/>
  <c r="P57" i="67" s="1"/>
  <c r="Q57" i="67" s="1"/>
  <c r="P27" i="67"/>
  <c r="Q27" i="67" s="1"/>
  <c r="L37" i="46"/>
  <c r="L36" i="46"/>
  <c r="L8" i="22"/>
  <c r="L34" i="22"/>
  <c r="S6" i="46"/>
  <c r="P6" i="46"/>
  <c r="Q6" i="46" s="1"/>
  <c r="P6" i="67"/>
  <c r="Q6" i="67" s="1"/>
  <c r="S6" i="67"/>
  <c r="P7" i="68"/>
  <c r="Q7" i="68" s="1"/>
  <c r="N35" i="68"/>
  <c r="P35" i="68" s="1"/>
  <c r="Q35" i="68" s="1"/>
  <c r="N36" i="68"/>
  <c r="P36" i="68" s="1"/>
  <c r="Q36" i="68" s="1"/>
  <c r="P28" i="68"/>
  <c r="Q28" i="68" s="1"/>
  <c r="N58" i="68"/>
  <c r="P58" i="68" s="1"/>
  <c r="Q58" i="68" s="1"/>
  <c r="P6" i="3"/>
  <c r="Q6" i="3" s="1"/>
  <c r="S6" i="3"/>
  <c r="S5" i="46"/>
  <c r="G30" i="3"/>
  <c r="G43" i="3" s="1"/>
  <c r="I21" i="17"/>
  <c r="G29" i="67"/>
  <c r="G41" i="67" s="1"/>
  <c r="K17" i="68"/>
  <c r="K49" i="68" s="1"/>
  <c r="G22" i="22"/>
  <c r="I21" i="22"/>
  <c r="G25" i="46"/>
  <c r="G56" i="46" s="1"/>
  <c r="G30" i="68"/>
  <c r="G42" i="68" s="1"/>
  <c r="H20" i="17"/>
  <c r="K18" i="67"/>
  <c r="F43" i="3"/>
  <c r="L17" i="68"/>
  <c r="L49" i="68" s="1"/>
  <c r="L17" i="67"/>
  <c r="J24" i="3"/>
  <c r="J54" i="3" s="1"/>
  <c r="J24" i="68"/>
  <c r="J54" i="68" s="1"/>
  <c r="J24" i="67"/>
  <c r="J53" i="67" s="1"/>
  <c r="F41" i="67"/>
  <c r="F42" i="67"/>
  <c r="L48" i="68"/>
  <c r="F42" i="68"/>
  <c r="F43" i="68"/>
  <c r="K49" i="67"/>
  <c r="K21" i="67"/>
  <c r="K21" i="68"/>
  <c r="K50" i="68"/>
  <c r="L20" i="67"/>
  <c r="L50" i="67" s="1"/>
  <c r="L20" i="68"/>
  <c r="L51" i="68" s="1"/>
  <c r="M46" i="67"/>
  <c r="N15" i="67"/>
  <c r="F25" i="22"/>
  <c r="F38" i="22" s="1"/>
  <c r="H20" i="22"/>
  <c r="H32" i="22" s="1"/>
  <c r="H52" i="67"/>
  <c r="N45" i="68"/>
  <c r="P45" i="68" s="1"/>
  <c r="Q45" i="68" s="1"/>
  <c r="S13" i="68"/>
  <c r="P13" i="68"/>
  <c r="Q13" i="68" s="1"/>
  <c r="M47" i="68"/>
  <c r="N15" i="68"/>
  <c r="H25" i="67"/>
  <c r="H54" i="67" s="1"/>
  <c r="H25" i="68"/>
  <c r="H55" i="68" s="1"/>
  <c r="H53" i="68"/>
  <c r="D33" i="68"/>
  <c r="D40" i="68" s="1"/>
  <c r="D38" i="68"/>
  <c r="I23" i="68"/>
  <c r="I23" i="67"/>
  <c r="L19" i="68"/>
  <c r="L19" i="67"/>
  <c r="R15" i="68"/>
  <c r="R15" i="67"/>
  <c r="F25" i="17"/>
  <c r="F31" i="17" s="1"/>
  <c r="S13" i="67"/>
  <c r="N44" i="67"/>
  <c r="P44" i="67" s="1"/>
  <c r="Q44" i="67" s="1"/>
  <c r="P13" i="67"/>
  <c r="Q13" i="67" s="1"/>
  <c r="I54" i="68"/>
  <c r="I23" i="3"/>
  <c r="I20" i="17" s="1"/>
  <c r="G55" i="3"/>
  <c r="M16" i="68"/>
  <c r="M16" i="67"/>
  <c r="G50" i="46"/>
  <c r="G18" i="46"/>
  <c r="I17" i="45"/>
  <c r="C13" i="63"/>
  <c r="I12" i="63"/>
  <c r="J12" i="63" s="1"/>
  <c r="I13" i="63"/>
  <c r="J13" i="63" s="1"/>
  <c r="C33" i="46"/>
  <c r="C41" i="46" s="1"/>
  <c r="C39" i="46"/>
  <c r="D33" i="46"/>
  <c r="D41" i="46" s="1"/>
  <c r="D39" i="46"/>
  <c r="P9" i="57"/>
  <c r="D28" i="17"/>
  <c r="D40" i="3"/>
  <c r="S13" i="3"/>
  <c r="P13" i="3"/>
  <c r="Q13" i="3" s="1"/>
  <c r="N45" i="3"/>
  <c r="P45" i="3" s="1"/>
  <c r="Q45" i="3" s="1"/>
  <c r="L20" i="3"/>
  <c r="L19" i="3"/>
  <c r="J25" i="44"/>
  <c r="H25" i="3"/>
  <c r="H25" i="46" s="1"/>
  <c r="H56" i="46" s="1"/>
  <c r="E31" i="17"/>
  <c r="E31" i="22"/>
  <c r="I19" i="46"/>
  <c r="I55" i="44"/>
  <c r="I16" i="22"/>
  <c r="I50" i="3"/>
  <c r="I16" i="17"/>
  <c r="I18" i="17" s="1"/>
  <c r="I21" i="3"/>
  <c r="I18" i="22" s="1"/>
  <c r="I37" i="22" s="1"/>
  <c r="H21" i="46"/>
  <c r="H37" i="17"/>
  <c r="H24" i="17"/>
  <c r="M32" i="46"/>
  <c r="N32" i="46" s="1"/>
  <c r="N32" i="45"/>
  <c r="L20" i="45"/>
  <c r="L19" i="45"/>
  <c r="K21" i="44"/>
  <c r="R20" i="44"/>
  <c r="T46" i="44"/>
  <c r="S28" i="46"/>
  <c r="P28" i="46"/>
  <c r="Q28" i="46" s="1"/>
  <c r="N32" i="44"/>
  <c r="P8" i="57"/>
  <c r="F42" i="45"/>
  <c r="F30" i="46"/>
  <c r="F44" i="46" s="1"/>
  <c r="I52" i="46"/>
  <c r="J20" i="46"/>
  <c r="L48" i="3"/>
  <c r="K51" i="45"/>
  <c r="K17" i="44"/>
  <c r="L20" i="44"/>
  <c r="J49" i="44"/>
  <c r="J18" i="44"/>
  <c r="L19" i="44"/>
  <c r="M19" i="44"/>
  <c r="R15" i="44"/>
  <c r="H42" i="44"/>
  <c r="H43" i="44"/>
  <c r="I53" i="44"/>
  <c r="I30" i="44"/>
  <c r="L48" i="44"/>
  <c r="S13" i="44"/>
  <c r="N45" i="44"/>
  <c r="P45" i="44" s="1"/>
  <c r="Q45" i="44" s="1"/>
  <c r="P13" i="44"/>
  <c r="Q13" i="44" s="1"/>
  <c r="M47" i="44"/>
  <c r="N15" i="44"/>
  <c r="L13" i="17"/>
  <c r="R15" i="3"/>
  <c r="M16" i="3"/>
  <c r="K17" i="3"/>
  <c r="K17" i="22"/>
  <c r="K17" i="17"/>
  <c r="K51" i="3"/>
  <c r="M47" i="3"/>
  <c r="M12" i="17"/>
  <c r="M12" i="22"/>
  <c r="N15" i="3"/>
  <c r="J18" i="3"/>
  <c r="J15" i="17" s="1"/>
  <c r="J36" i="17" s="1"/>
  <c r="J49" i="3"/>
  <c r="J14" i="22"/>
  <c r="J14" i="17"/>
  <c r="K17" i="45"/>
  <c r="K18" i="45" s="1"/>
  <c r="I24" i="46"/>
  <c r="I55" i="46" s="1"/>
  <c r="I54" i="45"/>
  <c r="J17" i="46"/>
  <c r="J49" i="45"/>
  <c r="J18" i="45"/>
  <c r="F55" i="46"/>
  <c r="E44" i="46"/>
  <c r="E43" i="46"/>
  <c r="L46" i="46"/>
  <c r="G53" i="45"/>
  <c r="G23" i="46"/>
  <c r="G30" i="45"/>
  <c r="K48" i="45"/>
  <c r="K16" i="46"/>
  <c r="M15" i="45"/>
  <c r="P14" i="46"/>
  <c r="Q14" i="46" s="1"/>
  <c r="S14" i="46"/>
  <c r="N47" i="46"/>
  <c r="P47" i="46" s="1"/>
  <c r="Q47" i="46" s="1"/>
  <c r="H23" i="45"/>
  <c r="L16" i="45"/>
  <c r="R13" i="45"/>
  <c r="J50" i="45"/>
  <c r="M45" i="45"/>
  <c r="M13" i="46"/>
  <c r="N13" i="45"/>
  <c r="R13" i="46" s="1"/>
  <c r="N60" i="3" l="1"/>
  <c r="P60" i="3" s="1"/>
  <c r="Q60" i="3" s="1"/>
  <c r="P32" i="3"/>
  <c r="Q32" i="3" s="1"/>
  <c r="S32" i="3"/>
  <c r="S32" i="68"/>
  <c r="P32" i="68"/>
  <c r="Q32" i="68" s="1"/>
  <c r="N60" i="68"/>
  <c r="P60" i="68" s="1"/>
  <c r="Q60" i="68" s="1"/>
  <c r="S31" i="67"/>
  <c r="P31" i="67"/>
  <c r="Q31" i="67" s="1"/>
  <c r="N59" i="67"/>
  <c r="P59" i="67" s="1"/>
  <c r="Q59" i="67" s="1"/>
  <c r="P7" i="67"/>
  <c r="Q7" i="67" s="1"/>
  <c r="S7" i="67"/>
  <c r="N34" i="67"/>
  <c r="P34" i="67" s="1"/>
  <c r="Q34" i="67" s="1"/>
  <c r="N36" i="3"/>
  <c r="P36" i="3" s="1"/>
  <c r="Q36" i="3" s="1"/>
  <c r="N7" i="46"/>
  <c r="P7" i="46" s="1"/>
  <c r="Q7" i="46" s="1"/>
  <c r="N35" i="3"/>
  <c r="P35" i="3" s="1"/>
  <c r="Q35" i="3" s="1"/>
  <c r="M37" i="46"/>
  <c r="M34" i="22"/>
  <c r="S7" i="3"/>
  <c r="R7" i="46"/>
  <c r="B5" i="63"/>
  <c r="G5" i="63" s="1"/>
  <c r="I5" i="63" s="1"/>
  <c r="J5" i="63" s="1"/>
  <c r="F65" i="44"/>
  <c r="F66" i="44" s="1"/>
  <c r="F10" i="44" s="1"/>
  <c r="F11" i="44" s="1"/>
  <c r="F31" i="44" s="1"/>
  <c r="F33" i="44" s="1"/>
  <c r="F40" i="44" s="1"/>
  <c r="E11" i="44"/>
  <c r="E31" i="44" s="1"/>
  <c r="E33" i="44" s="1"/>
  <c r="E40" i="44" s="1"/>
  <c r="E39" i="44"/>
  <c r="H63" i="44"/>
  <c r="I63" i="44" s="1"/>
  <c r="I64" i="44" s="1"/>
  <c r="K18" i="68"/>
  <c r="G4" i="63"/>
  <c r="I4" i="63" s="1"/>
  <c r="J4" i="63" s="1"/>
  <c r="I3" i="63"/>
  <c r="J3" i="63" s="1"/>
  <c r="G42" i="67"/>
  <c r="G25" i="17"/>
  <c r="G31" i="17" s="1"/>
  <c r="G42" i="3"/>
  <c r="G25" i="22"/>
  <c r="G31" i="22" s="1"/>
  <c r="I32" i="17"/>
  <c r="H32" i="17"/>
  <c r="G43" i="68"/>
  <c r="F38" i="17"/>
  <c r="J21" i="22"/>
  <c r="H30" i="68"/>
  <c r="H42" i="68" s="1"/>
  <c r="J21" i="17"/>
  <c r="H29" i="67"/>
  <c r="H41" i="67" s="1"/>
  <c r="L18" i="68"/>
  <c r="F31" i="22"/>
  <c r="I20" i="22"/>
  <c r="I32" i="22" s="1"/>
  <c r="I53" i="3"/>
  <c r="I53" i="68"/>
  <c r="I25" i="67"/>
  <c r="I54" i="67" s="1"/>
  <c r="I25" i="68"/>
  <c r="I55" i="68" s="1"/>
  <c r="M20" i="67"/>
  <c r="M20" i="68"/>
  <c r="R16" i="68"/>
  <c r="R16" i="67"/>
  <c r="J23" i="3"/>
  <c r="J53" i="3" s="1"/>
  <c r="J23" i="68"/>
  <c r="J23" i="67"/>
  <c r="N46" i="67"/>
  <c r="P46" i="67" s="1"/>
  <c r="Q46" i="67" s="1"/>
  <c r="S15" i="67"/>
  <c r="P15" i="67"/>
  <c r="Q15" i="67" s="1"/>
  <c r="M47" i="67"/>
  <c r="N16" i="67"/>
  <c r="M48" i="68"/>
  <c r="N16" i="68"/>
  <c r="N47" i="68"/>
  <c r="P47" i="68" s="1"/>
  <c r="Q47" i="68" s="1"/>
  <c r="P15" i="68"/>
  <c r="Q15" i="68" s="1"/>
  <c r="S15" i="68"/>
  <c r="M19" i="68"/>
  <c r="M19" i="67"/>
  <c r="L21" i="67"/>
  <c r="L49" i="67"/>
  <c r="L21" i="68"/>
  <c r="L50" i="68"/>
  <c r="L48" i="67"/>
  <c r="L18" i="67"/>
  <c r="I52" i="67"/>
  <c r="N60" i="45"/>
  <c r="P60" i="45" s="1"/>
  <c r="Q60" i="45" s="1"/>
  <c r="D29" i="63"/>
  <c r="D30" i="63" s="1"/>
  <c r="I18" i="45"/>
  <c r="I17" i="46"/>
  <c r="I49" i="45"/>
  <c r="M16" i="44"/>
  <c r="M48" i="44" s="1"/>
  <c r="N60" i="44"/>
  <c r="P60" i="44" s="1"/>
  <c r="Q60" i="44" s="1"/>
  <c r="C29" i="63"/>
  <c r="P32" i="45"/>
  <c r="Q32" i="45" s="1"/>
  <c r="M61" i="46"/>
  <c r="M19" i="3"/>
  <c r="M20" i="3"/>
  <c r="S32" i="45"/>
  <c r="R32" i="46"/>
  <c r="S32" i="46" s="1"/>
  <c r="H22" i="17"/>
  <c r="H30" i="3"/>
  <c r="H25" i="22" s="1"/>
  <c r="H31" i="22" s="1"/>
  <c r="K25" i="44"/>
  <c r="H55" i="3"/>
  <c r="H22" i="22"/>
  <c r="I25" i="3"/>
  <c r="I25" i="46" s="1"/>
  <c r="I56" i="46" s="1"/>
  <c r="J23" i="44"/>
  <c r="J53" i="44" s="1"/>
  <c r="I51" i="46"/>
  <c r="I21" i="46"/>
  <c r="J55" i="44"/>
  <c r="I37" i="17"/>
  <c r="J16" i="22"/>
  <c r="J16" i="17"/>
  <c r="J18" i="17" s="1"/>
  <c r="J50" i="3"/>
  <c r="J19" i="46"/>
  <c r="J51" i="46" s="1"/>
  <c r="J21" i="3"/>
  <c r="J18" i="22" s="1"/>
  <c r="J37" i="22" s="1"/>
  <c r="I50" i="45"/>
  <c r="I21" i="45"/>
  <c r="J21" i="45"/>
  <c r="K20" i="46"/>
  <c r="K52" i="46" s="1"/>
  <c r="P32" i="44"/>
  <c r="Q32" i="44" s="1"/>
  <c r="S32" i="44"/>
  <c r="P32" i="46"/>
  <c r="Q32" i="46" s="1"/>
  <c r="N61" i="46"/>
  <c r="P61" i="46" s="1"/>
  <c r="Q61" i="46" s="1"/>
  <c r="J52" i="46"/>
  <c r="F43" i="46"/>
  <c r="L51" i="45"/>
  <c r="M50" i="44"/>
  <c r="K49" i="44"/>
  <c r="K18" i="44"/>
  <c r="M20" i="44"/>
  <c r="M51" i="44" s="1"/>
  <c r="L21" i="44"/>
  <c r="L50" i="44"/>
  <c r="N19" i="44"/>
  <c r="L51" i="44"/>
  <c r="I43" i="44"/>
  <c r="I42" i="44"/>
  <c r="N47" i="44"/>
  <c r="P47" i="44" s="1"/>
  <c r="Q47" i="44" s="1"/>
  <c r="S15" i="44"/>
  <c r="P15" i="44"/>
  <c r="Q15" i="44" s="1"/>
  <c r="L51" i="3"/>
  <c r="L17" i="22"/>
  <c r="L17" i="17"/>
  <c r="K14" i="22"/>
  <c r="K14" i="17"/>
  <c r="K18" i="3"/>
  <c r="K15" i="17" s="1"/>
  <c r="K36" i="17" s="1"/>
  <c r="K49" i="3"/>
  <c r="M13" i="22"/>
  <c r="N16" i="3"/>
  <c r="M48" i="3"/>
  <c r="M13" i="17"/>
  <c r="N47" i="3"/>
  <c r="P47" i="3" s="1"/>
  <c r="Q47" i="3" s="1"/>
  <c r="P15" i="3"/>
  <c r="Q15" i="3" s="1"/>
  <c r="S15" i="3"/>
  <c r="L17" i="3"/>
  <c r="R16" i="3"/>
  <c r="L17" i="45"/>
  <c r="L18" i="45" s="1"/>
  <c r="J50" i="46"/>
  <c r="J18" i="46"/>
  <c r="K17" i="46"/>
  <c r="K50" i="46" s="1"/>
  <c r="K49" i="45"/>
  <c r="H24" i="46"/>
  <c r="H54" i="45"/>
  <c r="J24" i="46"/>
  <c r="J55" i="46" s="1"/>
  <c r="J54" i="45"/>
  <c r="M16" i="45"/>
  <c r="M15" i="46"/>
  <c r="M47" i="45"/>
  <c r="N15" i="45"/>
  <c r="R15" i="46" s="1"/>
  <c r="G54" i="46"/>
  <c r="G30" i="46"/>
  <c r="K49" i="46"/>
  <c r="E63" i="45"/>
  <c r="E64" i="45" s="1"/>
  <c r="E65" i="45" s="1"/>
  <c r="M46" i="46"/>
  <c r="N13" i="46"/>
  <c r="L16" i="46"/>
  <c r="L48" i="45"/>
  <c r="I23" i="45"/>
  <c r="R15" i="45"/>
  <c r="S13" i="45"/>
  <c r="P13" i="45"/>
  <c r="Q13" i="45" s="1"/>
  <c r="N45" i="45"/>
  <c r="P45" i="45" s="1"/>
  <c r="Q45" i="45" s="1"/>
  <c r="H23" i="46"/>
  <c r="H53" i="45"/>
  <c r="H30" i="45"/>
  <c r="G43" i="45"/>
  <c r="G42" i="45"/>
  <c r="G29" i="63" l="1"/>
  <c r="G30" i="63" s="1"/>
  <c r="F38" i="44"/>
  <c r="H32" i="63"/>
  <c r="S7" i="46"/>
  <c r="N36" i="46"/>
  <c r="P36" i="46" s="1"/>
  <c r="Q36" i="46" s="1"/>
  <c r="N37" i="46"/>
  <c r="P37" i="46" s="1"/>
  <c r="Q37" i="46" s="1"/>
  <c r="F39" i="44"/>
  <c r="F37" i="44"/>
  <c r="G65" i="44"/>
  <c r="G66" i="44" s="1"/>
  <c r="G10" i="44" s="1"/>
  <c r="G11" i="44" s="1"/>
  <c r="G31" i="44" s="1"/>
  <c r="G38" i="44" s="1"/>
  <c r="J63" i="44"/>
  <c r="K63" i="44" s="1"/>
  <c r="H64" i="44"/>
  <c r="E38" i="44"/>
  <c r="G38" i="17"/>
  <c r="G38" i="22"/>
  <c r="R16" i="44"/>
  <c r="H42" i="67"/>
  <c r="H43" i="68"/>
  <c r="J20" i="17"/>
  <c r="I29" i="67"/>
  <c r="I42" i="67" s="1"/>
  <c r="J20" i="22"/>
  <c r="J32" i="22" s="1"/>
  <c r="M17" i="67"/>
  <c r="M17" i="68"/>
  <c r="K24" i="3"/>
  <c r="K54" i="3" s="1"/>
  <c r="K24" i="68"/>
  <c r="K54" i="68" s="1"/>
  <c r="K24" i="67"/>
  <c r="K53" i="67" s="1"/>
  <c r="J53" i="68"/>
  <c r="J52" i="67"/>
  <c r="M21" i="68"/>
  <c r="M50" i="68"/>
  <c r="N19" i="68"/>
  <c r="R19" i="3"/>
  <c r="R19" i="68"/>
  <c r="R19" i="67"/>
  <c r="J25" i="67"/>
  <c r="J54" i="67" s="1"/>
  <c r="J25" i="68"/>
  <c r="J55" i="68" s="1"/>
  <c r="K23" i="67"/>
  <c r="K23" i="68"/>
  <c r="R20" i="3"/>
  <c r="R20" i="68"/>
  <c r="R20" i="67"/>
  <c r="I30" i="68"/>
  <c r="S16" i="68"/>
  <c r="P16" i="68"/>
  <c r="Q16" i="68" s="1"/>
  <c r="N48" i="68"/>
  <c r="P48" i="68" s="1"/>
  <c r="Q48" i="68" s="1"/>
  <c r="L24" i="68"/>
  <c r="L24" i="67"/>
  <c r="N47" i="67"/>
  <c r="P47" i="67" s="1"/>
  <c r="Q47" i="67" s="1"/>
  <c r="S16" i="67"/>
  <c r="P16" i="67"/>
  <c r="Q16" i="67" s="1"/>
  <c r="M51" i="68"/>
  <c r="N20" i="68"/>
  <c r="M21" i="67"/>
  <c r="N21" i="67" s="1"/>
  <c r="M49" i="67"/>
  <c r="N19" i="67"/>
  <c r="M50" i="67"/>
  <c r="N20" i="67"/>
  <c r="N16" i="44"/>
  <c r="N48" i="44" s="1"/>
  <c r="P48" i="44" s="1"/>
  <c r="Q48" i="44" s="1"/>
  <c r="C30" i="63"/>
  <c r="I50" i="46"/>
  <c r="I18" i="46"/>
  <c r="R19" i="44"/>
  <c r="S19" i="44" s="1"/>
  <c r="J25" i="3"/>
  <c r="J25" i="46" s="1"/>
  <c r="J56" i="46" s="1"/>
  <c r="R19" i="45"/>
  <c r="M19" i="45"/>
  <c r="R20" i="45"/>
  <c r="M20" i="45"/>
  <c r="M20" i="46" s="1"/>
  <c r="L24" i="3"/>
  <c r="H43" i="3"/>
  <c r="H25" i="17"/>
  <c r="H31" i="17" s="1"/>
  <c r="H42" i="3"/>
  <c r="H38" i="22"/>
  <c r="I22" i="17"/>
  <c r="I30" i="3"/>
  <c r="I43" i="3" s="1"/>
  <c r="I22" i="22"/>
  <c r="L25" i="44"/>
  <c r="I55" i="3"/>
  <c r="M24" i="3"/>
  <c r="J30" i="44"/>
  <c r="J43" i="44" s="1"/>
  <c r="J21" i="46"/>
  <c r="J24" i="17"/>
  <c r="J37" i="17"/>
  <c r="K16" i="22"/>
  <c r="K16" i="17"/>
  <c r="K18" i="17" s="1"/>
  <c r="K50" i="3"/>
  <c r="K21" i="3"/>
  <c r="K18" i="22" s="1"/>
  <c r="K37" i="22" s="1"/>
  <c r="K55" i="44"/>
  <c r="K19" i="46"/>
  <c r="K51" i="46" s="1"/>
  <c r="L20" i="46"/>
  <c r="L52" i="46" s="1"/>
  <c r="K23" i="44"/>
  <c r="K30" i="44" s="1"/>
  <c r="K18" i="46"/>
  <c r="N20" i="44"/>
  <c r="N51" i="44" s="1"/>
  <c r="P51" i="44" s="1"/>
  <c r="Q51" i="44" s="1"/>
  <c r="M17" i="44"/>
  <c r="L17" i="44"/>
  <c r="L17" i="46" s="1"/>
  <c r="L50" i="46" s="1"/>
  <c r="P19" i="44"/>
  <c r="Q19" i="44" s="1"/>
  <c r="N50" i="44"/>
  <c r="P50" i="44" s="1"/>
  <c r="Q50" i="44" s="1"/>
  <c r="M21" i="44"/>
  <c r="N21" i="44" s="1"/>
  <c r="C10" i="63" s="1"/>
  <c r="L23" i="44"/>
  <c r="K23" i="3"/>
  <c r="M17" i="17"/>
  <c r="M51" i="3"/>
  <c r="N20" i="3"/>
  <c r="M17" i="22"/>
  <c r="S16" i="3"/>
  <c r="P16" i="3"/>
  <c r="Q16" i="3" s="1"/>
  <c r="N48" i="3"/>
  <c r="P48" i="3" s="1"/>
  <c r="Q48" i="3" s="1"/>
  <c r="L18" i="3"/>
  <c r="L15" i="17" s="1"/>
  <c r="L36" i="17" s="1"/>
  <c r="L14" i="17"/>
  <c r="L49" i="3"/>
  <c r="L14" i="22"/>
  <c r="H55" i="46"/>
  <c r="L49" i="45"/>
  <c r="H54" i="46"/>
  <c r="H30" i="46"/>
  <c r="N47" i="45"/>
  <c r="P47" i="45" s="1"/>
  <c r="Q47" i="45" s="1"/>
  <c r="P15" i="45"/>
  <c r="Q15" i="45" s="1"/>
  <c r="S15" i="45"/>
  <c r="P13" i="46"/>
  <c r="Q13" i="46" s="1"/>
  <c r="S13" i="46"/>
  <c r="N46" i="46"/>
  <c r="P46" i="46" s="1"/>
  <c r="Q46" i="46" s="1"/>
  <c r="R16" i="45"/>
  <c r="H42" i="45"/>
  <c r="H43" i="45"/>
  <c r="L49" i="46"/>
  <c r="M48" i="46"/>
  <c r="N15" i="46"/>
  <c r="M48" i="45"/>
  <c r="M16" i="46"/>
  <c r="N16" i="45"/>
  <c r="I23" i="46"/>
  <c r="I53" i="45"/>
  <c r="I30" i="45"/>
  <c r="J23" i="45"/>
  <c r="F63" i="45"/>
  <c r="G44" i="46"/>
  <c r="G43" i="46"/>
  <c r="J64" i="44" l="1"/>
  <c r="H65" i="44"/>
  <c r="H66" i="44" s="1"/>
  <c r="H10" i="44" s="1"/>
  <c r="H11" i="44" s="1"/>
  <c r="H31" i="44" s="1"/>
  <c r="H33" i="44" s="1"/>
  <c r="H40" i="44" s="1"/>
  <c r="G37" i="44"/>
  <c r="G39" i="44"/>
  <c r="G33" i="44"/>
  <c r="G40" i="44" s="1"/>
  <c r="I41" i="67"/>
  <c r="J32" i="17"/>
  <c r="J29" i="67"/>
  <c r="J41" i="67" s="1"/>
  <c r="K21" i="17"/>
  <c r="J30" i="68"/>
  <c r="J42" i="68" s="1"/>
  <c r="K21" i="22"/>
  <c r="K25" i="67"/>
  <c r="K54" i="67" s="1"/>
  <c r="K25" i="68"/>
  <c r="K55" i="68" s="1"/>
  <c r="P21" i="67"/>
  <c r="Q21" i="67" s="1"/>
  <c r="K53" i="68"/>
  <c r="L23" i="68"/>
  <c r="L23" i="67"/>
  <c r="K52" i="67"/>
  <c r="L53" i="67"/>
  <c r="N24" i="67"/>
  <c r="M49" i="68"/>
  <c r="N17" i="68"/>
  <c r="M18" i="68"/>
  <c r="N18" i="68" s="1"/>
  <c r="N21" i="68"/>
  <c r="P20" i="67"/>
  <c r="Q20" i="67" s="1"/>
  <c r="N50" i="67"/>
  <c r="P50" i="67" s="1"/>
  <c r="Q50" i="67" s="1"/>
  <c r="S20" i="67"/>
  <c r="I43" i="68"/>
  <c r="I42" i="68"/>
  <c r="S19" i="67"/>
  <c r="P19" i="67"/>
  <c r="Q19" i="67" s="1"/>
  <c r="N49" i="67"/>
  <c r="P49" i="67" s="1"/>
  <c r="Q49" i="67" s="1"/>
  <c r="P20" i="68"/>
  <c r="Q20" i="68" s="1"/>
  <c r="S20" i="68"/>
  <c r="N51" i="68"/>
  <c r="P51" i="68" s="1"/>
  <c r="Q51" i="68" s="1"/>
  <c r="L54" i="68"/>
  <c r="N24" i="68"/>
  <c r="M48" i="67"/>
  <c r="N17" i="67"/>
  <c r="M18" i="67"/>
  <c r="N18" i="67" s="1"/>
  <c r="J55" i="3"/>
  <c r="P19" i="68"/>
  <c r="Q19" i="68" s="1"/>
  <c r="S19" i="68"/>
  <c r="N50" i="68"/>
  <c r="P50" i="68" s="1"/>
  <c r="Q50" i="68" s="1"/>
  <c r="S16" i="44"/>
  <c r="I29" i="63"/>
  <c r="J29" i="63" s="1"/>
  <c r="I30" i="63"/>
  <c r="J30" i="63" s="1"/>
  <c r="R16" i="46"/>
  <c r="J30" i="3"/>
  <c r="J43" i="3" s="1"/>
  <c r="J22" i="22"/>
  <c r="M23" i="44"/>
  <c r="C11" i="63"/>
  <c r="P16" i="44"/>
  <c r="Q16" i="44" s="1"/>
  <c r="J22" i="17"/>
  <c r="L54" i="3"/>
  <c r="L21" i="22"/>
  <c r="L21" i="17"/>
  <c r="M54" i="3"/>
  <c r="M21" i="17"/>
  <c r="M21" i="22"/>
  <c r="N24" i="3"/>
  <c r="B20" i="63" s="1"/>
  <c r="H38" i="17"/>
  <c r="I42" i="3"/>
  <c r="I25" i="22"/>
  <c r="I31" i="22" s="1"/>
  <c r="I25" i="17"/>
  <c r="I38" i="17" s="1"/>
  <c r="K25" i="3"/>
  <c r="K25" i="46" s="1"/>
  <c r="K56" i="46" s="1"/>
  <c r="J42" i="44"/>
  <c r="R21" i="44"/>
  <c r="S21" i="44" s="1"/>
  <c r="K50" i="45"/>
  <c r="K21" i="45"/>
  <c r="K21" i="46"/>
  <c r="L50" i="3"/>
  <c r="L21" i="3"/>
  <c r="L18" i="22" s="1"/>
  <c r="L37" i="22" s="1"/>
  <c r="L16" i="22"/>
  <c r="L16" i="17"/>
  <c r="L18" i="17" s="1"/>
  <c r="K37" i="17"/>
  <c r="L55" i="44"/>
  <c r="K23" i="45"/>
  <c r="K53" i="45" s="1"/>
  <c r="K53" i="44"/>
  <c r="S20" i="44"/>
  <c r="P20" i="44"/>
  <c r="Q20" i="44" s="1"/>
  <c r="L23" i="3"/>
  <c r="L20" i="22" s="1"/>
  <c r="M51" i="45"/>
  <c r="N20" i="45"/>
  <c r="R20" i="46" s="1"/>
  <c r="M18" i="44"/>
  <c r="M49" i="44"/>
  <c r="R17" i="44"/>
  <c r="R18" i="44"/>
  <c r="P21" i="44"/>
  <c r="Q21" i="44" s="1"/>
  <c r="L49" i="44"/>
  <c r="L18" i="44"/>
  <c r="N17" i="44"/>
  <c r="K43" i="44"/>
  <c r="K42" i="44"/>
  <c r="L53" i="44"/>
  <c r="K64" i="44"/>
  <c r="L63" i="44"/>
  <c r="K53" i="3"/>
  <c r="K20" i="17"/>
  <c r="K20" i="22"/>
  <c r="P20" i="3"/>
  <c r="Q20" i="3" s="1"/>
  <c r="N51" i="3"/>
  <c r="P51" i="3" s="1"/>
  <c r="Q51" i="3" s="1"/>
  <c r="S20" i="3"/>
  <c r="N20" i="46"/>
  <c r="M52" i="46"/>
  <c r="M17" i="3"/>
  <c r="L18" i="46"/>
  <c r="L24" i="46"/>
  <c r="L55" i="46" s="1"/>
  <c r="L54" i="45"/>
  <c r="K24" i="46"/>
  <c r="K54" i="45"/>
  <c r="P15" i="46"/>
  <c r="Q15" i="46" s="1"/>
  <c r="S15" i="46"/>
  <c r="N48" i="46"/>
  <c r="P48" i="46" s="1"/>
  <c r="Q48" i="46" s="1"/>
  <c r="I42" i="45"/>
  <c r="I43" i="45"/>
  <c r="N48" i="45"/>
  <c r="P48" i="45" s="1"/>
  <c r="Q48" i="45" s="1"/>
  <c r="P16" i="45"/>
  <c r="Q16" i="45" s="1"/>
  <c r="S16" i="45"/>
  <c r="G63" i="45"/>
  <c r="F64" i="45"/>
  <c r="F65" i="45" s="1"/>
  <c r="J23" i="46"/>
  <c r="J53" i="45"/>
  <c r="J30" i="45"/>
  <c r="M49" i="46"/>
  <c r="N16" i="46"/>
  <c r="M21" i="45"/>
  <c r="E66" i="45"/>
  <c r="E10" i="45" s="1"/>
  <c r="I54" i="46"/>
  <c r="I30" i="46"/>
  <c r="H44" i="46"/>
  <c r="H43" i="46"/>
  <c r="I65" i="44" l="1"/>
  <c r="I66" i="44" s="1"/>
  <c r="I10" i="44" s="1"/>
  <c r="I11" i="44" s="1"/>
  <c r="I31" i="44" s="1"/>
  <c r="I38" i="44" s="1"/>
  <c r="H37" i="44"/>
  <c r="H38" i="44"/>
  <c r="H39" i="44"/>
  <c r="J43" i="68"/>
  <c r="K32" i="17"/>
  <c r="K30" i="68"/>
  <c r="K43" i="68" s="1"/>
  <c r="K32" i="22"/>
  <c r="J42" i="67"/>
  <c r="J42" i="3"/>
  <c r="P18" i="68"/>
  <c r="Q18" i="68" s="1"/>
  <c r="P17" i="68"/>
  <c r="Q17" i="68" s="1"/>
  <c r="N49" i="68"/>
  <c r="P49" i="68" s="1"/>
  <c r="Q49" i="68" s="1"/>
  <c r="R17" i="67"/>
  <c r="S17" i="67" s="1"/>
  <c r="R17" i="68"/>
  <c r="S17" i="68" s="1"/>
  <c r="R18" i="68"/>
  <c r="S18" i="68" s="1"/>
  <c r="R18" i="67"/>
  <c r="S18" i="67" s="1"/>
  <c r="N53" i="67"/>
  <c r="P53" i="67" s="1"/>
  <c r="Q53" i="67" s="1"/>
  <c r="P24" i="67"/>
  <c r="Q24" i="67" s="1"/>
  <c r="L53" i="68"/>
  <c r="R21" i="68"/>
  <c r="S21" i="68" s="1"/>
  <c r="R21" i="67"/>
  <c r="S21" i="67" s="1"/>
  <c r="L25" i="67"/>
  <c r="L54" i="67" s="1"/>
  <c r="L25" i="68"/>
  <c r="L55" i="68" s="1"/>
  <c r="P18" i="67"/>
  <c r="Q18" i="67" s="1"/>
  <c r="N48" i="67"/>
  <c r="P48" i="67" s="1"/>
  <c r="Q48" i="67" s="1"/>
  <c r="P17" i="67"/>
  <c r="Q17" i="67" s="1"/>
  <c r="K29" i="67"/>
  <c r="P21" i="68"/>
  <c r="Q21" i="68" s="1"/>
  <c r="N54" i="68"/>
  <c r="P54" i="68" s="1"/>
  <c r="Q54" i="68" s="1"/>
  <c r="P24" i="68"/>
  <c r="Q24" i="68" s="1"/>
  <c r="M23" i="67"/>
  <c r="M23" i="68"/>
  <c r="L52" i="67"/>
  <c r="J25" i="17"/>
  <c r="J31" i="17" s="1"/>
  <c r="B21" i="63"/>
  <c r="J25" i="22"/>
  <c r="J31" i="22" s="1"/>
  <c r="L32" i="22"/>
  <c r="N54" i="3"/>
  <c r="P54" i="3" s="1"/>
  <c r="Q54" i="3" s="1"/>
  <c r="P24" i="3"/>
  <c r="Q24" i="3" s="1"/>
  <c r="I38" i="22"/>
  <c r="I31" i="17"/>
  <c r="K30" i="3"/>
  <c r="K42" i="3" s="1"/>
  <c r="K22" i="17"/>
  <c r="K55" i="3"/>
  <c r="K22" i="22"/>
  <c r="L25" i="3"/>
  <c r="L25" i="46" s="1"/>
  <c r="L56" i="46" s="1"/>
  <c r="R21" i="3"/>
  <c r="N19" i="45"/>
  <c r="P19" i="45" s="1"/>
  <c r="Q19" i="45" s="1"/>
  <c r="L19" i="46"/>
  <c r="L37" i="17"/>
  <c r="L24" i="17"/>
  <c r="M21" i="3"/>
  <c r="M16" i="22"/>
  <c r="M19" i="46"/>
  <c r="M16" i="17"/>
  <c r="M18" i="17" s="1"/>
  <c r="M50" i="3"/>
  <c r="M25" i="44"/>
  <c r="M30" i="44" s="1"/>
  <c r="M17" i="45"/>
  <c r="M18" i="45" s="1"/>
  <c r="N18" i="45" s="1"/>
  <c r="M50" i="45"/>
  <c r="N19" i="3"/>
  <c r="L50" i="45"/>
  <c r="L21" i="45"/>
  <c r="N21" i="45" s="1"/>
  <c r="D10" i="63" s="1"/>
  <c r="L23" i="45"/>
  <c r="K30" i="45"/>
  <c r="K43" i="45" s="1"/>
  <c r="K23" i="46"/>
  <c r="K54" i="46" s="1"/>
  <c r="E37" i="45"/>
  <c r="E39" i="45"/>
  <c r="E11" i="45"/>
  <c r="E31" i="45" s="1"/>
  <c r="N18" i="44"/>
  <c r="L53" i="3"/>
  <c r="L20" i="17"/>
  <c r="S20" i="45"/>
  <c r="P20" i="45"/>
  <c r="Q20" i="45" s="1"/>
  <c r="N51" i="45"/>
  <c r="P51" i="45" s="1"/>
  <c r="Q51" i="45" s="1"/>
  <c r="L30" i="44"/>
  <c r="L43" i="44" s="1"/>
  <c r="N49" i="44"/>
  <c r="P49" i="44" s="1"/>
  <c r="Q49" i="44" s="1"/>
  <c r="S17" i="44"/>
  <c r="P17" i="44"/>
  <c r="Q17" i="44" s="1"/>
  <c r="M63" i="44"/>
  <c r="M64" i="44" s="1"/>
  <c r="L64" i="44"/>
  <c r="M53" i="44"/>
  <c r="N23" i="44"/>
  <c r="C18" i="63" s="1"/>
  <c r="R17" i="3"/>
  <c r="R18" i="3"/>
  <c r="M23" i="3"/>
  <c r="P20" i="46"/>
  <c r="Q20" i="46" s="1"/>
  <c r="S20" i="46"/>
  <c r="N52" i="46"/>
  <c r="P52" i="46" s="1"/>
  <c r="Q52" i="46" s="1"/>
  <c r="M14" i="22"/>
  <c r="M14" i="17"/>
  <c r="N17" i="3"/>
  <c r="M18" i="3"/>
  <c r="M49" i="3"/>
  <c r="K55" i="46"/>
  <c r="F66" i="45"/>
  <c r="F10" i="45" s="1"/>
  <c r="I43" i="46"/>
  <c r="I44" i="46"/>
  <c r="J54" i="46"/>
  <c r="J30" i="46"/>
  <c r="N49" i="46"/>
  <c r="P49" i="46" s="1"/>
  <c r="Q49" i="46" s="1"/>
  <c r="P16" i="46"/>
  <c r="Q16" i="46" s="1"/>
  <c r="S16" i="46"/>
  <c r="J43" i="45"/>
  <c r="J42" i="45"/>
  <c r="H63" i="45"/>
  <c r="G64" i="45"/>
  <c r="G65" i="45" s="1"/>
  <c r="I39" i="44" l="1"/>
  <c r="I37" i="44"/>
  <c r="I33" i="44"/>
  <c r="I40" i="44" s="1"/>
  <c r="J65" i="44"/>
  <c r="J66" i="44" s="1"/>
  <c r="J10" i="44" s="1"/>
  <c r="J11" i="44" s="1"/>
  <c r="J31" i="44" s="1"/>
  <c r="J33" i="44" s="1"/>
  <c r="J40" i="44" s="1"/>
  <c r="K42" i="68"/>
  <c r="L29" i="67"/>
  <c r="L42" i="67" s="1"/>
  <c r="R24" i="67"/>
  <c r="S24" i="67" s="1"/>
  <c r="R24" i="68"/>
  <c r="S24" i="68" s="1"/>
  <c r="M25" i="67"/>
  <c r="M54" i="67" s="1"/>
  <c r="M25" i="68"/>
  <c r="M55" i="68" s="1"/>
  <c r="R23" i="68"/>
  <c r="R23" i="67"/>
  <c r="M52" i="67"/>
  <c r="N23" i="67"/>
  <c r="L30" i="68"/>
  <c r="K42" i="67"/>
  <c r="K41" i="67"/>
  <c r="M53" i="68"/>
  <c r="N23" i="68"/>
  <c r="J38" i="22"/>
  <c r="R19" i="46"/>
  <c r="C19" i="63"/>
  <c r="C24" i="63"/>
  <c r="C25" i="63" s="1"/>
  <c r="S18" i="44"/>
  <c r="C6" i="63"/>
  <c r="C7" i="63" s="1"/>
  <c r="P18" i="45"/>
  <c r="Q18" i="45" s="1"/>
  <c r="D6" i="63"/>
  <c r="D7" i="63" s="1"/>
  <c r="J38" i="17"/>
  <c r="D11" i="63"/>
  <c r="L30" i="3"/>
  <c r="L25" i="22" s="1"/>
  <c r="L31" i="22" s="1"/>
  <c r="R24" i="3"/>
  <c r="S24" i="3" s="1"/>
  <c r="K43" i="3"/>
  <c r="K25" i="22"/>
  <c r="K31" i="22" s="1"/>
  <c r="K25" i="17"/>
  <c r="K38" i="17" s="1"/>
  <c r="L22" i="17"/>
  <c r="L55" i="3"/>
  <c r="L22" i="22"/>
  <c r="N17" i="45"/>
  <c r="P17" i="45" s="1"/>
  <c r="Q17" i="45" s="1"/>
  <c r="R17" i="45"/>
  <c r="M25" i="3"/>
  <c r="M25" i="46" s="1"/>
  <c r="R18" i="45"/>
  <c r="S18" i="45" s="1"/>
  <c r="M37" i="17"/>
  <c r="L32" i="17"/>
  <c r="L30" i="45"/>
  <c r="L42" i="45" s="1"/>
  <c r="L23" i="46"/>
  <c r="L54" i="46" s="1"/>
  <c r="N50" i="45"/>
  <c r="P50" i="45" s="1"/>
  <c r="Q50" i="45" s="1"/>
  <c r="S19" i="45"/>
  <c r="M17" i="46"/>
  <c r="M50" i="46" s="1"/>
  <c r="P21" i="45"/>
  <c r="Q21" i="45" s="1"/>
  <c r="M49" i="45"/>
  <c r="M51" i="46"/>
  <c r="M21" i="46"/>
  <c r="R25" i="44"/>
  <c r="M18" i="22"/>
  <c r="M37" i="22" s="1"/>
  <c r="N21" i="3"/>
  <c r="M55" i="44"/>
  <c r="N25" i="44"/>
  <c r="C8" i="63" s="1"/>
  <c r="S19" i="3"/>
  <c r="N50" i="3"/>
  <c r="P50" i="3" s="1"/>
  <c r="Q50" i="3" s="1"/>
  <c r="P19" i="3"/>
  <c r="Q19" i="3" s="1"/>
  <c r="L51" i="46"/>
  <c r="L21" i="46"/>
  <c r="N19" i="46"/>
  <c r="L53" i="45"/>
  <c r="K42" i="45"/>
  <c r="K30" i="46"/>
  <c r="K44" i="46" s="1"/>
  <c r="E38" i="45"/>
  <c r="E33" i="45"/>
  <c r="E40" i="45" s="1"/>
  <c r="F37" i="45"/>
  <c r="F11" i="45"/>
  <c r="F31" i="45" s="1"/>
  <c r="F39" i="45"/>
  <c r="P18" i="44"/>
  <c r="Q18" i="44" s="1"/>
  <c r="R23" i="44"/>
  <c r="S23" i="44" s="1"/>
  <c r="L42" i="44"/>
  <c r="M42" i="44"/>
  <c r="M43" i="44"/>
  <c r="N30" i="44"/>
  <c r="N53" i="44"/>
  <c r="P53" i="44" s="1"/>
  <c r="Q53" i="44" s="1"/>
  <c r="P23" i="44"/>
  <c r="Q23" i="44" s="1"/>
  <c r="S17" i="3"/>
  <c r="P17" i="3"/>
  <c r="Q17" i="3" s="1"/>
  <c r="N49" i="3"/>
  <c r="P49" i="3" s="1"/>
  <c r="Q49" i="3" s="1"/>
  <c r="M20" i="17"/>
  <c r="M32" i="17" s="1"/>
  <c r="M20" i="22"/>
  <c r="M32" i="22" s="1"/>
  <c r="N23" i="3"/>
  <c r="B18" i="63" s="1"/>
  <c r="M53" i="3"/>
  <c r="N18" i="3"/>
  <c r="M15" i="17"/>
  <c r="M36" i="17" s="1"/>
  <c r="R23" i="3"/>
  <c r="R24" i="45"/>
  <c r="G66" i="45"/>
  <c r="G10" i="45" s="1"/>
  <c r="M23" i="45"/>
  <c r="H64" i="45"/>
  <c r="H65" i="45" s="1"/>
  <c r="I63" i="45"/>
  <c r="R21" i="45"/>
  <c r="S21" i="45" s="1"/>
  <c r="J44" i="46"/>
  <c r="J43" i="46"/>
  <c r="K65" i="44" l="1"/>
  <c r="K66" i="44" s="1"/>
  <c r="K10" i="44" s="1"/>
  <c r="K11" i="44" s="1"/>
  <c r="K31" i="44" s="1"/>
  <c r="K38" i="44" s="1"/>
  <c r="J38" i="44"/>
  <c r="J37" i="44"/>
  <c r="J39" i="44"/>
  <c r="M29" i="67"/>
  <c r="M42" i="67" s="1"/>
  <c r="R17" i="46"/>
  <c r="L41" i="67"/>
  <c r="P23" i="67"/>
  <c r="Q23" i="67" s="1"/>
  <c r="N52" i="67"/>
  <c r="P52" i="67" s="1"/>
  <c r="Q52" i="67" s="1"/>
  <c r="S23" i="67"/>
  <c r="L43" i="68"/>
  <c r="L42" i="68"/>
  <c r="N53" i="68"/>
  <c r="P53" i="68" s="1"/>
  <c r="Q53" i="68" s="1"/>
  <c r="P23" i="68"/>
  <c r="Q23" i="68" s="1"/>
  <c r="S23" i="68"/>
  <c r="M30" i="68"/>
  <c r="B19" i="63"/>
  <c r="B24" i="63"/>
  <c r="C9" i="63"/>
  <c r="C14" i="63"/>
  <c r="D14" i="63"/>
  <c r="R21" i="46"/>
  <c r="B10" i="63"/>
  <c r="G10" i="63" s="1"/>
  <c r="G11" i="63" s="1"/>
  <c r="R18" i="46"/>
  <c r="B6" i="63"/>
  <c r="G6" i="63" s="1"/>
  <c r="G7" i="63" s="1"/>
  <c r="L25" i="17"/>
  <c r="L31" i="17" s="1"/>
  <c r="L42" i="3"/>
  <c r="L43" i="3"/>
  <c r="L38" i="22"/>
  <c r="K31" i="17"/>
  <c r="K38" i="22"/>
  <c r="N17" i="46"/>
  <c r="M30" i="3"/>
  <c r="M25" i="22" s="1"/>
  <c r="N21" i="46"/>
  <c r="P21" i="46" s="1"/>
  <c r="Q21" i="46" s="1"/>
  <c r="N49" i="45"/>
  <c r="P49" i="45" s="1"/>
  <c r="Q49" i="45" s="1"/>
  <c r="S17" i="45"/>
  <c r="M18" i="46"/>
  <c r="N18" i="46" s="1"/>
  <c r="M55" i="3"/>
  <c r="M22" i="17"/>
  <c r="M22" i="22"/>
  <c r="L43" i="45"/>
  <c r="L30" i="46"/>
  <c r="L44" i="46" s="1"/>
  <c r="S25" i="44"/>
  <c r="P25" i="44"/>
  <c r="Q25" i="44" s="1"/>
  <c r="N55" i="44"/>
  <c r="P55" i="44" s="1"/>
  <c r="Q55" i="44" s="1"/>
  <c r="M56" i="46"/>
  <c r="P19" i="46"/>
  <c r="Q19" i="46" s="1"/>
  <c r="S19" i="46"/>
  <c r="N51" i="46"/>
  <c r="P51" i="46" s="1"/>
  <c r="Q51" i="46" s="1"/>
  <c r="S21" i="3"/>
  <c r="P21" i="3"/>
  <c r="Q21" i="3" s="1"/>
  <c r="K43" i="46"/>
  <c r="F38" i="45"/>
  <c r="F33" i="45"/>
  <c r="F40" i="45" s="1"/>
  <c r="P30" i="44"/>
  <c r="Q30" i="44" s="1"/>
  <c r="S18" i="3"/>
  <c r="P18" i="3"/>
  <c r="Q18" i="3" s="1"/>
  <c r="N53" i="3"/>
  <c r="P53" i="3" s="1"/>
  <c r="Q53" i="3" s="1"/>
  <c r="P23" i="3"/>
  <c r="Q23" i="3" s="1"/>
  <c r="S23" i="3"/>
  <c r="M24" i="46"/>
  <c r="M54" i="45"/>
  <c r="N24" i="45"/>
  <c r="H66" i="45"/>
  <c r="H10" i="45" s="1"/>
  <c r="I64" i="45"/>
  <c r="I65" i="45" s="1"/>
  <c r="J63" i="45"/>
  <c r="M23" i="46"/>
  <c r="M53" i="45"/>
  <c r="N23" i="45"/>
  <c r="M30" i="45"/>
  <c r="R23" i="45"/>
  <c r="G11" i="45"/>
  <c r="G39" i="45"/>
  <c r="G37" i="45"/>
  <c r="K33" i="44" l="1"/>
  <c r="K40" i="44" s="1"/>
  <c r="K37" i="44"/>
  <c r="L65" i="44"/>
  <c r="L66" i="44" s="1"/>
  <c r="L10" i="44" s="1"/>
  <c r="L11" i="44" s="1"/>
  <c r="L31" i="44" s="1"/>
  <c r="L33" i="44" s="1"/>
  <c r="L40" i="44" s="1"/>
  <c r="K39" i="44"/>
  <c r="S17" i="46"/>
  <c r="M41" i="67"/>
  <c r="M43" i="68"/>
  <c r="M42" i="68"/>
  <c r="B25" i="63"/>
  <c r="B11" i="63"/>
  <c r="B7" i="63"/>
  <c r="D15" i="63"/>
  <c r="C15" i="63"/>
  <c r="C26" i="63"/>
  <c r="R23" i="46"/>
  <c r="D18" i="63"/>
  <c r="G18" i="63" s="1"/>
  <c r="G19" i="63" s="1"/>
  <c r="R24" i="46"/>
  <c r="D20" i="63"/>
  <c r="G20" i="63" s="1"/>
  <c r="G21" i="63" s="1"/>
  <c r="L38" i="17"/>
  <c r="S21" i="46"/>
  <c r="N50" i="46"/>
  <c r="P50" i="46" s="1"/>
  <c r="Q50" i="46" s="1"/>
  <c r="P17" i="46"/>
  <c r="Q17" i="46" s="1"/>
  <c r="M43" i="3"/>
  <c r="M42" i="3"/>
  <c r="M25" i="17"/>
  <c r="M38" i="17" s="1"/>
  <c r="S18" i="46"/>
  <c r="P18" i="46"/>
  <c r="Q18" i="46" s="1"/>
  <c r="L43" i="46"/>
  <c r="M31" i="22"/>
  <c r="M38" i="22"/>
  <c r="M55" i="46"/>
  <c r="N24" i="46"/>
  <c r="S24" i="45"/>
  <c r="P24" i="45"/>
  <c r="Q24" i="45" s="1"/>
  <c r="N54" i="45"/>
  <c r="P54" i="45" s="1"/>
  <c r="Q54" i="45" s="1"/>
  <c r="I66" i="45"/>
  <c r="I10" i="45" s="1"/>
  <c r="N53" i="45"/>
  <c r="P53" i="45" s="1"/>
  <c r="Q53" i="45" s="1"/>
  <c r="S23" i="45"/>
  <c r="P23" i="45"/>
  <c r="Q23" i="45" s="1"/>
  <c r="J64" i="45"/>
  <c r="J65" i="45" s="1"/>
  <c r="K63" i="45"/>
  <c r="M54" i="46"/>
  <c r="N23" i="46"/>
  <c r="M30" i="46"/>
  <c r="G31" i="45"/>
  <c r="M42" i="45"/>
  <c r="M43" i="45"/>
  <c r="N30" i="45"/>
  <c r="H11" i="45"/>
  <c r="H31" i="45" s="1"/>
  <c r="H37" i="45"/>
  <c r="H39" i="45"/>
  <c r="L37" i="44" l="1"/>
  <c r="L38" i="44"/>
  <c r="L39" i="44"/>
  <c r="M65" i="44"/>
  <c r="M66" i="44" s="1"/>
  <c r="M10" i="44" s="1"/>
  <c r="M39" i="44" s="1"/>
  <c r="D21" i="63"/>
  <c r="D24" i="63"/>
  <c r="G24" i="63" s="1"/>
  <c r="G25" i="63" s="1"/>
  <c r="I6" i="63"/>
  <c r="J6" i="63" s="1"/>
  <c r="I7" i="63"/>
  <c r="J7" i="63" s="1"/>
  <c r="D19" i="63"/>
  <c r="I10" i="63"/>
  <c r="J10" i="63" s="1"/>
  <c r="I11" i="63"/>
  <c r="J11" i="63" s="1"/>
  <c r="C27" i="63"/>
  <c r="C28" i="63"/>
  <c r="C31" i="63"/>
  <c r="C32" i="63" s="1"/>
  <c r="M31" i="17"/>
  <c r="N10" i="44"/>
  <c r="N39" i="44" s="1"/>
  <c r="P39" i="44" s="1"/>
  <c r="Q39" i="44" s="1"/>
  <c r="S24" i="46"/>
  <c r="P24" i="46"/>
  <c r="Q24" i="46" s="1"/>
  <c r="N55" i="46"/>
  <c r="P55" i="46" s="1"/>
  <c r="Q55" i="46" s="1"/>
  <c r="J66" i="45"/>
  <c r="J10" i="45" s="1"/>
  <c r="P30" i="45"/>
  <c r="Q30" i="45" s="1"/>
  <c r="S23" i="46"/>
  <c r="N54" i="46"/>
  <c r="P54" i="46" s="1"/>
  <c r="Q54" i="46" s="1"/>
  <c r="P23" i="46"/>
  <c r="Q23" i="46" s="1"/>
  <c r="L63" i="45"/>
  <c r="K64" i="45"/>
  <c r="K65" i="45" s="1"/>
  <c r="G38" i="45"/>
  <c r="G33" i="45"/>
  <c r="G40" i="45" s="1"/>
  <c r="H38" i="45"/>
  <c r="H33" i="45"/>
  <c r="H40" i="45" s="1"/>
  <c r="M44" i="46"/>
  <c r="M43" i="46"/>
  <c r="I11" i="45"/>
  <c r="I39" i="45"/>
  <c r="I37" i="45"/>
  <c r="M37" i="44" l="1"/>
  <c r="M11" i="44"/>
  <c r="N11" i="44" s="1"/>
  <c r="N31" i="44" s="1"/>
  <c r="N34" i="44" s="1"/>
  <c r="P34" i="44" s="1"/>
  <c r="I18" i="63"/>
  <c r="J18" i="63" s="1"/>
  <c r="I19" i="63"/>
  <c r="J19" i="63" s="1"/>
  <c r="I21" i="63"/>
  <c r="J21" i="63" s="1"/>
  <c r="I20" i="63"/>
  <c r="J20" i="63" s="1"/>
  <c r="D25" i="63"/>
  <c r="D26" i="63"/>
  <c r="N43" i="44"/>
  <c r="P43" i="44" s="1"/>
  <c r="Q43" i="44" s="1"/>
  <c r="N37" i="44"/>
  <c r="P37" i="44" s="1"/>
  <c r="Q37" i="44" s="1"/>
  <c r="S10" i="44"/>
  <c r="P10" i="44"/>
  <c r="Q10" i="44" s="1"/>
  <c r="N42" i="44"/>
  <c r="P42" i="44" s="1"/>
  <c r="Q42" i="44" s="1"/>
  <c r="K66" i="45"/>
  <c r="K10" i="45" s="1"/>
  <c r="I31" i="45"/>
  <c r="L64" i="45"/>
  <c r="L65" i="45" s="1"/>
  <c r="M63" i="45"/>
  <c r="M64" i="45" s="1"/>
  <c r="J11" i="45"/>
  <c r="J31" i="45" s="1"/>
  <c r="J37" i="45"/>
  <c r="J39" i="45"/>
  <c r="N33" i="44" l="1"/>
  <c r="N38" i="44"/>
  <c r="P38" i="44" s="1"/>
  <c r="Q38" i="44" s="1"/>
  <c r="P31" i="44"/>
  <c r="Q31" i="44" s="1"/>
  <c r="M31" i="44"/>
  <c r="M38" i="44" s="1"/>
  <c r="P11" i="44"/>
  <c r="Q11" i="44" s="1"/>
  <c r="D27" i="63"/>
  <c r="D28" i="63"/>
  <c r="D31" i="63"/>
  <c r="D32" i="63" s="1"/>
  <c r="I24" i="63"/>
  <c r="J24" i="63" s="1"/>
  <c r="I25" i="63"/>
  <c r="J25" i="63" s="1"/>
  <c r="N40" i="44"/>
  <c r="P40" i="44" s="1"/>
  <c r="Q40" i="44" s="1"/>
  <c r="P33" i="44"/>
  <c r="Q33" i="44" s="1"/>
  <c r="L66" i="45"/>
  <c r="L10" i="45" s="1"/>
  <c r="M65" i="45"/>
  <c r="M66" i="45" s="1"/>
  <c r="M10" i="45" s="1"/>
  <c r="I33" i="45"/>
  <c r="I40" i="45" s="1"/>
  <c r="I38" i="45"/>
  <c r="J38" i="45"/>
  <c r="J33" i="45"/>
  <c r="J40" i="45" s="1"/>
  <c r="K11" i="45"/>
  <c r="K31" i="45" s="1"/>
  <c r="K39" i="45"/>
  <c r="K37" i="45"/>
  <c r="M33" i="44" l="1"/>
  <c r="M40" i="44" s="1"/>
  <c r="N10" i="45"/>
  <c r="M11" i="45"/>
  <c r="M31" i="45" s="1"/>
  <c r="M39" i="45"/>
  <c r="M37" i="45"/>
  <c r="K38" i="45"/>
  <c r="K33" i="45"/>
  <c r="K40" i="45" s="1"/>
  <c r="L11" i="45"/>
  <c r="L37" i="45"/>
  <c r="L39" i="45"/>
  <c r="S10" i="45" l="1"/>
  <c r="P10" i="45"/>
  <c r="Q10" i="45" s="1"/>
  <c r="N43" i="45"/>
  <c r="P43" i="45" s="1"/>
  <c r="Q43" i="45" s="1"/>
  <c r="N37" i="45"/>
  <c r="P37" i="45" s="1"/>
  <c r="Q37" i="45" s="1"/>
  <c r="N42" i="45"/>
  <c r="P42" i="45" s="1"/>
  <c r="Q42" i="45" s="1"/>
  <c r="N39" i="45"/>
  <c r="P39" i="45" s="1"/>
  <c r="Q39" i="45" s="1"/>
  <c r="L31" i="45"/>
  <c r="N11" i="45"/>
  <c r="M33" i="45"/>
  <c r="M40" i="45" s="1"/>
  <c r="M38" i="45"/>
  <c r="P11" i="45" l="1"/>
  <c r="Q11" i="45" s="1"/>
  <c r="N31" i="45"/>
  <c r="L33" i="45"/>
  <c r="L40" i="45" s="1"/>
  <c r="L38" i="45"/>
  <c r="N34" i="45" l="1"/>
  <c r="P34" i="45" s="1"/>
  <c r="P31" i="45"/>
  <c r="Q31" i="45" s="1"/>
  <c r="N33" i="45"/>
  <c r="N38" i="45"/>
  <c r="P38" i="45" s="1"/>
  <c r="Q38" i="45" s="1"/>
  <c r="N40" i="45" l="1"/>
  <c r="P40" i="45" s="1"/>
  <c r="Q40" i="45" s="1"/>
  <c r="P33" i="45"/>
  <c r="Q33" i="45" s="1"/>
  <c r="B25" i="68" l="1"/>
  <c r="B25" i="67"/>
  <c r="B25" i="3"/>
  <c r="B78" i="3" s="1"/>
  <c r="R25" i="68" l="1"/>
  <c r="R25" i="67"/>
  <c r="N25" i="67"/>
  <c r="B54" i="67"/>
  <c r="B77" i="67"/>
  <c r="B29" i="67"/>
  <c r="B78" i="68"/>
  <c r="B55" i="68"/>
  <c r="N25" i="68"/>
  <c r="B30" i="68"/>
  <c r="B10" i="3"/>
  <c r="D62" i="3"/>
  <c r="D63" i="3" s="1"/>
  <c r="R25" i="3"/>
  <c r="N25" i="3"/>
  <c r="B8" i="63" s="1"/>
  <c r="G8" i="63" s="1"/>
  <c r="G9" i="63" s="1"/>
  <c r="B30" i="3"/>
  <c r="B55" i="3"/>
  <c r="B25" i="46"/>
  <c r="B22" i="17"/>
  <c r="P25" i="68" l="1"/>
  <c r="Q25" i="68" s="1"/>
  <c r="S25" i="68"/>
  <c r="N55" i="68"/>
  <c r="P55" i="68" s="1"/>
  <c r="Q55" i="68" s="1"/>
  <c r="B42" i="68"/>
  <c r="B43" i="68"/>
  <c r="N30" i="68"/>
  <c r="B41" i="67"/>
  <c r="N29" i="67"/>
  <c r="B42" i="67"/>
  <c r="B10" i="68"/>
  <c r="D62" i="68"/>
  <c r="D63" i="68" s="1"/>
  <c r="E63" i="68" s="1"/>
  <c r="B10" i="67"/>
  <c r="D61" i="67"/>
  <c r="D62" i="67" s="1"/>
  <c r="E62" i="67" s="1"/>
  <c r="N54" i="67"/>
  <c r="P54" i="67" s="1"/>
  <c r="Q54" i="67" s="1"/>
  <c r="S25" i="67"/>
  <c r="P25" i="67"/>
  <c r="Q25" i="67" s="1"/>
  <c r="B9" i="63"/>
  <c r="B14" i="63"/>
  <c r="G14" i="63" s="1"/>
  <c r="G15" i="63" s="1"/>
  <c r="B39" i="3"/>
  <c r="B37" i="3"/>
  <c r="S25" i="3"/>
  <c r="R25" i="46"/>
  <c r="P25" i="3"/>
  <c r="Q25" i="3" s="1"/>
  <c r="N55" i="3"/>
  <c r="P55" i="3" s="1"/>
  <c r="Q55" i="3" s="1"/>
  <c r="N25" i="46"/>
  <c r="B30" i="46"/>
  <c r="B56" i="46"/>
  <c r="B25" i="17"/>
  <c r="B43" i="3"/>
  <c r="B42" i="3"/>
  <c r="N30" i="3"/>
  <c r="B11" i="68" l="1"/>
  <c r="B39" i="68"/>
  <c r="P29" i="67"/>
  <c r="Q29" i="67" s="1"/>
  <c r="B11" i="67"/>
  <c r="B38" i="67"/>
  <c r="B37" i="68"/>
  <c r="E64" i="68"/>
  <c r="E65" i="68" s="1"/>
  <c r="F63" i="68"/>
  <c r="B36" i="67"/>
  <c r="P30" i="68"/>
  <c r="Q30" i="68" s="1"/>
  <c r="E63" i="67"/>
  <c r="E64" i="67" s="1"/>
  <c r="E65" i="67" s="1"/>
  <c r="E10" i="67" s="1"/>
  <c r="F62" i="67"/>
  <c r="I8" i="63"/>
  <c r="J8" i="63" s="1"/>
  <c r="I9" i="63"/>
  <c r="J9" i="63" s="1"/>
  <c r="B15" i="63"/>
  <c r="B26" i="63"/>
  <c r="G26" i="63" s="1"/>
  <c r="S25" i="46"/>
  <c r="P25" i="46"/>
  <c r="Q25" i="46" s="1"/>
  <c r="N56" i="46"/>
  <c r="P56" i="46" s="1"/>
  <c r="Q56" i="46" s="1"/>
  <c r="B43" i="46"/>
  <c r="N30" i="46"/>
  <c r="B44" i="46"/>
  <c r="P30" i="3"/>
  <c r="Q30" i="3" s="1"/>
  <c r="R30" i="46"/>
  <c r="B11" i="3"/>
  <c r="B7" i="17"/>
  <c r="B35" i="17" s="1"/>
  <c r="B10" i="46"/>
  <c r="B40" i="46" s="1"/>
  <c r="B35" i="23"/>
  <c r="B38" i="17"/>
  <c r="B31" i="17"/>
  <c r="F64" i="68" l="1"/>
  <c r="F65" i="68" s="1"/>
  <c r="F66" i="68" s="1"/>
  <c r="F10" i="68" s="1"/>
  <c r="G63" i="68"/>
  <c r="B30" i="67"/>
  <c r="E11" i="67"/>
  <c r="E30" i="67" s="1"/>
  <c r="E38" i="67"/>
  <c r="E36" i="67"/>
  <c r="E66" i="68"/>
  <c r="E10" i="68" s="1"/>
  <c r="F63" i="67"/>
  <c r="F64" i="67" s="1"/>
  <c r="F65" i="67" s="1"/>
  <c r="F10" i="67" s="1"/>
  <c r="G62" i="67"/>
  <c r="B31" i="68"/>
  <c r="G28" i="63"/>
  <c r="G27" i="63"/>
  <c r="B28" i="63"/>
  <c r="B31" i="63"/>
  <c r="G31" i="63" s="1"/>
  <c r="B27" i="63"/>
  <c r="I15" i="63"/>
  <c r="J15" i="63" s="1"/>
  <c r="I14" i="63"/>
  <c r="J14" i="63" s="1"/>
  <c r="B38" i="46"/>
  <c r="E63" i="3"/>
  <c r="D63" i="46"/>
  <c r="B11" i="46"/>
  <c r="B8" i="17"/>
  <c r="B31" i="3"/>
  <c r="B38" i="3" s="1"/>
  <c r="P30" i="46"/>
  <c r="Q30" i="46" s="1"/>
  <c r="S30" i="46"/>
  <c r="F11" i="67" l="1"/>
  <c r="F30" i="67" s="1"/>
  <c r="F38" i="67"/>
  <c r="F36" i="67"/>
  <c r="G63" i="67"/>
  <c r="G64" i="67" s="1"/>
  <c r="G65" i="67" s="1"/>
  <c r="G10" i="67" s="1"/>
  <c r="H62" i="67"/>
  <c r="E11" i="68"/>
  <c r="E39" i="68"/>
  <c r="E37" i="68"/>
  <c r="E32" i="67"/>
  <c r="E39" i="67" s="1"/>
  <c r="E37" i="67"/>
  <c r="B33" i="68"/>
  <c r="B40" i="68" s="1"/>
  <c r="B38" i="68"/>
  <c r="F11" i="68"/>
  <c r="F31" i="68" s="1"/>
  <c r="F39" i="68"/>
  <c r="F37" i="68"/>
  <c r="G64" i="68"/>
  <c r="G65" i="68" s="1"/>
  <c r="G66" i="68" s="1"/>
  <c r="G10" i="68" s="1"/>
  <c r="H63" i="68"/>
  <c r="B37" i="67"/>
  <c r="B32" i="67"/>
  <c r="B39" i="67" s="1"/>
  <c r="G32" i="63"/>
  <c r="B32" i="63"/>
  <c r="I27" i="63"/>
  <c r="J27" i="63" s="1"/>
  <c r="I28" i="63"/>
  <c r="I26" i="63"/>
  <c r="J26" i="63" s="1"/>
  <c r="B26" i="17"/>
  <c r="B33" i="3"/>
  <c r="D64" i="46"/>
  <c r="E64" i="46" s="1"/>
  <c r="B31" i="46"/>
  <c r="E65" i="3"/>
  <c r="F63" i="3"/>
  <c r="F64" i="3" s="1"/>
  <c r="F33" i="68" l="1"/>
  <c r="F40" i="68" s="1"/>
  <c r="F38" i="68"/>
  <c r="H64" i="68"/>
  <c r="H65" i="68" s="1"/>
  <c r="H66" i="68" s="1"/>
  <c r="H10" i="68" s="1"/>
  <c r="I63" i="68"/>
  <c r="E31" i="68"/>
  <c r="H63" i="67"/>
  <c r="H64" i="67" s="1"/>
  <c r="H65" i="67" s="1"/>
  <c r="H10" i="67" s="1"/>
  <c r="I62" i="67"/>
  <c r="G11" i="68"/>
  <c r="G31" i="68" s="1"/>
  <c r="G37" i="68"/>
  <c r="G39" i="68"/>
  <c r="G11" i="67"/>
  <c r="G38" i="67"/>
  <c r="G36" i="67"/>
  <c r="F32" i="67"/>
  <c r="F39" i="67" s="1"/>
  <c r="F37" i="67"/>
  <c r="I32" i="63"/>
  <c r="I31" i="63"/>
  <c r="J31" i="63" s="1"/>
  <c r="B33" i="46"/>
  <c r="B41" i="46" s="1"/>
  <c r="B39" i="46"/>
  <c r="B28" i="17"/>
  <c r="B40" i="3"/>
  <c r="E66" i="3"/>
  <c r="E10" i="3" s="1"/>
  <c r="F65" i="3"/>
  <c r="G63" i="3"/>
  <c r="G64" i="3" s="1"/>
  <c r="E65" i="46"/>
  <c r="E66" i="46" s="1"/>
  <c r="F64" i="46"/>
  <c r="I63" i="67" l="1"/>
  <c r="I64" i="67" s="1"/>
  <c r="I65" i="67" s="1"/>
  <c r="I10" i="67" s="1"/>
  <c r="J62" i="67"/>
  <c r="H11" i="67"/>
  <c r="H30" i="67" s="1"/>
  <c r="H36" i="67"/>
  <c r="H38" i="67"/>
  <c r="G33" i="68"/>
  <c r="G40" i="68" s="1"/>
  <c r="G38" i="68"/>
  <c r="G30" i="67"/>
  <c r="E33" i="68"/>
  <c r="E40" i="68" s="1"/>
  <c r="E38" i="68"/>
  <c r="I64" i="68"/>
  <c r="I65" i="68" s="1"/>
  <c r="I66" i="68" s="1"/>
  <c r="I10" i="68" s="1"/>
  <c r="J63" i="68"/>
  <c r="H11" i="68"/>
  <c r="H31" i="68" s="1"/>
  <c r="H39" i="68"/>
  <c r="H37" i="68"/>
  <c r="F66" i="3"/>
  <c r="F10" i="3" s="1"/>
  <c r="F65" i="46"/>
  <c r="F66" i="46" s="1"/>
  <c r="G64" i="46"/>
  <c r="E11" i="3"/>
  <c r="E35" i="23"/>
  <c r="E10" i="46"/>
  <c r="E7" i="17"/>
  <c r="E35" i="17" s="1"/>
  <c r="E35" i="22"/>
  <c r="E39" i="3"/>
  <c r="E37" i="3"/>
  <c r="E15" i="22"/>
  <c r="E36" i="22" s="1"/>
  <c r="E67" i="46"/>
  <c r="G65" i="3"/>
  <c r="H63" i="3"/>
  <c r="H64" i="3" s="1"/>
  <c r="I11" i="68" l="1"/>
  <c r="I31" i="68" s="1"/>
  <c r="I37" i="68"/>
  <c r="I39" i="68"/>
  <c r="K63" i="68"/>
  <c r="J64" i="68"/>
  <c r="J65" i="68" s="1"/>
  <c r="H37" i="67"/>
  <c r="H32" i="67"/>
  <c r="H39" i="67" s="1"/>
  <c r="H33" i="68"/>
  <c r="H40" i="68" s="1"/>
  <c r="H38" i="68"/>
  <c r="K62" i="67"/>
  <c r="J63" i="67"/>
  <c r="J64" i="67" s="1"/>
  <c r="J65" i="67" s="1"/>
  <c r="J10" i="67" s="1"/>
  <c r="G32" i="67"/>
  <c r="G39" i="67" s="1"/>
  <c r="G37" i="67"/>
  <c r="I11" i="67"/>
  <c r="I36" i="67"/>
  <c r="I38" i="67"/>
  <c r="G66" i="3"/>
  <c r="G10" i="3" s="1"/>
  <c r="F67" i="46"/>
  <c r="E38" i="46"/>
  <c r="E40" i="46"/>
  <c r="E11" i="46"/>
  <c r="G65" i="46"/>
  <c r="G66" i="46" s="1"/>
  <c r="H64" i="46"/>
  <c r="E31" i="3"/>
  <c r="E8" i="17"/>
  <c r="I63" i="3"/>
  <c r="I64" i="3" s="1"/>
  <c r="H65" i="3"/>
  <c r="F7" i="17"/>
  <c r="F35" i="17" s="1"/>
  <c r="F11" i="3"/>
  <c r="F39" i="3"/>
  <c r="F37" i="3"/>
  <c r="F35" i="23"/>
  <c r="F15" i="22"/>
  <c r="F36" i="22" s="1"/>
  <c r="F35" i="22"/>
  <c r="F10" i="46"/>
  <c r="K63" i="67" l="1"/>
  <c r="K64" i="67" s="1"/>
  <c r="K65" i="67" s="1"/>
  <c r="K10" i="67" s="1"/>
  <c r="L62" i="67"/>
  <c r="J11" i="67"/>
  <c r="J30" i="67" s="1"/>
  <c r="J36" i="67"/>
  <c r="J38" i="67"/>
  <c r="I30" i="67"/>
  <c r="L63" i="68"/>
  <c r="K64" i="68"/>
  <c r="K65" i="68" s="1"/>
  <c r="K66" i="68" s="1"/>
  <c r="K10" i="68" s="1"/>
  <c r="J66" i="68"/>
  <c r="J10" i="68" s="1"/>
  <c r="I38" i="68"/>
  <c r="I33" i="68"/>
  <c r="I40" i="68" s="1"/>
  <c r="H66" i="3"/>
  <c r="H10" i="3" s="1"/>
  <c r="J63" i="3"/>
  <c r="J64" i="3" s="1"/>
  <c r="I65" i="3"/>
  <c r="F40" i="46"/>
  <c r="F38" i="46"/>
  <c r="F11" i="46"/>
  <c r="F31" i="46" s="1"/>
  <c r="E31" i="46"/>
  <c r="E33" i="3"/>
  <c r="E26" i="22"/>
  <c r="E39" i="22" s="1"/>
  <c r="E26" i="17"/>
  <c r="E39" i="17" s="1"/>
  <c r="E38" i="3"/>
  <c r="I64" i="46"/>
  <c r="H65" i="46"/>
  <c r="H66" i="46" s="1"/>
  <c r="G67" i="46"/>
  <c r="F8" i="17"/>
  <c r="F31" i="3"/>
  <c r="G15" i="22"/>
  <c r="G36" i="22" s="1"/>
  <c r="G10" i="46"/>
  <c r="G35" i="22"/>
  <c r="G11" i="3"/>
  <c r="G35" i="23"/>
  <c r="G37" i="3"/>
  <c r="G39" i="3"/>
  <c r="G7" i="17"/>
  <c r="G35" i="17" s="1"/>
  <c r="J11" i="68" l="1"/>
  <c r="J37" i="68"/>
  <c r="J39" i="68"/>
  <c r="K11" i="68"/>
  <c r="K31" i="68" s="1"/>
  <c r="K39" i="68"/>
  <c r="K37" i="68"/>
  <c r="L64" i="68"/>
  <c r="L65" i="68" s="1"/>
  <c r="M63" i="68"/>
  <c r="M64" i="68" s="1"/>
  <c r="J32" i="67"/>
  <c r="J39" i="67" s="1"/>
  <c r="J37" i="67"/>
  <c r="L63" i="67"/>
  <c r="L64" i="67" s="1"/>
  <c r="M62" i="67"/>
  <c r="M63" i="67" s="1"/>
  <c r="I37" i="67"/>
  <c r="I32" i="67"/>
  <c r="I39" i="67" s="1"/>
  <c r="K11" i="67"/>
  <c r="K36" i="67"/>
  <c r="K38" i="67"/>
  <c r="I66" i="3"/>
  <c r="I10" i="3" s="1"/>
  <c r="H67" i="46"/>
  <c r="F33" i="46"/>
  <c r="F41" i="46" s="1"/>
  <c r="F39" i="46"/>
  <c r="F33" i="3"/>
  <c r="F26" i="17"/>
  <c r="F39" i="17" s="1"/>
  <c r="F26" i="22"/>
  <c r="F39" i="22" s="1"/>
  <c r="F38" i="3"/>
  <c r="J65" i="3"/>
  <c r="K63" i="3"/>
  <c r="K64" i="3" s="1"/>
  <c r="E33" i="46"/>
  <c r="E41" i="46" s="1"/>
  <c r="E39" i="46"/>
  <c r="G40" i="46"/>
  <c r="G38" i="46"/>
  <c r="G11" i="46"/>
  <c r="G31" i="46" s="1"/>
  <c r="E28" i="17"/>
  <c r="E41" i="17" s="1"/>
  <c r="E40" i="3"/>
  <c r="E28" i="22"/>
  <c r="E41" i="22" s="1"/>
  <c r="G31" i="3"/>
  <c r="G8" i="17"/>
  <c r="J64" i="46"/>
  <c r="I65" i="46"/>
  <c r="I66" i="46" s="1"/>
  <c r="H35" i="23"/>
  <c r="H11" i="3"/>
  <c r="H35" i="22"/>
  <c r="H15" i="22"/>
  <c r="H36" i="22" s="1"/>
  <c r="H7" i="17"/>
  <c r="H35" i="17" s="1"/>
  <c r="H39" i="3"/>
  <c r="H10" i="46"/>
  <c r="H37" i="3"/>
  <c r="K30" i="67" l="1"/>
  <c r="M64" i="67"/>
  <c r="M65" i="67" s="1"/>
  <c r="M10" i="67" s="1"/>
  <c r="L65" i="67"/>
  <c r="L10" i="67" s="1"/>
  <c r="L66" i="68"/>
  <c r="L10" i="68" s="1"/>
  <c r="M65" i="68"/>
  <c r="M66" i="68" s="1"/>
  <c r="M10" i="68" s="1"/>
  <c r="K38" i="68"/>
  <c r="K33" i="68"/>
  <c r="K40" i="68" s="1"/>
  <c r="J31" i="68"/>
  <c r="I67" i="46"/>
  <c r="J66" i="3"/>
  <c r="J10" i="3" s="1"/>
  <c r="H8" i="17"/>
  <c r="H31" i="3"/>
  <c r="K65" i="3"/>
  <c r="L63" i="3"/>
  <c r="L64" i="3" s="1"/>
  <c r="F28" i="17"/>
  <c r="F41" i="17" s="1"/>
  <c r="F40" i="3"/>
  <c r="F28" i="22"/>
  <c r="F41" i="22" s="1"/>
  <c r="G26" i="22"/>
  <c r="G39" i="22" s="1"/>
  <c r="G38" i="3"/>
  <c r="G33" i="3"/>
  <c r="G26" i="17"/>
  <c r="G39" i="17" s="1"/>
  <c r="H11" i="46"/>
  <c r="H40" i="46"/>
  <c r="H38" i="46"/>
  <c r="I35" i="22"/>
  <c r="I11" i="3"/>
  <c r="I7" i="17"/>
  <c r="I35" i="17" s="1"/>
  <c r="I35" i="23"/>
  <c r="I15" i="22"/>
  <c r="I36" i="22" s="1"/>
  <c r="I10" i="46"/>
  <c r="I37" i="3"/>
  <c r="I39" i="3"/>
  <c r="K64" i="46"/>
  <c r="J65" i="46"/>
  <c r="J66" i="46" s="1"/>
  <c r="G39" i="46"/>
  <c r="G33" i="46"/>
  <c r="G41" i="46" s="1"/>
  <c r="L11" i="67" l="1"/>
  <c r="L30" i="67" s="1"/>
  <c r="L36" i="67"/>
  <c r="L38" i="67"/>
  <c r="L11" i="68"/>
  <c r="L31" i="68" s="1"/>
  <c r="L37" i="68"/>
  <c r="L39" i="68"/>
  <c r="M11" i="67"/>
  <c r="M36" i="67"/>
  <c r="M38" i="67"/>
  <c r="N10" i="67"/>
  <c r="J38" i="68"/>
  <c r="J33" i="68"/>
  <c r="J40" i="68" s="1"/>
  <c r="M11" i="68"/>
  <c r="M39" i="68"/>
  <c r="M37" i="68"/>
  <c r="N10" i="68"/>
  <c r="K37" i="67"/>
  <c r="K32" i="67"/>
  <c r="K39" i="67" s="1"/>
  <c r="K66" i="3"/>
  <c r="K10" i="3" s="1"/>
  <c r="J67" i="46"/>
  <c r="M63" i="3"/>
  <c r="M64" i="3" s="1"/>
  <c r="L65" i="3"/>
  <c r="H33" i="3"/>
  <c r="H26" i="22"/>
  <c r="H39" i="22" s="1"/>
  <c r="H38" i="3"/>
  <c r="H26" i="17"/>
  <c r="H39" i="17" s="1"/>
  <c r="K65" i="46"/>
  <c r="K66" i="46" s="1"/>
  <c r="L64" i="46"/>
  <c r="H31" i="46"/>
  <c r="J35" i="22"/>
  <c r="J11" i="3"/>
  <c r="J7" i="17"/>
  <c r="J35" i="17" s="1"/>
  <c r="J39" i="3"/>
  <c r="J10" i="46"/>
  <c r="J37" i="3"/>
  <c r="J35" i="23"/>
  <c r="J15" i="22"/>
  <c r="J36" i="22" s="1"/>
  <c r="I31" i="3"/>
  <c r="I8" i="17"/>
  <c r="G28" i="17"/>
  <c r="G41" i="17" s="1"/>
  <c r="G28" i="22"/>
  <c r="G41" i="22" s="1"/>
  <c r="G40" i="3"/>
  <c r="I40" i="46"/>
  <c r="I11" i="46"/>
  <c r="I31" i="46" s="1"/>
  <c r="I38" i="46"/>
  <c r="M31" i="68" l="1"/>
  <c r="N11" i="68"/>
  <c r="S10" i="67"/>
  <c r="P10" i="67"/>
  <c r="Q10" i="67" s="1"/>
  <c r="N36" i="67"/>
  <c r="P36" i="67" s="1"/>
  <c r="Q36" i="67" s="1"/>
  <c r="N42" i="67"/>
  <c r="P42" i="67" s="1"/>
  <c r="Q42" i="67" s="1"/>
  <c r="N41" i="67"/>
  <c r="P41" i="67" s="1"/>
  <c r="Q41" i="67" s="1"/>
  <c r="N38" i="67"/>
  <c r="P38" i="67" s="1"/>
  <c r="Q38" i="67" s="1"/>
  <c r="L38" i="68"/>
  <c r="L33" i="68"/>
  <c r="L40" i="68" s="1"/>
  <c r="P10" i="68"/>
  <c r="Q10" i="68" s="1"/>
  <c r="S10" i="68"/>
  <c r="N39" i="68"/>
  <c r="P39" i="68" s="1"/>
  <c r="Q39" i="68" s="1"/>
  <c r="N43" i="68"/>
  <c r="P43" i="68" s="1"/>
  <c r="Q43" i="68" s="1"/>
  <c r="N37" i="68"/>
  <c r="P37" i="68" s="1"/>
  <c r="Q37" i="68" s="1"/>
  <c r="N42" i="68"/>
  <c r="P42" i="68" s="1"/>
  <c r="Q42" i="68" s="1"/>
  <c r="M30" i="67"/>
  <c r="N11" i="67"/>
  <c r="L37" i="67"/>
  <c r="L32" i="67"/>
  <c r="L39" i="67" s="1"/>
  <c r="L66" i="3"/>
  <c r="L10" i="3" s="1"/>
  <c r="M65" i="3"/>
  <c r="M66" i="3" s="1"/>
  <c r="M10" i="3" s="1"/>
  <c r="K67" i="46"/>
  <c r="J8" i="17"/>
  <c r="J31" i="3"/>
  <c r="I26" i="17"/>
  <c r="I39" i="17" s="1"/>
  <c r="I26" i="22"/>
  <c r="I39" i="22" s="1"/>
  <c r="I38" i="3"/>
  <c r="I33" i="3"/>
  <c r="I39" i="46"/>
  <c r="I33" i="46"/>
  <c r="I41" i="46" s="1"/>
  <c r="M64" i="46"/>
  <c r="M65" i="46" s="1"/>
  <c r="L65" i="46"/>
  <c r="L66" i="46" s="1"/>
  <c r="H28" i="22"/>
  <c r="H41" i="22" s="1"/>
  <c r="H28" i="17"/>
  <c r="H41" i="17" s="1"/>
  <c r="H40" i="3"/>
  <c r="J40" i="46"/>
  <c r="J38" i="46"/>
  <c r="J11" i="46"/>
  <c r="K7" i="17"/>
  <c r="K35" i="17" s="1"/>
  <c r="K37" i="3"/>
  <c r="K10" i="46"/>
  <c r="K11" i="3"/>
  <c r="K39" i="3"/>
  <c r="K35" i="23"/>
  <c r="K15" i="22"/>
  <c r="K36" i="22" s="1"/>
  <c r="K35" i="22"/>
  <c r="H39" i="46"/>
  <c r="H33" i="46"/>
  <c r="H41" i="46" s="1"/>
  <c r="P11" i="68" l="1"/>
  <c r="Q11" i="68" s="1"/>
  <c r="N31" i="68"/>
  <c r="N30" i="67"/>
  <c r="P11" i="67"/>
  <c r="Q11" i="67" s="1"/>
  <c r="M32" i="67"/>
  <c r="M39" i="67" s="1"/>
  <c r="M37" i="67"/>
  <c r="M38" i="68"/>
  <c r="M33" i="68"/>
  <c r="M40" i="68" s="1"/>
  <c r="N10" i="3"/>
  <c r="M35" i="22"/>
  <c r="M15" i="22"/>
  <c r="M36" i="22" s="1"/>
  <c r="M11" i="3"/>
  <c r="M37" i="3"/>
  <c r="M35" i="23"/>
  <c r="M39" i="3"/>
  <c r="M7" i="17"/>
  <c r="M35" i="17" s="1"/>
  <c r="M10" i="46"/>
  <c r="M66" i="46"/>
  <c r="M67" i="46" s="1"/>
  <c r="L67" i="46"/>
  <c r="J38" i="3"/>
  <c r="J33" i="3"/>
  <c r="J26" i="17"/>
  <c r="J39" i="17" s="1"/>
  <c r="J26" i="22"/>
  <c r="J39" i="22" s="1"/>
  <c r="J31" i="46"/>
  <c r="K11" i="46"/>
  <c r="K31" i="46" s="1"/>
  <c r="K40" i="46"/>
  <c r="K38" i="46"/>
  <c r="I28" i="17"/>
  <c r="I41" i="17" s="1"/>
  <c r="I40" i="3"/>
  <c r="I28" i="22"/>
  <c r="I41" i="22" s="1"/>
  <c r="K31" i="3"/>
  <c r="K8" i="17"/>
  <c r="L35" i="22"/>
  <c r="L15" i="22"/>
  <c r="L36" i="22" s="1"/>
  <c r="L37" i="3"/>
  <c r="L11" i="3"/>
  <c r="L35" i="23"/>
  <c r="L10" i="46"/>
  <c r="L7" i="17"/>
  <c r="L35" i="17" s="1"/>
  <c r="L39" i="3"/>
  <c r="N39" i="3" l="1"/>
  <c r="P39" i="3" s="1"/>
  <c r="Q39" i="3" s="1"/>
  <c r="N33" i="67"/>
  <c r="P33" i="67" s="1"/>
  <c r="P30" i="67"/>
  <c r="Q30" i="67" s="1"/>
  <c r="N32" i="67"/>
  <c r="N37" i="67"/>
  <c r="P37" i="67" s="1"/>
  <c r="Q37" i="67" s="1"/>
  <c r="P31" i="68"/>
  <c r="Q31" i="68" s="1"/>
  <c r="N34" i="68"/>
  <c r="P34" i="68" s="1"/>
  <c r="N33" i="68"/>
  <c r="N38" i="68"/>
  <c r="P38" i="68" s="1"/>
  <c r="Q38" i="68" s="1"/>
  <c r="N37" i="3"/>
  <c r="P37" i="3" s="1"/>
  <c r="Q37" i="3" s="1"/>
  <c r="P10" i="3"/>
  <c r="Q10" i="3" s="1"/>
  <c r="N43" i="3"/>
  <c r="P43" i="3" s="1"/>
  <c r="Q43" i="3" s="1"/>
  <c r="S10" i="3"/>
  <c r="R10" i="46"/>
  <c r="N42" i="3"/>
  <c r="P42" i="3" s="1"/>
  <c r="Q42" i="3" s="1"/>
  <c r="M40" i="46"/>
  <c r="M38" i="46"/>
  <c r="M11" i="46"/>
  <c r="M31" i="46" s="1"/>
  <c r="M8" i="17"/>
  <c r="M31" i="3"/>
  <c r="L40" i="46"/>
  <c r="L11" i="46"/>
  <c r="L38" i="46"/>
  <c r="N10" i="46"/>
  <c r="J28" i="17"/>
  <c r="J41" i="17" s="1"/>
  <c r="J28" i="22"/>
  <c r="J41" i="22" s="1"/>
  <c r="J40" i="3"/>
  <c r="L8" i="17"/>
  <c r="L31" i="3"/>
  <c r="N11" i="3"/>
  <c r="K26" i="17"/>
  <c r="K39" i="17" s="1"/>
  <c r="K33" i="3"/>
  <c r="K26" i="22"/>
  <c r="K39" i="22" s="1"/>
  <c r="K38" i="3"/>
  <c r="J39" i="46"/>
  <c r="J33" i="46"/>
  <c r="J41" i="46" s="1"/>
  <c r="K33" i="46"/>
  <c r="K41" i="46" s="1"/>
  <c r="K39" i="46"/>
  <c r="N39" i="67" l="1"/>
  <c r="P39" i="67" s="1"/>
  <c r="Q39" i="67" s="1"/>
  <c r="P32" i="67"/>
  <c r="Q32" i="67" s="1"/>
  <c r="P33" i="68"/>
  <c r="Q33" i="68" s="1"/>
  <c r="N40" i="68"/>
  <c r="P40" i="68" s="1"/>
  <c r="Q40" i="68" s="1"/>
  <c r="M38" i="3"/>
  <c r="M33" i="3"/>
  <c r="M26" i="22"/>
  <c r="M39" i="22" s="1"/>
  <c r="M26" i="17"/>
  <c r="M39" i="17" s="1"/>
  <c r="M39" i="46"/>
  <c r="M33" i="46"/>
  <c r="M41" i="46" s="1"/>
  <c r="R11" i="46"/>
  <c r="N31" i="3"/>
  <c r="P11" i="3"/>
  <c r="Q11" i="3" s="1"/>
  <c r="S10" i="46"/>
  <c r="P10" i="46"/>
  <c r="Q10" i="46" s="1"/>
  <c r="N44" i="46"/>
  <c r="P44" i="46" s="1"/>
  <c r="Q44" i="46" s="1"/>
  <c r="N38" i="46"/>
  <c r="P38" i="46" s="1"/>
  <c r="Q38" i="46" s="1"/>
  <c r="N43" i="46"/>
  <c r="P43" i="46" s="1"/>
  <c r="Q43" i="46" s="1"/>
  <c r="N40" i="46"/>
  <c r="P40" i="46" s="1"/>
  <c r="Q40" i="46" s="1"/>
  <c r="L31" i="46"/>
  <c r="N11" i="46"/>
  <c r="L33" i="3"/>
  <c r="L26" i="17"/>
  <c r="L39" i="17" s="1"/>
  <c r="L38" i="3"/>
  <c r="L26" i="22"/>
  <c r="L39" i="22" s="1"/>
  <c r="K28" i="22"/>
  <c r="K41" i="22" s="1"/>
  <c r="K28" i="17"/>
  <c r="K41" i="17" s="1"/>
  <c r="K40" i="3"/>
  <c r="N34" i="3" l="1"/>
  <c r="P34" i="3" s="1"/>
  <c r="S11" i="46"/>
  <c r="M28" i="17"/>
  <c r="M41" i="17" s="1"/>
  <c r="M28" i="22"/>
  <c r="M41" i="22" s="1"/>
  <c r="M40" i="3"/>
  <c r="L28" i="17"/>
  <c r="L41" i="17" s="1"/>
  <c r="L28" i="22"/>
  <c r="L41" i="22" s="1"/>
  <c r="L40" i="3"/>
  <c r="P11" i="46"/>
  <c r="Q11" i="46" s="1"/>
  <c r="N31" i="46"/>
  <c r="N35" i="46" s="1"/>
  <c r="P35" i="46" s="1"/>
  <c r="L39" i="46"/>
  <c r="L33" i="46"/>
  <c r="L41" i="46" s="1"/>
  <c r="R31" i="46"/>
  <c r="N38" i="3"/>
  <c r="P38" i="3" s="1"/>
  <c r="Q38" i="3" s="1"/>
  <c r="P31" i="3"/>
  <c r="Q31" i="3" s="1"/>
  <c r="N33" i="3"/>
  <c r="N33" i="46" l="1"/>
  <c r="P31" i="46"/>
  <c r="Q31" i="46" s="1"/>
  <c r="S31" i="46"/>
  <c r="N39" i="46"/>
  <c r="P39" i="46" s="1"/>
  <c r="Q39" i="46" s="1"/>
  <c r="P33" i="3"/>
  <c r="Q33" i="3" s="1"/>
  <c r="R33" i="46"/>
  <c r="N40" i="3"/>
  <c r="P40" i="3" s="1"/>
  <c r="Q40" i="3" s="1"/>
  <c r="G35" i="63" l="1"/>
  <c r="N34" i="46"/>
  <c r="P34" i="46" s="1"/>
  <c r="N41" i="46"/>
  <c r="P41" i="46" s="1"/>
  <c r="Q41" i="46" s="1"/>
  <c r="S33" i="46"/>
  <c r="P33" i="46"/>
  <c r="Q33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12" authorId="0" shapeId="0" xr:uid="{5855F85C-3C1E-459B-83CF-09A990509DF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72 bobines à l'hectare
Bobine = 5 kg
Prix TTC au kg : 24 MADTTC/kg
Prix TTC d'une bobine = 120 MAD TTC
Coût bobine à l'hectare TTC = 8 640 MADTTC/ha
Coût bobine à l'hectare TTC avec imprévu de 16% = 9 500 MAD TTC/ha</t>
        </r>
      </text>
    </comment>
    <comment ref="A13" authorId="0" shapeId="0" xr:uid="{1227143A-8941-42F9-83A1-2F67AD83530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Nbre de plants: 108 000 plants
Clip/plant: 1
Prix clip : 0,07 MADTTC
</t>
        </r>
      </text>
    </comment>
    <comment ref="A14" authorId="0" shapeId="0" xr:uid="{0E05FFB2-7DF4-4C9C-873B-40DBC63D780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9" authorId="0" shapeId="0" xr:uid="{DD0A8328-0FFA-4E3E-B6C9-A54E83FAAB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20" authorId="0" shapeId="0" xr:uid="{14145876-FCA4-4FBC-A579-42E89AC413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21" authorId="0" shapeId="0" xr:uid="{FF339554-2301-453E-AF9D-2AA5E1B6B10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26" authorId="0" shapeId="0" xr:uid="{8AEA568A-7507-4430-BFDD-57044E6D881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27" authorId="0" shapeId="0" xr:uid="{F384441A-C3CB-4C43-B347-C8E8DC4669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28" authorId="0" shapeId="0" xr:uid="{4B16B71C-4AB4-4AB5-A9CF-33F5B60885A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33" authorId="0" shapeId="0" xr:uid="{097F99DD-26B0-488A-9DD7-D06F9AF13C6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34" authorId="0" shapeId="0" xr:uid="{F288F709-B313-4045-AA11-605CF79AE0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35" authorId="0" shapeId="0" xr:uid="{5332A6B9-D05E-4B81-9D45-4E3E95A416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40" authorId="0" shapeId="0" xr:uid="{382B87A9-1301-485F-AA63-FE54CB1CEC9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41" authorId="0" shapeId="0" xr:uid="{2470BD5A-370E-4B68-BDAB-91977B96BA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42" authorId="0" shapeId="0" xr:uid="{5B034092-2DA3-4C87-84C1-47DCE171F5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47" authorId="0" shapeId="0" xr:uid="{F12C6B3E-FB1E-4C23-8A5A-203C116A21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48" authorId="0" shapeId="0" xr:uid="{5B4F738C-4A3D-4F53-B349-C6EA78330A7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49" authorId="0" shapeId="0" xr:uid="{016A71AA-0AE1-4905-A96A-F7849F9F92B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57" authorId="0" shapeId="0" xr:uid="{DFCC11B2-F2F4-471C-BF7E-8915848B9CA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72 bobines à l'hectare
Bobine = 5 kg
Prix TTC au kg : 24 MADTTC/kg
Prix TTC d'une bobine = 120 MAD TTC
Coût bobine à l'hectare TTC = 8 640 MADTTC/ha
Coût bobine à l'hectare TTC avec imprévu de 16% = 9 500 MAD TTC/ha</t>
        </r>
      </text>
    </comment>
    <comment ref="A58" authorId="0" shapeId="0" xr:uid="{94D06472-D63E-443D-8706-9729D93AF98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Nbre de plants: 108 000 plants
Clip/plant: 1
Prix clip : 0,07 MADTTC
</t>
        </r>
      </text>
    </comment>
    <comment ref="A59" authorId="0" shapeId="0" xr:uid="{69943D0D-4895-470B-BFB3-4B11041459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64" authorId="0" shapeId="0" xr:uid="{5E961B51-CC72-4D81-9257-EF5E9841B0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65" authorId="0" shapeId="0" xr:uid="{E349BB8C-0FBA-476E-919E-E284D36C6B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66" authorId="0" shapeId="0" xr:uid="{9C4253A9-1880-4157-8F1D-B0D08F6D2A8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71" authorId="0" shapeId="0" xr:uid="{6592CB15-56B6-4837-B529-7E7A326262C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72" authorId="0" shapeId="0" xr:uid="{88A12E68-2ADE-4284-A489-C35DF34BFB3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73" authorId="0" shapeId="0" xr:uid="{03862CFD-7717-413F-988C-1D3CA6413CC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78" authorId="0" shapeId="0" xr:uid="{7EF565B9-5361-4931-A8A7-EB431F59C3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79" authorId="0" shapeId="0" xr:uid="{50E72367-A40B-4986-91B4-0D1C149F97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80" authorId="0" shapeId="0" xr:uid="{34C437A2-B571-4535-B801-23138A6642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85" authorId="0" shapeId="0" xr:uid="{C3319151-D1D1-4D54-A7C9-72C9BA1B64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86" authorId="0" shapeId="0" xr:uid="{38F11FC0-1BFC-44AF-BD3F-EDBBAEFDBC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87" authorId="0" shapeId="0" xr:uid="{81EBDDEA-976A-41D2-B00E-F9BDDB67EF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92" authorId="0" shapeId="0" xr:uid="{64558D13-FF3F-47D3-9AE1-BC3602CD81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93" authorId="0" shapeId="0" xr:uid="{17CCC474-961C-4A39-B63D-C13159AD1D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94" authorId="0" shapeId="0" xr:uid="{29F8655B-D021-4AC4-AA4E-80A8B294AC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02" authorId="0" shapeId="0" xr:uid="{47FE741C-60EB-40D6-88D1-BFD4FF76BE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72 bobines à l'hectare
Bobine = 5 kg
Prix TTC au kg : 24 MADTTC/kg
Prix TTC d'une bobine = 120 MAD TTC
Coût bobine à l'hectare TTC = 8 640 MADTTC/ha
Coût bobine à l'hectare TTC avec imprévu de 16% = 9 500 MAD TTC/ha</t>
        </r>
      </text>
    </comment>
    <comment ref="A103" authorId="0" shapeId="0" xr:uid="{A710C375-F429-4510-A972-490E945DFE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Nbre de plants: 108 000 plants
Clip/plant: 1
Prix clip : 0,07 MADTTC
</t>
        </r>
      </text>
    </comment>
    <comment ref="A104" authorId="0" shapeId="0" xr:uid="{4836B695-2CAC-483D-B9E5-45C0DAB1C6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09" authorId="0" shapeId="0" xr:uid="{F24F38CB-914A-41E0-8D62-CA9A978EEC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10" authorId="0" shapeId="0" xr:uid="{F2DDC75A-C0EA-4AED-BAB8-CCFF5C0A18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11" authorId="0" shapeId="0" xr:uid="{81C63F3E-E211-4495-B08A-B7B01EF732A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16" authorId="0" shapeId="0" xr:uid="{A8ADA644-2875-467E-87B1-EC872474D9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17" authorId="0" shapeId="0" xr:uid="{3B99449D-9653-4FB2-AAAB-BB7EFCD65D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18" authorId="0" shapeId="0" xr:uid="{965BDFB5-4586-47B0-B049-28FE839235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23" authorId="0" shapeId="0" xr:uid="{C406DF61-C2A4-4224-AFE5-60278A80D1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24" authorId="0" shapeId="0" xr:uid="{D6460804-EED0-4BF8-AAF6-FEC805D95D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25" authorId="0" shapeId="0" xr:uid="{1F21D74B-1F57-44B4-BE0C-115280AD79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30" authorId="0" shapeId="0" xr:uid="{A684E78B-76FC-48AA-8A78-BCE9337D20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31" authorId="0" shapeId="0" xr:uid="{900EB42F-F8D7-4427-AA8E-6B8AD5B54E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32" authorId="0" shapeId="0" xr:uid="{E3675BCD-D582-4BDE-86BA-D2E07D56CE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37" authorId="0" shapeId="0" xr:uid="{08DB0BBB-8CD1-4914-B58A-455AA02D6B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38" authorId="0" shapeId="0" xr:uid="{42FA8D6D-16A4-484D-9682-0AB1408150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39" authorId="0" shapeId="0" xr:uid="{206C7BC5-3579-4606-9B62-0CEB74E3F8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47" authorId="0" shapeId="0" xr:uid="{26432CD1-4BDD-4879-98AF-B0274E10C5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72 bobines à l'hectare
Bobine = 5 kg
Prix TTC au kg : 24 MADTTC/kg
Prix TTC d'une bobine = 120 MAD TTC
Coût bobine à l'hectare TTC = 8 640 MADTTC/ha
Coût bobine à l'hectare TTC avec imprévu de 16% = 9 500 MAD TTC/ha</t>
        </r>
      </text>
    </comment>
    <comment ref="A148" authorId="0" shapeId="0" xr:uid="{23FC0CE5-2AC0-48B8-A64A-22F759C221A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Nbre de plants: 108 000 plants
Clip/plant: 1
Prix clip : 0,07 MADTTC
</t>
        </r>
      </text>
    </comment>
    <comment ref="A149" authorId="0" shapeId="0" xr:uid="{6FA166DA-E53A-497A-BAA9-FFC3F74305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54" authorId="0" shapeId="0" xr:uid="{938CE410-4DC1-4F96-9C36-C7B377AEBA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55" authorId="0" shapeId="0" xr:uid="{265168BC-EE48-40F8-A3C3-653A023DE6F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56" authorId="0" shapeId="0" xr:uid="{41D31DB4-0693-40A3-B9AF-BAB72AE682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61" authorId="0" shapeId="0" xr:uid="{6CD83E23-ED33-490A-BB8F-40A60434EF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62" authorId="0" shapeId="0" xr:uid="{12A35E43-7F28-4B3B-A70C-8AFCA43FEA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63" authorId="0" shapeId="0" xr:uid="{32C4C68C-60DA-4165-88A3-8B16C0D2CD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68" authorId="0" shapeId="0" xr:uid="{87312460-5375-4A33-869B-D3E52462E0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69" authorId="0" shapeId="0" xr:uid="{D1878F7A-AC1E-4655-A3B7-2699454DD0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70" authorId="0" shapeId="0" xr:uid="{E0D5F72E-C3E7-4F4F-B6F5-B378AE7FF5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75" authorId="0" shapeId="0" xr:uid="{6976DA22-EC89-47B1-AA0F-FD5B777443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76" authorId="0" shapeId="0" xr:uid="{DC63FD58-6AE4-43DD-BB09-C146B21699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77" authorId="0" shapeId="0" xr:uid="{C40E3E25-392D-4A90-8D29-EE676869A8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82" authorId="0" shapeId="0" xr:uid="{8B11A431-6970-45DB-B881-B2A1376AB8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183" authorId="0" shapeId="0" xr:uid="{0D7649DE-836C-49B3-905B-E1C1533E3A3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184" authorId="0" shapeId="0" xr:uid="{DC807F3D-279A-4CCB-9ED3-D60A8056D5D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92" authorId="0" shapeId="0" xr:uid="{5C582ECE-6078-40BD-A56E-9794B99F52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72 bobines à l'hectare
Bobine = 5 kg
Prix TTC au kg : 24 MADTTC/kg
Prix TTC d'une bobine = 120 MAD TTC
Coût bobine à l'hectare TTC = 8 640 MADTTC/ha
Coût bobine à l'hectare TTC avec imprévu de 16% = 9 500 MAD TTC/ha</t>
        </r>
      </text>
    </comment>
    <comment ref="A193" authorId="0" shapeId="0" xr:uid="{CE5DFBFF-E029-4208-9ECC-C97A6374F5D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Nbre de plants: 108 000 plants
Clip/plant: 1
Prix clip : 0,07 MADTTC
</t>
        </r>
      </text>
    </comment>
    <comment ref="A194" authorId="0" shapeId="0" xr:uid="{6BDFDC0E-40F4-48A6-BD58-AF60DECDC8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199" authorId="0" shapeId="0" xr:uid="{3095C107-375A-4DC0-AD76-7027606F71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200" authorId="0" shapeId="0" xr:uid="{BFE9EB34-4075-4CB8-BF73-2F988B5E94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201" authorId="0" shapeId="0" xr:uid="{63C7AB17-A79B-4310-BBB3-5007753DAF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206" authorId="0" shapeId="0" xr:uid="{B304CBDD-2E20-48CB-A48C-9355DD559F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207" authorId="0" shapeId="0" xr:uid="{61603CFC-6390-4C6D-A37A-3447B9019B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208" authorId="0" shapeId="0" xr:uid="{B6E5836F-F7A8-4A39-8A12-5A3C2073BD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213" authorId="0" shapeId="0" xr:uid="{9165C6E4-795B-4F3C-98B1-3F9752AAB4C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214" authorId="0" shapeId="0" xr:uid="{45964E87-6368-4A32-AE45-B761D85B74A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215" authorId="0" shapeId="0" xr:uid="{6712586F-4F4B-4792-8027-E5FE7C46376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220" authorId="0" shapeId="0" xr:uid="{BCD1EF84-B823-4E22-BBE2-CEBFBF85436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221" authorId="0" shapeId="0" xr:uid="{0F6479B0-960F-42E8-8517-B328681858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222" authorId="0" shapeId="0" xr:uid="{7B8B0E38-0650-4AA9-B3AC-E5BB7FCF132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  <comment ref="A227" authorId="0" shapeId="0" xr:uid="{F09DBDA0-A08E-4555-B710-E2ABCE8ABA8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Besoin : 110 bobines à l'hectare
Bobine = 5 kg
Prix TTC au kg : 24 MADTTC/kg
Prix TTC d'une bobine = 120 MAD TTC
Coût bobine à l'hectare TTC = 13 200 MADTTC/ha
Coût crochet à l'hectare TTC =  12 000MADTTC/ha
(0,3 MAD TTC/unité)</t>
        </r>
      </text>
    </comment>
    <comment ref="A228" authorId="0" shapeId="0" xr:uid="{06A94E02-888F-4966-88DF-DBAB8954D4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Densite : 12 000 plants/ha
Bras par plant: 3
Bras par hectare: 36 000 bras/ha
Standard: 2 clipS par bras
Besoin: 72 000 clip/ha
Prix clip : 0,07 MADTTC
Coût TTC à l'hectare : 5 040 MAD TTC/ha
</t>
        </r>
      </text>
    </comment>
    <comment ref="A229" authorId="0" shapeId="0" xr:uid="{B87B978C-1D77-4976-A049-6166862E38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Forfait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224" authorId="0" shapeId="0" xr:uid="{189ECD72-F1CB-4C74-92C9-B0D397AEA36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Litige</t>
        </r>
      </text>
    </comment>
  </commentList>
</comments>
</file>

<file path=xl/sharedStrings.xml><?xml version="1.0" encoding="utf-8"?>
<sst xmlns="http://schemas.openxmlformats.org/spreadsheetml/2006/main" count="4857" uniqueCount="486">
  <si>
    <t>Vol (kg)</t>
  </si>
  <si>
    <t>rendement (t/ha)</t>
  </si>
  <si>
    <t>Consommation Semences</t>
  </si>
  <si>
    <t>Consommation Engrais</t>
  </si>
  <si>
    <t>Consommation Plants</t>
  </si>
  <si>
    <t>Consommation Phytos</t>
  </si>
  <si>
    <t>Consommation Insectes</t>
  </si>
  <si>
    <t>Autres fournitures agricoles</t>
  </si>
  <si>
    <t>Electricité</t>
  </si>
  <si>
    <t>Eau</t>
  </si>
  <si>
    <t>Prestations &amp; analyses</t>
  </si>
  <si>
    <t>Loyers fermes</t>
  </si>
  <si>
    <t>Entretien</t>
  </si>
  <si>
    <t>Transport</t>
  </si>
  <si>
    <t>Amortissements</t>
  </si>
  <si>
    <t>Total consommation Intrants</t>
  </si>
  <si>
    <t>Total consommation Energie</t>
  </si>
  <si>
    <t>EBITDA</t>
  </si>
  <si>
    <t>Autres frais généraux</t>
  </si>
  <si>
    <t>Résultat d'exploitation</t>
  </si>
  <si>
    <t>Coût de revient total</t>
  </si>
  <si>
    <t>coût de revient incl Amort</t>
  </si>
  <si>
    <t>Autres coûts &amp; frais généraux</t>
  </si>
  <si>
    <t>Sup productive</t>
  </si>
  <si>
    <t>Production encours (MAD)</t>
  </si>
  <si>
    <t>Production totale (MAD)</t>
  </si>
  <si>
    <t>NA</t>
  </si>
  <si>
    <t>Sup Tot (ha)</t>
  </si>
  <si>
    <t xml:space="preserve">Production totale </t>
  </si>
  <si>
    <t>TOM NATURE à l'ha</t>
  </si>
  <si>
    <t>CA  à l'ha productif</t>
  </si>
  <si>
    <t>Production encours à l'ha en plantation</t>
  </si>
  <si>
    <t>Intrants à l'ha total</t>
  </si>
  <si>
    <t>Electricité à l'ha total</t>
  </si>
  <si>
    <t>Eau à l'ha total</t>
  </si>
  <si>
    <t>Energie à l'ha total</t>
  </si>
  <si>
    <t>Prestations &amp; analyses à l'ha total</t>
  </si>
  <si>
    <t>Loyers fermes à l'ha total</t>
  </si>
  <si>
    <t>Entretien à l'ha total</t>
  </si>
  <si>
    <t>Main d'œuvre à l'ha total</t>
  </si>
  <si>
    <t>Transport à l'ha total</t>
  </si>
  <si>
    <t>Autres frais généraux à l'ha total</t>
  </si>
  <si>
    <t>Coût de revient total à l'ha total</t>
  </si>
  <si>
    <t>EBITDA à l'ha productif</t>
  </si>
  <si>
    <t>Amortissements à l'ha total</t>
  </si>
  <si>
    <t>Résultat d'exploitation à l'ha productif</t>
  </si>
  <si>
    <t>Calcul CA</t>
  </si>
  <si>
    <t>Calcul Prod encours</t>
  </si>
  <si>
    <t>Calcul Intrants</t>
  </si>
  <si>
    <t>Calcul Energie</t>
  </si>
  <si>
    <t>Calcul coût de revient total</t>
  </si>
  <si>
    <t>Calcul EBITDA</t>
  </si>
  <si>
    <t>Calcul Amortissements</t>
  </si>
  <si>
    <t>Calcul résultat d'exploitation</t>
  </si>
  <si>
    <t>8036 à l'ha</t>
  </si>
  <si>
    <t>8038 à l'ha</t>
  </si>
  <si>
    <t>8039 à l'ha</t>
  </si>
  <si>
    <t>Autres revenus (MAD)</t>
  </si>
  <si>
    <t>PMV</t>
  </si>
  <si>
    <t>Production encours</t>
  </si>
  <si>
    <t>Conso Intrants au kg</t>
  </si>
  <si>
    <t>Coût de revient au kg</t>
  </si>
  <si>
    <t>EBITDA au kg</t>
  </si>
  <si>
    <t>Electricité /kg</t>
  </si>
  <si>
    <t>Eau/kg</t>
  </si>
  <si>
    <t>Energie au kg</t>
  </si>
  <si>
    <t>Prestations &amp; analyses au kg</t>
  </si>
  <si>
    <t>Entretien au kg</t>
  </si>
  <si>
    <t>Main d'œuvre au kg</t>
  </si>
  <si>
    <t>Loyers fermes au kg</t>
  </si>
  <si>
    <t>Transport au kg</t>
  </si>
  <si>
    <t>Autres frais généraux au kg</t>
  </si>
  <si>
    <t>Amortissements au kg</t>
  </si>
  <si>
    <t>Production encours à l'ha en plant</t>
  </si>
  <si>
    <t>Résultat d'exploitation au kg</t>
  </si>
  <si>
    <t>PMV au kg</t>
  </si>
  <si>
    <t>Coût à l'hectare (hors Amort)</t>
  </si>
  <si>
    <t xml:space="preserve">Coût total à l'hectare </t>
  </si>
  <si>
    <t>BUD</t>
  </si>
  <si>
    <t>check</t>
  </si>
  <si>
    <t>Superficie (ha)</t>
  </si>
  <si>
    <t xml:space="preserve">Date plantation </t>
  </si>
  <si>
    <t>Date entrée en production</t>
  </si>
  <si>
    <t>Date arrachage</t>
  </si>
  <si>
    <t>TOTAL</t>
  </si>
  <si>
    <t>Cycle en mois</t>
  </si>
  <si>
    <t>TCR (t)</t>
  </si>
  <si>
    <t>Sup.productive (ha)</t>
  </si>
  <si>
    <t>TCA (t)</t>
  </si>
  <si>
    <t>TR (t)</t>
  </si>
  <si>
    <t>TCR (MAD)</t>
  </si>
  <si>
    <t>TCA (MAD)</t>
  </si>
  <si>
    <t>TR (MAD)</t>
  </si>
  <si>
    <t>Sup totale (ha)</t>
  </si>
  <si>
    <t>Conso. Semences à l'ha (MAD/ha)</t>
  </si>
  <si>
    <t>Conso. Plants à l'ha (MAD/ha)</t>
  </si>
  <si>
    <t>Prix TTC pour 1000 graines</t>
  </si>
  <si>
    <t>Nombre de graines</t>
  </si>
  <si>
    <t>Nombre de plant</t>
  </si>
  <si>
    <t>Prix TTC par plant</t>
  </si>
  <si>
    <t>Conso. Engrais à l'ha (MAD/ha)</t>
  </si>
  <si>
    <t>Prix TTC par Ruche</t>
  </si>
  <si>
    <t>Nombre de Ruche/ha</t>
  </si>
  <si>
    <t>Loy. Fermes à l'ha (MAD/ha)</t>
  </si>
  <si>
    <t>Energie à l'ha (MAD/ha)</t>
  </si>
  <si>
    <t>Cons. Eau à l'ha (MAD/ha)</t>
  </si>
  <si>
    <t>Cons. Eau (MAD)</t>
  </si>
  <si>
    <t>Cons. Elec ou Fuel à l'ha (MAD/ha)</t>
  </si>
  <si>
    <t>Cons. Elec ou Fuel (MAD)</t>
  </si>
  <si>
    <t>MOD à l'ha (MAD/ha)</t>
  </si>
  <si>
    <t>Transport MOD (MAD)</t>
  </si>
  <si>
    <t>Médecin de travail (MAD)</t>
  </si>
  <si>
    <t>Salaires bruts quinzainiers (MAD)</t>
  </si>
  <si>
    <t>Charges sociales patronales (MAD)</t>
  </si>
  <si>
    <t>Total MOD (MAD)</t>
  </si>
  <si>
    <t>Tomnature (MAD)</t>
  </si>
  <si>
    <t>à l'ha (MAD/ha)</t>
  </si>
  <si>
    <t>QP 8039 (MAD)</t>
  </si>
  <si>
    <t>QP 8036 (MAD)</t>
  </si>
  <si>
    <t>QP 8038 (MAD)</t>
  </si>
  <si>
    <t>Amortissements (MAD)</t>
  </si>
  <si>
    <t>Analyse ABIOPEP (MAD)</t>
  </si>
  <si>
    <t>Coût à l'ha (MAD/ha) incl. RAS</t>
  </si>
  <si>
    <t>Entretien (MAD)</t>
  </si>
  <si>
    <t>Entretien Auto (MAD)</t>
  </si>
  <si>
    <t>Petites fres agricoles (MAD)</t>
  </si>
  <si>
    <t>Fres de bureau (MAD)</t>
  </si>
  <si>
    <t>Divers entretiens (MAD)</t>
  </si>
  <si>
    <t>OURTI (MAD)</t>
  </si>
  <si>
    <t>Hebergement domaine (MAD)</t>
  </si>
  <si>
    <t>Assistance FORCOS (MAD)</t>
  </si>
  <si>
    <t>Autres FG (MAD)</t>
  </si>
  <si>
    <t>Téléphone (MAD)</t>
  </si>
  <si>
    <t>Commissions bancaires (MAD)</t>
  </si>
  <si>
    <t>Vignettes (MAD)</t>
  </si>
  <si>
    <t>Assurances (MAD)</t>
  </si>
  <si>
    <t>Divers (MAD)</t>
  </si>
  <si>
    <t>Coût HIJOS DE FEDERICO LIS (MAD)</t>
  </si>
  <si>
    <t>PERSONNEL ADMINISTRATIF (MAD)</t>
  </si>
  <si>
    <t>Carburant (MAD)</t>
  </si>
  <si>
    <t>Salaires bruts (MAD)</t>
  </si>
  <si>
    <t>CHECK</t>
  </si>
  <si>
    <t>Volume (t)</t>
  </si>
  <si>
    <t>Coût transport au kg (MAD/kg)</t>
  </si>
  <si>
    <t>Entretien à l'ha (MAD/ha)</t>
  </si>
  <si>
    <t>Total Entretien (MAD)</t>
  </si>
  <si>
    <t>Serres (fil galvanié,bâchage…) (MAD)</t>
  </si>
  <si>
    <t>Irrigation (MAD)</t>
  </si>
  <si>
    <t>Petits outillages (MAD)</t>
  </si>
  <si>
    <t>Fres Agri. à l'ha (MAD/ha)</t>
  </si>
  <si>
    <t>Total Fres Agri. (MAD)</t>
  </si>
  <si>
    <t>Ficelle (MAD)</t>
  </si>
  <si>
    <t>Clips (MAD)</t>
  </si>
  <si>
    <t>Autres (MAD)</t>
  </si>
  <si>
    <t>Analyses labo (MAD)</t>
  </si>
  <si>
    <t>source</t>
  </si>
  <si>
    <t>Main d'œuvre Directe</t>
  </si>
  <si>
    <t>Main d'œuvre Adm.</t>
  </si>
  <si>
    <t>Refact. HIJOS DE FEDERICO LIS</t>
  </si>
  <si>
    <t>Honoraires (MAD)</t>
  </si>
  <si>
    <t>Encours initial</t>
  </si>
  <si>
    <t>Coût des encours</t>
  </si>
  <si>
    <t xml:space="preserve">Coût des ventes </t>
  </si>
  <si>
    <t>Encours fin de période</t>
  </si>
  <si>
    <t>Variation encours</t>
  </si>
  <si>
    <t>Calcul des encours</t>
  </si>
  <si>
    <t>Détail des coûts à l'hectare</t>
  </si>
  <si>
    <t>Semences</t>
  </si>
  <si>
    <t>Engrais</t>
  </si>
  <si>
    <t>Plants</t>
  </si>
  <si>
    <t>Phytos</t>
  </si>
  <si>
    <t>Insectes</t>
  </si>
  <si>
    <t>EBITDA à l'hectare prod</t>
  </si>
  <si>
    <t>Coût total à l'hectare prod</t>
  </si>
  <si>
    <t>Coût à l'hectare prod (hors Amort)</t>
  </si>
  <si>
    <t>REX à l'hectare prod</t>
  </si>
  <si>
    <t>CA à l'hectare prod</t>
  </si>
  <si>
    <t>VARIATION</t>
  </si>
  <si>
    <t>%</t>
  </si>
  <si>
    <t>Total Investissements  (MAD)</t>
  </si>
  <si>
    <t>Bureau (m2)</t>
  </si>
  <si>
    <t>Station + stk engrais (m2)</t>
  </si>
  <si>
    <t>station + stk phytos (m2)</t>
  </si>
  <si>
    <t>Magasin Divers fournitures (m2)</t>
  </si>
  <si>
    <t>Vestiaires &amp; douches (m2)</t>
  </si>
  <si>
    <t>Toilettes (m2)</t>
  </si>
  <si>
    <t>Superficie totale (m2)</t>
  </si>
  <si>
    <t>Budget coût de const au m2</t>
  </si>
  <si>
    <t>Total Amortissements  (MAD)</t>
  </si>
  <si>
    <t>Dotations sur invest ant. (MAD)</t>
  </si>
  <si>
    <t>Taux d'amortissement (%)</t>
  </si>
  <si>
    <t>OK</t>
  </si>
  <si>
    <t>Poste &amp; installation électrique (MAD)</t>
  </si>
  <si>
    <t>Groupe électrogène (MAD)</t>
  </si>
  <si>
    <t>Sup. (ha)</t>
  </si>
  <si>
    <t>Profondeur forage (m)</t>
  </si>
  <si>
    <t>Coût TTC forage au mètre (MAD/m)</t>
  </si>
  <si>
    <t>Coût total forage puit (MAD)</t>
  </si>
  <si>
    <t>Coût TTC à l'hectare clé en main (MAD/ha)</t>
  </si>
  <si>
    <t>Coût station irrigation</t>
  </si>
  <si>
    <t>Coût réseau irrigation</t>
  </si>
  <si>
    <t>Coût bassin</t>
  </si>
  <si>
    <t>Capacité (m3)</t>
  </si>
  <si>
    <t>Besoin (Kg/ha)</t>
  </si>
  <si>
    <t>Prix d'achat (TTC) (MAD/kg)</t>
  </si>
  <si>
    <t>Prestation installation (TTC)</t>
  </si>
  <si>
    <t>Besoin total en kg</t>
  </si>
  <si>
    <t>Nombe de sacs /hectare (unité/ha)</t>
  </si>
  <si>
    <t>Besoin (m/ha)</t>
  </si>
  <si>
    <t>Besoin total en m</t>
  </si>
  <si>
    <t>Besoin total en sacs</t>
  </si>
  <si>
    <t>Tracteurs (MAD)</t>
  </si>
  <si>
    <t>Remorques (chariots &amp; pneus) (MAD)</t>
  </si>
  <si>
    <t>Agencements et instal diverses (MAD)</t>
  </si>
  <si>
    <t>Mobilier de bureau (MAD)</t>
  </si>
  <si>
    <t>Investissements Tomnature (MAD)</t>
  </si>
  <si>
    <t>AmortissementsTomnature  (MAD)</t>
  </si>
  <si>
    <t>Source</t>
  </si>
  <si>
    <t>-</t>
  </si>
  <si>
    <t>Tech</t>
  </si>
  <si>
    <t>NS</t>
  </si>
  <si>
    <t>Hon 16/17</t>
  </si>
  <si>
    <t>Coco 16/17</t>
  </si>
  <si>
    <t>Hause de 2%</t>
  </si>
  <si>
    <t>Résultat net en % du CA</t>
  </si>
  <si>
    <t>EBITDA en % du CA</t>
  </si>
  <si>
    <t>Tranchée eau voisin</t>
  </si>
  <si>
    <t>Amort acq 16/17</t>
  </si>
  <si>
    <t>REEL</t>
  </si>
  <si>
    <t>BUD-REEL</t>
  </si>
  <si>
    <t>18/19</t>
  </si>
  <si>
    <r>
      <t xml:space="preserve">TOMNATURE 
BUDGET
</t>
    </r>
    <r>
      <rPr>
        <b/>
        <u/>
        <sz val="9"/>
        <color theme="3"/>
        <rFont val="Calibri"/>
        <family val="2"/>
        <scheme val="minor"/>
      </rPr>
      <t>BUDGET ELECTRIFICATION</t>
    </r>
  </si>
  <si>
    <r>
      <t xml:space="preserve">TOMNATURE 
BUDGET 
</t>
    </r>
    <r>
      <rPr>
        <b/>
        <u/>
        <sz val="9"/>
        <color theme="3"/>
        <rFont val="Calibri"/>
        <family val="2"/>
        <scheme val="minor"/>
      </rPr>
      <t>BUDGET ELECTRIFICATION</t>
    </r>
  </si>
  <si>
    <r>
      <t xml:space="preserve">TOMNATURE 
BUDGET 
</t>
    </r>
    <r>
      <rPr>
        <b/>
        <u/>
        <sz val="9"/>
        <color theme="3"/>
        <rFont val="Calibri"/>
        <family val="2"/>
        <scheme val="minor"/>
      </rPr>
      <t>BUDGET FILET</t>
    </r>
  </si>
  <si>
    <r>
      <t xml:space="preserve">TOMNATURE 
BUDGET 
</t>
    </r>
    <r>
      <rPr>
        <b/>
        <u/>
        <sz val="9"/>
        <color theme="3"/>
        <rFont val="Calibri"/>
        <family val="2"/>
        <scheme val="minor"/>
      </rPr>
      <t>BUDGET FIBRE DE COCO</t>
    </r>
  </si>
  <si>
    <r>
      <t xml:space="preserve">TOMNATURE 
BUDGET
</t>
    </r>
    <r>
      <rPr>
        <b/>
        <u/>
        <sz val="9"/>
        <color theme="3"/>
        <rFont val="Calibri"/>
        <family val="2"/>
        <scheme val="minor"/>
      </rPr>
      <t>BUDGET PLASTIQUE</t>
    </r>
  </si>
  <si>
    <r>
      <t xml:space="preserve">TOMNATURE 
BUDGET 
</t>
    </r>
    <r>
      <rPr>
        <b/>
        <u/>
        <sz val="9"/>
        <color theme="3"/>
        <rFont val="Calibri"/>
        <family val="2"/>
        <scheme val="minor"/>
      </rPr>
      <t>BUDGET IRRIGATION</t>
    </r>
  </si>
  <si>
    <r>
      <t xml:space="preserve">TOMNATURE 
BUDGET 
</t>
    </r>
    <r>
      <rPr>
        <b/>
        <u/>
        <sz val="9"/>
        <color theme="3"/>
        <rFont val="Calibri"/>
        <family val="2"/>
        <scheme val="minor"/>
      </rPr>
      <t>BUDGET SERRES</t>
    </r>
  </si>
  <si>
    <r>
      <t xml:space="preserve">TOMNATURE 
BUDGET 
</t>
    </r>
    <r>
      <rPr>
        <b/>
        <u/>
        <sz val="9"/>
        <color theme="3"/>
        <rFont val="Calibri"/>
        <family val="2"/>
        <scheme val="minor"/>
      </rPr>
      <t>BUDGET CONSTRUCTIONS</t>
    </r>
  </si>
  <si>
    <t>19/20</t>
  </si>
  <si>
    <t>101 (MAD)</t>
  </si>
  <si>
    <t>103 (MAD)</t>
  </si>
  <si>
    <t>102 (MAD)</t>
  </si>
  <si>
    <t>Amortissements 18/19 (MAD)</t>
  </si>
  <si>
    <t>Amortissements acqu 19/20 (MAD)</t>
  </si>
  <si>
    <t xml:space="preserve">Investissements 19/20 </t>
  </si>
  <si>
    <t>Fournitures agricoles</t>
  </si>
  <si>
    <t>Calcul encours initial culture hiver</t>
  </si>
  <si>
    <t>Energie</t>
  </si>
  <si>
    <t>Compte</t>
  </si>
  <si>
    <t>Libellé</t>
  </si>
  <si>
    <t xml:space="preserve">Date </t>
  </si>
  <si>
    <t>Exercice</t>
  </si>
  <si>
    <t>Domaine</t>
  </si>
  <si>
    <t>Brut</t>
  </si>
  <si>
    <t>Taux</t>
  </si>
  <si>
    <t>Dotation 18/19</t>
  </si>
  <si>
    <t>Amort 18/19</t>
  </si>
  <si>
    <t>VNC 18/19</t>
  </si>
  <si>
    <t>Poste</t>
  </si>
  <si>
    <t>Constructions sur terrain d'autrui</t>
  </si>
  <si>
    <t>Construction</t>
  </si>
  <si>
    <t>Electrification</t>
  </si>
  <si>
    <t>23310008</t>
  </si>
  <si>
    <t>Installtions techniques- Irrigation</t>
  </si>
  <si>
    <t>ITMO</t>
  </si>
  <si>
    <t>Installtions techniques- Serres</t>
  </si>
  <si>
    <t>23321000</t>
  </si>
  <si>
    <t>Matériel divers</t>
  </si>
  <si>
    <t>Installtions techniques- Plastiques</t>
  </si>
  <si>
    <t>Installtions techniques- Fibre de coco</t>
  </si>
  <si>
    <t>Installtions techniques- Canalettes</t>
  </si>
  <si>
    <t>Installtions techniques- Filet</t>
  </si>
  <si>
    <t>MMB</t>
  </si>
  <si>
    <t>Agencements installatiosn divers</t>
  </si>
  <si>
    <t>°</t>
  </si>
  <si>
    <t>Dotation 19/20</t>
  </si>
  <si>
    <t>Amort 19/20</t>
  </si>
  <si>
    <t>VNC 19/20</t>
  </si>
  <si>
    <t>Étiquettes de lignes</t>
  </si>
  <si>
    <t>Total général</t>
  </si>
  <si>
    <t>Somme de Dotation 19/20</t>
  </si>
  <si>
    <t>Total Investissements 103 (MAD)</t>
  </si>
  <si>
    <t>Total Amortissements 103 (MAD)</t>
  </si>
  <si>
    <t>Total Investissements 101 (MAD)</t>
  </si>
  <si>
    <t>Total Amortissements 101 (MAD)</t>
  </si>
  <si>
    <t>Total Investissements 102 (MAD)</t>
  </si>
  <si>
    <t>Total Amortissements 102 (MAD)</t>
  </si>
  <si>
    <t>Dotations acqu. 19/20 (MAD)</t>
  </si>
  <si>
    <t>103 Dot. sur acqui. 19/20</t>
  </si>
  <si>
    <t>101 Dot. sur acqui. 19/20</t>
  </si>
  <si>
    <t>102 Dot. sur acqui. 19/20</t>
  </si>
  <si>
    <t>QP 101 (MAD)</t>
  </si>
  <si>
    <t>QP 103 (MAD)</t>
  </si>
  <si>
    <t>QP 102 (MAD)</t>
  </si>
  <si>
    <t>Chiffre d'affaires (MAD)</t>
  </si>
  <si>
    <t>Intrants</t>
  </si>
  <si>
    <r>
      <t xml:space="preserve">       </t>
    </r>
    <r>
      <rPr>
        <b/>
        <i/>
        <sz val="9"/>
        <color theme="3"/>
        <rFont val="Calibri"/>
        <family val="2"/>
        <scheme val="minor"/>
      </rPr>
      <t>à l'hectare</t>
    </r>
  </si>
  <si>
    <t>Main d'œuvre directe</t>
  </si>
  <si>
    <t>Transport sur ventes</t>
  </si>
  <si>
    <t>Charges variables (MAD)</t>
  </si>
  <si>
    <t>Main d'œuvre Adm. &amp; Tech</t>
  </si>
  <si>
    <t>Entretien &amp; maintenance</t>
  </si>
  <si>
    <t>Autres Frais Généraux</t>
  </si>
  <si>
    <t>Charges fixes (MAD)</t>
  </si>
  <si>
    <t>EBITDA (MAD)</t>
  </si>
  <si>
    <t xml:space="preserve">      En % du chiffre d'affaires</t>
  </si>
  <si>
    <t>Ceck centralisation</t>
  </si>
  <si>
    <t xml:space="preserve"> Synthèse Budget par domaine</t>
  </si>
  <si>
    <t>Analyse totale (MAD)</t>
  </si>
  <si>
    <r>
      <t xml:space="preserve">
BUDGET
</t>
    </r>
    <r>
      <rPr>
        <b/>
        <u/>
        <sz val="9"/>
        <color theme="3"/>
        <rFont val="Calibri"/>
        <family val="2"/>
        <scheme val="minor"/>
      </rPr>
      <t>BUDGET VOLUMES EXPORT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</si>
  <si>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SEMENCES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</si>
  <si>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PLANTS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</si>
  <si>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ENGRAIS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</si>
  <si>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FRES AGROCILES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</si>
  <si>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ENERGIE</t>
    </r>
  </si>
  <si>
    <r>
      <t xml:space="preserve"> 
BUDGET 
</t>
    </r>
    <r>
      <rPr>
        <b/>
        <u/>
        <sz val="9"/>
        <color theme="3"/>
        <rFont val="Calibri"/>
        <family val="2"/>
        <scheme val="minor"/>
      </rPr>
      <t>BUDGET ENTRETIEN &amp; ANALYSES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</si>
  <si>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LOYERS FERMES</t>
    </r>
  </si>
  <si>
    <r>
      <t xml:space="preserve">
BUDGET
</t>
    </r>
    <r>
      <rPr>
        <b/>
        <u/>
        <sz val="9"/>
        <color theme="3"/>
        <rFont val="Calibri"/>
        <family val="2"/>
        <scheme val="minor"/>
      </rPr>
      <t>BUDGET MOD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</si>
  <si>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TRANSPORT SUR VENTES</t>
    </r>
  </si>
  <si>
    <r>
      <t xml:space="preserve">
BUDGET 
</t>
    </r>
    <r>
      <rPr>
        <b/>
        <u/>
        <sz val="9"/>
        <color theme="3"/>
        <rFont val="Calibri"/>
        <family val="2"/>
        <scheme val="minor"/>
      </rPr>
      <t>BUDGET COMMUN</t>
    </r>
  </si>
  <si>
    <r>
      <t xml:space="preserve">
BUDGET
</t>
    </r>
    <r>
      <rPr>
        <b/>
        <u/>
        <sz val="9"/>
        <color theme="3"/>
        <rFont val="Calibri"/>
        <family val="2"/>
        <scheme val="minor"/>
      </rPr>
      <t>BUDGET SYNTHESE INVEST &amp; AMORT</t>
    </r>
  </si>
  <si>
    <t>104</t>
  </si>
  <si>
    <t>105</t>
  </si>
  <si>
    <t>106</t>
  </si>
  <si>
    <t>107</t>
  </si>
  <si>
    <t>114</t>
  </si>
  <si>
    <r>
      <t xml:space="preserve">
BUDGET 
DOMAINE 104
</t>
    </r>
    <r>
      <rPr>
        <b/>
        <u/>
        <sz val="9"/>
        <color theme="3"/>
        <rFont val="Calibri"/>
        <family val="2"/>
        <scheme val="minor"/>
      </rPr>
      <t>PLAN DE CULTURE</t>
    </r>
  </si>
  <si>
    <r>
      <t xml:space="preserve">
BUDGET 
DOMAINE 105
</t>
    </r>
    <r>
      <rPr>
        <b/>
        <u/>
        <sz val="9"/>
        <color theme="3"/>
        <rFont val="Calibri"/>
        <family val="2"/>
        <scheme val="minor"/>
      </rPr>
      <t>PLAN DE CULTURE</t>
    </r>
  </si>
  <si>
    <t>104 - Analyse totale (MAD)</t>
  </si>
  <si>
    <t>105 - Analyse totale (MAD)</t>
  </si>
  <si>
    <t>106 - Analyse totale (MAD)</t>
  </si>
  <si>
    <t>107 - Analyse totale (MAD)</t>
  </si>
  <si>
    <t>114 - Analyse totale (MAD)</t>
  </si>
  <si>
    <t xml:space="preserve">TCR </t>
  </si>
  <si>
    <t>TCA</t>
  </si>
  <si>
    <t>TCG</t>
  </si>
  <si>
    <t>TR</t>
  </si>
  <si>
    <t>MYR</t>
  </si>
  <si>
    <t>PVR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</si>
  <si>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</si>
  <si>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</si>
  <si>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</si>
  <si>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</si>
  <si>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</si>
  <si>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</si>
  <si>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</si>
  <si>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</si>
  <si>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</si>
  <si>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</si>
  <si>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</si>
  <si>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</si>
  <si>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</si>
  <si>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</si>
  <si>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</si>
  <si>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</si>
  <si>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</si>
  <si>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</si>
  <si>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</si>
  <si>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</si>
  <si>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</si>
  <si>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</si>
  <si>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SUPERFICIE PAR SERRRE</t>
  </si>
  <si>
    <t>TOTAL SUPERFICIE 105 (ha)</t>
  </si>
  <si>
    <r>
      <t xml:space="preserve">
BUDGET 
DOMAINE 107
</t>
    </r>
    <r>
      <rPr>
        <b/>
        <u/>
        <sz val="9"/>
        <color theme="3"/>
        <rFont val="Calibri"/>
        <family val="2"/>
        <scheme val="minor"/>
      </rPr>
      <t>PLAN DE CULTURE</t>
    </r>
  </si>
  <si>
    <t>TOTAL SUPERFICIE 107 (ha)</t>
  </si>
  <si>
    <t>S23</t>
  </si>
  <si>
    <t>S24</t>
  </si>
  <si>
    <r>
      <t xml:space="preserve">
BUDGET 
DOMAINE 114
</t>
    </r>
    <r>
      <rPr>
        <b/>
        <u/>
        <sz val="9"/>
        <color theme="3"/>
        <rFont val="Calibri"/>
        <family val="2"/>
        <scheme val="minor"/>
      </rPr>
      <t>PLAN DE CULTURE</t>
    </r>
  </si>
  <si>
    <t>TOTAL SUPERFICIE 114 (ha)</t>
  </si>
  <si>
    <t>TCG (t)</t>
  </si>
  <si>
    <t>MYR (t)</t>
  </si>
  <si>
    <t>PVR (t)</t>
  </si>
  <si>
    <t>Chiffre d'affaires 104 (MAD)</t>
  </si>
  <si>
    <t>Chiffre d'affaires 105 (MAD)</t>
  </si>
  <si>
    <t>Chiffre d'affaires 106 (MAD)</t>
  </si>
  <si>
    <t>TCG (MAD)</t>
  </si>
  <si>
    <t>MYR (MAD)</t>
  </si>
  <si>
    <t>PVR (MAD)</t>
  </si>
  <si>
    <t>Chiffre d'affaires 107 (MAD)</t>
  </si>
  <si>
    <t>Chiffre d'affaires 114 (MAD)</t>
  </si>
  <si>
    <t>Conso. Semences 104 (MAD)</t>
  </si>
  <si>
    <t>Conso. Semences 105 (MAD)</t>
  </si>
  <si>
    <t>Conso. Semences 106 (MAD)</t>
  </si>
  <si>
    <t>Conso. Semences 107 (MAD)</t>
  </si>
  <si>
    <t>Conso. Semences 114 (MAD)</t>
  </si>
  <si>
    <t>Conso. Semences  (MAD)</t>
  </si>
  <si>
    <t>Chiffre d'affaires  (MAD)</t>
  </si>
  <si>
    <t>Conso. Plants  (MAD)</t>
  </si>
  <si>
    <t>Conso. plants à l'ha (MAD/ha)</t>
  </si>
  <si>
    <t>Conso. plants 104 (MAD)</t>
  </si>
  <si>
    <t>Conso. plants 105 (MAD)</t>
  </si>
  <si>
    <t>Conso. plants 106 (MAD)</t>
  </si>
  <si>
    <t>Conso. plants 107 (MAD)</t>
  </si>
  <si>
    <t>Conso. plants 114 (MAD)</t>
  </si>
  <si>
    <t>Conso. Engrais  (MAD)</t>
  </si>
  <si>
    <t>Conso. engrais 104 (MAD)</t>
  </si>
  <si>
    <t>Conso. engrais à l'ha (MAD/ha)</t>
  </si>
  <si>
    <t>Conso. engrais 114 (MAD)</t>
  </si>
  <si>
    <t>Conso. engrais 107 (MAD)</t>
  </si>
  <si>
    <t>Conso. engrais 106 (MAD)</t>
  </si>
  <si>
    <t>Conso. engrais 105 (MAD)</t>
  </si>
  <si>
    <t>Conso. Phyto  (MAD)</t>
  </si>
  <si>
    <t>Conso. Phyto à l'ha (MAD/ha)</t>
  </si>
  <si>
    <t>Conso. Phyto 104 (MAD)</t>
  </si>
  <si>
    <t>Conso. Phyto 105 (MAD)</t>
  </si>
  <si>
    <t>Conso. Phyto 106 (MAD)</t>
  </si>
  <si>
    <t>Conso. Phyto 107 (MAD)</t>
  </si>
  <si>
    <t>Conso. Phyto 114 (MAD)</t>
  </si>
  <si>
    <t xml:space="preserve">
BUDGET 
BUDGET PHYTO</t>
  </si>
  <si>
    <t>Conso. Insectes Auxiliaires  (MAD)</t>
  </si>
  <si>
    <t>Conso. Insectes Auxiliaires à l'ha (MAD/ha)</t>
  </si>
  <si>
    <t>Conso. Insectes Auxiliaires 104 (MAD)</t>
  </si>
  <si>
    <t>Conso. Insectes Auxiliaires 105 (MAD)</t>
  </si>
  <si>
    <t>Conso. Insectes Auxiliaires 106 (MAD)</t>
  </si>
  <si>
    <t>Conso. Insectes Auxiliaires 107 (MAD)</t>
  </si>
  <si>
    <t>Conso. Insectes Auxiliaires 114 (MAD)</t>
  </si>
  <si>
    <t xml:space="preserve">
BUDGET 
BUDGET INSECTES AUXILIAIRES</t>
  </si>
  <si>
    <t xml:space="preserve">
BUDGET 
BUDGET Ruches </t>
  </si>
  <si>
    <t>Conso. Ruches (MAD)</t>
  </si>
  <si>
    <t>Conso. Ruches à l'ha (MAD/ha)</t>
  </si>
  <si>
    <t>Conso. Ruches 104 (MAD)</t>
  </si>
  <si>
    <t>Conso. Ruches 105 (MAD)</t>
  </si>
  <si>
    <t>Conso. Ruches 106 (MAD)</t>
  </si>
  <si>
    <t>Conso. Ruches 107 (MAD)</t>
  </si>
  <si>
    <t>Conso. Ruches 114 (MAD)</t>
  </si>
  <si>
    <t>Fres Agri.  (MAD)</t>
  </si>
  <si>
    <t>Fres Agri. 104 (MAD)</t>
  </si>
  <si>
    <t>Fres Agri. 105 (MAD)</t>
  </si>
  <si>
    <t>Fres Agri. 106 (MAD)</t>
  </si>
  <si>
    <t>Fres Agri. 107 (MAD)</t>
  </si>
  <si>
    <t>Fres Agri. 114 (MAD)</t>
  </si>
  <si>
    <t>25/26</t>
  </si>
  <si>
    <t>Energie  (MAD)</t>
  </si>
  <si>
    <t>Energie 104 (MAD)</t>
  </si>
  <si>
    <t>Energie 105 (MAD)</t>
  </si>
  <si>
    <t>Energie 106 (MAD)</t>
  </si>
  <si>
    <t>Energie 107 (MAD)</t>
  </si>
  <si>
    <t>Energie 114 (MAD)</t>
  </si>
  <si>
    <t>Entretien 114 (MAD)</t>
  </si>
  <si>
    <t>Entretien 107 (MAD)</t>
  </si>
  <si>
    <t>Entretien 106 (MAD)</t>
  </si>
  <si>
    <t>Entretien 105 (MAD)</t>
  </si>
  <si>
    <t>Entretien 104 (MAD)</t>
  </si>
  <si>
    <t>Entretien  (MAD)</t>
  </si>
  <si>
    <t>Loy. Fermes  (MAD)</t>
  </si>
  <si>
    <t>Loy. Fermes 104 (MAD)</t>
  </si>
  <si>
    <t>Loy. Fermes 105 (MAD)</t>
  </si>
  <si>
    <t>Loy. Fermes 106 (MAD)</t>
  </si>
  <si>
    <t>Loy. Fermes 107 (MAD)</t>
  </si>
  <si>
    <t>Loy. Fermes 114 (MAD)</t>
  </si>
  <si>
    <t>MOD 104 (MAD)</t>
  </si>
  <si>
    <t>Main d'œuvre directe (MAD)</t>
  </si>
  <si>
    <t>MOD 105 (MAD)</t>
  </si>
  <si>
    <t>MOD 106 (MAD)</t>
  </si>
  <si>
    <t>MOD 107 (MAD)</t>
  </si>
  <si>
    <t>MOD 114 (MAD)</t>
  </si>
  <si>
    <t>S25</t>
  </si>
  <si>
    <t>S26</t>
  </si>
  <si>
    <t>S27</t>
  </si>
  <si>
    <t>S28</t>
  </si>
  <si>
    <t>S29</t>
  </si>
  <si>
    <t>TRANSPORT SUR VENTES (MAD)</t>
  </si>
  <si>
    <t>104 (MAD)</t>
  </si>
  <si>
    <t>105 (MAD)</t>
  </si>
  <si>
    <t>106 (MAD)</t>
  </si>
  <si>
    <t>107 (MAD)</t>
  </si>
  <si>
    <t>114 (MAD)</t>
  </si>
  <si>
    <t>Volumes export (KG)</t>
  </si>
  <si>
    <t>PMV (MAD/KG)</t>
  </si>
  <si>
    <t>Rendement prévu (Kg/ha)</t>
  </si>
  <si>
    <t>VOLUMES EXPORT 104 (Kg)</t>
  </si>
  <si>
    <t>VOLUMES EXPORT TOTAL (Kg)</t>
  </si>
  <si>
    <t>VOLUMES EXPORT 114 (Kg)</t>
  </si>
  <si>
    <t>VOLUMES EXPORT 107 (Kg)</t>
  </si>
  <si>
    <t>VOLUMES EXPORT 106 (Kg)</t>
  </si>
  <si>
    <t>VOLUMES EXPORT 105 (Kg)</t>
  </si>
  <si>
    <t>CA EXPORT(MAD)</t>
  </si>
  <si>
    <t>CA MARCHE LOCAL</t>
  </si>
  <si>
    <r>
      <t xml:space="preserve">
</t>
    </r>
    <r>
      <rPr>
        <b/>
        <u/>
        <sz val="9"/>
        <color theme="3"/>
        <rFont val="Calibri"/>
        <family val="2"/>
        <scheme val="minor"/>
      </rPr>
      <t>BUDGET 
BUDGET COMMERCIAL ML</t>
    </r>
  </si>
  <si>
    <t>Volumes ML (KG)</t>
  </si>
  <si>
    <r>
      <t xml:space="preserve">
BUDGET
</t>
    </r>
    <r>
      <rPr>
        <b/>
        <u/>
        <sz val="9"/>
        <color theme="3"/>
        <rFont val="Calibri"/>
        <family val="2"/>
        <scheme val="minor"/>
      </rPr>
      <t>BUDGET VOLUMES ML</t>
    </r>
  </si>
  <si>
    <r>
      <t xml:space="preserve">
</t>
    </r>
    <r>
      <rPr>
        <b/>
        <u/>
        <sz val="9"/>
        <color theme="3"/>
        <rFont val="Calibri"/>
        <family val="2"/>
        <scheme val="minor"/>
      </rPr>
      <t>BUDGET 
BUDGET COMMERCIAL EXP</t>
    </r>
  </si>
  <si>
    <t>CA MARCHE LOCAL(MAD)</t>
  </si>
  <si>
    <t>TOTAL SUPERFICIE PRODUCTIVE 104 (ha)</t>
  </si>
  <si>
    <t>TOTAL SUPERFICIE PRODUCTIVE 105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</si>
</sst>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"/>
    <numFmt numFmtId="165" formatCode="[$-40C]mmm\-yy;@"/>
    <numFmt numFmtId="166" formatCode="dd/mm/yy;@"/>
    <numFmt numFmtId="167" formatCode="[$-40C]mmmm\-yy;@"/>
    <numFmt numFmtId="168" formatCode="0.0%"/>
    <numFmt numFmtId="169" formatCode="#,##0.000000"/>
    <numFmt numFmtId="170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  <scheme val="minor"/>
    </font>
    <font>
      <b/>
      <u/>
      <sz val="9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b/>
      <i/>
      <sz val="9"/>
      <color theme="3"/>
      <name val="Calibri"/>
      <family val="2"/>
      <scheme val="minor"/>
    </font>
    <font>
      <b/>
      <sz val="7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3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23" fillId="0" borderId="0"/>
    <xf numFmtId="43" fontId="17" fillId="0" borderId="0" applyFont="0" applyFill="0" applyBorder="0" applyAlignment="0" applyProtection="0"/>
  </cellStyleXfs>
  <cellXfs count="3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3" fillId="2" borderId="1" xfId="0" applyFont="1" applyFill="1" applyBorder="1"/>
    <xf numFmtId="164" fontId="4" fillId="3" borderId="0" xfId="0" applyNumberFormat="1" applyFont="1" applyFill="1"/>
    <xf numFmtId="164" fontId="4" fillId="4" borderId="0" xfId="0" applyNumberFormat="1" applyFont="1" applyFill="1"/>
    <xf numFmtId="3" fontId="4" fillId="3" borderId="0" xfId="0" applyNumberFormat="1" applyFont="1" applyFill="1"/>
    <xf numFmtId="3" fontId="4" fillId="4" borderId="0" xfId="0" applyNumberFormat="1" applyFont="1" applyFill="1"/>
    <xf numFmtId="3" fontId="1" fillId="3" borderId="0" xfId="0" applyNumberFormat="1" applyFont="1" applyFill="1"/>
    <xf numFmtId="3" fontId="1" fillId="4" borderId="0" xfId="0" applyNumberFormat="1" applyFont="1" applyFill="1"/>
    <xf numFmtId="3" fontId="5" fillId="3" borderId="0" xfId="0" applyNumberFormat="1" applyFont="1" applyFill="1"/>
    <xf numFmtId="3" fontId="5" fillId="4" borderId="0" xfId="0" applyNumberFormat="1" applyFont="1" applyFill="1"/>
    <xf numFmtId="0" fontId="0" fillId="5" borderId="0" xfId="0" applyFill="1"/>
    <xf numFmtId="3" fontId="2" fillId="3" borderId="0" xfId="0" applyNumberFormat="1" applyFont="1" applyFill="1"/>
    <xf numFmtId="3" fontId="2" fillId="4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3" fontId="6" fillId="4" borderId="0" xfId="0" applyNumberFormat="1" applyFont="1" applyFill="1"/>
    <xf numFmtId="164" fontId="4" fillId="6" borderId="0" xfId="0" applyNumberFormat="1" applyFont="1" applyFill="1"/>
    <xf numFmtId="3" fontId="4" fillId="6" borderId="0" xfId="0" applyNumberFormat="1" applyFont="1" applyFill="1"/>
    <xf numFmtId="0" fontId="0" fillId="6" borderId="0" xfId="0" applyFill="1"/>
    <xf numFmtId="165" fontId="3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0" fontId="3" fillId="2" borderId="0" xfId="0" applyFont="1" applyFill="1"/>
    <xf numFmtId="164" fontId="3" fillId="3" borderId="0" xfId="0" applyNumberFormat="1" applyFont="1" applyFill="1"/>
    <xf numFmtId="164" fontId="3" fillId="4" borderId="0" xfId="0" applyNumberFormat="1" applyFont="1" applyFill="1"/>
    <xf numFmtId="3" fontId="3" fillId="3" borderId="0" xfId="0" applyNumberFormat="1" applyFont="1" applyFill="1"/>
    <xf numFmtId="3" fontId="3" fillId="4" borderId="0" xfId="0" applyNumberFormat="1" applyFont="1" applyFill="1"/>
    <xf numFmtId="3" fontId="3" fillId="6" borderId="0" xfId="0" applyNumberFormat="1" applyFont="1" applyFill="1"/>
    <xf numFmtId="0" fontId="7" fillId="2" borderId="0" xfId="0" applyFont="1" applyFill="1"/>
    <xf numFmtId="3" fontId="7" fillId="3" borderId="0" xfId="0" applyNumberFormat="1" applyFont="1" applyFill="1"/>
    <xf numFmtId="3" fontId="7" fillId="4" borderId="0" xfId="0" applyNumberFormat="1" applyFont="1" applyFill="1"/>
    <xf numFmtId="0" fontId="7" fillId="3" borderId="0" xfId="0" applyFont="1" applyFill="1"/>
    <xf numFmtId="0" fontId="7" fillId="4" borderId="0" xfId="0" applyFont="1" applyFill="1"/>
    <xf numFmtId="4" fontId="0" fillId="2" borderId="0" xfId="0" applyNumberFormat="1" applyFill="1"/>
    <xf numFmtId="4" fontId="7" fillId="3" borderId="0" xfId="0" applyNumberFormat="1" applyFont="1" applyFill="1"/>
    <xf numFmtId="4" fontId="7" fillId="4" borderId="0" xfId="0" applyNumberFormat="1" applyFont="1" applyFill="1"/>
    <xf numFmtId="3" fontId="7" fillId="7" borderId="0" xfId="0" applyNumberFormat="1" applyFont="1" applyFill="1"/>
    <xf numFmtId="4" fontId="3" fillId="3" borderId="0" xfId="0" applyNumberFormat="1" applyFont="1" applyFill="1"/>
    <xf numFmtId="4" fontId="3" fillId="4" borderId="0" xfId="0" applyNumberFormat="1" applyFont="1" applyFill="1"/>
    <xf numFmtId="164" fontId="7" fillId="3" borderId="0" xfId="0" applyNumberFormat="1" applyFont="1" applyFill="1"/>
    <xf numFmtId="3" fontId="6" fillId="6" borderId="0" xfId="0" applyNumberFormat="1" applyFont="1" applyFill="1"/>
    <xf numFmtId="3" fontId="1" fillId="6" borderId="0" xfId="0" applyNumberFormat="1" applyFont="1" applyFill="1"/>
    <xf numFmtId="3" fontId="6" fillId="7" borderId="0" xfId="0" applyNumberFormat="1" applyFont="1" applyFill="1"/>
    <xf numFmtId="3" fontId="7" fillId="7" borderId="0" xfId="0" applyNumberFormat="1" applyFont="1" applyFill="1" applyAlignment="1">
      <alignment horizontal="center"/>
    </xf>
    <xf numFmtId="3" fontId="0" fillId="2" borderId="0" xfId="0" applyNumberFormat="1" applyFill="1"/>
    <xf numFmtId="4" fontId="6" fillId="3" borderId="0" xfId="0" applyNumberFormat="1" applyFont="1" applyFill="1"/>
    <xf numFmtId="4" fontId="6" fillId="4" borderId="0" xfId="0" applyNumberFormat="1" applyFont="1" applyFill="1"/>
    <xf numFmtId="4" fontId="6" fillId="6" borderId="0" xfId="0" applyNumberFormat="1" applyFont="1" applyFill="1"/>
    <xf numFmtId="0" fontId="8" fillId="2" borderId="0" xfId="0" applyFont="1" applyFill="1"/>
    <xf numFmtId="0" fontId="9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9" fillId="6" borderId="0" xfId="0" applyFont="1" applyFill="1"/>
    <xf numFmtId="0" fontId="3" fillId="2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7" fillId="7" borderId="0" xfId="0" applyFont="1" applyFill="1"/>
    <xf numFmtId="166" fontId="7" fillId="2" borderId="0" xfId="0" applyNumberFormat="1" applyFont="1" applyFill="1"/>
    <xf numFmtId="2" fontId="7" fillId="2" borderId="0" xfId="0" applyNumberFormat="1" applyFont="1" applyFill="1"/>
    <xf numFmtId="4" fontId="7" fillId="2" borderId="0" xfId="0" applyNumberFormat="1" applyFont="1" applyFill="1"/>
    <xf numFmtId="0" fontId="12" fillId="2" borderId="0" xfId="0" applyFont="1" applyFill="1"/>
    <xf numFmtId="1" fontId="12" fillId="2" borderId="0" xfId="0" applyNumberFormat="1" applyFont="1" applyFill="1"/>
    <xf numFmtId="0" fontId="3" fillId="8" borderId="0" xfId="0" applyFont="1" applyFill="1"/>
    <xf numFmtId="0" fontId="7" fillId="8" borderId="0" xfId="0" applyFont="1" applyFill="1"/>
    <xf numFmtId="2" fontId="3" fillId="10" borderId="0" xfId="0" applyNumberFormat="1" applyFont="1" applyFill="1" applyAlignment="1">
      <alignment horizontal="center"/>
    </xf>
    <xf numFmtId="0" fontId="6" fillId="3" borderId="2" xfId="0" applyFont="1" applyFill="1" applyBorder="1" applyAlignment="1">
      <alignment vertical="top" wrapText="1"/>
    </xf>
    <xf numFmtId="165" fontId="3" fillId="2" borderId="0" xfId="0" applyNumberFormat="1" applyFont="1" applyFill="1" applyAlignment="1">
      <alignment horizontal="center"/>
    </xf>
    <xf numFmtId="2" fontId="2" fillId="2" borderId="0" xfId="0" applyNumberFormat="1" applyFont="1" applyFill="1"/>
    <xf numFmtId="0" fontId="3" fillId="9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4" fontId="12" fillId="2" borderId="0" xfId="0" applyNumberFormat="1" applyFont="1" applyFill="1"/>
    <xf numFmtId="9" fontId="7" fillId="2" borderId="0" xfId="0" applyNumberFormat="1" applyFont="1" applyFill="1"/>
    <xf numFmtId="4" fontId="2" fillId="9" borderId="0" xfId="0" applyNumberFormat="1" applyFont="1" applyFill="1" applyAlignment="1">
      <alignment horizontal="center"/>
    </xf>
    <xf numFmtId="3" fontId="2" fillId="9" borderId="0" xfId="0" applyNumberFormat="1" applyFont="1" applyFill="1"/>
    <xf numFmtId="3" fontId="2" fillId="11" borderId="0" xfId="0" applyNumberFormat="1" applyFont="1" applyFill="1" applyAlignment="1">
      <alignment horizontal="center"/>
    </xf>
    <xf numFmtId="3" fontId="2" fillId="11" borderId="0" xfId="0" applyNumberFormat="1" applyFont="1" applyFill="1"/>
    <xf numFmtId="3" fontId="2" fillId="11" borderId="0" xfId="0" applyNumberFormat="1" applyFont="1" applyFill="1" applyAlignment="1">
      <alignment horizontal="right"/>
    </xf>
    <xf numFmtId="3" fontId="2" fillId="8" borderId="0" xfId="0" applyNumberFormat="1" applyFont="1" applyFill="1"/>
    <xf numFmtId="164" fontId="2" fillId="11" borderId="0" xfId="0" applyNumberFormat="1" applyFont="1" applyFill="1" applyAlignment="1">
      <alignment horizontal="center"/>
    </xf>
    <xf numFmtId="164" fontId="2" fillId="11" borderId="0" xfId="0" applyNumberFormat="1" applyFont="1" applyFill="1"/>
    <xf numFmtId="4" fontId="2" fillId="11" borderId="0" xfId="0" applyNumberFormat="1" applyFont="1" applyFill="1" applyAlignment="1">
      <alignment horizontal="center"/>
    </xf>
    <xf numFmtId="4" fontId="2" fillId="2" borderId="0" xfId="0" applyNumberFormat="1" applyFont="1" applyFill="1"/>
    <xf numFmtId="164" fontId="2" fillId="9" borderId="0" xfId="0" applyNumberFormat="1" applyFont="1" applyFill="1"/>
    <xf numFmtId="0" fontId="15" fillId="12" borderId="0" xfId="0" applyFont="1" applyFill="1"/>
    <xf numFmtId="4" fontId="15" fillId="12" borderId="0" xfId="0" applyNumberFormat="1" applyFont="1" applyFill="1"/>
    <xf numFmtId="3" fontId="15" fillId="12" borderId="0" xfId="0" applyNumberFormat="1" applyFont="1" applyFill="1"/>
    <xf numFmtId="0" fontId="14" fillId="2" borderId="0" xfId="0" applyFont="1" applyFill="1"/>
    <xf numFmtId="4" fontId="14" fillId="2" borderId="0" xfId="0" applyNumberFormat="1" applyFont="1" applyFill="1"/>
    <xf numFmtId="4" fontId="6" fillId="2" borderId="0" xfId="0" applyNumberFormat="1" applyFont="1" applyFill="1"/>
    <xf numFmtId="4" fontId="2" fillId="8" borderId="0" xfId="0" applyNumberFormat="1" applyFont="1" applyFill="1"/>
    <xf numFmtId="4" fontId="6" fillId="11" borderId="0" xfId="0" applyNumberFormat="1" applyFont="1" applyFill="1"/>
    <xf numFmtId="0" fontId="14" fillId="13" borderId="0" xfId="0" applyFont="1" applyFill="1"/>
    <xf numFmtId="4" fontId="14" fillId="13" borderId="0" xfId="0" applyNumberFormat="1" applyFont="1" applyFill="1"/>
    <xf numFmtId="4" fontId="6" fillId="13" borderId="0" xfId="0" applyNumberFormat="1" applyFont="1" applyFill="1"/>
    <xf numFmtId="0" fontId="6" fillId="11" borderId="0" xfId="0" applyFont="1" applyFill="1" applyAlignment="1">
      <alignment horizontal="left"/>
    </xf>
    <xf numFmtId="4" fontId="6" fillId="11" borderId="0" xfId="0" applyNumberFormat="1" applyFont="1" applyFill="1" applyAlignment="1">
      <alignment horizontal="center"/>
    </xf>
    <xf numFmtId="0" fontId="14" fillId="11" borderId="0" xfId="0" applyFont="1" applyFill="1" applyAlignment="1">
      <alignment horizontal="left"/>
    </xf>
    <xf numFmtId="4" fontId="14" fillId="11" borderId="0" xfId="0" applyNumberFormat="1" applyFont="1" applyFill="1" applyAlignment="1">
      <alignment horizontal="center"/>
    </xf>
    <xf numFmtId="3" fontId="14" fillId="11" borderId="0" xfId="0" applyNumberFormat="1" applyFont="1" applyFill="1"/>
    <xf numFmtId="0" fontId="14" fillId="8" borderId="0" xfId="0" applyFont="1" applyFill="1" applyAlignment="1">
      <alignment horizontal="left"/>
    </xf>
    <xf numFmtId="4" fontId="14" fillId="8" borderId="0" xfId="0" applyNumberFormat="1" applyFont="1" applyFill="1" applyAlignment="1">
      <alignment horizontal="center"/>
    </xf>
    <xf numFmtId="3" fontId="14" fillId="8" borderId="0" xfId="0" applyNumberFormat="1" applyFont="1" applyFill="1"/>
    <xf numFmtId="0" fontId="6" fillId="8" borderId="0" xfId="0" applyFont="1" applyFill="1" applyAlignment="1">
      <alignment horizontal="left"/>
    </xf>
    <xf numFmtId="4" fontId="6" fillId="8" borderId="0" xfId="0" applyNumberFormat="1" applyFont="1" applyFill="1" applyAlignment="1">
      <alignment horizontal="center"/>
    </xf>
    <xf numFmtId="4" fontId="6" fillId="8" borderId="0" xfId="0" applyNumberFormat="1" applyFont="1" applyFill="1"/>
    <xf numFmtId="0" fontId="6" fillId="13" borderId="0" xfId="0" applyFont="1" applyFill="1"/>
    <xf numFmtId="3" fontId="6" fillId="13" borderId="0" xfId="0" applyNumberFormat="1" applyFont="1" applyFill="1"/>
    <xf numFmtId="0" fontId="6" fillId="13" borderId="0" xfId="0" applyFont="1" applyFill="1" applyAlignment="1">
      <alignment horizontal="left"/>
    </xf>
    <xf numFmtId="4" fontId="6" fillId="13" borderId="0" xfId="0" applyNumberFormat="1" applyFont="1" applyFill="1" applyAlignment="1">
      <alignment horizontal="center"/>
    </xf>
    <xf numFmtId="0" fontId="14" fillId="13" borderId="0" xfId="0" applyFont="1" applyFill="1" applyAlignment="1">
      <alignment horizontal="left"/>
    </xf>
    <xf numFmtId="4" fontId="14" fillId="13" borderId="0" xfId="0" applyNumberFormat="1" applyFont="1" applyFill="1" applyAlignment="1">
      <alignment horizontal="center"/>
    </xf>
    <xf numFmtId="3" fontId="14" fillId="13" borderId="0" xfId="0" applyNumberFormat="1" applyFont="1" applyFill="1"/>
    <xf numFmtId="0" fontId="16" fillId="2" borderId="0" xfId="0" applyFont="1" applyFill="1"/>
    <xf numFmtId="4" fontId="16" fillId="2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2" fillId="6" borderId="0" xfId="0" applyFont="1" applyFill="1"/>
    <xf numFmtId="0" fontId="12" fillId="3" borderId="0" xfId="0" applyFont="1" applyFill="1"/>
    <xf numFmtId="0" fontId="12" fillId="4" borderId="0" xfId="0" applyFont="1" applyFill="1"/>
    <xf numFmtId="0" fontId="12" fillId="6" borderId="0" xfId="0" applyFont="1" applyFill="1"/>
    <xf numFmtId="0" fontId="18" fillId="3" borderId="0" xfId="0" applyFont="1" applyFill="1"/>
    <xf numFmtId="0" fontId="18" fillId="4" borderId="0" xfId="0" applyFont="1" applyFill="1"/>
    <xf numFmtId="0" fontId="18" fillId="6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6" borderId="0" xfId="0" applyFont="1" applyFill="1"/>
    <xf numFmtId="2" fontId="6" fillId="3" borderId="0" xfId="0" applyNumberFormat="1" applyFont="1" applyFill="1"/>
    <xf numFmtId="2" fontId="6" fillId="4" borderId="0" xfId="0" applyNumberFormat="1" applyFont="1" applyFill="1"/>
    <xf numFmtId="0" fontId="19" fillId="2" borderId="0" xfId="0" applyFont="1" applyFill="1"/>
    <xf numFmtId="0" fontId="13" fillId="2" borderId="0" xfId="0" applyFont="1" applyFill="1"/>
    <xf numFmtId="9" fontId="4" fillId="6" borderId="0" xfId="1" applyFont="1" applyFill="1" applyBorder="1"/>
    <xf numFmtId="9" fontId="3" fillId="6" borderId="0" xfId="1" applyFont="1" applyFill="1" applyBorder="1"/>
    <xf numFmtId="9" fontId="1" fillId="6" borderId="0" xfId="1" applyFont="1" applyFill="1" applyBorder="1"/>
    <xf numFmtId="9" fontId="6" fillId="6" borderId="0" xfId="1" applyFont="1" applyFill="1" applyBorder="1"/>
    <xf numFmtId="0" fontId="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64" fontId="20" fillId="2" borderId="0" xfId="0" applyNumberFormat="1" applyFont="1" applyFill="1" applyAlignment="1">
      <alignment horizontal="center"/>
    </xf>
    <xf numFmtId="3" fontId="20" fillId="2" borderId="0" xfId="0" applyNumberFormat="1" applyFont="1" applyFill="1" applyAlignment="1">
      <alignment horizontal="center"/>
    </xf>
    <xf numFmtId="164" fontId="20" fillId="5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3" fontId="21" fillId="8" borderId="0" xfId="0" applyNumberFormat="1" applyFont="1" applyFill="1" applyAlignment="1">
      <alignment horizontal="right"/>
    </xf>
    <xf numFmtId="3" fontId="2" fillId="8" borderId="0" xfId="0" applyNumberFormat="1" applyFont="1" applyFill="1" applyAlignment="1">
      <alignment horizontal="right"/>
    </xf>
    <xf numFmtId="3" fontId="22" fillId="8" borderId="0" xfId="0" applyNumberFormat="1" applyFont="1" applyFill="1" applyAlignment="1">
      <alignment horizontal="right"/>
    </xf>
    <xf numFmtId="9" fontId="21" fillId="8" borderId="0" xfId="1" applyFont="1" applyFill="1" applyAlignment="1">
      <alignment horizontal="right"/>
    </xf>
    <xf numFmtId="164" fontId="21" fillId="8" borderId="0" xfId="0" applyNumberFormat="1" applyFont="1" applyFill="1" applyAlignment="1">
      <alignment horizontal="right"/>
    </xf>
    <xf numFmtId="0" fontId="22" fillId="11" borderId="0" xfId="0" applyFont="1" applyFill="1" applyAlignment="1">
      <alignment horizontal="left"/>
    </xf>
    <xf numFmtId="0" fontId="24" fillId="2" borderId="0" xfId="0" applyFont="1" applyFill="1"/>
    <xf numFmtId="0" fontId="24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right"/>
    </xf>
    <xf numFmtId="0" fontId="25" fillId="2" borderId="0" xfId="0" applyFont="1" applyFill="1"/>
    <xf numFmtId="0" fontId="26" fillId="2" borderId="0" xfId="0" applyFont="1" applyFill="1"/>
    <xf numFmtId="167" fontId="26" fillId="2" borderId="0" xfId="0" applyNumberFormat="1" applyFont="1" applyFill="1"/>
    <xf numFmtId="0" fontId="26" fillId="5" borderId="0" xfId="0" applyFont="1" applyFill="1"/>
    <xf numFmtId="167" fontId="6" fillId="2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2" fillId="2" borderId="0" xfId="0" applyNumberFormat="1" applyFont="1" applyFill="1"/>
    <xf numFmtId="3" fontId="7" fillId="2" borderId="0" xfId="0" applyNumberFormat="1" applyFont="1" applyFill="1"/>
    <xf numFmtId="0" fontId="27" fillId="3" borderId="0" xfId="0" applyFont="1" applyFill="1"/>
    <xf numFmtId="0" fontId="27" fillId="4" borderId="0" xfId="0" applyFont="1" applyFill="1"/>
    <xf numFmtId="9" fontId="27" fillId="6" borderId="0" xfId="1" applyFont="1" applyFill="1" applyBorder="1"/>
    <xf numFmtId="3" fontId="6" fillId="2" borderId="0" xfId="0" applyNumberFormat="1" applyFont="1" applyFill="1"/>
    <xf numFmtId="3" fontId="26" fillId="2" borderId="0" xfId="0" applyNumberFormat="1" applyFont="1" applyFill="1"/>
    <xf numFmtId="3" fontId="26" fillId="5" borderId="0" xfId="0" applyNumberFormat="1" applyFont="1" applyFill="1"/>
    <xf numFmtId="164" fontId="22" fillId="8" borderId="0" xfId="0" applyNumberFormat="1" applyFont="1" applyFill="1" applyAlignment="1">
      <alignment horizontal="right"/>
    </xf>
    <xf numFmtId="4" fontId="20" fillId="2" borderId="0" xfId="0" applyNumberFormat="1" applyFont="1" applyFill="1" applyAlignment="1">
      <alignment horizontal="center"/>
    </xf>
    <xf numFmtId="0" fontId="7" fillId="0" borderId="0" xfId="0" applyFont="1"/>
    <xf numFmtId="4" fontId="21" fillId="8" borderId="0" xfId="0" applyNumberFormat="1" applyFont="1" applyFill="1" applyAlignment="1">
      <alignment horizontal="right"/>
    </xf>
    <xf numFmtId="3" fontId="12" fillId="2" borderId="0" xfId="0" applyNumberFormat="1" applyFont="1" applyFill="1"/>
    <xf numFmtId="3" fontId="12" fillId="3" borderId="0" xfId="0" applyNumberFormat="1" applyFont="1" applyFill="1"/>
    <xf numFmtId="3" fontId="9" fillId="3" borderId="0" xfId="0" applyNumberFormat="1" applyFont="1" applyFill="1"/>
    <xf numFmtId="3" fontId="12" fillId="4" borderId="0" xfId="0" applyNumberFormat="1" applyFont="1" applyFill="1"/>
    <xf numFmtId="3" fontId="9" fillId="4" borderId="0" xfId="0" applyNumberFormat="1" applyFont="1" applyFill="1"/>
    <xf numFmtId="0" fontId="3" fillId="0" borderId="0" xfId="0" applyFont="1" applyAlignment="1">
      <alignment horizontal="center" vertical="top" wrapText="1"/>
    </xf>
    <xf numFmtId="14" fontId="7" fillId="0" borderId="0" xfId="0" applyNumberFormat="1" applyFont="1"/>
    <xf numFmtId="4" fontId="7" fillId="0" borderId="0" xfId="0" applyNumberFormat="1" applyFont="1"/>
    <xf numFmtId="9" fontId="7" fillId="0" borderId="0" xfId="1" applyFont="1" applyFill="1"/>
    <xf numFmtId="4" fontId="3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3" fontId="0" fillId="14" borderId="0" xfId="0" applyNumberFormat="1" applyFill="1"/>
    <xf numFmtId="3" fontId="28" fillId="14" borderId="0" xfId="0" applyNumberFormat="1" applyFont="1" applyFill="1"/>
    <xf numFmtId="0" fontId="7" fillId="14" borderId="0" xfId="0" applyFont="1" applyFill="1"/>
    <xf numFmtId="0" fontId="7" fillId="14" borderId="0" xfId="0" applyFont="1" applyFill="1" applyAlignment="1">
      <alignment horizontal="right"/>
    </xf>
    <xf numFmtId="14" fontId="7" fillId="14" borderId="0" xfId="0" applyNumberFormat="1" applyFont="1" applyFill="1"/>
    <xf numFmtId="4" fontId="7" fillId="14" borderId="0" xfId="0" applyNumberFormat="1" applyFont="1" applyFill="1"/>
    <xf numFmtId="9" fontId="7" fillId="14" borderId="0" xfId="1" applyFont="1" applyFill="1"/>
    <xf numFmtId="9" fontId="3" fillId="0" borderId="0" xfId="1" applyFont="1" applyFill="1"/>
    <xf numFmtId="0" fontId="0" fillId="14" borderId="0" xfId="0" applyFill="1"/>
    <xf numFmtId="4" fontId="28" fillId="14" borderId="0" xfId="0" applyNumberFormat="1" applyFont="1" applyFill="1"/>
    <xf numFmtId="168" fontId="1" fillId="6" borderId="0" xfId="1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2" borderId="3" xfId="0" applyFont="1" applyFill="1" applyBorder="1"/>
    <xf numFmtId="3" fontId="4" fillId="3" borderId="3" xfId="0" applyNumberFormat="1" applyFont="1" applyFill="1" applyBorder="1"/>
    <xf numFmtId="3" fontId="4" fillId="4" borderId="3" xfId="0" applyNumberFormat="1" applyFont="1" applyFill="1" applyBorder="1"/>
    <xf numFmtId="3" fontId="3" fillId="6" borderId="3" xfId="0" applyNumberFormat="1" applyFont="1" applyFill="1" applyBorder="1"/>
    <xf numFmtId="9" fontId="3" fillId="6" borderId="3" xfId="1" applyFont="1" applyFill="1" applyBorder="1"/>
    <xf numFmtId="3" fontId="29" fillId="3" borderId="0" xfId="0" applyNumberFormat="1" applyFont="1" applyFill="1"/>
    <xf numFmtId="3" fontId="29" fillId="4" borderId="0" xfId="0" applyNumberFormat="1" applyFont="1" applyFill="1"/>
    <xf numFmtId="3" fontId="15" fillId="6" borderId="0" xfId="0" applyNumberFormat="1" applyFont="1" applyFill="1"/>
    <xf numFmtId="9" fontId="15" fillId="6" borderId="0" xfId="1" applyFont="1" applyFill="1" applyBorder="1"/>
    <xf numFmtId="0" fontId="15" fillId="2" borderId="0" xfId="0" applyFont="1" applyFill="1"/>
    <xf numFmtId="9" fontId="29" fillId="3" borderId="0" xfId="1" applyFont="1" applyFill="1" applyBorder="1"/>
    <xf numFmtId="9" fontId="29" fillId="4" borderId="0" xfId="1" applyFont="1" applyFill="1" applyBorder="1"/>
    <xf numFmtId="9" fontId="29" fillId="6" borderId="0" xfId="1" applyFont="1" applyFill="1" applyBorder="1"/>
    <xf numFmtId="0" fontId="30" fillId="2" borderId="1" xfId="0" applyFont="1" applyFill="1" applyBorder="1"/>
    <xf numFmtId="0" fontId="31" fillId="2" borderId="0" xfId="0" applyFont="1" applyFill="1"/>
    <xf numFmtId="3" fontId="31" fillId="6" borderId="0" xfId="0" applyNumberFormat="1" applyFont="1" applyFill="1"/>
    <xf numFmtId="3" fontId="31" fillId="3" borderId="0" xfId="0" applyNumberFormat="1" applyFont="1" applyFill="1"/>
    <xf numFmtId="3" fontId="31" fillId="4" borderId="0" xfId="0" applyNumberFormat="1" applyFont="1" applyFill="1"/>
    <xf numFmtId="9" fontId="31" fillId="6" borderId="0" xfId="1" applyFont="1" applyFill="1" applyBorder="1"/>
    <xf numFmtId="0" fontId="24" fillId="3" borderId="0" xfId="0" applyFont="1" applyFill="1"/>
    <xf numFmtId="0" fontId="24" fillId="4" borderId="0" xfId="0" applyFont="1" applyFill="1"/>
    <xf numFmtId="0" fontId="24" fillId="6" borderId="0" xfId="0" applyFont="1" applyFill="1"/>
    <xf numFmtId="3" fontId="24" fillId="6" borderId="0" xfId="0" applyNumberFormat="1" applyFont="1" applyFill="1"/>
    <xf numFmtId="0" fontId="3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4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11" borderId="4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left"/>
    </xf>
    <xf numFmtId="0" fontId="3" fillId="8" borderId="7" xfId="0" applyFont="1" applyFill="1" applyBorder="1"/>
    <xf numFmtId="1" fontId="2" fillId="8" borderId="0" xfId="0" applyNumberFormat="1" applyFont="1" applyFill="1" applyAlignment="1">
      <alignment horizontal="right"/>
    </xf>
    <xf numFmtId="1" fontId="2" fillId="8" borderId="8" xfId="0" applyNumberFormat="1" applyFont="1" applyFill="1" applyBorder="1" applyAlignment="1">
      <alignment horizontal="right"/>
    </xf>
    <xf numFmtId="0" fontId="7" fillId="2" borderId="7" xfId="0" applyFont="1" applyFill="1" applyBorder="1"/>
    <xf numFmtId="4" fontId="7" fillId="2" borderId="0" xfId="0" applyNumberFormat="1" applyFont="1" applyFill="1" applyAlignment="1">
      <alignment horizontal="right"/>
    </xf>
    <xf numFmtId="2" fontId="2" fillId="2" borderId="8" xfId="0" applyNumberFormat="1" applyFont="1" applyFill="1" applyBorder="1" applyAlignment="1">
      <alignment horizontal="right"/>
    </xf>
    <xf numFmtId="0" fontId="7" fillId="2" borderId="9" xfId="0" applyFont="1" applyFill="1" applyBorder="1"/>
    <xf numFmtId="3" fontId="2" fillId="11" borderId="5" xfId="0" applyNumberFormat="1" applyFont="1" applyFill="1" applyBorder="1" applyAlignment="1">
      <alignment horizontal="center"/>
    </xf>
    <xf numFmtId="3" fontId="2" fillId="11" borderId="6" xfId="0" applyNumberFormat="1" applyFont="1" applyFill="1" applyBorder="1"/>
    <xf numFmtId="3" fontId="2" fillId="8" borderId="8" xfId="0" applyNumberFormat="1" applyFont="1" applyFill="1" applyBorder="1"/>
    <xf numFmtId="2" fontId="2" fillId="2" borderId="8" xfId="0" applyNumberFormat="1" applyFont="1" applyFill="1" applyBorder="1"/>
    <xf numFmtId="4" fontId="7" fillId="2" borderId="1" xfId="0" applyNumberFormat="1" applyFont="1" applyFill="1" applyBorder="1"/>
    <xf numFmtId="2" fontId="2" fillId="2" borderId="10" xfId="0" applyNumberFormat="1" applyFont="1" applyFill="1" applyBorder="1"/>
    <xf numFmtId="164" fontId="2" fillId="11" borderId="8" xfId="0" applyNumberFormat="1" applyFont="1" applyFill="1" applyBorder="1"/>
    <xf numFmtId="4" fontId="2" fillId="11" borderId="8" xfId="0" applyNumberFormat="1" applyFont="1" applyFill="1" applyBorder="1" applyAlignment="1">
      <alignment horizontal="center"/>
    </xf>
    <xf numFmtId="0" fontId="15" fillId="12" borderId="7" xfId="0" applyFont="1" applyFill="1" applyBorder="1"/>
    <xf numFmtId="0" fontId="15" fillId="12" borderId="9" xfId="0" applyFont="1" applyFill="1" applyBorder="1"/>
    <xf numFmtId="3" fontId="15" fillId="12" borderId="1" xfId="0" applyNumberFormat="1" applyFont="1" applyFill="1" applyBorder="1"/>
    <xf numFmtId="169" fontId="21" fillId="2" borderId="0" xfId="0" applyNumberFormat="1" applyFont="1" applyFill="1" applyAlignment="1">
      <alignment horizontal="right"/>
    </xf>
    <xf numFmtId="4" fontId="21" fillId="2" borderId="0" xfId="0" applyNumberFormat="1" applyFont="1" applyFill="1" applyAlignment="1">
      <alignment horizontal="right"/>
    </xf>
    <xf numFmtId="0" fontId="33" fillId="15" borderId="0" xfId="0" applyFont="1" applyFill="1" applyAlignment="1">
      <alignment horizontal="left"/>
    </xf>
    <xf numFmtId="3" fontId="33" fillId="15" borderId="0" xfId="0" applyNumberFormat="1" applyFont="1" applyFill="1"/>
    <xf numFmtId="2" fontId="33" fillId="15" borderId="0" xfId="0" applyNumberFormat="1" applyFont="1" applyFill="1" applyAlignment="1">
      <alignment horizontal="right"/>
    </xf>
    <xf numFmtId="4" fontId="33" fillId="15" borderId="0" xfId="0" applyNumberFormat="1" applyFont="1" applyFill="1" applyAlignment="1">
      <alignment horizontal="center"/>
    </xf>
    <xf numFmtId="0" fontId="33" fillId="15" borderId="4" xfId="0" applyFont="1" applyFill="1" applyBorder="1" applyAlignment="1">
      <alignment horizontal="left"/>
    </xf>
    <xf numFmtId="3" fontId="33" fillId="15" borderId="5" xfId="0" applyNumberFormat="1" applyFont="1" applyFill="1" applyBorder="1"/>
    <xf numFmtId="3" fontId="33" fillId="15" borderId="6" xfId="0" applyNumberFormat="1" applyFont="1" applyFill="1" applyBorder="1"/>
    <xf numFmtId="0" fontId="33" fillId="15" borderId="7" xfId="0" applyFont="1" applyFill="1" applyBorder="1" applyAlignment="1">
      <alignment horizontal="left"/>
    </xf>
    <xf numFmtId="164" fontId="33" fillId="15" borderId="0" xfId="0" applyNumberFormat="1" applyFont="1" applyFill="1"/>
    <xf numFmtId="164" fontId="33" fillId="15" borderId="8" xfId="0" applyNumberFormat="1" applyFont="1" applyFill="1" applyBorder="1"/>
    <xf numFmtId="0" fontId="33" fillId="15" borderId="9" xfId="0" applyFont="1" applyFill="1" applyBorder="1" applyAlignment="1">
      <alignment horizontal="left"/>
    </xf>
    <xf numFmtId="4" fontId="33" fillId="15" borderId="1" xfId="0" applyNumberFormat="1" applyFont="1" applyFill="1" applyBorder="1" applyAlignment="1">
      <alignment horizontal="center"/>
    </xf>
    <xf numFmtId="4" fontId="33" fillId="15" borderId="10" xfId="0" applyNumberFormat="1" applyFont="1" applyFill="1" applyBorder="1" applyAlignment="1">
      <alignment horizontal="center"/>
    </xf>
    <xf numFmtId="4" fontId="21" fillId="2" borderId="1" xfId="0" applyNumberFormat="1" applyFont="1" applyFill="1" applyBorder="1" applyAlignment="1">
      <alignment horizontal="right"/>
    </xf>
    <xf numFmtId="4" fontId="2" fillId="2" borderId="8" xfId="0" applyNumberFormat="1" applyFont="1" applyFill="1" applyBorder="1"/>
    <xf numFmtId="0" fontId="14" fillId="2" borderId="7" xfId="0" applyFont="1" applyFill="1" applyBorder="1"/>
    <xf numFmtId="4" fontId="6" fillId="2" borderId="8" xfId="0" applyNumberFormat="1" applyFont="1" applyFill="1" applyBorder="1"/>
    <xf numFmtId="0" fontId="6" fillId="2" borderId="7" xfId="0" applyFont="1" applyFill="1" applyBorder="1"/>
    <xf numFmtId="4" fontId="2" fillId="8" borderId="8" xfId="0" applyNumberFormat="1" applyFont="1" applyFill="1" applyBorder="1"/>
    <xf numFmtId="4" fontId="2" fillId="2" borderId="10" xfId="0" applyNumberFormat="1" applyFont="1" applyFill="1" applyBorder="1"/>
    <xf numFmtId="3" fontId="2" fillId="11" borderId="6" xfId="0" applyNumberFormat="1" applyFont="1" applyFill="1" applyBorder="1" applyAlignment="1">
      <alignment horizontal="center"/>
    </xf>
    <xf numFmtId="164" fontId="2" fillId="11" borderId="8" xfId="0" applyNumberFormat="1" applyFont="1" applyFill="1" applyBorder="1" applyAlignment="1">
      <alignment horizontal="center"/>
    </xf>
    <xf numFmtId="170" fontId="7" fillId="0" borderId="0" xfId="3" applyNumberFormat="1" applyFont="1" applyAlignment="1">
      <alignment horizontal="right"/>
    </xf>
    <xf numFmtId="170" fontId="7" fillId="2" borderId="0" xfId="3" applyNumberFormat="1" applyFont="1" applyFill="1" applyAlignment="1">
      <alignment horizontal="right"/>
    </xf>
    <xf numFmtId="170" fontId="2" fillId="2" borderId="8" xfId="3" applyNumberFormat="1" applyFont="1" applyFill="1" applyBorder="1" applyAlignment="1">
      <alignment horizontal="right"/>
    </xf>
    <xf numFmtId="170" fontId="2" fillId="8" borderId="8" xfId="3" applyNumberFormat="1" applyFont="1" applyFill="1" applyBorder="1" applyAlignment="1">
      <alignment horizontal="right"/>
    </xf>
    <xf numFmtId="170" fontId="7" fillId="2" borderId="0" xfId="3" applyNumberFormat="1" applyFont="1" applyFill="1" applyAlignment="1">
      <alignment horizontal="right" vertical="center"/>
    </xf>
    <xf numFmtId="170" fontId="2" fillId="2" borderId="8" xfId="3" applyNumberFormat="1" applyFont="1" applyFill="1" applyBorder="1" applyAlignment="1">
      <alignment horizontal="right" vertical="center"/>
    </xf>
    <xf numFmtId="3" fontId="33" fillId="15" borderId="0" xfId="0" applyNumberFormat="1" applyFont="1" applyFill="1" applyAlignment="1">
      <alignment horizontal="right" vertical="center"/>
    </xf>
    <xf numFmtId="4" fontId="33" fillId="15" borderId="0" xfId="0" applyNumberFormat="1" applyFont="1" applyFill="1" applyAlignment="1">
      <alignment horizontal="right" vertical="center"/>
    </xf>
    <xf numFmtId="3" fontId="2" fillId="11" borderId="5" xfId="0" applyNumberFormat="1" applyFont="1" applyFill="1" applyBorder="1" applyAlignment="1">
      <alignment horizontal="right" vertical="center"/>
    </xf>
    <xf numFmtId="3" fontId="2" fillId="11" borderId="6" xfId="0" applyNumberFormat="1" applyFont="1" applyFill="1" applyBorder="1" applyAlignment="1">
      <alignment horizontal="right" vertical="center"/>
    </xf>
    <xf numFmtId="3" fontId="2" fillId="11" borderId="0" xfId="0" applyNumberFormat="1" applyFont="1" applyFill="1" applyAlignment="1">
      <alignment horizontal="right" vertical="center"/>
    </xf>
    <xf numFmtId="3" fontId="2" fillId="11" borderId="8" xfId="0" applyNumberFormat="1" applyFont="1" applyFill="1" applyBorder="1" applyAlignment="1">
      <alignment horizontal="right" vertical="center"/>
    </xf>
    <xf numFmtId="2" fontId="2" fillId="11" borderId="0" xfId="0" applyNumberFormat="1" applyFont="1" applyFill="1" applyAlignment="1">
      <alignment horizontal="right" vertical="center"/>
    </xf>
    <xf numFmtId="3" fontId="2" fillId="8" borderId="0" xfId="0" applyNumberFormat="1" applyFont="1" applyFill="1" applyAlignment="1">
      <alignment horizontal="right" vertical="center"/>
    </xf>
    <xf numFmtId="3" fontId="2" fillId="8" borderId="8" xfId="0" applyNumberFormat="1" applyFont="1" applyFill="1" applyBorder="1" applyAlignment="1">
      <alignment horizontal="right" vertical="center"/>
    </xf>
    <xf numFmtId="4" fontId="7" fillId="2" borderId="0" xfId="0" applyNumberFormat="1" applyFont="1" applyFill="1" applyAlignment="1">
      <alignment horizontal="right" vertical="center"/>
    </xf>
    <xf numFmtId="2" fontId="2" fillId="2" borderId="8" xfId="0" applyNumberFormat="1" applyFont="1" applyFill="1" applyBorder="1" applyAlignment="1">
      <alignment horizontal="right" vertical="center"/>
    </xf>
    <xf numFmtId="4" fontId="7" fillId="2" borderId="1" xfId="0" applyNumberFormat="1" applyFont="1" applyFill="1" applyBorder="1" applyAlignment="1">
      <alignment horizontal="right" vertical="center"/>
    </xf>
    <xf numFmtId="2" fontId="2" fillId="2" borderId="10" xfId="0" applyNumberFormat="1" applyFont="1" applyFill="1" applyBorder="1" applyAlignment="1">
      <alignment horizontal="right" vertical="center"/>
    </xf>
    <xf numFmtId="170" fontId="2" fillId="8" borderId="0" xfId="3" applyNumberFormat="1" applyFont="1" applyFill="1" applyBorder="1" applyAlignment="1">
      <alignment horizontal="right"/>
    </xf>
    <xf numFmtId="170" fontId="7" fillId="0" borderId="0" xfId="3" applyNumberFormat="1" applyFont="1" applyBorder="1" applyAlignment="1">
      <alignment horizontal="right"/>
    </xf>
    <xf numFmtId="170" fontId="7" fillId="2" borderId="0" xfId="3" applyNumberFormat="1" applyFont="1" applyFill="1" applyBorder="1" applyAlignment="1">
      <alignment horizontal="right"/>
    </xf>
    <xf numFmtId="170" fontId="7" fillId="0" borderId="1" xfId="3" applyNumberFormat="1" applyFont="1" applyBorder="1" applyAlignment="1">
      <alignment horizontal="right"/>
    </xf>
    <xf numFmtId="170" fontId="2" fillId="2" borderId="10" xfId="3" applyNumberFormat="1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3" fontId="33" fillId="15" borderId="0" xfId="0" applyNumberFormat="1" applyFont="1" applyFill="1" applyAlignment="1">
      <alignment horizontal="right"/>
    </xf>
    <xf numFmtId="170" fontId="33" fillId="15" borderId="0" xfId="3" applyNumberFormat="1" applyFont="1" applyFill="1" applyAlignment="1">
      <alignment horizontal="right"/>
    </xf>
    <xf numFmtId="0" fontId="3" fillId="11" borderId="11" xfId="0" applyFont="1" applyFill="1" applyBorder="1" applyAlignment="1">
      <alignment horizontal="left"/>
    </xf>
    <xf numFmtId="0" fontId="3" fillId="11" borderId="12" xfId="0" applyFont="1" applyFill="1" applyBorder="1" applyAlignment="1">
      <alignment horizontal="left"/>
    </xf>
    <xf numFmtId="0" fontId="3" fillId="8" borderId="12" xfId="0" applyFont="1" applyFill="1" applyBorder="1"/>
    <xf numFmtId="0" fontId="7" fillId="2" borderId="12" xfId="0" applyFont="1" applyFill="1" applyBorder="1"/>
    <xf numFmtId="0" fontId="7" fillId="2" borderId="13" xfId="0" applyFont="1" applyFill="1" applyBorder="1"/>
    <xf numFmtId="0" fontId="6" fillId="3" borderId="11" xfId="0" applyFont="1" applyFill="1" applyBorder="1" applyAlignment="1">
      <alignment vertical="top" wrapText="1"/>
    </xf>
    <xf numFmtId="0" fontId="33" fillId="15" borderId="11" xfId="0" applyFont="1" applyFill="1" applyBorder="1" applyAlignment="1">
      <alignment horizontal="left"/>
    </xf>
    <xf numFmtId="0" fontId="33" fillId="15" borderId="12" xfId="0" applyFont="1" applyFill="1" applyBorder="1" applyAlignment="1">
      <alignment horizontal="left"/>
    </xf>
    <xf numFmtId="0" fontId="6" fillId="3" borderId="0" xfId="0" applyFont="1" applyFill="1" applyAlignment="1">
      <alignment vertical="top" wrapText="1"/>
    </xf>
    <xf numFmtId="0" fontId="3" fillId="16" borderId="11" xfId="0" applyFont="1" applyFill="1" applyBorder="1" applyAlignment="1">
      <alignment horizontal="left"/>
    </xf>
    <xf numFmtId="3" fontId="2" fillId="16" borderId="5" xfId="0" applyNumberFormat="1" applyFont="1" applyFill="1" applyBorder="1" applyAlignment="1">
      <alignment horizontal="right"/>
    </xf>
    <xf numFmtId="3" fontId="2" fillId="16" borderId="6" xfId="0" applyNumberFormat="1" applyFont="1" applyFill="1" applyBorder="1" applyAlignment="1">
      <alignment horizontal="right"/>
    </xf>
    <xf numFmtId="0" fontId="3" fillId="16" borderId="12" xfId="0" applyFont="1" applyFill="1" applyBorder="1" applyAlignment="1">
      <alignment horizontal="left"/>
    </xf>
    <xf numFmtId="2" fontId="2" fillId="16" borderId="0" xfId="0" applyNumberFormat="1" applyFont="1" applyFill="1" applyAlignment="1">
      <alignment horizontal="right"/>
    </xf>
    <xf numFmtId="2" fontId="2" fillId="16" borderId="8" xfId="0" applyNumberFormat="1" applyFont="1" applyFill="1" applyBorder="1" applyAlignment="1">
      <alignment horizontal="right"/>
    </xf>
    <xf numFmtId="0" fontId="3" fillId="16" borderId="13" xfId="0" applyFont="1" applyFill="1" applyBorder="1" applyAlignment="1">
      <alignment horizontal="left"/>
    </xf>
    <xf numFmtId="170" fontId="2" fillId="16" borderId="10" xfId="3" applyNumberFormat="1" applyFont="1" applyFill="1" applyBorder="1" applyAlignment="1">
      <alignment horizontal="right"/>
    </xf>
    <xf numFmtId="170" fontId="2" fillId="16" borderId="1" xfId="3" applyNumberFormat="1" applyFont="1" applyFill="1" applyBorder="1" applyAlignment="1">
      <alignment horizontal="right"/>
    </xf>
    <xf numFmtId="170" fontId="33" fillId="15" borderId="0" xfId="3" applyNumberFormat="1" applyFont="1" applyFill="1" applyBorder="1" applyAlignment="1">
      <alignment horizontal="right"/>
    </xf>
    <xf numFmtId="170" fontId="33" fillId="15" borderId="8" xfId="3" applyNumberFormat="1" applyFont="1" applyFill="1" applyBorder="1" applyAlignment="1">
      <alignment horizontal="right"/>
    </xf>
    <xf numFmtId="170" fontId="2" fillId="16" borderId="0" xfId="3" applyNumberFormat="1" applyFont="1" applyFill="1" applyBorder="1" applyAlignment="1">
      <alignment horizontal="right"/>
    </xf>
    <xf numFmtId="170" fontId="33" fillId="15" borderId="5" xfId="3" applyNumberFormat="1" applyFont="1" applyFill="1" applyBorder="1" applyAlignment="1">
      <alignment horizontal="right"/>
    </xf>
    <xf numFmtId="170" fontId="33" fillId="15" borderId="6" xfId="3" applyNumberFormat="1" applyFont="1" applyFill="1" applyBorder="1" applyAlignment="1">
      <alignment horizontal="right"/>
    </xf>
    <xf numFmtId="170" fontId="2" fillId="16" borderId="5" xfId="3" applyNumberFormat="1" applyFont="1" applyFill="1" applyBorder="1" applyAlignment="1">
      <alignment horizontal="right"/>
    </xf>
    <xf numFmtId="170" fontId="2" fillId="16" borderId="6" xfId="3" applyNumberFormat="1" applyFont="1" applyFill="1" applyBorder="1" applyAlignment="1">
      <alignment horizontal="right"/>
    </xf>
  </cellXfs>
  <cellStyles count="4">
    <cellStyle name="Milliers" xfId="3" builtinId="3"/>
    <cellStyle name="Normal" xfId="0" builtinId="0"/>
    <cellStyle name="Normal 3" xfId="2" xr:uid="{00000000-0005-0000-0000-000001000000}"/>
    <cellStyle name="Pourcentage" xfId="1" builtinId="5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2"/>
                </a:solidFill>
              </a:rPr>
              <a:t>EBITDA (MAD/kg)</a:t>
            </a:r>
          </a:p>
        </c:rich>
      </c:tx>
      <c:layout>
        <c:manualLayout>
          <c:xMode val="edge"/>
          <c:yMode val="edge"/>
          <c:x val="8.996366617319982E-3"/>
          <c:y val="1.443593785440165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5834717500262"/>
          <c:y val="0.23266717598852715"/>
          <c:w val="0.83830068566840055"/>
          <c:h val="0.68786268561283259"/>
        </c:manualLayout>
      </c:layout>
      <c:lineChart>
        <c:grouping val="stacked"/>
        <c:varyColors val="0"/>
        <c:ser>
          <c:idx val="0"/>
          <c:order val="0"/>
          <c:tx>
            <c:strRef>
              <c:f>'TOM NATURE_au kg'!$A$26</c:f>
              <c:strCache>
                <c:ptCount val="1"/>
                <c:pt idx="0">
                  <c:v>EBITDA au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997755126568793E-2"/>
                  <c:y val="-7.2193366683421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64-40D0-B2A0-E2DF00F635CA}"/>
                </c:ext>
              </c:extLst>
            </c:dLbl>
            <c:dLbl>
              <c:idx val="1"/>
              <c:layout>
                <c:manualLayout>
                  <c:x val="-4.2808344969139482E-2"/>
                  <c:y val="-7.2506807361638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64-40D0-B2A0-E2DF00F635CA}"/>
                </c:ext>
              </c:extLst>
            </c:dLbl>
            <c:dLbl>
              <c:idx val="2"/>
              <c:layout>
                <c:manualLayout>
                  <c:x val="-6.5885270042854549E-2"/>
                  <c:y val="7.22064742026924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64-40D0-B2A0-E2DF00F635CA}"/>
                </c:ext>
              </c:extLst>
            </c:dLbl>
            <c:dLbl>
              <c:idx val="3"/>
              <c:layout>
                <c:manualLayout>
                  <c:x val="-6.5879818800711157E-2"/>
                  <c:y val="0.10839462523322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64-40D0-B2A0-E2DF00F635CA}"/>
                </c:ext>
              </c:extLst>
            </c:dLbl>
            <c:dLbl>
              <c:idx val="4"/>
              <c:layout>
                <c:manualLayout>
                  <c:x val="-6.5879775116534575E-2"/>
                  <c:y val="9.3919254471119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64-40D0-B2A0-E2DF00F635CA}"/>
                </c:ext>
              </c:extLst>
            </c:dLbl>
            <c:dLbl>
              <c:idx val="5"/>
              <c:layout>
                <c:manualLayout>
                  <c:x val="-5.9302765363222813E-2"/>
                  <c:y val="-0.202445065246951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64-40D0-B2A0-E2DF00F635CA}"/>
                </c:ext>
              </c:extLst>
            </c:dLbl>
            <c:dLbl>
              <c:idx val="6"/>
              <c:layout>
                <c:manualLayout>
                  <c:x val="-5.6043960893308084E-2"/>
                  <c:y val="9.4089192679393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64-40D0-B2A0-E2DF00F635CA}"/>
                </c:ext>
              </c:extLst>
            </c:dLbl>
            <c:dLbl>
              <c:idx val="7"/>
              <c:layout>
                <c:manualLayout>
                  <c:x val="-5.9340664475267334E-2"/>
                  <c:y val="-0.217128906183215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64-40D0-B2A0-E2DF00F635CA}"/>
                </c:ext>
              </c:extLst>
            </c:dLbl>
            <c:dLbl>
              <c:idx val="8"/>
              <c:layout>
                <c:manualLayout>
                  <c:x val="-3.2967035819592982E-2"/>
                  <c:y val="-8.685156247328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64-40D0-B2A0-E2DF00F635CA}"/>
                </c:ext>
              </c:extLst>
            </c:dLbl>
            <c:dLbl>
              <c:idx val="9"/>
              <c:layout>
                <c:manualLayout>
                  <c:x val="-4.2857146565470766E-2"/>
                  <c:y val="-0.159227864534358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64-40D0-B2A0-E2DF00F635CA}"/>
                </c:ext>
              </c:extLst>
            </c:dLbl>
            <c:dLbl>
              <c:idx val="10"/>
              <c:layout>
                <c:manualLayout>
                  <c:x val="-6.5934071639186034E-2"/>
                  <c:y val="8.6851562473286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64-40D0-B2A0-E2DF00F635CA}"/>
                </c:ext>
              </c:extLst>
            </c:dLbl>
            <c:dLbl>
              <c:idx val="11"/>
              <c:layout>
                <c:manualLayout>
                  <c:x val="-3.2967035819592844E-2"/>
                  <c:y val="8.6851562473286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64-40D0-B2A0-E2DF00F635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'TOM NATURE_au kg'!$B$1:$M$1</c:f>
              <c:numCache>
                <c:formatCode>[$-40C]mmm\-yy;@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'TOM NATURE_au kg'!$B$26:$M$26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64-40D0-B2A0-E2DF00F63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40960"/>
        <c:axId val="121127680"/>
      </c:lineChart>
      <c:dateAx>
        <c:axId val="121240960"/>
        <c:scaling>
          <c:orientation val="minMax"/>
        </c:scaling>
        <c:delete val="0"/>
        <c:axPos val="b"/>
        <c:numFmt formatCode="[$-40C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127680"/>
        <c:crosses val="autoZero"/>
        <c:auto val="1"/>
        <c:lblOffset val="100"/>
        <c:baseTimeUnit val="months"/>
      </c:dateAx>
      <c:valAx>
        <c:axId val="12112768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one"/>
        <c:crossAx val="12124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2"/>
                </a:solidFill>
              </a:rPr>
              <a:t>EBITDA à l'ha productif (MAD)</a:t>
            </a:r>
          </a:p>
        </c:rich>
      </c:tx>
      <c:layout>
        <c:manualLayout>
          <c:xMode val="edge"/>
          <c:yMode val="edge"/>
          <c:x val="3.8666698854953614E-2"/>
          <c:y val="3.614882847272334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'8036_à l''ha'!$A$26</c:f>
              <c:strCache>
                <c:ptCount val="1"/>
                <c:pt idx="0">
                  <c:v>EBITDA à l'ha productif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51968845891568E-2"/>
                  <c:y val="-8.66948421341780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7-4AB1-A003-249D64ECE46B}"/>
                </c:ext>
              </c:extLst>
            </c:dLbl>
            <c:dLbl>
              <c:idx val="1"/>
              <c:layout>
                <c:manualLayout>
                  <c:x val="-4.2786540000565892E-2"/>
                  <c:y val="-8.66293045378233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87-4AB1-A003-249D64ECE46B}"/>
                </c:ext>
              </c:extLst>
            </c:dLbl>
            <c:dLbl>
              <c:idx val="2"/>
              <c:layout>
                <c:manualLayout>
                  <c:x val="-3.2923685465405042E-2"/>
                  <c:y val="-7.9430996889528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87-4AB1-A003-249D64ECE46B}"/>
                </c:ext>
              </c:extLst>
            </c:dLbl>
            <c:dLbl>
              <c:idx val="3"/>
              <c:layout>
                <c:manualLayout>
                  <c:x val="-7.5750979990566833E-2"/>
                  <c:y val="7.2559237438722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87-4AB1-A003-249D64ECE46B}"/>
                </c:ext>
              </c:extLst>
            </c:dLbl>
            <c:dLbl>
              <c:idx val="4"/>
              <c:layout>
                <c:manualLayout>
                  <c:x val="-6.9176522382670469E-2"/>
                  <c:y val="-0.18107126045324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87-4AB1-A003-249D64ECE46B}"/>
                </c:ext>
              </c:extLst>
            </c:dLbl>
            <c:dLbl>
              <c:idx val="5"/>
              <c:layout>
                <c:manualLayout>
                  <c:x val="-6.2585711048344095E-2"/>
                  <c:y val="-0.137345146057657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87-4AB1-A003-249D64ECE46B}"/>
                </c:ext>
              </c:extLst>
            </c:dLbl>
            <c:dLbl>
              <c:idx val="6"/>
              <c:layout>
                <c:manualLayout>
                  <c:x val="-7.252747880310452E-2"/>
                  <c:y val="5.7901041648857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87-4AB1-A003-249D64ECE46B}"/>
                </c:ext>
              </c:extLst>
            </c:dLbl>
            <c:dLbl>
              <c:idx val="7"/>
              <c:layout>
                <c:manualLayout>
                  <c:x val="-7.582418238506379E-2"/>
                  <c:y val="-0.166465494740466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87-4AB1-A003-249D64ECE46B}"/>
                </c:ext>
              </c:extLst>
            </c:dLbl>
            <c:dLbl>
              <c:idx val="8"/>
              <c:layout>
                <c:manualLayout>
                  <c:x val="-6.9230775221145333E-2"/>
                  <c:y val="6.51386718549648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87-4AB1-A003-249D64ECE46B}"/>
                </c:ext>
              </c:extLst>
            </c:dLbl>
            <c:dLbl>
              <c:idx val="9"/>
              <c:layout>
                <c:manualLayout>
                  <c:x val="-8.2417589548982401E-2"/>
                  <c:y val="-0.1881783853587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87-4AB1-A003-249D64ECE46B}"/>
                </c:ext>
              </c:extLst>
            </c:dLbl>
            <c:dLbl>
              <c:idx val="10"/>
              <c:layout>
                <c:manualLayout>
                  <c:x val="-6.5934071639185923E-2"/>
                  <c:y val="-0.12303971350382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87-4AB1-A003-249D64ECE46B}"/>
                </c:ext>
              </c:extLst>
            </c:dLbl>
            <c:dLbl>
              <c:idx val="11"/>
              <c:layout>
                <c:manualLayout>
                  <c:x val="-9.8901107458777664E-3"/>
                  <c:y val="7.23763020610719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87-4AB1-A003-249D64ECE4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'8036_à l''ha'!$B$1:$M$1</c:f>
              <c:numCache>
                <c:formatCode>[$-40C]mmm\-yy;@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'8036_à l''ha'!$B$26:$M$26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87-4AB1-A003-249D64ECE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43936"/>
        <c:axId val="119945472"/>
      </c:lineChart>
      <c:dateAx>
        <c:axId val="119943936"/>
        <c:scaling>
          <c:orientation val="minMax"/>
        </c:scaling>
        <c:delete val="0"/>
        <c:axPos val="b"/>
        <c:numFmt formatCode="[$-40C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945472"/>
        <c:crosses val="autoZero"/>
        <c:auto val="1"/>
        <c:lblOffset val="100"/>
        <c:baseTimeUnit val="months"/>
      </c:dateAx>
      <c:valAx>
        <c:axId val="1199454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one"/>
        <c:crossAx val="11994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2"/>
                </a:solidFill>
              </a:rPr>
              <a:t>EBITDA (MAD/t)</a:t>
            </a:r>
          </a:p>
        </c:rich>
      </c:tx>
      <c:layout>
        <c:manualLayout>
          <c:xMode val="edge"/>
          <c:yMode val="edge"/>
          <c:x val="2.218318094515714E-2"/>
          <c:y val="4.338645867883045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5834717500262"/>
          <c:y val="0.23266717598852715"/>
          <c:w val="0.83830068566840055"/>
          <c:h val="0.68786268561283259"/>
        </c:manualLayout>
      </c:layout>
      <c:lineChart>
        <c:grouping val="stacked"/>
        <c:varyColors val="0"/>
        <c:ser>
          <c:idx val="0"/>
          <c:order val="0"/>
          <c:tx>
            <c:strRef>
              <c:f>'8036_au kg'!$A$26</c:f>
              <c:strCache>
                <c:ptCount val="1"/>
                <c:pt idx="0">
                  <c:v>EBITDA au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997808849054392E-2"/>
                  <c:y val="-7.22455803623997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B1-4BC0-9B57-421C6145911A}"/>
                </c:ext>
              </c:extLst>
            </c:dLbl>
            <c:dLbl>
              <c:idx val="1"/>
              <c:layout>
                <c:manualLayout>
                  <c:x val="-6.9173763872361321E-2"/>
                  <c:y val="-7.947013839863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B1-4BC0-9B57-421C6145911A}"/>
                </c:ext>
              </c:extLst>
            </c:dLbl>
            <c:dLbl>
              <c:idx val="2"/>
              <c:layout>
                <c:manualLayout>
                  <c:x val="-6.9173763872361321E-2"/>
                  <c:y val="-8.6694696434879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B1-4BC0-9B57-421C6145911A}"/>
                </c:ext>
              </c:extLst>
            </c:dLbl>
            <c:dLbl>
              <c:idx val="3"/>
              <c:layout>
                <c:manualLayout>
                  <c:x val="-5.9268348280286307E-2"/>
                  <c:y val="0.10876049598852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B1-4BC0-9B57-421C6145911A}"/>
                </c:ext>
              </c:extLst>
            </c:dLbl>
            <c:dLbl>
              <c:idx val="4"/>
              <c:layout>
                <c:manualLayout>
                  <c:x val="-6.9218394847046366E-2"/>
                  <c:y val="-7.2546699811593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1-4BC0-9B57-421C6145911A}"/>
                </c:ext>
              </c:extLst>
            </c:dLbl>
            <c:dLbl>
              <c:idx val="5"/>
              <c:layout>
                <c:manualLayout>
                  <c:x val="-5.5994216603817822E-2"/>
                  <c:y val="-4.32696307896767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1-4BC0-9B57-421C6145911A}"/>
                </c:ext>
              </c:extLst>
            </c:dLbl>
            <c:dLbl>
              <c:idx val="6"/>
              <c:layout>
                <c:manualLayout>
                  <c:x val="-6.6040392593605696E-2"/>
                  <c:y val="8.6851562473286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1-4BC0-9B57-421C6145911A}"/>
                </c:ext>
              </c:extLst>
            </c:dLbl>
            <c:dLbl>
              <c:idx val="7"/>
              <c:layout>
                <c:manualLayout>
                  <c:x val="-6.5957809864337691E-2"/>
                  <c:y val="-0.173703124946572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B1-4BC0-9B57-421C6145911A}"/>
                </c:ext>
              </c:extLst>
            </c:dLbl>
            <c:dLbl>
              <c:idx val="8"/>
              <c:layout>
                <c:manualLayout>
                  <c:x val="-7.5930521091811545E-2"/>
                  <c:y val="0.10132625299335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4B1-4BC0-9B57-421C6145911A}"/>
                </c:ext>
              </c:extLst>
            </c:dLbl>
            <c:dLbl>
              <c:idx val="9"/>
              <c:layout>
                <c:manualLayout>
                  <c:x val="-6.261386061233673E-2"/>
                  <c:y val="-0.13751497391603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B1-4BC0-9B57-421C6145911A}"/>
                </c:ext>
              </c:extLst>
            </c:dLbl>
            <c:dLbl>
              <c:idx val="10"/>
              <c:layout>
                <c:manualLayout>
                  <c:x val="-5.2723732114130999E-2"/>
                  <c:y val="-8.6851562473286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4B1-4BC0-9B57-421C6145911A}"/>
                </c:ext>
              </c:extLst>
            </c:dLbl>
            <c:dLbl>
              <c:idx val="11"/>
              <c:layout>
                <c:manualLayout>
                  <c:x val="-3.9560442983511551E-2"/>
                  <c:y val="6.51386718549648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B1-4BC0-9B57-421C61459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'8036_au kg'!$B$1:$M$1</c:f>
              <c:numCache>
                <c:formatCode>[$-40C]mmm\-yy;@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'8036_au kg'!$B$26:$M$26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B1-4BC0-9B57-421C6145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68736"/>
        <c:axId val="120123776"/>
      </c:lineChart>
      <c:dateAx>
        <c:axId val="120068736"/>
        <c:scaling>
          <c:orientation val="minMax"/>
        </c:scaling>
        <c:delete val="0"/>
        <c:axPos val="b"/>
        <c:numFmt formatCode="[$-40C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123776"/>
        <c:crosses val="autoZero"/>
        <c:auto val="1"/>
        <c:lblOffset val="100"/>
        <c:baseTimeUnit val="months"/>
      </c:dateAx>
      <c:valAx>
        <c:axId val="12012377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one"/>
        <c:crossAx val="12006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2"/>
                </a:solidFill>
              </a:rPr>
              <a:t>EBITDA (MAD/t)</a:t>
            </a:r>
          </a:p>
        </c:rich>
      </c:tx>
      <c:layout>
        <c:manualLayout>
          <c:xMode val="edge"/>
          <c:yMode val="edge"/>
          <c:x val="1.8886477363197887E-2"/>
          <c:y val="3.614882847272334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5834717500262"/>
          <c:y val="0.23266717598852715"/>
          <c:w val="0.83830068566840055"/>
          <c:h val="0.68786268561283259"/>
        </c:manualLayout>
      </c:layout>
      <c:lineChart>
        <c:grouping val="stacked"/>
        <c:varyColors val="0"/>
        <c:ser>
          <c:idx val="0"/>
          <c:order val="0"/>
          <c:tx>
            <c:strRef>
              <c:f>'8038_au kg'!$A$26</c:f>
              <c:strCache>
                <c:ptCount val="1"/>
                <c:pt idx="0">
                  <c:v>EBITDA au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542935929993591"/>
                  <c:y val="5.7769966456148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8A-4447-9C29-65506D847272}"/>
                </c:ext>
              </c:extLst>
            </c:dLbl>
            <c:dLbl>
              <c:idx val="1"/>
              <c:layout>
                <c:manualLayout>
                  <c:x val="-7.24677747224865E-2"/>
                  <c:y val="7.2219581721963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8A-4447-9C29-65506D847272}"/>
                </c:ext>
              </c:extLst>
            </c:dLbl>
            <c:dLbl>
              <c:idx val="2"/>
              <c:layout>
                <c:manualLayout>
                  <c:x val="-4.6115842581574008E-2"/>
                  <c:y val="7.947013839863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8A-4447-9C29-65506D847272}"/>
                </c:ext>
              </c:extLst>
            </c:dLbl>
            <c:dLbl>
              <c:idx val="3"/>
              <c:layout>
                <c:manualLayout>
                  <c:x val="-5.269845571501737E-2"/>
                  <c:y val="7.9457211928070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8A-4447-9C29-65506D847272}"/>
                </c:ext>
              </c:extLst>
            </c:dLbl>
            <c:dLbl>
              <c:idx val="4"/>
              <c:layout>
                <c:manualLayout>
                  <c:x val="-4.2829890354753861E-2"/>
                  <c:y val="7.9404781850987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8A-4447-9C29-65506D847272}"/>
                </c:ext>
              </c:extLst>
            </c:dLbl>
            <c:dLbl>
              <c:idx val="5"/>
              <c:layout>
                <c:manualLayout>
                  <c:x val="-6.2599468945182118E-2"/>
                  <c:y val="-0.122791240529817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8A-4447-9C29-65506D847272}"/>
                </c:ext>
              </c:extLst>
            </c:dLbl>
            <c:dLbl>
              <c:idx val="6"/>
              <c:layout>
                <c:manualLayout>
                  <c:x val="-4.6153850147430141E-2"/>
                  <c:y val="-9.4089192679393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8A-4447-9C29-65506D847272}"/>
                </c:ext>
              </c:extLst>
            </c:dLbl>
            <c:dLbl>
              <c:idx val="7"/>
              <c:layout>
                <c:manualLayout>
                  <c:x val="-4.9450553729389425E-2"/>
                  <c:y val="-0.101326822885500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8A-4447-9C29-65506D847272}"/>
                </c:ext>
              </c:extLst>
            </c:dLbl>
            <c:dLbl>
              <c:idx val="8"/>
              <c:layout>
                <c:manualLayout>
                  <c:x val="-4.9450553729389425E-2"/>
                  <c:y val="-7.9613932267179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8A-4447-9C29-65506D847272}"/>
                </c:ext>
              </c:extLst>
            </c:dLbl>
            <c:dLbl>
              <c:idx val="9"/>
              <c:layout>
                <c:manualLayout>
                  <c:x val="-4.9450553729389425E-2"/>
                  <c:y val="-5.7901041648857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8A-4447-9C29-65506D847272}"/>
                </c:ext>
              </c:extLst>
            </c:dLbl>
            <c:dLbl>
              <c:idx val="10"/>
              <c:layout>
                <c:manualLayout>
                  <c:x val="-3.9560442983511669E-2"/>
                  <c:y val="-5.7901041648857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8A-4447-9C29-65506D847272}"/>
                </c:ext>
              </c:extLst>
            </c:dLbl>
            <c:dLbl>
              <c:idx val="11"/>
              <c:layout>
                <c:manualLayout>
                  <c:x val="-3.6263739401552156E-2"/>
                  <c:y val="5.7901041648857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8A-4447-9C29-65506D847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'8038_au kg'!$B$1:$M$1</c:f>
              <c:numCache>
                <c:formatCode>[$-40C]mmm\-yy;@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'8038_au kg'!$B$26:$M$26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8A-4447-9C29-65506D847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79680"/>
        <c:axId val="139081216"/>
      </c:lineChart>
      <c:dateAx>
        <c:axId val="139079680"/>
        <c:scaling>
          <c:orientation val="minMax"/>
        </c:scaling>
        <c:delete val="0"/>
        <c:axPos val="b"/>
        <c:numFmt formatCode="[$-40C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81216"/>
        <c:crosses val="autoZero"/>
        <c:auto val="1"/>
        <c:lblOffset val="100"/>
        <c:baseTimeUnit val="months"/>
      </c:dateAx>
      <c:valAx>
        <c:axId val="13908121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one"/>
        <c:crossAx val="1390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2"/>
                </a:solidFill>
              </a:rPr>
              <a:t>EBITDA à l'ha productif (MAD)</a:t>
            </a:r>
          </a:p>
        </c:rich>
      </c:tx>
      <c:layout>
        <c:manualLayout>
          <c:xMode val="edge"/>
          <c:yMode val="edge"/>
          <c:x val="2.218318094515714E-2"/>
          <c:y val="4.338645867883045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'8039_à l''ha'!$A$26</c:f>
              <c:strCache>
                <c:ptCount val="1"/>
                <c:pt idx="0">
                  <c:v>EBITDA à l'ha productif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706329385336214E-2"/>
                  <c:y val="-7.9744437567746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4A-4C75-BBDD-DA19C8E1C004}"/>
                </c:ext>
              </c:extLst>
            </c:dLbl>
            <c:dLbl>
              <c:idx val="1"/>
              <c:layout>
                <c:manualLayout>
                  <c:x val="-4.2786540000565913E-2"/>
                  <c:y val="-0.101104564950037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A-4C75-BBDD-DA19C8E1C004}"/>
                </c:ext>
              </c:extLst>
            </c:dLbl>
            <c:dLbl>
              <c:idx val="2"/>
              <c:layout>
                <c:manualLayout>
                  <c:x val="-3.2923685465405042E-2"/>
                  <c:y val="-7.9430996889528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A-4C75-BBDD-DA19C8E1C004}"/>
                </c:ext>
              </c:extLst>
            </c:dLbl>
            <c:dLbl>
              <c:idx val="3"/>
              <c:layout>
                <c:manualLayout>
                  <c:x val="-4.6115951035385572E-2"/>
                  <c:y val="-0.10839462523322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A-4C75-BBDD-DA19C8E1C004}"/>
                </c:ext>
              </c:extLst>
            </c:dLbl>
            <c:dLbl>
              <c:idx val="4"/>
              <c:layout>
                <c:manualLayout>
                  <c:x val="-7.24677747224865E-2"/>
                  <c:y val="9.39586873788267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4A-4C75-BBDD-DA19C8E1C004}"/>
                </c:ext>
              </c:extLst>
            </c:dLbl>
            <c:dLbl>
              <c:idx val="5"/>
              <c:layout>
                <c:manualLayout>
                  <c:x val="-6.5931735392553037E-2"/>
                  <c:y val="-5.0860024231814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4A-4C75-BBDD-DA19C8E1C004}"/>
                </c:ext>
              </c:extLst>
            </c:dLbl>
            <c:dLbl>
              <c:idx val="6"/>
              <c:layout>
                <c:manualLayout>
                  <c:x val="-8.5714293130941727E-2"/>
                  <c:y val="7.23763020610719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4A-4C75-BBDD-DA19C8E1C004}"/>
                </c:ext>
              </c:extLst>
            </c:dLbl>
            <c:dLbl>
              <c:idx val="7"/>
              <c:layout>
                <c:manualLayout>
                  <c:x val="6.5934071639186017E-3"/>
                  <c:y val="9.4089192679393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4A-4C75-BBDD-DA19C8E1C004}"/>
                </c:ext>
              </c:extLst>
            </c:dLbl>
            <c:dLbl>
              <c:idx val="8"/>
              <c:layout>
                <c:manualLayout>
                  <c:x val="-3.6263739401552281E-2"/>
                  <c:y val="-6.5138671854964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4A-4C75-BBDD-DA19C8E1C004}"/>
                </c:ext>
              </c:extLst>
            </c:dLbl>
            <c:dLbl>
              <c:idx val="9"/>
              <c:layout>
                <c:manualLayout>
                  <c:x val="-3.9560442983511551E-2"/>
                  <c:y val="-7.2376302061071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4A-4C75-BBDD-DA19C8E1C004}"/>
                </c:ext>
              </c:extLst>
            </c:dLbl>
            <c:dLbl>
              <c:idx val="10"/>
              <c:layout>
                <c:manualLayout>
                  <c:x val="-4.6153850147430141E-2"/>
                  <c:y val="-6.5138671854964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4A-4C75-BBDD-DA19C8E1C004}"/>
                </c:ext>
              </c:extLst>
            </c:dLbl>
            <c:dLbl>
              <c:idx val="11"/>
              <c:layout>
                <c:manualLayout>
                  <c:x val="-1.6483517909796481E-2"/>
                  <c:y val="-0.108564453091608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4A-4C75-BBDD-DA19C8E1C0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'8039_à l''ha'!$B$1:$M$1</c:f>
              <c:numCache>
                <c:formatCode>[$-40C]mmm\-yy;@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'8039_à l''ha'!$B$26:$M$26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4A-4C75-BBDD-DA19C8E1C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28928"/>
        <c:axId val="141630464"/>
      </c:lineChart>
      <c:dateAx>
        <c:axId val="141628928"/>
        <c:scaling>
          <c:orientation val="minMax"/>
        </c:scaling>
        <c:delete val="0"/>
        <c:axPos val="b"/>
        <c:numFmt formatCode="[$-40C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30464"/>
        <c:crosses val="autoZero"/>
        <c:auto val="1"/>
        <c:lblOffset val="100"/>
        <c:baseTimeUnit val="months"/>
      </c:dateAx>
      <c:valAx>
        <c:axId val="14163046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one"/>
        <c:crossAx val="1416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17</xdr:row>
      <xdr:rowOff>133350</xdr:rowOff>
    </xdr:from>
    <xdr:to>
      <xdr:col>14</xdr:col>
      <xdr:colOff>0</xdr:colOff>
      <xdr:row>26</xdr:row>
      <xdr:rowOff>173568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17</xdr:row>
      <xdr:rowOff>114300</xdr:rowOff>
    </xdr:from>
    <xdr:to>
      <xdr:col>14</xdr:col>
      <xdr:colOff>0</xdr:colOff>
      <xdr:row>26</xdr:row>
      <xdr:rowOff>154518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17</xdr:row>
      <xdr:rowOff>133350</xdr:rowOff>
    </xdr:from>
    <xdr:to>
      <xdr:col>14</xdr:col>
      <xdr:colOff>0</xdr:colOff>
      <xdr:row>26</xdr:row>
      <xdr:rowOff>173568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17</xdr:row>
      <xdr:rowOff>142875</xdr:rowOff>
    </xdr:from>
    <xdr:to>
      <xdr:col>14</xdr:col>
      <xdr:colOff>0</xdr:colOff>
      <xdr:row>26</xdr:row>
      <xdr:rowOff>183093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34925</xdr:colOff>
      <xdr:row>17</xdr:row>
      <xdr:rowOff>123825</xdr:rowOff>
    </xdr:from>
    <xdr:to>
      <xdr:col>14</xdr:col>
      <xdr:colOff>0</xdr:colOff>
      <xdr:row>26</xdr:row>
      <xdr:rowOff>164043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_ELHAOUTI" refreshedDate="43807.602804513888" createdVersion="6" refreshedVersion="6" minRefreshableVersion="3" recordCount="239" xr:uid="{53AD024B-666B-4E27-AB4F-48AF5F3E48C5}">
  <cacheSource type="worksheet">
    <worksheetSource ref="A1:N240" sheet="Budget Amortissements"/>
  </cacheSource>
  <cacheFields count="14">
    <cacheField name="Poste" numFmtId="0">
      <sharedItems count="3">
        <s v="Construction"/>
        <s v="ITMO"/>
        <s v="MMB"/>
      </sharedItems>
    </cacheField>
    <cacheField name="Compte" numFmtId="0">
      <sharedItems containsMixedTypes="1" containsNumber="1" containsInteger="1" minValue="23210001" maxValue="23560000"/>
    </cacheField>
    <cacheField name="Libellé" numFmtId="0">
      <sharedItems/>
    </cacheField>
    <cacheField name="Date " numFmtId="14">
      <sharedItems containsSemiMixedTypes="0" containsNonDate="0" containsDate="1" containsString="0" minDate="2011-06-30T00:00:00" maxDate="2019-07-01T00:00:00"/>
    </cacheField>
    <cacheField name="Exercice" numFmtId="14">
      <sharedItems containsSemiMixedTypes="0" containsNonDate="0" containsDate="1" containsString="0" minDate="2011-06-30T00:00:00" maxDate="2019-07-01T00:00:00"/>
    </cacheField>
    <cacheField name="Domaine" numFmtId="0">
      <sharedItems containsSemiMixedTypes="0" containsString="0" containsNumber="1" containsInteger="1" minValue="8036" maxValue="8039" count="3">
        <n v="8036"/>
        <n v="8038"/>
        <n v="8039"/>
      </sharedItems>
    </cacheField>
    <cacheField name="Brut" numFmtId="4">
      <sharedItems containsSemiMixedTypes="0" containsString="0" containsNumber="1" minValue="200" maxValue="4924351.6100000003"/>
    </cacheField>
    <cacheField name="Taux" numFmtId="9">
      <sharedItems containsSemiMixedTypes="0" containsString="0" containsNumber="1" minValue="0.05" maxValue="0.5"/>
    </cacheField>
    <cacheField name="Dotation 18/19" numFmtId="4">
      <sharedItems containsSemiMixedTypes="0" containsString="0" containsNumber="1" minValue="-4.999999888241291E-3" maxValue="381600.00099999999"/>
    </cacheField>
    <cacheField name="Amort 18/19" numFmtId="4">
      <sharedItems containsSemiMixedTypes="0" containsString="0" containsNumber="1" minValue="0" maxValue="4924351.6100000003"/>
    </cacheField>
    <cacheField name="VNC 18/19" numFmtId="4">
      <sharedItems containsSemiMixedTypes="0" containsString="0" containsNumber="1" minValue="0" maxValue="1494600.0050000001"/>
    </cacheField>
    <cacheField name="Dotation 19/20" numFmtId="4">
      <sharedItems containsSemiMixedTypes="0" containsString="0" containsNumber="1" minValue="-4.999999888241291E-3" maxValue="381600.00099999999"/>
    </cacheField>
    <cacheField name="Amort 19/20" numFmtId="4">
      <sharedItems containsSemiMixedTypes="0" containsString="0" containsNumber="1" minValue="0" maxValue="4924351.6100000003"/>
    </cacheField>
    <cacheField name="VNC 19/20" numFmtId="4">
      <sharedItems containsSemiMixedTypes="0" containsString="0" containsNumber="1" minValue="0" maxValue="1113000.003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n v="23230000"/>
    <s v="Constructions sur terrain d'autrui"/>
    <d v="2011-06-30T00:00:00"/>
    <d v="2011-06-30T00:00:00"/>
    <x v="0"/>
    <n v="4500"/>
    <n v="0.1"/>
    <n v="450"/>
    <n v="4050"/>
    <n v="450"/>
    <n v="450"/>
    <n v="4500"/>
    <n v="0"/>
  </r>
  <r>
    <x v="0"/>
    <n v="23230000"/>
    <s v="Constructions sur terrain d'autrui"/>
    <d v="2011-06-30T00:00:00"/>
    <d v="2011-06-30T00:00:00"/>
    <x v="0"/>
    <n v="1674.88"/>
    <n v="0.1"/>
    <n v="167.48800000000003"/>
    <n v="1507.3800000000003"/>
    <n v="167.4999999999998"/>
    <n v="167.48800000000003"/>
    <n v="1674.8680000000004"/>
    <n v="1.1999999999716238E-2"/>
  </r>
  <r>
    <x v="0"/>
    <n v="23230000"/>
    <s v="Constructions sur terrain d'autrui"/>
    <d v="2011-06-30T00:00:00"/>
    <d v="2011-06-30T00:00:00"/>
    <x v="0"/>
    <n v="1843.56"/>
    <n v="0.1"/>
    <n v="184.35599999999999"/>
    <n v="1659.14"/>
    <n v="184.41999999999985"/>
    <n v="184.35599999999999"/>
    <n v="1843.4960000000001"/>
    <n v="6.3999999999850843E-2"/>
  </r>
  <r>
    <x v="0"/>
    <n v="23230000"/>
    <s v="Constructions sur terrain d'autrui"/>
    <d v="2011-06-30T00:00:00"/>
    <d v="2011-06-30T00:00:00"/>
    <x v="0"/>
    <n v="600"/>
    <n v="0.1"/>
    <n v="60"/>
    <n v="540"/>
    <n v="60"/>
    <n v="60"/>
    <n v="600"/>
    <n v="0"/>
  </r>
  <r>
    <x v="0"/>
    <n v="23230000"/>
    <s v="Constructions sur terrain d'autrui"/>
    <d v="2011-06-30T00:00:00"/>
    <d v="2011-06-30T00:00:00"/>
    <x v="0"/>
    <n v="4296"/>
    <n v="0.1"/>
    <n v="429.6"/>
    <n v="3830.5999999999995"/>
    <n v="465.40000000000043"/>
    <n v="429.6"/>
    <n v="4260.2"/>
    <n v="35.800000000000182"/>
  </r>
  <r>
    <x v="0"/>
    <n v="23230000"/>
    <s v="Constructions sur terrain d'autrui"/>
    <d v="2011-06-30T00:00:00"/>
    <d v="2011-06-30T00:00:00"/>
    <x v="0"/>
    <n v="3000"/>
    <n v="0.1"/>
    <n v="300"/>
    <n v="2600"/>
    <n v="400"/>
    <n v="300"/>
    <n v="2900"/>
    <n v="100"/>
  </r>
  <r>
    <x v="0"/>
    <n v="23230000"/>
    <s v="Constructions sur terrain d'autrui"/>
    <d v="2011-06-30T00:00:00"/>
    <d v="2011-06-30T00:00:00"/>
    <x v="0"/>
    <n v="25256"/>
    <n v="0.1"/>
    <n v="2525.6000000000004"/>
    <n v="20836.200000000004"/>
    <n v="4419.7999999999975"/>
    <n v="2525.6000000000004"/>
    <n v="23361.800000000003"/>
    <n v="1894.1999999999971"/>
  </r>
  <r>
    <x v="0"/>
    <n v="23230000"/>
    <s v="Constructions sur terrain d'autrui"/>
    <d v="2011-06-30T00:00:00"/>
    <d v="2011-06-30T00:00:00"/>
    <x v="0"/>
    <n v="16999"/>
    <n v="0.1"/>
    <n v="1699.9"/>
    <n v="13882.519999999999"/>
    <n v="3116.4800000000009"/>
    <n v="1699.9"/>
    <n v="15582.419999999998"/>
    <n v="1416.5800000000017"/>
  </r>
  <r>
    <x v="0"/>
    <n v="23230000"/>
    <s v="Constructions sur terrain d'autrui"/>
    <d v="2011-06-30T00:00:00"/>
    <d v="2011-06-30T00:00:00"/>
    <x v="0"/>
    <n v="7809"/>
    <n v="0.1"/>
    <n v="780.90000000000009"/>
    <n v="6377.35"/>
    <n v="1431.6499999999992"/>
    <n v="780.90000000000009"/>
    <n v="7158.25"/>
    <n v="650.75"/>
  </r>
  <r>
    <x v="0"/>
    <n v="23230000"/>
    <s v="Constructions sur terrain d'autrui"/>
    <d v="2011-06-30T00:00:00"/>
    <d v="2011-06-30T00:00:00"/>
    <x v="0"/>
    <n v="23785"/>
    <n v="0.1"/>
    <n v="2378.5"/>
    <n v="19424.419999999998"/>
    <n v="4360.5800000000017"/>
    <n v="2378.5"/>
    <n v="21802.92"/>
    <n v="1982.0800000000017"/>
  </r>
  <r>
    <x v="0"/>
    <n v="23230000"/>
    <s v="Constructions sur terrain d'autrui"/>
    <d v="2011-06-30T00:00:00"/>
    <d v="2011-06-30T00:00:00"/>
    <x v="0"/>
    <n v="3270"/>
    <n v="0.1"/>
    <n v="327"/>
    <n v="2670.5"/>
    <n v="599.5"/>
    <n v="327"/>
    <n v="2997.5"/>
    <n v="272.5"/>
  </r>
  <r>
    <x v="0"/>
    <n v="23230000"/>
    <s v="Constructions sur terrain d'autrui"/>
    <d v="2011-06-30T00:00:00"/>
    <d v="2011-06-30T00:00:00"/>
    <x v="0"/>
    <n v="4969"/>
    <n v="0.1"/>
    <n v="496.90000000000003"/>
    <n v="4058.0200000000004"/>
    <n v="910.97999999999956"/>
    <n v="496.90000000000003"/>
    <n v="4554.92"/>
    <n v="414.07999999999993"/>
  </r>
  <r>
    <x v="0"/>
    <n v="23230000"/>
    <s v="Constructions sur terrain d'autrui"/>
    <d v="2011-07-01T00:00:00"/>
    <d v="2012-06-30T00:00:00"/>
    <x v="1"/>
    <n v="17686.8"/>
    <n v="0.1"/>
    <n v="1768.68"/>
    <n v="14149.44"/>
    <n v="3537.3599999999988"/>
    <n v="1768.68"/>
    <n v="15918.12"/>
    <n v="1768.6799999999985"/>
  </r>
  <r>
    <x v="0"/>
    <n v="23230000"/>
    <s v="Constructions sur terrain d'autrui"/>
    <d v="2011-07-01T00:00:00"/>
    <d v="2012-06-30T00:00:00"/>
    <x v="1"/>
    <n v="27333.13"/>
    <n v="0.1"/>
    <n v="2733.3130000000001"/>
    <n v="21866.495000000003"/>
    <n v="5466.6350000000002"/>
    <n v="2733.3130000000001"/>
    <n v="24599.808000000005"/>
    <n v="2733.3219999999965"/>
  </r>
  <r>
    <x v="0"/>
    <n v="23230000"/>
    <s v="Constructions sur terrain d'autrui"/>
    <d v="2011-07-01T00:00:00"/>
    <d v="2012-06-30T00:00:00"/>
    <x v="1"/>
    <n v="10875"/>
    <n v="0.1"/>
    <n v="1087.5"/>
    <n v="8700"/>
    <n v="2175"/>
    <n v="1087.5"/>
    <n v="9787.5"/>
    <n v="1087.5"/>
  </r>
  <r>
    <x v="0"/>
    <n v="23230000"/>
    <s v="Constructions sur terrain d'autrui"/>
    <d v="2011-07-01T00:00:00"/>
    <d v="2012-06-30T00:00:00"/>
    <x v="1"/>
    <n v="3297"/>
    <n v="0.1"/>
    <n v="329.70000000000005"/>
    <n v="2637.6000000000004"/>
    <n v="659.39999999999986"/>
    <n v="329.70000000000005"/>
    <n v="2967.3"/>
    <n v="329.69999999999982"/>
  </r>
  <r>
    <x v="0"/>
    <n v="23230000"/>
    <s v="Constructions sur terrain d'autrui"/>
    <d v="2011-07-01T00:00:00"/>
    <d v="2012-06-30T00:00:00"/>
    <x v="1"/>
    <n v="22160"/>
    <n v="0.1"/>
    <n v="2216"/>
    <n v="17728"/>
    <n v="4432"/>
    <n v="2216"/>
    <n v="19944"/>
    <n v="2216"/>
  </r>
  <r>
    <x v="0"/>
    <n v="23230000"/>
    <s v="Constructions sur terrain d'autrui"/>
    <d v="2011-07-01T00:00:00"/>
    <d v="2012-06-30T00:00:00"/>
    <x v="1"/>
    <n v="20388.099999999999"/>
    <n v="0.1"/>
    <n v="2038.81"/>
    <n v="16310.479999999998"/>
    <n v="4077.6200000000003"/>
    <n v="2038.81"/>
    <n v="18349.289999999997"/>
    <n v="2038.8100000000013"/>
  </r>
  <r>
    <x v="0"/>
    <n v="23230000"/>
    <s v="Constructions sur terrain d'autrui"/>
    <d v="2011-07-01T00:00:00"/>
    <d v="2012-06-30T00:00:00"/>
    <x v="1"/>
    <n v="1100"/>
    <n v="0.1"/>
    <n v="110"/>
    <n v="880"/>
    <n v="220"/>
    <n v="110"/>
    <n v="990"/>
    <n v="110"/>
  </r>
  <r>
    <x v="0"/>
    <n v="23230000"/>
    <s v="Constructions sur terrain d'autrui"/>
    <d v="2011-07-01T00:00:00"/>
    <d v="2012-06-30T00:00:00"/>
    <x v="1"/>
    <n v="3926"/>
    <n v="0.1"/>
    <n v="392.6"/>
    <n v="3140.7999999999997"/>
    <n v="785.20000000000016"/>
    <n v="392.6"/>
    <n v="3533.3999999999996"/>
    <n v="392.60000000000036"/>
  </r>
  <r>
    <x v="0"/>
    <n v="23230000"/>
    <s v="Constructions sur terrain d'autrui"/>
    <d v="2011-07-04T00:00:00"/>
    <d v="2012-06-30T00:00:00"/>
    <x v="1"/>
    <n v="14421"/>
    <n v="0.1"/>
    <n v="1442.1000000000001"/>
    <n v="11536.800000000001"/>
    <n v="2884.1999999999989"/>
    <n v="1442.1000000000001"/>
    <n v="12978.900000000001"/>
    <n v="1442.0999999999985"/>
  </r>
  <r>
    <x v="0"/>
    <n v="23230000"/>
    <s v="Constructions sur terrain d'autrui"/>
    <d v="2011-07-07T00:00:00"/>
    <d v="2012-06-30T00:00:00"/>
    <x v="1"/>
    <n v="6500"/>
    <n v="0.1"/>
    <n v="650"/>
    <n v="5200"/>
    <n v="1300"/>
    <n v="650"/>
    <n v="5850"/>
    <n v="650"/>
  </r>
  <r>
    <x v="0"/>
    <n v="23230000"/>
    <s v="Constructions sur terrain d'autrui"/>
    <d v="2011-07-12T00:00:00"/>
    <d v="2012-06-30T00:00:00"/>
    <x v="1"/>
    <n v="8895"/>
    <n v="0.1"/>
    <n v="889.5"/>
    <n v="7116"/>
    <n v="1779"/>
    <n v="889.5"/>
    <n v="8005.5"/>
    <n v="889.5"/>
  </r>
  <r>
    <x v="0"/>
    <n v="23230000"/>
    <s v="Constructions sur terrain d'autrui"/>
    <d v="2011-07-14T00:00:00"/>
    <d v="2012-06-30T00:00:00"/>
    <x v="1"/>
    <n v="7909.5"/>
    <n v="0.1"/>
    <n v="790.95"/>
    <n v="6327.5999999999995"/>
    <n v="1581.9000000000003"/>
    <n v="790.95"/>
    <n v="7118.5499999999993"/>
    <n v="790.95000000000073"/>
  </r>
  <r>
    <x v="0"/>
    <n v="23230000"/>
    <s v="Constructions sur terrain d'autrui"/>
    <d v="2011-07-28T00:00:00"/>
    <d v="2012-06-30T00:00:00"/>
    <x v="1"/>
    <n v="21720"/>
    <n v="0.1"/>
    <n v="2172"/>
    <n v="17376"/>
    <n v="4344"/>
    <n v="2172"/>
    <n v="19548"/>
    <n v="2172"/>
  </r>
  <r>
    <x v="0"/>
    <n v="23230000"/>
    <s v="Constructions sur terrain d'autrui"/>
    <d v="2011-07-28T00:00:00"/>
    <d v="2012-06-30T00:00:00"/>
    <x v="1"/>
    <n v="17787"/>
    <n v="0.1"/>
    <n v="1778.7"/>
    <n v="14229.600000000002"/>
    <n v="3557.3999999999987"/>
    <n v="1778.7"/>
    <n v="16008.300000000003"/>
    <n v="1778.6999999999971"/>
  </r>
  <r>
    <x v="0"/>
    <n v="23230000"/>
    <s v="Constructions sur terrain d'autrui"/>
    <d v="2011-07-31T00:00:00"/>
    <d v="2012-06-30T00:00:00"/>
    <x v="1"/>
    <n v="88400"/>
    <n v="0.1"/>
    <n v="8840"/>
    <n v="70720"/>
    <n v="17680"/>
    <n v="8840"/>
    <n v="79560"/>
    <n v="8840"/>
  </r>
  <r>
    <x v="0"/>
    <n v="23230000"/>
    <s v="Constructions sur terrain d'autrui"/>
    <d v="2011-08-31T00:00:00"/>
    <d v="2012-06-30T00:00:00"/>
    <x v="1"/>
    <n v="47600"/>
    <n v="0.1"/>
    <n v="4760"/>
    <n v="37683.33"/>
    <n v="9916.6699999999983"/>
    <n v="4760"/>
    <n v="42443.33"/>
    <n v="5156.6699999999983"/>
  </r>
  <r>
    <x v="0"/>
    <n v="23230000"/>
    <s v="Constructions sur terrain d'autrui"/>
    <d v="2011-08-31T00:00:00"/>
    <d v="2012-06-30T00:00:00"/>
    <x v="1"/>
    <n v="20496"/>
    <n v="0.1"/>
    <n v="2049.6"/>
    <n v="16225.990000000002"/>
    <n v="4270.0099999999984"/>
    <n v="2049.6"/>
    <n v="18275.59"/>
    <n v="2220.41"/>
  </r>
  <r>
    <x v="0"/>
    <n v="23230000"/>
    <s v="Constructions sur terrain d'autrui"/>
    <d v="2012-01-30T00:00:00"/>
    <d v="2012-06-30T00:00:00"/>
    <x v="1"/>
    <n v="9687.5300000000007"/>
    <n v="0.1"/>
    <n v="968.75300000000016"/>
    <n v="7265.635000000002"/>
    <n v="2421.8949999999991"/>
    <n v="968.75300000000016"/>
    <n v="8234.3880000000026"/>
    <n v="1453.141999999998"/>
  </r>
  <r>
    <x v="0"/>
    <n v="23230000"/>
    <s v="Constructions sur terrain d'autrui"/>
    <d v="2012-06-30T00:00:00"/>
    <d v="2012-06-30T00:00:00"/>
    <x v="1"/>
    <n v="82900"/>
    <n v="0.1"/>
    <n v="8290"/>
    <n v="58720.83"/>
    <n v="24179.17"/>
    <n v="8290"/>
    <n v="67010.83"/>
    <n v="15889.169999999998"/>
  </r>
  <r>
    <x v="0"/>
    <n v="23230000"/>
    <s v="Constructions sur terrain d'autrui"/>
    <d v="2013-02-04T00:00:00"/>
    <d v="2013-06-30T00:00:00"/>
    <x v="1"/>
    <n v="60000"/>
    <n v="0.1"/>
    <n v="6000"/>
    <n v="38500"/>
    <n v="21500"/>
    <n v="6000"/>
    <n v="44500"/>
    <n v="15500"/>
  </r>
  <r>
    <x v="0"/>
    <n v="23251000"/>
    <s v="Electrification"/>
    <d v="2011-06-30T00:00:00"/>
    <d v="2011-06-30T00:00:00"/>
    <x v="0"/>
    <n v="1000"/>
    <n v="0.05"/>
    <n v="50"/>
    <n v="445.85"/>
    <n v="554.15"/>
    <n v="50"/>
    <n v="495.85"/>
    <n v="504.15"/>
  </r>
  <r>
    <x v="0"/>
    <n v="23251000"/>
    <s v="Electrification"/>
    <d v="2011-06-30T00:00:00"/>
    <d v="2011-06-30T00:00:00"/>
    <x v="0"/>
    <n v="98042.53"/>
    <n v="0.05"/>
    <n v="4902.1265000000003"/>
    <n v="43710.602499999994"/>
    <n v="54331.927500000005"/>
    <n v="4902.1265000000003"/>
    <n v="48612.728999999992"/>
    <n v="49429.801000000007"/>
  </r>
  <r>
    <x v="0"/>
    <n v="23251000"/>
    <s v="Electrification"/>
    <d v="2011-06-30T00:00:00"/>
    <d v="2011-06-30T00:00:00"/>
    <x v="0"/>
    <n v="35312.5"/>
    <n v="0.05"/>
    <n v="1765.625"/>
    <n v="16037.775"/>
    <n v="19274.724999999999"/>
    <n v="1765.625"/>
    <n v="17803.400000000001"/>
    <n v="17509.099999999999"/>
  </r>
  <r>
    <x v="0"/>
    <n v="23251000"/>
    <s v="Electrification"/>
    <d v="2011-06-30T00:00:00"/>
    <d v="2011-06-30T00:00:00"/>
    <x v="0"/>
    <n v="6688"/>
    <n v="0.05"/>
    <n v="334.40000000000003"/>
    <n v="3009.6200000000003"/>
    <n v="3678.3799999999997"/>
    <n v="334.40000000000003"/>
    <n v="3344.0200000000004"/>
    <n v="3343.9799999999996"/>
  </r>
  <r>
    <x v="0"/>
    <n v="23251000"/>
    <s v="Electrification"/>
    <d v="2011-06-30T00:00:00"/>
    <d v="2011-06-30T00:00:00"/>
    <x v="0"/>
    <n v="6335"/>
    <n v="0.05"/>
    <n v="316.75"/>
    <n v="2850.7799999999997"/>
    <n v="3484.2200000000003"/>
    <n v="316.75"/>
    <n v="3167.5299999999997"/>
    <n v="3167.4700000000003"/>
  </r>
  <r>
    <x v="0"/>
    <n v="23251000"/>
    <s v="Electrification"/>
    <d v="2011-06-30T00:00:00"/>
    <d v="2011-06-30T00:00:00"/>
    <x v="0"/>
    <n v="817.1"/>
    <n v="0.05"/>
    <n v="40.855000000000004"/>
    <n v="367.65500000000003"/>
    <n v="449.44499999999999"/>
    <n v="40.855000000000004"/>
    <n v="408.51000000000005"/>
    <n v="408.59"/>
  </r>
  <r>
    <x v="0"/>
    <n v="23251000"/>
    <s v="Electrification"/>
    <d v="2011-06-30T00:00:00"/>
    <d v="2011-06-30T00:00:00"/>
    <x v="0"/>
    <n v="2833.34"/>
    <n v="0.05"/>
    <n v="141.667"/>
    <n v="1251.385"/>
    <n v="1581.9550000000002"/>
    <n v="141.667"/>
    <n v="1393.0519999999999"/>
    <n v="1440.2880000000002"/>
  </r>
  <r>
    <x v="0"/>
    <n v="23251000"/>
    <s v="Electrification"/>
    <d v="2011-06-30T00:00:00"/>
    <d v="2011-06-30T00:00:00"/>
    <x v="0"/>
    <n v="116000"/>
    <n v="0.05"/>
    <n v="5800"/>
    <n v="51716.65"/>
    <n v="64283.350000000006"/>
    <n v="5800"/>
    <n v="57516.65"/>
    <n v="58483.35"/>
  </r>
  <r>
    <x v="0"/>
    <n v="23251000"/>
    <s v="Electrification"/>
    <d v="2011-06-30T00:00:00"/>
    <d v="2011-06-30T00:00:00"/>
    <x v="0"/>
    <n v="62306"/>
    <n v="0.05"/>
    <n v="3115.3"/>
    <n v="27778.099999999995"/>
    <n v="34527.9"/>
    <n v="3115.3"/>
    <n v="30893.399999999994"/>
    <n v="31412.600000000006"/>
  </r>
  <r>
    <x v="0"/>
    <n v="23251000"/>
    <s v="Electrification"/>
    <d v="2011-06-30T00:00:00"/>
    <d v="2011-06-30T00:00:00"/>
    <x v="0"/>
    <n v="21491.67"/>
    <n v="0.05"/>
    <n v="1074.5835"/>
    <n v="9581.7075000000004"/>
    <n v="11909.962499999998"/>
    <n v="1074.5835"/>
    <n v="10656.291000000001"/>
    <n v="10835.378999999997"/>
  </r>
  <r>
    <x v="0"/>
    <n v="23251000"/>
    <s v="Electrification"/>
    <d v="2011-06-30T00:00:00"/>
    <d v="2011-06-30T00:00:00"/>
    <x v="0"/>
    <n v="9957"/>
    <n v="0.05"/>
    <n v="497.85"/>
    <n v="4397.6899999999996"/>
    <n v="5559.3099999999995"/>
    <n v="497.85"/>
    <n v="4895.54"/>
    <n v="5061.46"/>
  </r>
  <r>
    <x v="0"/>
    <n v="23251000"/>
    <s v="Electrification"/>
    <d v="2011-06-30T00:00:00"/>
    <d v="2011-06-30T00:00:00"/>
    <x v="0"/>
    <n v="5909"/>
    <n v="0.05"/>
    <n v="295.45"/>
    <n v="2585.19"/>
    <n v="3323.81"/>
    <n v="295.45"/>
    <n v="2880.64"/>
    <n v="3028.36"/>
  </r>
  <r>
    <x v="0"/>
    <n v="23251000"/>
    <s v="Electrification"/>
    <d v="2011-06-30T00:00:00"/>
    <d v="2011-06-30T00:00:00"/>
    <x v="0"/>
    <n v="11007"/>
    <n v="0.05"/>
    <n v="550.35"/>
    <n v="4815.5600000000004"/>
    <n v="6191.44"/>
    <n v="550.35"/>
    <n v="5365.9100000000008"/>
    <n v="5641.0899999999992"/>
  </r>
  <r>
    <x v="0"/>
    <n v="23251000"/>
    <s v="Electrification"/>
    <d v="2011-06-30T00:00:00"/>
    <d v="2011-06-30T00:00:00"/>
    <x v="0"/>
    <n v="975"/>
    <n v="0.05"/>
    <n v="48.75"/>
    <n v="426.56"/>
    <n v="548.44000000000005"/>
    <n v="48.75"/>
    <n v="475.31"/>
    <n v="499.69"/>
  </r>
  <r>
    <x v="0"/>
    <n v="23251000"/>
    <s v="Electrification"/>
    <d v="2011-06-30T00:00:00"/>
    <d v="2011-06-30T00:00:00"/>
    <x v="0"/>
    <n v="20310"/>
    <n v="0.05"/>
    <n v="1015.5"/>
    <n v="8716.380000000001"/>
    <n v="11593.619999999999"/>
    <n v="1015.5"/>
    <n v="9731.880000000001"/>
    <n v="10578.119999999999"/>
  </r>
  <r>
    <x v="0"/>
    <n v="23251000"/>
    <s v="Electrification"/>
    <d v="2011-07-07T00:00:00"/>
    <d v="2012-06-30T00:00:00"/>
    <x v="1"/>
    <n v="40320"/>
    <n v="0.05"/>
    <n v="2016"/>
    <n v="16128"/>
    <n v="24192"/>
    <n v="2016"/>
    <n v="18144"/>
    <n v="22176"/>
  </r>
  <r>
    <x v="0"/>
    <n v="23251000"/>
    <s v="Electrification"/>
    <d v="2011-07-29T00:00:00"/>
    <d v="2012-06-30T00:00:00"/>
    <x v="1"/>
    <n v="9996.5"/>
    <n v="0.05"/>
    <n v="499.82500000000005"/>
    <n v="3998.585"/>
    <n v="5997.915"/>
    <n v="499.82500000000005"/>
    <n v="4498.41"/>
    <n v="5498.09"/>
  </r>
  <r>
    <x v="0"/>
    <n v="23251000"/>
    <s v="Electrification"/>
    <d v="2011-07-29T00:00:00"/>
    <d v="2012-06-30T00:00:00"/>
    <x v="1"/>
    <n v="41154"/>
    <n v="0.05"/>
    <n v="2057.7000000000003"/>
    <n v="16461.570000000003"/>
    <n v="24692.429999999997"/>
    <n v="2057.7000000000003"/>
    <n v="18519.270000000004"/>
    <n v="22634.729999999996"/>
  </r>
  <r>
    <x v="0"/>
    <s v="23310008"/>
    <s v="Electrification"/>
    <d v="2017-08-30T00:00:00"/>
    <d v="2018-06-30T00:00:00"/>
    <x v="1"/>
    <n v="55800"/>
    <n v="0.2"/>
    <n v="11160"/>
    <n v="21390"/>
    <n v="34410"/>
    <n v="11160"/>
    <n v="32550"/>
    <n v="23250"/>
  </r>
  <r>
    <x v="1"/>
    <n v="23310000"/>
    <s v="Installtions techniques- Irrigation"/>
    <d v="2011-06-30T00:00:00"/>
    <d v="2011-06-30T00:00:00"/>
    <x v="0"/>
    <n v="4781.26"/>
    <n v="0.1"/>
    <n v="478.12600000000003"/>
    <n v="4263.2540000000008"/>
    <n v="518.00599999999963"/>
    <n v="478.12600000000003"/>
    <n v="4741.380000000001"/>
    <n v="39.8799999999992"/>
  </r>
  <r>
    <x v="1"/>
    <n v="23310002"/>
    <s v="Installtions techniques- Serres"/>
    <d v="2018-08-02T00:00:00"/>
    <d v="2019-06-30T00:00:00"/>
    <x v="1"/>
    <n v="3720.0000000000005"/>
    <n v="0.1"/>
    <n v="341.00000000000006"/>
    <n v="341.00000000000006"/>
    <n v="3379.0000000000005"/>
    <n v="341.00000000000006"/>
    <n v="682.00000000000011"/>
    <n v="3038.0000000000005"/>
  </r>
  <r>
    <x v="1"/>
    <n v="23310002"/>
    <s v="Installtions techniques- Serres"/>
    <d v="2018-08-02T00:00:00"/>
    <d v="2019-06-30T00:00:00"/>
    <x v="1"/>
    <n v="55000"/>
    <n v="0.1"/>
    <n v="5041.6666666666661"/>
    <n v="5041.6666666666661"/>
    <n v="49958.333333333336"/>
    <n v="5041.6666666666661"/>
    <n v="10083.333333333332"/>
    <n v="44916.666666666672"/>
  </r>
  <r>
    <x v="1"/>
    <n v="23310002"/>
    <s v="Installtions techniques- Serres"/>
    <d v="2018-08-16T00:00:00"/>
    <d v="2019-06-30T00:00:00"/>
    <x v="1"/>
    <n v="55000"/>
    <n v="0.1"/>
    <n v="5041.6666666666661"/>
    <n v="5041.6666666666661"/>
    <n v="49958.333333333336"/>
    <n v="5041.6666666666661"/>
    <n v="10083.333333333332"/>
    <n v="44916.666666666672"/>
  </r>
  <r>
    <x v="1"/>
    <n v="23310002"/>
    <s v="Installtions techniques- Serres"/>
    <d v="2018-08-16T00:00:00"/>
    <d v="2019-06-30T00:00:00"/>
    <x v="1"/>
    <n v="720"/>
    <n v="0.1"/>
    <n v="66"/>
    <n v="66"/>
    <n v="654"/>
    <n v="66"/>
    <n v="132"/>
    <n v="588"/>
  </r>
  <r>
    <x v="1"/>
    <n v="23310002"/>
    <s v="Installtions techniques- Serres"/>
    <d v="2018-09-03T00:00:00"/>
    <d v="2019-06-30T00:00:00"/>
    <x v="1"/>
    <n v="5500"/>
    <n v="0.1"/>
    <n v="458.33333333333337"/>
    <n v="458.33333333333337"/>
    <n v="5041.666666666667"/>
    <n v="458.33333333333337"/>
    <n v="916.66666666666674"/>
    <n v="4583.333333333333"/>
  </r>
  <r>
    <x v="1"/>
    <n v="23310002"/>
    <s v="Installtions techniques- Serres"/>
    <d v="2018-09-10T00:00:00"/>
    <d v="2019-06-30T00:00:00"/>
    <x v="1"/>
    <n v="12000"/>
    <n v="0.1"/>
    <n v="1000"/>
    <n v="1000"/>
    <n v="11000"/>
    <n v="1000"/>
    <n v="2000"/>
    <n v="10000"/>
  </r>
  <r>
    <x v="1"/>
    <n v="23310002"/>
    <s v="Installtions techniques- Serres"/>
    <d v="2018-09-17T00:00:00"/>
    <d v="2019-06-30T00:00:00"/>
    <x v="1"/>
    <n v="360"/>
    <n v="0.1"/>
    <n v="30"/>
    <n v="30"/>
    <n v="330"/>
    <n v="30"/>
    <n v="60"/>
    <n v="300"/>
  </r>
  <r>
    <x v="1"/>
    <n v="23310002"/>
    <s v="Installtions techniques- Serres"/>
    <d v="2011-06-30T00:00:00"/>
    <d v="2011-06-30T00:00:00"/>
    <x v="0"/>
    <n v="498607"/>
    <n v="0.1"/>
    <n v="49860.700000000004"/>
    <n v="440436.20000000007"/>
    <n v="58170.799999999937"/>
    <n v="49860.700000000004"/>
    <n v="490296.90000000008"/>
    <n v="8310.0999999999185"/>
  </r>
  <r>
    <x v="1"/>
    <n v="23310002"/>
    <s v="Installtions techniques- Serres"/>
    <d v="2011-06-30T00:00:00"/>
    <d v="2011-06-30T00:00:00"/>
    <x v="0"/>
    <n v="69503.820000000007"/>
    <n v="0.1"/>
    <n v="6950.3820000000014"/>
    <n v="61974.239999999991"/>
    <n v="7529.5800000000127"/>
    <n v="6950.3820000000014"/>
    <n v="68924.621999999988"/>
    <n v="579.19800000001851"/>
  </r>
  <r>
    <x v="1"/>
    <n v="23310002"/>
    <s v="Installtions techniques- Serres"/>
    <d v="2011-06-30T00:00:00"/>
    <d v="2011-06-30T00:00:00"/>
    <x v="0"/>
    <n v="20259.439999999999"/>
    <n v="0.1"/>
    <n v="2025.944"/>
    <n v="18064.66"/>
    <n v="2194.7800000000002"/>
    <n v="2025.944"/>
    <n v="20090.603999999999"/>
    <n v="168.83599999999933"/>
  </r>
  <r>
    <x v="1"/>
    <n v="23310002"/>
    <s v="Installtions techniques- Serres"/>
    <d v="2017-07-01T00:00:00"/>
    <d v="2018-06-30T00:00:00"/>
    <x v="1"/>
    <n v="65244.35"/>
    <n v="0.1"/>
    <n v="6524.4350000000004"/>
    <n v="13048.87"/>
    <n v="52195.48"/>
    <n v="6524.4350000000004"/>
    <n v="19573.305"/>
    <n v="45671.044999999998"/>
  </r>
  <r>
    <x v="1"/>
    <n v="23310000"/>
    <s v="Installtions techniques- Irrigation"/>
    <d v="2011-06-30T00:00:00"/>
    <d v="2011-06-30T00:00:00"/>
    <x v="0"/>
    <n v="262720"/>
    <n v="0.5"/>
    <n v="0"/>
    <n v="262720"/>
    <n v="0"/>
    <n v="0"/>
    <n v="262720"/>
    <n v="0"/>
  </r>
  <r>
    <x v="1"/>
    <s v="23321000"/>
    <s v="Matériel divers"/>
    <d v="2011-06-30T00:00:00"/>
    <d v="2011-06-30T00:00:00"/>
    <x v="0"/>
    <n v="26750"/>
    <n v="0.2"/>
    <n v="0"/>
    <n v="26750"/>
    <n v="0"/>
    <n v="0"/>
    <n v="26750"/>
    <n v="0"/>
  </r>
  <r>
    <x v="1"/>
    <n v="23310002"/>
    <s v="Installtions techniques- Serres"/>
    <d v="2011-06-30T00:00:00"/>
    <d v="2011-06-30T00:00:00"/>
    <x v="0"/>
    <n v="2456164.86"/>
    <n v="0.25"/>
    <n v="-4.999999888241291E-3"/>
    <n v="2456164.86"/>
    <n v="0"/>
    <n v="-4.999999888241291E-3"/>
    <n v="2456164.855"/>
    <n v="4.999999888241291E-3"/>
  </r>
  <r>
    <x v="1"/>
    <s v="23321000"/>
    <s v="Matériel divers"/>
    <d v="2011-06-30T00:00:00"/>
    <d v="2011-06-30T00:00:00"/>
    <x v="0"/>
    <n v="23000"/>
    <n v="0.2"/>
    <n v="0"/>
    <n v="23000"/>
    <n v="0"/>
    <n v="0"/>
    <n v="23000"/>
    <n v="0"/>
  </r>
  <r>
    <x v="1"/>
    <s v="23321000"/>
    <s v="Matériel divers"/>
    <d v="2011-06-30T00:00:00"/>
    <d v="2011-06-30T00:00:00"/>
    <x v="0"/>
    <n v="53610"/>
    <n v="0.2"/>
    <n v="0"/>
    <n v="53610"/>
    <n v="0"/>
    <n v="0"/>
    <n v="53610"/>
    <n v="0"/>
  </r>
  <r>
    <x v="1"/>
    <n v="23310002"/>
    <s v="Installtions techniques- Serres"/>
    <d v="2011-06-30T00:00:00"/>
    <d v="2011-06-30T00:00:00"/>
    <x v="0"/>
    <n v="1318945"/>
    <n v="0.1"/>
    <n v="131894.5"/>
    <n v="1121103.26"/>
    <n v="197841.74"/>
    <n v="131894.5"/>
    <n v="1252997.76"/>
    <n v="65947.239999999991"/>
  </r>
  <r>
    <x v="1"/>
    <n v="23310002"/>
    <s v="Installtions techniques- Serres"/>
    <d v="2011-06-30T00:00:00"/>
    <d v="2011-06-30T00:00:00"/>
    <x v="0"/>
    <n v="24831.65"/>
    <n v="0.1"/>
    <n v="2483.1650000000004"/>
    <n v="21520.74"/>
    <n v="3310.9100000000003"/>
    <n v="2483.1650000000004"/>
    <n v="24003.905000000002"/>
    <n v="827.74499999999898"/>
  </r>
  <r>
    <x v="1"/>
    <n v="23310002"/>
    <s v="Installtions techniques- Serres"/>
    <d v="2011-06-30T00:00:00"/>
    <d v="2011-06-30T00:00:00"/>
    <x v="0"/>
    <n v="124950"/>
    <n v="0.1"/>
    <n v="12495"/>
    <n v="104125"/>
    <n v="20825"/>
    <n v="12495"/>
    <n v="116620"/>
    <n v="8330"/>
  </r>
  <r>
    <x v="1"/>
    <n v="23310000"/>
    <s v="Installtions techniques- Irrigation"/>
    <d v="2011-06-30T00:00:00"/>
    <d v="2011-06-30T00:00:00"/>
    <x v="0"/>
    <n v="309080.90999999997"/>
    <n v="0.25"/>
    <n v="0"/>
    <n v="309080.90749999997"/>
    <n v="2.5000000023283064E-3"/>
    <n v="0"/>
    <n v="309080.90749999997"/>
    <n v="2.5000000023283064E-3"/>
  </r>
  <r>
    <x v="1"/>
    <n v="23310000"/>
    <s v="Installtions techniques- Irrigation"/>
    <d v="2011-06-30T00:00:00"/>
    <d v="2011-06-30T00:00:00"/>
    <x v="0"/>
    <n v="101376"/>
    <n v="0.5"/>
    <n v="0"/>
    <n v="101376"/>
    <n v="0"/>
    <n v="0"/>
    <n v="101376"/>
    <n v="0"/>
  </r>
  <r>
    <x v="1"/>
    <n v="23310002"/>
    <s v="Installtions techniques- Serres"/>
    <d v="2011-06-30T00:00:00"/>
    <d v="2011-06-30T00:00:00"/>
    <x v="0"/>
    <n v="618672.78"/>
    <n v="0.1"/>
    <n v="61867.278000000006"/>
    <n v="531027.44999999995"/>
    <n v="87645.33000000006"/>
    <n v="61867.278000000006"/>
    <n v="592894.728"/>
    <n v="25778.052000000025"/>
  </r>
  <r>
    <x v="1"/>
    <n v="23310000"/>
    <s v="Installtions techniques- Irrigation"/>
    <d v="2011-06-30T00:00:00"/>
    <d v="2011-06-30T00:00:00"/>
    <x v="0"/>
    <n v="56000"/>
    <n v="0.25"/>
    <n v="0"/>
    <n v="56000"/>
    <n v="0"/>
    <n v="0"/>
    <n v="56000"/>
    <n v="0"/>
  </r>
  <r>
    <x v="1"/>
    <s v="23321000"/>
    <s v="Matériel divers"/>
    <d v="2011-06-30T00:00:00"/>
    <d v="2011-06-30T00:00:00"/>
    <x v="0"/>
    <n v="70000"/>
    <n v="0.2"/>
    <n v="0"/>
    <n v="70000"/>
    <n v="0"/>
    <n v="0"/>
    <n v="70000"/>
    <n v="0"/>
  </r>
  <r>
    <x v="1"/>
    <s v="23321000"/>
    <s v="Matériel divers"/>
    <d v="2011-06-30T00:00:00"/>
    <d v="2011-06-30T00:00:00"/>
    <x v="0"/>
    <n v="164000"/>
    <n v="0.2"/>
    <n v="0"/>
    <n v="164000"/>
    <n v="0"/>
    <n v="0"/>
    <n v="164000"/>
    <n v="0"/>
  </r>
  <r>
    <x v="1"/>
    <s v="23321000"/>
    <s v="Matériel divers"/>
    <d v="2011-06-30T00:00:00"/>
    <d v="2011-06-30T00:00:00"/>
    <x v="0"/>
    <n v="37000"/>
    <n v="0.2"/>
    <n v="0"/>
    <n v="37000"/>
    <n v="0"/>
    <n v="0"/>
    <n v="37000"/>
    <n v="0"/>
  </r>
  <r>
    <x v="1"/>
    <s v="23321000"/>
    <s v="Matériel divers"/>
    <d v="2011-06-30T00:00:00"/>
    <d v="2011-06-30T00:00:00"/>
    <x v="0"/>
    <n v="62175"/>
    <n v="0.2"/>
    <n v="0"/>
    <n v="62175"/>
    <n v="0"/>
    <n v="0"/>
    <n v="62175"/>
    <n v="0"/>
  </r>
  <r>
    <x v="1"/>
    <n v="23310001"/>
    <s v="Installtions techniques- Irrigation"/>
    <d v="2011-07-05T00:00:00"/>
    <d v="2012-06-30T00:00:00"/>
    <x v="1"/>
    <n v="751399.53"/>
    <n v="0.1"/>
    <n v="75139.953000000009"/>
    <n v="601119.61499999999"/>
    <n v="150279.91500000001"/>
    <n v="75139.953000000009"/>
    <n v="676259.56799999997"/>
    <n v="75139.962000000058"/>
  </r>
  <r>
    <x v="1"/>
    <n v="23310001"/>
    <s v="Installtions techniques- Irrigation"/>
    <d v="2017-11-14T00:00:00"/>
    <d v="2018-06-30T00:00:00"/>
    <x v="0"/>
    <n v="8400"/>
    <n v="0.2"/>
    <n v="1680"/>
    <n v="2800"/>
    <n v="5600"/>
    <n v="1680"/>
    <n v="4480"/>
    <n v="3920"/>
  </r>
  <r>
    <x v="1"/>
    <n v="23310001"/>
    <s v="Installtions techniques- Irrigation"/>
    <d v="2017-11-16T00:00:00"/>
    <d v="2018-06-30T00:00:00"/>
    <x v="1"/>
    <n v="8400"/>
    <n v="0.2"/>
    <n v="1680"/>
    <n v="2800"/>
    <n v="5600"/>
    <n v="1680"/>
    <n v="4480"/>
    <n v="3920"/>
  </r>
  <r>
    <x v="1"/>
    <n v="23310001"/>
    <s v="Installtions techniques- Irrigation"/>
    <d v="2017-09-16T00:00:00"/>
    <d v="2018-06-30T00:00:00"/>
    <x v="1"/>
    <n v="25000"/>
    <n v="0.2"/>
    <n v="5000"/>
    <n v="9166.6666666666679"/>
    <n v="15833.333333333332"/>
    <n v="5000"/>
    <n v="14166.666666666668"/>
    <n v="10833.333333333332"/>
  </r>
  <r>
    <x v="1"/>
    <n v="23310001"/>
    <s v="Installtions techniques- Irrigation"/>
    <d v="2017-09-16T00:00:00"/>
    <d v="2018-06-30T00:00:00"/>
    <x v="1"/>
    <n v="200"/>
    <n v="0.2"/>
    <n v="40"/>
    <n v="73.333333333333343"/>
    <n v="126.66666666666666"/>
    <n v="40"/>
    <n v="113.33333333333334"/>
    <n v="86.666666666666657"/>
  </r>
  <r>
    <x v="1"/>
    <n v="23310001"/>
    <s v="Installtions techniques- Irrigation"/>
    <d v="2017-09-16T00:00:00"/>
    <d v="2018-06-30T00:00:00"/>
    <x v="1"/>
    <n v="600"/>
    <n v="0.2"/>
    <n v="120"/>
    <n v="220"/>
    <n v="380"/>
    <n v="120"/>
    <n v="340"/>
    <n v="260"/>
  </r>
  <r>
    <x v="1"/>
    <n v="23310001"/>
    <s v="Installtions techniques- Irrigation"/>
    <d v="2017-09-16T00:00:00"/>
    <d v="2018-06-30T00:00:00"/>
    <x v="1"/>
    <n v="24000"/>
    <n v="0.2"/>
    <n v="4800"/>
    <n v="8800"/>
    <n v="15200"/>
    <n v="4800"/>
    <n v="13600"/>
    <n v="10400"/>
  </r>
  <r>
    <x v="1"/>
    <n v="23310001"/>
    <s v="Installtions techniques- Irrigation"/>
    <d v="2017-09-16T00:00:00"/>
    <d v="2018-06-30T00:00:00"/>
    <x v="1"/>
    <n v="600"/>
    <n v="0.2"/>
    <n v="120"/>
    <n v="220"/>
    <n v="380"/>
    <n v="120"/>
    <n v="340"/>
    <n v="260"/>
  </r>
  <r>
    <x v="1"/>
    <n v="23310001"/>
    <s v="Installtions techniques- Irrigation"/>
    <d v="2017-09-16T00:00:00"/>
    <d v="2018-06-30T00:00:00"/>
    <x v="1"/>
    <n v="15000"/>
    <n v="0.2"/>
    <n v="3000"/>
    <n v="5500"/>
    <n v="9500"/>
    <n v="3000"/>
    <n v="8500"/>
    <n v="6500"/>
  </r>
  <r>
    <x v="1"/>
    <n v="23310001"/>
    <s v="Installtions techniques- Irrigation"/>
    <d v="2017-09-16T00:00:00"/>
    <d v="2018-06-30T00:00:00"/>
    <x v="1"/>
    <n v="11000"/>
    <n v="0.2"/>
    <n v="2200"/>
    <n v="4033.333333333333"/>
    <n v="6966.6666666666661"/>
    <n v="2200"/>
    <n v="6233.333333333333"/>
    <n v="4766.666666666667"/>
  </r>
  <r>
    <x v="1"/>
    <n v="23310001"/>
    <s v="Installtions techniques- Irrigation"/>
    <d v="2017-09-16T00:00:00"/>
    <d v="2018-06-30T00:00:00"/>
    <x v="1"/>
    <n v="300"/>
    <n v="0.2"/>
    <n v="60"/>
    <n v="110"/>
    <n v="190"/>
    <n v="60"/>
    <n v="170"/>
    <n v="130"/>
  </r>
  <r>
    <x v="1"/>
    <n v="23310001"/>
    <s v="Installtions techniques- Irrigation"/>
    <d v="2017-09-16T00:00:00"/>
    <d v="2018-06-30T00:00:00"/>
    <x v="1"/>
    <n v="1500"/>
    <n v="0.2"/>
    <n v="300"/>
    <n v="550"/>
    <n v="950"/>
    <n v="300"/>
    <n v="850"/>
    <n v="650"/>
  </r>
  <r>
    <x v="1"/>
    <n v="23310001"/>
    <s v="Installtions techniques- Irrigation"/>
    <d v="2017-09-16T00:00:00"/>
    <d v="2018-06-30T00:00:00"/>
    <x v="1"/>
    <n v="200"/>
    <n v="0.2"/>
    <n v="40"/>
    <n v="73.333333333333343"/>
    <n v="126.66666666666666"/>
    <n v="40"/>
    <n v="113.33333333333334"/>
    <n v="86.666666666666657"/>
  </r>
  <r>
    <x v="0"/>
    <n v="23210001"/>
    <s v="Constructions sur terrain d'autrui"/>
    <d v="2013-02-21T00:00:00"/>
    <d v="2013-06-30T00:00:00"/>
    <x v="1"/>
    <n v="53192.5"/>
    <n v="0.1"/>
    <n v="5319.25"/>
    <n v="34131.85"/>
    <n v="19060.650000000001"/>
    <n v="5319.25"/>
    <n v="39451.1"/>
    <n v="13741.400000000001"/>
  </r>
  <r>
    <x v="1"/>
    <n v="23310001"/>
    <s v="Installtions techniques- Irrigation"/>
    <d v="2012-11-30T00:00:00"/>
    <d v="2013-06-30T00:00:00"/>
    <x v="0"/>
    <n v="10120"/>
    <n v="0.2"/>
    <n v="0"/>
    <n v="10120"/>
    <n v="0"/>
    <n v="0"/>
    <n v="10120"/>
    <n v="0"/>
  </r>
  <r>
    <x v="1"/>
    <n v="23310001"/>
    <s v="Installtions techniques- Irrigation"/>
    <d v="2012-11-30T00:00:00"/>
    <d v="2013-06-30T00:00:00"/>
    <x v="1"/>
    <n v="63800"/>
    <n v="0.2"/>
    <n v="0"/>
    <n v="63800"/>
    <n v="0"/>
    <n v="0"/>
    <n v="63800"/>
    <n v="0"/>
  </r>
  <r>
    <x v="1"/>
    <n v="23310001"/>
    <s v="Installtions techniques- Irrigation"/>
    <d v="2013-01-19T00:00:00"/>
    <d v="2013-06-30T00:00:00"/>
    <x v="0"/>
    <n v="18000"/>
    <n v="0.2"/>
    <n v="0"/>
    <n v="18000"/>
    <n v="0"/>
    <n v="0"/>
    <n v="18000"/>
    <n v="0"/>
  </r>
  <r>
    <x v="1"/>
    <n v="23310001"/>
    <s v="Installtions techniques- Irrigation"/>
    <d v="2013-02-05T00:00:00"/>
    <d v="2013-06-30T00:00:00"/>
    <x v="0"/>
    <n v="20500"/>
    <n v="0.2"/>
    <n v="0"/>
    <n v="20500"/>
    <n v="0"/>
    <n v="0"/>
    <n v="20500"/>
    <n v="0"/>
  </r>
  <r>
    <x v="1"/>
    <n v="23310001"/>
    <s v="Installtions techniques- Irrigation"/>
    <d v="2013-02-28T00:00:00"/>
    <d v="2013-06-30T00:00:00"/>
    <x v="0"/>
    <n v="4554.5"/>
    <n v="0.2"/>
    <n v="0"/>
    <n v="4554.5"/>
    <n v="0"/>
    <n v="0"/>
    <n v="4554.5"/>
    <n v="0"/>
  </r>
  <r>
    <x v="1"/>
    <n v="23310001"/>
    <s v="Installtions techniques- Irrigation"/>
    <d v="2015-01-31T00:00:00"/>
    <d v="2015-06-30T00:00:00"/>
    <x v="1"/>
    <n v="8802"/>
    <n v="0.2"/>
    <n v="1760.4"/>
    <n v="7775.1"/>
    <n v="1026.8999999999992"/>
    <n v="1026.8999999999992"/>
    <n v="8802"/>
    <n v="0"/>
  </r>
  <r>
    <x v="1"/>
    <n v="23310002"/>
    <s v="Installtions techniques- Serres"/>
    <d v="2011-07-02T00:00:00"/>
    <d v="2012-06-30T00:00:00"/>
    <x v="1"/>
    <n v="156781.79999999999"/>
    <n v="0.25"/>
    <n v="0"/>
    <n v="156781.79999999999"/>
    <n v="0"/>
    <n v="0"/>
    <n v="156781.79999999999"/>
    <n v="0"/>
  </r>
  <r>
    <x v="1"/>
    <n v="23310002"/>
    <s v="Installtions techniques- Serres"/>
    <d v="2011-07-02T00:00:00"/>
    <d v="2012-06-30T00:00:00"/>
    <x v="1"/>
    <n v="4924351.6100000003"/>
    <n v="0.25"/>
    <n v="0"/>
    <n v="4924351.6100000003"/>
    <n v="0"/>
    <n v="0"/>
    <n v="4924351.6100000003"/>
    <n v="0"/>
  </r>
  <r>
    <x v="1"/>
    <n v="23310002"/>
    <s v="Installtions techniques- Serres"/>
    <d v="2011-07-07T00:00:00"/>
    <d v="2012-06-30T00:00:00"/>
    <x v="1"/>
    <n v="133648.26"/>
    <n v="0.25"/>
    <n v="0"/>
    <n v="133648.26"/>
    <n v="0"/>
    <n v="0"/>
    <n v="133648.26"/>
    <n v="0"/>
  </r>
  <r>
    <x v="1"/>
    <n v="23310002"/>
    <s v="Installtions techniques- Serres"/>
    <d v="2011-07-11T00:00:00"/>
    <d v="2012-06-30T00:00:00"/>
    <x v="1"/>
    <n v="280339.20000000001"/>
    <n v="0.25"/>
    <n v="0"/>
    <n v="280339.20000000001"/>
    <n v="0"/>
    <n v="0"/>
    <n v="280339.20000000001"/>
    <n v="0"/>
  </r>
  <r>
    <x v="1"/>
    <n v="23310002"/>
    <s v="Installtions techniques- Serres"/>
    <d v="2011-07-15T00:00:00"/>
    <d v="2012-06-30T00:00:00"/>
    <x v="1"/>
    <n v="281754.3"/>
    <n v="0.25"/>
    <n v="0"/>
    <n v="281754.29500000004"/>
    <n v="4.999999946448952E-3"/>
    <n v="0"/>
    <n v="281754.29500000004"/>
    <n v="4.999999946448952E-3"/>
  </r>
  <r>
    <x v="1"/>
    <n v="23310002"/>
    <s v="Installtions techniques- Serres"/>
    <d v="2011-07-20T00:00:00"/>
    <d v="2012-06-30T00:00:00"/>
    <x v="1"/>
    <n v="131179.20000000001"/>
    <n v="0.25"/>
    <n v="0"/>
    <n v="131179.20000000001"/>
    <n v="0"/>
    <n v="0"/>
    <n v="131179.20000000001"/>
    <n v="0"/>
  </r>
  <r>
    <x v="1"/>
    <n v="23310002"/>
    <s v="Installtions techniques- Serres"/>
    <d v="2011-07-21T00:00:00"/>
    <d v="2012-06-30T00:00:00"/>
    <x v="1"/>
    <n v="148619.51999999999"/>
    <n v="0.25"/>
    <n v="0"/>
    <n v="148619.51999999999"/>
    <n v="0"/>
    <n v="0"/>
    <n v="148619.51999999999"/>
    <n v="0"/>
  </r>
  <r>
    <x v="1"/>
    <n v="23310002"/>
    <s v="Installtions techniques- Serres"/>
    <d v="2011-07-28T00:00:00"/>
    <d v="2012-06-30T00:00:00"/>
    <x v="1"/>
    <n v="451505"/>
    <n v="0.25"/>
    <n v="0"/>
    <n v="451505"/>
    <n v="0"/>
    <n v="0"/>
    <n v="451505"/>
    <n v="0"/>
  </r>
  <r>
    <x v="1"/>
    <n v="23310002"/>
    <s v="Installtions techniques- Serres"/>
    <d v="2011-07-31T00:00:00"/>
    <d v="2012-06-30T00:00:00"/>
    <x v="1"/>
    <n v="48000"/>
    <n v="0.25"/>
    <n v="0"/>
    <n v="48000"/>
    <n v="0"/>
    <n v="0"/>
    <n v="48000"/>
    <n v="0"/>
  </r>
  <r>
    <x v="1"/>
    <n v="23310002"/>
    <s v="Installtions techniques- Serres"/>
    <d v="2011-11-26T00:00:00"/>
    <d v="2012-06-30T00:00:00"/>
    <x v="1"/>
    <n v="5798.03"/>
    <n v="0.25"/>
    <n v="0"/>
    <n v="5798.03"/>
    <n v="0"/>
    <n v="0"/>
    <n v="5798.03"/>
    <n v="0"/>
  </r>
  <r>
    <x v="1"/>
    <n v="23310002"/>
    <s v="Installtions techniques- Serres"/>
    <d v="2013-06-29T00:00:00"/>
    <d v="2013-06-30T00:00:00"/>
    <x v="1"/>
    <n v="3816000.01"/>
    <n v="0.1"/>
    <n v="381600.00099999999"/>
    <n v="2321400.0049999999"/>
    <n v="1494600.0050000001"/>
    <n v="381600.00099999999"/>
    <n v="2703000.0060000001"/>
    <n v="1113000.0039999997"/>
  </r>
  <r>
    <x v="1"/>
    <n v="23310002"/>
    <s v="Installtions techniques- Serres"/>
    <d v="2013-06-29T00:00:00"/>
    <d v="2013-06-30T00:00:00"/>
    <x v="1"/>
    <n v="1047636"/>
    <n v="0.1"/>
    <n v="104763.6"/>
    <n v="637311.89"/>
    <n v="410324.11"/>
    <n v="104763.6"/>
    <n v="742075.49"/>
    <n v="305560.51"/>
  </r>
  <r>
    <x v="1"/>
    <n v="23310002"/>
    <s v="Installtions techniques- Serres"/>
    <d v="2014-07-02T00:00:00"/>
    <d v="2015-06-30T00:00:00"/>
    <x v="1"/>
    <n v="55809"/>
    <n v="0.1"/>
    <n v="5580.9000000000005"/>
    <n v="27889.490000000005"/>
    <n v="27919.509999999995"/>
    <n v="5580.9000000000005"/>
    <n v="33470.390000000007"/>
    <n v="22338.609999999993"/>
  </r>
  <r>
    <x v="1"/>
    <n v="23310002"/>
    <s v="Installtions techniques- Serres"/>
    <d v="2014-09-30T00:00:00"/>
    <d v="2015-06-30T00:00:00"/>
    <x v="1"/>
    <n v="47434.97"/>
    <n v="0.1"/>
    <n v="4743.4970000000003"/>
    <n v="22926.897999999997"/>
    <n v="24508.072000000004"/>
    <n v="4743.4970000000003"/>
    <n v="27670.394999999997"/>
    <n v="19764.575000000004"/>
  </r>
  <r>
    <x v="1"/>
    <n v="23310002"/>
    <s v="Installtions techniques- Serres"/>
    <d v="2014-09-30T00:00:00"/>
    <d v="2015-06-30T00:00:00"/>
    <x v="1"/>
    <n v="31157.78"/>
    <n v="0.1"/>
    <n v="3115.7780000000002"/>
    <n v="15059.586000000001"/>
    <n v="16098.193999999998"/>
    <n v="3115.7780000000002"/>
    <n v="18175.364000000001"/>
    <n v="12982.415999999997"/>
  </r>
  <r>
    <x v="1"/>
    <n v="23310002"/>
    <s v="Installtions techniques- Serres"/>
    <d v="2014-09-30T00:00:00"/>
    <d v="2015-06-30T00:00:00"/>
    <x v="1"/>
    <n v="17947.05"/>
    <n v="0.1"/>
    <n v="1794.7049999999999"/>
    <n v="8674.4"/>
    <n v="9272.65"/>
    <n v="1794.7049999999999"/>
    <n v="10469.105"/>
    <n v="7477.9449999999997"/>
  </r>
  <r>
    <x v="1"/>
    <n v="23310002"/>
    <s v="Installtions techniques- Serres"/>
    <d v="2014-09-30T00:00:00"/>
    <d v="2015-06-30T00:00:00"/>
    <x v="1"/>
    <n v="16967.68"/>
    <n v="0.1"/>
    <n v="1696.768"/>
    <n v="8201.0360000000001"/>
    <n v="8766.6440000000002"/>
    <n v="1696.768"/>
    <n v="9897.8040000000001"/>
    <n v="7069.8760000000002"/>
  </r>
  <r>
    <x v="1"/>
    <n v="23310002"/>
    <s v="Installtions techniques- Serres"/>
    <d v="2018-12-01T00:00:00"/>
    <d v="2019-06-30T00:00:00"/>
    <x v="0"/>
    <n v="362078"/>
    <n v="0.1"/>
    <n v="21121.216666666671"/>
    <n v="21121.216666666671"/>
    <n v="340956.78333333333"/>
    <n v="21121.216666666671"/>
    <n v="42242.433333333342"/>
    <n v="319835.56666666665"/>
  </r>
  <r>
    <x v="1"/>
    <n v="23310002"/>
    <s v="Installtions techniques- Serres"/>
    <d v="2018-12-01T00:00:00"/>
    <d v="2019-06-30T00:00:00"/>
    <x v="0"/>
    <n v="26160"/>
    <n v="0.1"/>
    <n v="1526"/>
    <n v="1526"/>
    <n v="24634"/>
    <n v="1526"/>
    <n v="3052"/>
    <n v="23108"/>
  </r>
  <r>
    <x v="1"/>
    <n v="23310002"/>
    <s v="Installtions techniques- Serres"/>
    <d v="2018-12-01T00:00:00"/>
    <d v="2019-06-30T00:00:00"/>
    <x v="0"/>
    <n v="15000"/>
    <n v="0.1"/>
    <n v="875"/>
    <n v="875"/>
    <n v="14125"/>
    <n v="875"/>
    <n v="1750"/>
    <n v="13250"/>
  </r>
  <r>
    <x v="1"/>
    <n v="23310002"/>
    <s v="Installtions techniques- Serres"/>
    <d v="2018-12-01T00:00:00"/>
    <d v="2019-06-30T00:00:00"/>
    <x v="0"/>
    <n v="44100"/>
    <n v="0.1"/>
    <n v="2572.5"/>
    <n v="2572.5"/>
    <n v="41527.5"/>
    <n v="2572.5"/>
    <n v="5145"/>
    <n v="38955"/>
  </r>
  <r>
    <x v="1"/>
    <n v="23310002"/>
    <s v="Installtions techniques- Serres"/>
    <d v="2018-12-01T00:00:00"/>
    <d v="2019-06-30T00:00:00"/>
    <x v="1"/>
    <n v="4440"/>
    <n v="0.1"/>
    <n v="259"/>
    <n v="259"/>
    <n v="4181"/>
    <n v="259"/>
    <n v="518"/>
    <n v="3922"/>
  </r>
  <r>
    <x v="1"/>
    <n v="23310003"/>
    <s v="Installtions techniques- Plastiques"/>
    <d v="2012-07-04T00:00:00"/>
    <d v="2013-06-30T00:00:00"/>
    <x v="0"/>
    <n v="120561.41"/>
    <n v="0.5"/>
    <n v="0"/>
    <n v="120561.41"/>
    <n v="0"/>
    <n v="0"/>
    <n v="120561.41"/>
    <n v="0"/>
  </r>
  <r>
    <x v="1"/>
    <n v="23310003"/>
    <s v="Installtions techniques- Plastiques"/>
    <d v="2012-07-04T00:00:00"/>
    <d v="2013-06-30T00:00:00"/>
    <x v="0"/>
    <n v="106553.08"/>
    <n v="0.5"/>
    <n v="0"/>
    <n v="106553.08"/>
    <n v="0"/>
    <n v="0"/>
    <n v="106553.08"/>
    <n v="0"/>
  </r>
  <r>
    <x v="1"/>
    <n v="23310003"/>
    <s v="Installtions techniques- Plastiques"/>
    <d v="2012-07-05T00:00:00"/>
    <d v="2013-06-30T00:00:00"/>
    <x v="0"/>
    <n v="83056.89"/>
    <n v="0.5"/>
    <n v="0"/>
    <n v="83056.885000000009"/>
    <n v="4.9999999901046976E-3"/>
    <n v="0"/>
    <n v="83056.885000000009"/>
    <n v="4.9999999901046976E-3"/>
  </r>
  <r>
    <x v="1"/>
    <n v="23310003"/>
    <s v="Installtions techniques- Plastiques"/>
    <d v="2013-07-26T00:00:00"/>
    <d v="2014-06-30T00:00:00"/>
    <x v="1"/>
    <n v="3510"/>
    <n v="0.3333333"/>
    <n v="0"/>
    <n v="3510"/>
    <n v="0"/>
    <n v="0"/>
    <n v="3510"/>
    <n v="0"/>
  </r>
  <r>
    <x v="1"/>
    <n v="23310003"/>
    <s v="Installtions techniques- Plastiques"/>
    <d v="2013-10-31T00:00:00"/>
    <d v="2014-06-30T00:00:00"/>
    <x v="0"/>
    <n v="41907.24"/>
    <n v="0.5"/>
    <n v="0"/>
    <n v="41907.24"/>
    <n v="0"/>
    <n v="0"/>
    <n v="41907.24"/>
    <n v="0"/>
  </r>
  <r>
    <x v="1"/>
    <n v="23310003"/>
    <s v="Installtions techniques- Plastiques"/>
    <d v="2013-12-31T00:00:00"/>
    <d v="2014-06-30T00:00:00"/>
    <x v="0"/>
    <n v="171248"/>
    <n v="0.5"/>
    <n v="0"/>
    <n v="171248"/>
    <n v="0"/>
    <n v="0"/>
    <n v="171248"/>
    <n v="0"/>
  </r>
  <r>
    <x v="1"/>
    <n v="23310003"/>
    <s v="Installtions techniques- Plastiques"/>
    <d v="2013-12-31T00:00:00"/>
    <d v="2014-06-30T00:00:00"/>
    <x v="0"/>
    <n v="42427.22"/>
    <n v="0.5"/>
    <n v="0"/>
    <n v="42427.22"/>
    <n v="0"/>
    <n v="0"/>
    <n v="42427.22"/>
    <n v="0"/>
  </r>
  <r>
    <x v="1"/>
    <n v="23310003"/>
    <s v="Installtions techniques- Plastiques"/>
    <d v="2014-01-13T00:00:00"/>
    <d v="2014-06-30T00:00:00"/>
    <x v="1"/>
    <n v="31208.799999999999"/>
    <n v="0.3333333"/>
    <n v="0"/>
    <n v="31208.799999999999"/>
    <n v="0"/>
    <n v="0"/>
    <n v="31208.799999999999"/>
    <n v="0"/>
  </r>
  <r>
    <x v="1"/>
    <n v="23310003"/>
    <s v="Installtions techniques- Plastiques"/>
    <d v="2014-06-03T00:00:00"/>
    <d v="2014-06-30T00:00:00"/>
    <x v="1"/>
    <n v="230944"/>
    <n v="0.3333333"/>
    <n v="0"/>
    <n v="230944"/>
    <n v="0"/>
    <n v="0"/>
    <n v="230944"/>
    <n v="0"/>
  </r>
  <r>
    <x v="1"/>
    <n v="23310003"/>
    <s v="Installtions techniques- Plastiques"/>
    <d v="2014-06-04T00:00:00"/>
    <d v="2014-06-30T00:00:00"/>
    <x v="1"/>
    <n v="111672.4"/>
    <n v="0.3333333"/>
    <n v="-3.2961092074401677E-3"/>
    <n v="111672.4"/>
    <n v="0"/>
    <n v="-3.2961092074401677E-3"/>
    <n v="111672.39670389079"/>
    <n v="3.2961092074401677E-3"/>
  </r>
  <r>
    <x v="1"/>
    <n v="23310003"/>
    <s v="Installtions techniques- Plastiques"/>
    <d v="2014-07-14T00:00:00"/>
    <d v="2015-06-30T00:00:00"/>
    <x v="0"/>
    <n v="81405.5"/>
    <n v="0.5"/>
    <n v="0"/>
    <n v="81405.5"/>
    <n v="0"/>
    <n v="0"/>
    <n v="81405.5"/>
    <n v="0"/>
  </r>
  <r>
    <x v="1"/>
    <n v="23310003"/>
    <s v="Installtions techniques- Plastiques"/>
    <d v="2014-07-15T00:00:00"/>
    <d v="2015-06-30T00:00:00"/>
    <x v="0"/>
    <n v="100814"/>
    <n v="0.5"/>
    <n v="0"/>
    <n v="100814"/>
    <n v="0"/>
    <n v="0"/>
    <n v="100814"/>
    <n v="0"/>
  </r>
  <r>
    <x v="1"/>
    <n v="23310003"/>
    <s v="Installtions techniques- Plastiques"/>
    <d v="2014-07-15T00:00:00"/>
    <d v="2015-06-30T00:00:00"/>
    <x v="0"/>
    <n v="85933.2"/>
    <n v="0.5"/>
    <n v="0"/>
    <n v="85933.200000000012"/>
    <n v="0"/>
    <n v="0"/>
    <n v="85933.200000000012"/>
    <n v="0"/>
  </r>
  <r>
    <x v="1"/>
    <n v="23310003"/>
    <s v="Installtions techniques- Plastiques"/>
    <d v="2014-10-10T00:00:00"/>
    <d v="2015-06-30T00:00:00"/>
    <x v="1"/>
    <n v="11844.03"/>
    <n v="0.5"/>
    <n v="0"/>
    <n v="11844.025000000001"/>
    <n v="4.9999999991996447E-3"/>
    <n v="0"/>
    <n v="11844.025000000001"/>
    <n v="4.9999999991996447E-3"/>
  </r>
  <r>
    <x v="1"/>
    <n v="23310003"/>
    <s v="Installtions techniques- Plastiques"/>
    <d v="2015-02-18T00:00:00"/>
    <d v="2015-06-30T00:00:00"/>
    <x v="1"/>
    <n v="140000"/>
    <n v="0.5"/>
    <n v="0"/>
    <n v="140000"/>
    <n v="0"/>
    <n v="0"/>
    <n v="140000"/>
    <n v="0"/>
  </r>
  <r>
    <x v="1"/>
    <n v="23310003"/>
    <s v="Installtions techniques- Plastiques"/>
    <d v="2018-08-03T00:00:00"/>
    <d v="2019-06-30T00:00:00"/>
    <x v="0"/>
    <n v="127776.32000000001"/>
    <n v="0.5"/>
    <n v="58564.146666666667"/>
    <n v="58564.146666666667"/>
    <n v="69212.17333333334"/>
    <n v="58564.146666666667"/>
    <n v="117128.29333333333"/>
    <n v="10648.026666666672"/>
  </r>
  <r>
    <x v="1"/>
    <n v="23310003"/>
    <s v="Installtions techniques- Plastiques"/>
    <d v="2018-08-04T00:00:00"/>
    <d v="2019-06-30T00:00:00"/>
    <x v="0"/>
    <n v="154328.72"/>
    <n v="0.5"/>
    <n v="70733.996666666659"/>
    <n v="70733.996666666659"/>
    <n v="83594.723333333342"/>
    <n v="70733.996666666659"/>
    <n v="141467.99333333332"/>
    <n v="12860.726666666684"/>
  </r>
  <r>
    <x v="1"/>
    <n v="23310003"/>
    <s v="Installtions techniques- Plastiques"/>
    <d v="2018-08-04T00:00:00"/>
    <d v="2019-06-30T00:00:00"/>
    <x v="0"/>
    <n v="17216.72"/>
    <n v="0.5"/>
    <n v="7890.9966666666669"/>
    <n v="7890.9966666666669"/>
    <n v="9325.7233333333352"/>
    <n v="7890.9966666666669"/>
    <n v="15781.993333333334"/>
    <n v="1434.7266666666674"/>
  </r>
  <r>
    <x v="1"/>
    <n v="23310003"/>
    <s v="Installtions techniques- Plastiques"/>
    <d v="2018-08-06T00:00:00"/>
    <d v="2019-06-30T00:00:00"/>
    <x v="0"/>
    <n v="59758.559999999998"/>
    <n v="0.5"/>
    <n v="27389.339999999997"/>
    <n v="27389.339999999997"/>
    <n v="32369.22"/>
    <n v="27389.339999999997"/>
    <n v="54778.679999999993"/>
    <n v="4979.8800000000047"/>
  </r>
  <r>
    <x v="1"/>
    <n v="23310003"/>
    <s v="Installtions techniques- Plastiques"/>
    <d v="2018-07-04T00:00:00"/>
    <d v="2019-06-30T00:00:00"/>
    <x v="1"/>
    <n v="541246.9"/>
    <n v="0.5"/>
    <n v="270623.45"/>
    <n v="270623.45"/>
    <n v="270623.45"/>
    <n v="270623.45"/>
    <n v="541246.9"/>
    <n v="0"/>
  </r>
  <r>
    <x v="1"/>
    <n v="23310003"/>
    <s v="Installtions techniques- Plastiques"/>
    <d v="2018-08-02T00:00:00"/>
    <d v="2019-06-30T00:00:00"/>
    <x v="1"/>
    <n v="100732.34999999999"/>
    <n v="0.5"/>
    <n v="46168.993749999994"/>
    <n v="46168.993749999994"/>
    <n v="54563.356249999997"/>
    <n v="46168.993749999994"/>
    <n v="92337.987499999988"/>
    <n v="8394.3625000000029"/>
  </r>
  <r>
    <x v="1"/>
    <n v="23310003"/>
    <s v="Installtions techniques- Plastiques"/>
    <d v="2018-08-06T00:00:00"/>
    <d v="2019-06-30T00:00:00"/>
    <x v="2"/>
    <n v="123748.8"/>
    <n v="0.5"/>
    <n v="56718.200000000004"/>
    <n v="56718.200000000004"/>
    <n v="67030.600000000006"/>
    <n v="56718.200000000004"/>
    <n v="113436.40000000001"/>
    <n v="10312.399999999994"/>
  </r>
  <r>
    <x v="1"/>
    <n v="23310004"/>
    <s v="Installtions techniques- Fibre de coco"/>
    <d v="2018-07-31T00:00:00"/>
    <d v="2019-06-30T00:00:00"/>
    <x v="1"/>
    <n v="131718.49655159999"/>
    <n v="0.3333333"/>
    <n v="40247.314366034821"/>
    <n v="40247.314366034821"/>
    <n v="91471.18218556518"/>
    <n v="40247.314366034821"/>
    <n v="80494.628732069643"/>
    <n v="51223.867819530351"/>
  </r>
  <r>
    <x v="1"/>
    <n v="23310004"/>
    <s v="Installtions techniques- Fibre de coco"/>
    <d v="2018-07-31T00:00:00"/>
    <d v="2019-06-30T00:00:00"/>
    <x v="1"/>
    <n v="131718.49655159999"/>
    <n v="0.3333333"/>
    <n v="40247.314366034821"/>
    <n v="40247.314366034821"/>
    <n v="91471.18218556518"/>
    <n v="40247.314366034821"/>
    <n v="80494.628732069643"/>
    <n v="51223.867819530351"/>
  </r>
  <r>
    <x v="1"/>
    <n v="23310004"/>
    <s v="Installtions techniques- Fibre de coco"/>
    <d v="2018-07-31T00:00:00"/>
    <d v="2019-06-30T00:00:00"/>
    <x v="1"/>
    <n v="131718.49655159999"/>
    <n v="0.3333333"/>
    <n v="40247.314366034821"/>
    <n v="40247.314366034821"/>
    <n v="91471.18218556518"/>
    <n v="40247.314366034821"/>
    <n v="80494.628732069643"/>
    <n v="51223.867819530351"/>
  </r>
  <r>
    <x v="1"/>
    <n v="23310004"/>
    <s v="Installtions techniques- Fibre de coco"/>
    <d v="2018-08-02T00:00:00"/>
    <d v="2019-06-30T00:00:00"/>
    <x v="0"/>
    <n v="48735.843724092003"/>
    <n v="0.3333333"/>
    <n v="14891.506315432887"/>
    <n v="14891.506315432887"/>
    <n v="33844.337408659114"/>
    <n v="14891.506315432887"/>
    <n v="29783.012630865775"/>
    <n v="18952.831093226228"/>
  </r>
  <r>
    <x v="1"/>
    <n v="23310004"/>
    <s v="Installtions techniques- Fibre de coco"/>
    <d v="2018-08-02T00:00:00"/>
    <d v="2019-06-30T00:00:00"/>
    <x v="0"/>
    <n v="48735.843724092003"/>
    <n v="0.3333333"/>
    <n v="14891.506315432887"/>
    <n v="14891.506315432887"/>
    <n v="33844.337408659114"/>
    <n v="14891.506315432887"/>
    <n v="29783.012630865775"/>
    <n v="18952.831093226228"/>
  </r>
  <r>
    <x v="1"/>
    <n v="23310004"/>
    <s v="Installtions techniques- Fibre de coco"/>
    <d v="2018-08-02T00:00:00"/>
    <d v="2019-06-30T00:00:00"/>
    <x v="0"/>
    <n v="48735.843724092003"/>
    <n v="0.3333333"/>
    <n v="14891.506315432887"/>
    <n v="14891.506315432887"/>
    <n v="33844.337408659114"/>
    <n v="14891.506315432887"/>
    <n v="29783.012630865775"/>
    <n v="18952.831093226228"/>
  </r>
  <r>
    <x v="1"/>
    <n v="23310004"/>
    <s v="Installtions techniques- Fibre de coco"/>
    <d v="2018-08-04T00:00:00"/>
    <d v="2019-06-30T00:00:00"/>
    <x v="0"/>
    <n v="48735.843724092003"/>
    <n v="0.3333333"/>
    <n v="14891.506315432887"/>
    <n v="14891.506315432887"/>
    <n v="33844.337408659114"/>
    <n v="14891.506315432887"/>
    <n v="29783.012630865775"/>
    <n v="18952.831093226228"/>
  </r>
  <r>
    <x v="1"/>
    <n v="23310004"/>
    <s v="Installtions techniques- Fibre de coco"/>
    <d v="2018-08-04T00:00:00"/>
    <d v="2019-06-30T00:00:00"/>
    <x v="0"/>
    <n v="48735.843724092003"/>
    <n v="0.3333333"/>
    <n v="14891.506315432887"/>
    <n v="14891.506315432887"/>
    <n v="33844.337408659114"/>
    <n v="14891.506315432887"/>
    <n v="29783.012630865775"/>
    <n v="18952.831093226228"/>
  </r>
  <r>
    <x v="1"/>
    <n v="23310004"/>
    <s v="Installtions techniques- Fibre de coco"/>
    <d v="2018-08-04T00:00:00"/>
    <d v="2019-06-30T00:00:00"/>
    <x v="0"/>
    <n v="48735.843724092003"/>
    <n v="0.3333333"/>
    <n v="14891.506315432887"/>
    <n v="14891.506315432887"/>
    <n v="33844.337408659114"/>
    <n v="14891.506315432887"/>
    <n v="29783.012630865775"/>
    <n v="18952.831093226228"/>
  </r>
  <r>
    <x v="1"/>
    <n v="23310004"/>
    <s v="Installtions techniques- Fibre de coco"/>
    <d v="2018-08-27T00:00:00"/>
    <d v="2019-06-30T00:00:00"/>
    <x v="0"/>
    <n v="36881.179034448003"/>
    <n v="0.3333333"/>
    <n v="10244.77092953614"/>
    <n v="10244.77092953614"/>
    <n v="26636.408104911861"/>
    <n v="10244.77092953614"/>
    <n v="20489.54185907228"/>
    <n v="16391.637175375723"/>
  </r>
  <r>
    <x v="1"/>
    <n v="23310004"/>
    <s v="Installtions techniques- Fibre de coco"/>
    <d v="2018-08-03T00:00:00"/>
    <d v="2019-06-30T00:00:00"/>
    <x v="1"/>
    <n v="131718.49655159999"/>
    <n v="0.3333333"/>
    <n v="40247.314366034821"/>
    <n v="40247.314366034821"/>
    <n v="91471.18218556518"/>
    <n v="40247.314366034821"/>
    <n v="80494.628732069643"/>
    <n v="51223.867819530351"/>
  </r>
  <r>
    <x v="1"/>
    <n v="23310004"/>
    <s v="Installtions techniques- Fibre de coco"/>
    <d v="2018-08-03T00:00:00"/>
    <d v="2019-06-30T00:00:00"/>
    <x v="1"/>
    <n v="131718.49655159999"/>
    <n v="0.3333333"/>
    <n v="40247.314366034821"/>
    <n v="40247.314366034821"/>
    <n v="91471.18218556518"/>
    <n v="40247.314366034821"/>
    <n v="80494.628732069643"/>
    <n v="51223.867819530351"/>
  </r>
  <r>
    <x v="1"/>
    <n v="23310004"/>
    <s v="Installtions techniques- Fibre de coco"/>
    <d v="2018-08-06T00:00:00"/>
    <d v="2019-06-30T00:00:00"/>
    <x v="1"/>
    <n v="131718.49655159999"/>
    <n v="0.3333333"/>
    <n v="40247.314366034821"/>
    <n v="40247.314366034821"/>
    <n v="91471.18218556518"/>
    <n v="40247.314366034821"/>
    <n v="80494.628732069643"/>
    <n v="51223.867819530351"/>
  </r>
  <r>
    <x v="1"/>
    <n v="23310004"/>
    <s v="Installtions techniques- Fibre de coco"/>
    <d v="2018-08-06T00:00:00"/>
    <d v="2019-06-30T00:00:00"/>
    <x v="1"/>
    <n v="153671.5793102"/>
    <n v="0.3333333"/>
    <n v="46955.200093707295"/>
    <n v="46955.200093707295"/>
    <n v="106716.3792164927"/>
    <n v="46955.200093707295"/>
    <n v="93910.400187414591"/>
    <n v="59761.179122785412"/>
  </r>
  <r>
    <x v="1"/>
    <n v="23310004"/>
    <s v="Installtions techniques- Fibre de coco"/>
    <d v="2017-07-28T00:00:00"/>
    <d v="2018-06-30T00:00:00"/>
    <x v="0"/>
    <n v="296541.99"/>
    <n v="0.3333333"/>
    <n v="98847.320115266994"/>
    <n v="197694.64023053399"/>
    <n v="98847.349769465989"/>
    <n v="98847.320115266994"/>
    <n v="296541.96034580097"/>
    <n v="2.9654199024662375E-2"/>
  </r>
  <r>
    <x v="1"/>
    <n v="23310004"/>
    <s v="Installtions techniques- Fibre de coco"/>
    <d v="2017-07-28T00:00:00"/>
    <d v="2018-06-30T00:00:00"/>
    <x v="2"/>
    <n v="211815.71"/>
    <n v="0.3333333"/>
    <n v="70605.229606142995"/>
    <n v="141210.45921228599"/>
    <n v="70605.250787714001"/>
    <n v="70605.229606142995"/>
    <n v="211815.68881842899"/>
    <n v="2.1181571006309241E-2"/>
  </r>
  <r>
    <x v="1"/>
    <n v="23310004"/>
    <s v="Installtions techniques- Fibre de coco"/>
    <d v="2013-04-24T00:00:00"/>
    <d v="2013-06-30T00:00:00"/>
    <x v="1"/>
    <n v="235182.73"/>
    <n v="0.3333333"/>
    <n v="0"/>
    <n v="235182.73"/>
    <n v="0"/>
    <n v="0"/>
    <n v="235182.73"/>
    <n v="0"/>
  </r>
  <r>
    <x v="1"/>
    <n v="23310004"/>
    <s v="Installtions techniques- Fibre de coco"/>
    <d v="2015-04-14T00:00:00"/>
    <d v="2015-06-30T00:00:00"/>
    <x v="1"/>
    <n v="33600"/>
    <n v="0.33333332999999998"/>
    <n v="1.1200000000000001"/>
    <n v="33599.998879999999"/>
    <n v="1.1200000034294888E-3"/>
    <n v="0"/>
    <n v="33599.998879999999"/>
    <n v="1.1200000008102506E-3"/>
  </r>
  <r>
    <x v="1"/>
    <n v="23310005"/>
    <s v="Installtions techniques- Canalettes"/>
    <d v="2013-07-31T00:00:00"/>
    <d v="2014-06-30T00:00:00"/>
    <x v="1"/>
    <n v="36000"/>
    <n v="0.3333333"/>
    <n v="0"/>
    <n v="35999.998800000001"/>
    <n v="1.1999999987892807E-3"/>
    <n v="0"/>
    <n v="35999.998800000001"/>
    <n v="1.1999999987892807E-3"/>
  </r>
  <r>
    <x v="1"/>
    <n v="23310005"/>
    <s v="Installtions techniques- Canalettes"/>
    <d v="2013-07-31T00:00:00"/>
    <d v="2014-06-30T00:00:00"/>
    <x v="1"/>
    <n v="585792"/>
    <n v="0.3333333"/>
    <n v="-4.7359999734908342E-4"/>
    <n v="585792"/>
    <n v="0"/>
    <n v="-4.7359999734908342E-4"/>
    <n v="585791.9995264"/>
    <n v="4.7359999734908342E-4"/>
  </r>
  <r>
    <x v="1"/>
    <n v="23310006"/>
    <s v="Installtions techniques- Filet"/>
    <d v="2018-06-19T00:00:00"/>
    <d v="2018-06-30T00:00:00"/>
    <x v="1"/>
    <n v="44800.02"/>
    <n v="0.2"/>
    <n v="8960.003999999999"/>
    <n v="9706.6709999999985"/>
    <n v="35093.348999999995"/>
    <n v="8960.003999999999"/>
    <n v="18666.674999999996"/>
    <n v="26133.345000000001"/>
  </r>
  <r>
    <x v="1"/>
    <n v="23310006"/>
    <s v="Installtions techniques- Filet"/>
    <d v="2018-06-19T00:00:00"/>
    <d v="2018-06-30T00:00:00"/>
    <x v="1"/>
    <n v="76999.965624999997"/>
    <n v="0.2"/>
    <n v="15399.993125000001"/>
    <n v="16683.325885416667"/>
    <n v="60316.639739583326"/>
    <n v="15399.993125000001"/>
    <n v="32083.319010416668"/>
    <n v="44916.646614583326"/>
  </r>
  <r>
    <x v="1"/>
    <n v="23310006"/>
    <s v="Installtions techniques- Filet"/>
    <d v="2018-06-19T00:00:00"/>
    <d v="2018-06-30T00:00:00"/>
    <x v="1"/>
    <n v="69299.969062499993"/>
    <n v="0.2"/>
    <n v="13859.993812499999"/>
    <n v="15014.993296874998"/>
    <n v="54284.975765624993"/>
    <n v="13859.993812499999"/>
    <n v="28874.987109374997"/>
    <n v="40424.981953124996"/>
  </r>
  <r>
    <x v="1"/>
    <n v="23310006"/>
    <s v="Installtions techniques- Filet"/>
    <d v="2018-06-19T00:00:00"/>
    <d v="2018-06-30T00:00:00"/>
    <x v="1"/>
    <n v="37799.983124999999"/>
    <n v="0.2"/>
    <n v="7559.9966249999998"/>
    <n v="8189.9963437500001"/>
    <n v="29609.986781250002"/>
    <n v="7559.9966249999998"/>
    <n v="15749.992968750001"/>
    <n v="22049.990156249998"/>
  </r>
  <r>
    <x v="1"/>
    <n v="23310006"/>
    <s v="Installtions techniques- Filet"/>
    <d v="2018-06-22T00:00:00"/>
    <d v="2018-06-30T00:00:00"/>
    <x v="1"/>
    <n v="20999.990624999999"/>
    <n v="0.2"/>
    <n v="4199.9981250000001"/>
    <n v="4549.9979687499999"/>
    <n v="16449.992656249997"/>
    <n v="4199.9981250000001"/>
    <n v="8749.99609375"/>
    <n v="12249.994531249999"/>
  </r>
  <r>
    <x v="1"/>
    <n v="23310006"/>
    <s v="Installtions techniques- Filet"/>
    <d v="2018-06-19T00:00:00"/>
    <d v="2018-06-30T00:00:00"/>
    <x v="2"/>
    <n v="46199.979375000003"/>
    <n v="0.2"/>
    <n v="9239.9958750000005"/>
    <n v="10009.995531250001"/>
    <n v="36189.98384375"/>
    <n v="9239.9958750000005"/>
    <n v="19249.991406250003"/>
    <n v="26949.98796875"/>
  </r>
  <r>
    <x v="1"/>
    <n v="23310006"/>
    <s v="Installtions techniques- Filet"/>
    <d v="2018-06-19T00:00:00"/>
    <d v="2018-06-30T00:00:00"/>
    <x v="2"/>
    <n v="36399.983749999999"/>
    <n v="0.2"/>
    <n v="7279.9967500000002"/>
    <n v="7886.6631458333341"/>
    <n v="28513.320604166671"/>
    <n v="7279.9967500000002"/>
    <n v="15166.659895833334"/>
    <n v="21233.323854166665"/>
  </r>
  <r>
    <x v="1"/>
    <n v="23310006"/>
    <s v="Installtions techniques- Filet"/>
    <d v="2018-06-19T00:00:00"/>
    <d v="2018-06-30T00:00:00"/>
    <x v="1"/>
    <n v="6299.9971875000001"/>
    <n v="0.2"/>
    <n v="1259.9994375000001"/>
    <n v="1364.9993906250002"/>
    <n v="4934.9977968750009"/>
    <n v="1259.9994375000001"/>
    <n v="2624.9988281250003"/>
    <n v="3674.9983593749998"/>
  </r>
  <r>
    <x v="1"/>
    <n v="23310006"/>
    <s v="Installtions techniques- Filet"/>
    <d v="2018-06-19T00:00:00"/>
    <d v="2018-06-30T00:00:00"/>
    <x v="0"/>
    <n v="48299.958437521927"/>
    <n v="0.2"/>
    <n v="9659.9916875043855"/>
    <n v="10464.990994796417"/>
    <n v="37834.967442725509"/>
    <n v="9659.9916875043855"/>
    <n v="20124.982682300804"/>
    <n v="28174.975755221123"/>
  </r>
  <r>
    <x v="1"/>
    <n v="23310006"/>
    <s v="Installtions techniques- Filet"/>
    <d v="2018-06-19T00:00:00"/>
    <d v="2018-06-30T00:00:00"/>
    <x v="0"/>
    <n v="89599.959999999992"/>
    <n v="0.2"/>
    <n v="17919.991999999998"/>
    <n v="19413.324666666664"/>
    <n v="70186.635333333325"/>
    <n v="17919.991999999998"/>
    <n v="37333.316666666666"/>
    <n v="52266.643333333326"/>
  </r>
  <r>
    <x v="1"/>
    <n v="23310006"/>
    <s v="Installtions techniques- Filet"/>
    <d v="2018-06-19T00:00:00"/>
    <d v="2018-06-30T00:00:00"/>
    <x v="0"/>
    <n v="6299.9971875000001"/>
    <n v="0.2"/>
    <n v="1259.9994375000001"/>
    <n v="1364.9993906250002"/>
    <n v="4934.9977968750009"/>
    <n v="1259.9994375000001"/>
    <n v="2624.9988281250003"/>
    <n v="3674.9983593749998"/>
  </r>
  <r>
    <x v="1"/>
    <n v="23310006"/>
    <s v="Installtions techniques- Filet"/>
    <d v="2017-11-11T00:00:00"/>
    <d v="2018-06-30T00:00:00"/>
    <x v="0"/>
    <n v="93720.05999994"/>
    <n v="0.2"/>
    <n v="18744.011999988001"/>
    <n v="31240.019999980002"/>
    <n v="62480.039999960005"/>
    <n v="18744.011999988001"/>
    <n v="49984.031999968007"/>
    <n v="43736.027999971993"/>
  </r>
  <r>
    <x v="1"/>
    <n v="23310006"/>
    <s v="Installtions techniques- Filet"/>
    <d v="2017-07-31T00:00:00"/>
    <d v="2018-06-30T00:00:00"/>
    <x v="0"/>
    <n v="54385.75"/>
    <n v="0.2"/>
    <n v="10877.150000000001"/>
    <n v="21754.300000000003"/>
    <n v="32631.449999999997"/>
    <n v="10877.150000000001"/>
    <n v="32631.450000000004"/>
    <n v="21754.299999999996"/>
  </r>
  <r>
    <x v="1"/>
    <n v="23310006"/>
    <s v="Installtions techniques- Filet"/>
    <d v="2013-04-30T00:00:00"/>
    <d v="2013-06-30T00:00:00"/>
    <x v="1"/>
    <n v="175000"/>
    <n v="0.2"/>
    <n v="0"/>
    <n v="175000"/>
    <n v="0"/>
    <n v="0"/>
    <n v="175000"/>
    <n v="0"/>
  </r>
  <r>
    <x v="1"/>
    <n v="23310006"/>
    <s v="Installtions techniques- Filet"/>
    <d v="2013-07-31T00:00:00"/>
    <d v="2014-06-30T00:00:00"/>
    <x v="0"/>
    <n v="7000"/>
    <n v="0.2"/>
    <n v="0"/>
    <n v="7000"/>
    <n v="0"/>
    <n v="0"/>
    <n v="7000"/>
    <n v="0"/>
  </r>
  <r>
    <x v="1"/>
    <n v="23310006"/>
    <s v="Installtions techniques- Filet"/>
    <d v="2013-09-30T00:00:00"/>
    <d v="2014-06-30T00:00:00"/>
    <x v="0"/>
    <n v="2800"/>
    <n v="0.2"/>
    <n v="93.34"/>
    <n v="2800"/>
    <n v="1.4210854715202004E-13"/>
    <n v="0"/>
    <n v="2800"/>
    <n v="0"/>
  </r>
  <r>
    <x v="1"/>
    <n v="23310006"/>
    <s v="Installtions techniques- Filet"/>
    <d v="2013-11-30T00:00:00"/>
    <d v="2014-06-30T00:00:00"/>
    <x v="0"/>
    <n v="35840"/>
    <n v="0.2"/>
    <n v="2389.3399999999965"/>
    <n v="35840"/>
    <n v="0"/>
    <n v="0"/>
    <n v="35840"/>
    <n v="0"/>
  </r>
  <r>
    <x v="1"/>
    <n v="23310006"/>
    <s v="Installtions techniques- Filet"/>
    <d v="2014-05-31T00:00:00"/>
    <d v="2014-06-30T00:00:00"/>
    <x v="0"/>
    <n v="2000"/>
    <n v="0.2"/>
    <n v="333.34"/>
    <n v="1999.9999999999998"/>
    <n v="0"/>
    <n v="0"/>
    <n v="1999.9999999999998"/>
    <n v="0"/>
  </r>
  <r>
    <x v="1"/>
    <n v="23310006"/>
    <s v="Installtions techniques- Filet"/>
    <d v="2014-06-30T00:00:00"/>
    <d v="2014-06-30T00:00:00"/>
    <x v="0"/>
    <n v="101640"/>
    <n v="0.2"/>
    <n v="20328"/>
    <n v="101640"/>
    <n v="0"/>
    <n v="0"/>
    <n v="101640"/>
    <n v="0"/>
  </r>
  <r>
    <x v="1"/>
    <n v="23310006"/>
    <s v="Installtions techniques- Filet"/>
    <d v="2014-07-15T00:00:00"/>
    <d v="2015-06-30T00:00:00"/>
    <x v="0"/>
    <n v="5280"/>
    <n v="0.2"/>
    <n v="1056"/>
    <n v="5280"/>
    <n v="0"/>
    <n v="0"/>
    <n v="5280"/>
    <n v="0"/>
  </r>
  <r>
    <x v="1"/>
    <n v="23310006"/>
    <s v="Installtions techniques- Filet"/>
    <d v="2014-07-15T00:00:00"/>
    <d v="2015-06-30T00:00:00"/>
    <x v="0"/>
    <n v="16800"/>
    <n v="0.2"/>
    <n v="3360"/>
    <n v="16800"/>
    <n v="0"/>
    <n v="0"/>
    <n v="16800"/>
    <n v="0"/>
  </r>
  <r>
    <x v="1"/>
    <n v="23310006"/>
    <s v="Installtions techniques- Filet"/>
    <d v="2014-10-31T00:00:00"/>
    <d v="2015-06-30T00:00:00"/>
    <x v="1"/>
    <n v="24640"/>
    <n v="0.2"/>
    <n v="4928"/>
    <n v="23408"/>
    <n v="1232"/>
    <n v="1232"/>
    <n v="24640"/>
    <n v="0"/>
  </r>
  <r>
    <x v="1"/>
    <n v="23310006"/>
    <s v="Installtions techniques- Filet"/>
    <d v="2014-12-31T00:00:00"/>
    <d v="2015-06-30T00:00:00"/>
    <x v="1"/>
    <n v="10071.57"/>
    <n v="0.2"/>
    <n v="2014.3140000000001"/>
    <n v="9232.2579999999998"/>
    <n v="839.31199999999922"/>
    <n v="839.31199999999922"/>
    <n v="10071.57"/>
    <n v="0"/>
  </r>
  <r>
    <x v="1"/>
    <n v="23310006"/>
    <s v="Installtions techniques- Filet"/>
    <d v="2015-01-31T00:00:00"/>
    <d v="2015-06-30T00:00:00"/>
    <x v="1"/>
    <n v="14875"/>
    <n v="0.2"/>
    <n v="2975"/>
    <n v="13379.5"/>
    <n v="1495.5"/>
    <n v="1495.5"/>
    <n v="14875"/>
    <n v="0"/>
  </r>
  <r>
    <x v="2"/>
    <n v="23560000"/>
    <s v="Agencements installatiosn divers"/>
    <d v="2013-07-31T00:00:00"/>
    <d v="2014-06-30T00:00:00"/>
    <x v="1"/>
    <n v="243600"/>
    <n v="0.1"/>
    <n v="24360"/>
    <n v="146160"/>
    <n v="97440"/>
    <n v="24360"/>
    <n v="170520"/>
    <n v="73080"/>
  </r>
  <r>
    <x v="2"/>
    <n v="23560000"/>
    <s v="Agencements installatiosn divers"/>
    <d v="2013-07-31T00:00:00"/>
    <d v="2014-06-30T00:00:00"/>
    <x v="1"/>
    <n v="262345.81"/>
    <n v="0.1"/>
    <n v="26234.581000000002"/>
    <n v="157407.48500000002"/>
    <n v="104938.32499999998"/>
    <n v="26234.581000000002"/>
    <n v="183642.06600000002"/>
    <n v="78703.743999999977"/>
  </r>
  <r>
    <x v="2"/>
    <n v="23560000"/>
    <s v="Agencements installatiosn divers"/>
    <d v="2013-07-31T00:00:00"/>
    <d v="2014-06-30T00:00:00"/>
    <x v="1"/>
    <n v="18737.419999999998"/>
    <n v="0.1"/>
    <n v="1873.742"/>
    <n v="11242.45"/>
    <n v="7494.9699999999975"/>
    <n v="1873.742"/>
    <n v="13116.192000000001"/>
    <n v="5621.2279999999973"/>
  </r>
  <r>
    <x v="2"/>
    <n v="23560000"/>
    <s v="Agencements installatiosn divers"/>
    <d v="2013-09-19T00:00:00"/>
    <d v="2014-06-30T00:00:00"/>
    <x v="1"/>
    <n v="3390"/>
    <n v="0.1"/>
    <n v="339"/>
    <n v="1977.5"/>
    <n v="1412.5"/>
    <n v="339"/>
    <n v="2316.5"/>
    <n v="1073.5"/>
  </r>
  <r>
    <x v="2"/>
    <n v="23560000"/>
    <s v="Agencements installatiosn divers"/>
    <d v="2014-08-30T00:00:00"/>
    <d v="2015-06-30T00:00:00"/>
    <x v="1"/>
    <n v="19250"/>
    <n v="0.1"/>
    <n v="1925"/>
    <n v="9464.58"/>
    <n v="9785.42"/>
    <n v="1925"/>
    <n v="11389.58"/>
    <n v="7860.42"/>
  </r>
  <r>
    <x v="2"/>
    <n v="23560000"/>
    <s v="Agencements installatiosn divers"/>
    <d v="2015-02-07T00:00:00"/>
    <d v="2015-06-30T00:00:00"/>
    <x v="2"/>
    <n v="14237"/>
    <n v="0.1"/>
    <n v="1423.7"/>
    <n v="6288"/>
    <n v="7949.0000000000009"/>
    <n v="1423.7"/>
    <n v="7711.7"/>
    <n v="6525.3"/>
  </r>
  <r>
    <x v="2"/>
    <n v="23560000"/>
    <s v="Agencements installatiosn divers"/>
    <d v="2015-03-04T00:00:00"/>
    <d v="2015-06-30T00:00:00"/>
    <x v="1"/>
    <n v="43730"/>
    <n v="0.1"/>
    <n v="4373"/>
    <n v="18949.66"/>
    <n v="24780.34"/>
    <n v="4373"/>
    <n v="23322.66"/>
    <n v="20407.34"/>
  </r>
  <r>
    <x v="2"/>
    <n v="23560000"/>
    <s v="Agencements installatiosn divers"/>
    <d v="2015-04-09T00:00:00"/>
    <d v="2015-06-30T00:00:00"/>
    <x v="0"/>
    <n v="22167.5"/>
    <n v="0.1"/>
    <n v="2216.75"/>
    <n v="9421.18"/>
    <n v="12746.32"/>
    <n v="2216.75"/>
    <n v="11637.93"/>
    <n v="10529.57"/>
  </r>
  <r>
    <x v="1"/>
    <n v="23310001"/>
    <s v="Installtions techniques- Irrigation"/>
    <d v="2015-09-30T00:00:00"/>
    <d v="2016-06-30T00:00:00"/>
    <x v="2"/>
    <n v="47353"/>
    <n v="0.2"/>
    <n v="9470.6"/>
    <n v="36303.966666666667"/>
    <n v="11049.033333333331"/>
    <n v="9470.6"/>
    <n v="45774.566666666666"/>
    <n v="1578.4333333333343"/>
  </r>
  <r>
    <x v="1"/>
    <n v="23310001"/>
    <s v="Installtions techniques- Irrigation"/>
    <d v="2015-07-01T00:00:00"/>
    <d v="2016-06-30T00:00:00"/>
    <x v="0"/>
    <n v="11612.08"/>
    <n v="0.2"/>
    <n v="2322.4160000000002"/>
    <n v="9289.6579999999994"/>
    <n v="2322.4219999999996"/>
    <n v="2322.4160000000002"/>
    <n v="11612.074000000001"/>
    <n v="5.9999999994033715E-3"/>
  </r>
  <r>
    <x v="1"/>
    <n v="23310001"/>
    <s v="Installtions techniques- Irrigation"/>
    <d v="2015-08-31T00:00:00"/>
    <d v="2016-06-30T00:00:00"/>
    <x v="1"/>
    <n v="19657.78"/>
    <n v="0.2"/>
    <n v="3931.556"/>
    <n v="15398.588000000002"/>
    <n v="4259.1919999999973"/>
    <n v="3931.556"/>
    <n v="19330.144"/>
    <n v="327.6359999999986"/>
  </r>
  <r>
    <x v="1"/>
    <n v="23310001"/>
    <s v="Installtions techniques- Irrigation"/>
    <d v="2015-08-31T00:00:00"/>
    <d v="2016-06-30T00:00:00"/>
    <x v="1"/>
    <n v="39563.129999999997"/>
    <n v="0.2"/>
    <n v="7912.6260000000002"/>
    <n v="30991.117999999999"/>
    <n v="8572.0119999999988"/>
    <n v="7912.6260000000002"/>
    <n v="38903.743999999999"/>
    <n v="659.3859999999986"/>
  </r>
  <r>
    <x v="1"/>
    <n v="23310001"/>
    <s v="Installtions techniques- Irrigation"/>
    <d v="2015-10-15T00:00:00"/>
    <d v="2016-06-30T00:00:00"/>
    <x v="2"/>
    <n v="6958"/>
    <n v="0.2"/>
    <n v="1391.6000000000001"/>
    <n v="5218.5000000000009"/>
    <n v="1739.4999999999993"/>
    <n v="1391.6000000000001"/>
    <n v="6610.1000000000013"/>
    <n v="347.89999999999873"/>
  </r>
  <r>
    <x v="1"/>
    <n v="23310001"/>
    <s v="Installtions techniques- Irrigation"/>
    <d v="2016-04-30T00:00:00"/>
    <d v="2016-06-30T00:00:00"/>
    <x v="2"/>
    <n v="13548.85"/>
    <n v="0.2"/>
    <n v="2709.7700000000004"/>
    <n v="8806.7500000000018"/>
    <n v="4742.0999999999985"/>
    <n v="2709.7700000000004"/>
    <n v="11516.520000000002"/>
    <n v="2032.3299999999981"/>
  </r>
  <r>
    <x v="1"/>
    <n v="23310001"/>
    <s v="Installtions techniques- Irrigation"/>
    <d v="2016-04-30T00:00:00"/>
    <d v="2016-06-30T00:00:00"/>
    <x v="2"/>
    <n v="21654.77"/>
    <n v="0.2"/>
    <n v="4330.9540000000006"/>
    <n v="14075.588000000003"/>
    <n v="7579.181999999998"/>
    <n v="4330.9540000000006"/>
    <n v="18406.542000000005"/>
    <n v="3248.2279999999955"/>
  </r>
  <r>
    <x v="1"/>
    <n v="23310003"/>
    <s v="Installtions techniques- Plastiques"/>
    <d v="2016-04-06T00:00:00"/>
    <d v="2016-06-30T00:00:00"/>
    <x v="2"/>
    <n v="146022.80000000002"/>
    <n v="0.5"/>
    <n v="0"/>
    <n v="146022.80000000002"/>
    <n v="0"/>
    <n v="0"/>
    <n v="146022.80000000002"/>
    <n v="0"/>
  </r>
  <r>
    <x v="1"/>
    <n v="23310004"/>
    <s v="Installtions techniques- Fibre de coco"/>
    <d v="2015-08-10T00:00:00"/>
    <d v="2016-06-30T00:00:00"/>
    <x v="1"/>
    <n v="144976.09"/>
    <n v="0.3333333"/>
    <n v="4031.562998406007"/>
    <n v="144976.09"/>
    <n v="0"/>
    <n v="0"/>
    <n v="144976.09"/>
    <n v="0"/>
  </r>
  <r>
    <x v="1"/>
    <n v="23310004"/>
    <s v="Installtions techniques- Fibre de coco"/>
    <d v="2015-08-10T00:00:00"/>
    <d v="2016-06-30T00:00:00"/>
    <x v="1"/>
    <n v="284693.68"/>
    <n v="0.3333333"/>
    <n v="7917.8261564559652"/>
    <n v="284693.68"/>
    <n v="0"/>
    <n v="0"/>
    <n v="284693.68"/>
    <n v="0"/>
  </r>
  <r>
    <x v="1"/>
    <n v="23310004"/>
    <s v="Installtions techniques- Fibre de coco"/>
    <d v="2016-07-20T00:00:00"/>
    <d v="2017-06-30T00:00:00"/>
    <x v="0"/>
    <n v="280511.57142857142"/>
    <n v="0.5"/>
    <n v="0"/>
    <n v="280511.57142857101"/>
    <n v="0"/>
    <n v="0"/>
    <n v="280511.57142857101"/>
    <n v="0"/>
  </r>
  <r>
    <x v="1"/>
    <n v="23310003"/>
    <s v="Installtions techniques- Plastiques"/>
    <d v="2015-12-18T00:00:00"/>
    <d v="2016-06-30T00:00:00"/>
    <x v="1"/>
    <n v="12882.5"/>
    <n v="0.33333333333333337"/>
    <n v="0"/>
    <n v="12882.5"/>
    <n v="0"/>
    <n v="0"/>
    <n v="12882.5"/>
    <n v="0"/>
  </r>
  <r>
    <x v="1"/>
    <n v="23310006"/>
    <s v="Installtions techniques- Filet"/>
    <d v="2015-10-31T00:00:00"/>
    <d v="2016-06-30T00:00:00"/>
    <x v="0"/>
    <n v="10976"/>
    <n v="0.2"/>
    <n v="2195.2000000000003"/>
    <n v="8232.0000000000018"/>
    <n v="2743.9999999999986"/>
    <n v="2195.2000000000003"/>
    <n v="10427.200000000003"/>
    <n v="548.79999999999745"/>
  </r>
  <r>
    <x v="1"/>
    <n v="23310006"/>
    <s v="Installtions techniques- Filet"/>
    <d v="2015-07-31T00:00:00"/>
    <d v="2016-06-30T00:00:00"/>
    <x v="1"/>
    <n v="82320"/>
    <n v="0.2"/>
    <n v="16464"/>
    <n v="65856"/>
    <n v="16464"/>
    <n v="16464"/>
    <n v="82320"/>
    <n v="0"/>
  </r>
  <r>
    <x v="1"/>
    <n v="23310006"/>
    <s v="Installtions techniques- Filet"/>
    <d v="2016-04-30T00:00:00"/>
    <d v="2016-06-30T00:00:00"/>
    <x v="2"/>
    <n v="21000"/>
    <n v="0.2"/>
    <n v="4200"/>
    <n v="13650"/>
    <n v="7350"/>
    <n v="4200"/>
    <n v="17850"/>
    <n v="3150"/>
  </r>
  <r>
    <x v="1"/>
    <n v="23310006"/>
    <s v="Installtions techniques- Filet"/>
    <d v="2016-04-30T00:00:00"/>
    <d v="2016-06-30T00:00:00"/>
    <x v="2"/>
    <n v="10500"/>
    <n v="0.2"/>
    <n v="2100"/>
    <n v="8497.34"/>
    <n v="2002.6599999999999"/>
    <n v="2002.6599999999999"/>
    <n v="10500"/>
    <n v="0"/>
  </r>
  <r>
    <x v="1"/>
    <n v="23310004"/>
    <s v="Installtions techniques- Fibre de coco"/>
    <d v="2016-07-20T00:00:00"/>
    <d v="2017-06-30T00:00:00"/>
    <x v="1"/>
    <n v="701278.92857142852"/>
    <n v="0.5"/>
    <n v="0"/>
    <n v="701278.92857142899"/>
    <n v="0"/>
    <n v="0"/>
    <n v="701278.92857142899"/>
    <n v="0"/>
  </r>
  <r>
    <x v="1"/>
    <n v="23310006"/>
    <s v="Installtions techniques- Filet"/>
    <d v="2016-07-28T00:00:00"/>
    <d v="2017-06-30T00:00:00"/>
    <x v="0"/>
    <n v="68870.05"/>
    <n v="0.2"/>
    <n v="13774.010000000002"/>
    <n v="41322.030000000006"/>
    <n v="27548.019999999997"/>
    <n v="13774.010000000002"/>
    <n v="55096.040000000008"/>
    <n v="13774.009999999995"/>
  </r>
  <r>
    <x v="1"/>
    <n v="23310006"/>
    <s v="Installtions techniques- Filet"/>
    <d v="2016-08-02T00:00:00"/>
    <d v="2017-06-30T00:00:00"/>
    <x v="0"/>
    <n v="10350"/>
    <n v="0.2"/>
    <n v="2070"/>
    <n v="5865.0000000000018"/>
    <n v="4484.9999999999982"/>
    <n v="2070"/>
    <n v="7935.0000000000018"/>
    <n v="2414.9999999999982"/>
  </r>
  <r>
    <x v="1"/>
    <n v="23310006"/>
    <s v="Installtions techniques- Filet"/>
    <d v="2019-05-10T00:00:00"/>
    <d v="2019-06-30T00:00:00"/>
    <x v="0"/>
    <n v="96000"/>
    <n v="0.2"/>
    <n v="3200"/>
    <n v="3200"/>
    <n v="92800"/>
    <n v="3200"/>
    <n v="6400"/>
    <n v="89600"/>
  </r>
  <r>
    <x v="1"/>
    <n v="23310002"/>
    <s v="Installtions techniques- Serres"/>
    <d v="2019-06-30T00:00:00"/>
    <d v="2019-06-30T00:00:00"/>
    <x v="1"/>
    <n v="33839"/>
    <n v="0.2"/>
    <n v="0"/>
    <n v="0"/>
    <n v="33839"/>
    <n v="0"/>
    <n v="0"/>
    <n v="33839"/>
  </r>
  <r>
    <x v="1"/>
    <n v="23310006"/>
    <s v="Installtions techniques- Filet"/>
    <d v="2018-12-03T00:00:00"/>
    <d v="2019-06-30T00:00:00"/>
    <x v="0"/>
    <n v="58800.06"/>
    <n v="0.2"/>
    <n v="6860.0070000000005"/>
    <n v="6860.0070000000005"/>
    <n v="51940.053"/>
    <n v="6860.0070000000005"/>
    <n v="13720.014000000001"/>
    <n v="45080.045999999995"/>
  </r>
  <r>
    <x v="1"/>
    <n v="23310006"/>
    <s v="Installtions techniques- Filet"/>
    <d v="2019-06-14T00:00:00"/>
    <d v="2019-06-30T00:00:00"/>
    <x v="0"/>
    <n v="14646"/>
    <n v="0.2"/>
    <n v="244.10000000000002"/>
    <n v="244.10000000000002"/>
    <n v="14401.9"/>
    <n v="244.10000000000002"/>
    <n v="488.20000000000005"/>
    <n v="14157.8"/>
  </r>
  <r>
    <x v="1"/>
    <n v="23310006"/>
    <s v="Installtions techniques- Filet"/>
    <d v="2018-08-06T00:00:00"/>
    <d v="2019-06-30T00:00:00"/>
    <x v="0"/>
    <n v="8400"/>
    <n v="0.2"/>
    <n v="1540"/>
    <n v="1540"/>
    <n v="6860"/>
    <n v="1540"/>
    <n v="3080"/>
    <n v="5320"/>
  </r>
  <r>
    <x v="1"/>
    <n v="23310006"/>
    <s v="Installtions techniques- Filet"/>
    <d v="2018-08-10T00:00:00"/>
    <d v="2019-06-30T00:00:00"/>
    <x v="0"/>
    <n v="12250"/>
    <n v="0.2"/>
    <n v="2245.8333333333335"/>
    <n v="2245.8333333333335"/>
    <n v="10004.166666666666"/>
    <n v="2245.8333333333335"/>
    <n v="4491.666666666667"/>
    <n v="7758.333333333333"/>
  </r>
  <r>
    <x v="1"/>
    <n v="23310006"/>
    <s v="Installtions techniques- Filet"/>
    <d v="2018-07-24T00:00:00"/>
    <d v="2019-06-30T00:00:00"/>
    <x v="1"/>
    <n v="69991.95"/>
    <n v="0.2"/>
    <n v="12831.857499999998"/>
    <n v="12831.857499999998"/>
    <n v="57160.092499999999"/>
    <n v="12831.857499999998"/>
    <n v="25663.714999999997"/>
    <n v="44328.235000000001"/>
  </r>
  <r>
    <x v="1"/>
    <n v="23310006"/>
    <s v="Installtions techniques- Filet"/>
    <d v="2018-08-11T00:00:00"/>
    <d v="2019-06-30T00:00:00"/>
    <x v="1"/>
    <n v="3850"/>
    <n v="0.2"/>
    <n v="705.83333333333337"/>
    <n v="705.83333333333337"/>
    <n v="3144.1666666666665"/>
    <n v="705.83333333333337"/>
    <n v="1411.6666666666667"/>
    <n v="2438.333333333333"/>
  </r>
  <r>
    <x v="1"/>
    <n v="23310003"/>
    <s v="Installtions techniques- Plastiques"/>
    <d v="2016-08-03T00:00:00"/>
    <d v="2017-06-30T00:00:00"/>
    <x v="1"/>
    <n v="16385.599999999999"/>
    <n v="0.5"/>
    <n v="1365.4666666666672"/>
    <n v="16385.599999999999"/>
    <n v="0"/>
    <n v="0"/>
    <n v="16385.599999999999"/>
    <n v="0"/>
  </r>
  <r>
    <x v="1"/>
    <n v="23310003"/>
    <s v="Installtions techniques- Plastiques"/>
    <d v="2016-08-03T00:00:00"/>
    <d v="2017-06-30T00:00:00"/>
    <x v="1"/>
    <n v="24729.599999999999"/>
    <n v="0.5"/>
    <n v="2060.7999999999993"/>
    <n v="24729.599999999999"/>
    <n v="0"/>
    <n v="0"/>
    <n v="24729.599999999999"/>
    <n v="0"/>
  </r>
  <r>
    <x v="1"/>
    <n v="23310003"/>
    <s v="Installtions techniques- Plastiques"/>
    <d v="2016-08-03T00:00:00"/>
    <d v="2017-06-30T00:00:00"/>
    <x v="1"/>
    <n v="60326"/>
    <n v="0.5"/>
    <n v="5027.1666666666715"/>
    <n v="60326"/>
    <n v="0"/>
    <n v="0"/>
    <n v="60326"/>
    <n v="0"/>
  </r>
  <r>
    <x v="1"/>
    <n v="23310003"/>
    <s v="Installtions techniques- Plastiques"/>
    <d v="2016-08-03T00:00:00"/>
    <d v="2017-06-30T00:00:00"/>
    <x v="1"/>
    <n v="146320.5"/>
    <n v="0.5"/>
    <n v="12194.200000000012"/>
    <n v="146320.5"/>
    <n v="0"/>
    <n v="0"/>
    <n v="146320.5"/>
    <n v="0"/>
  </r>
  <r>
    <x v="1"/>
    <n v="23310003"/>
    <s v="Installtions techniques- Plastiques"/>
    <d v="2016-07-25T00:00:00"/>
    <d v="2017-06-30T00:00:00"/>
    <x v="0"/>
    <n v="181356.75"/>
    <n v="0.5"/>
    <n v="0"/>
    <n v="181356.75"/>
    <n v="0"/>
    <n v="0"/>
    <n v="181356.75"/>
    <n v="0"/>
  </r>
  <r>
    <x v="1"/>
    <n v="23310003"/>
    <s v="Installtions techniques- Plastiques"/>
    <d v="2016-08-15T00:00:00"/>
    <d v="2017-06-30T00:00:00"/>
    <x v="0"/>
    <n v="80937"/>
    <n v="0.5"/>
    <n v="6744.7499999999709"/>
    <n v="80937"/>
    <n v="0"/>
    <n v="0"/>
    <n v="80937"/>
    <n v="0"/>
  </r>
  <r>
    <x v="1"/>
    <n v="23310003"/>
    <s v="Installtions techniques- Plastiques"/>
    <d v="2016-08-15T00:00:00"/>
    <d v="2017-06-30T00:00:00"/>
    <x v="0"/>
    <n v="84723.75"/>
    <n v="0.5"/>
    <n v="7060.3124999999709"/>
    <n v="84723.75"/>
    <n v="0"/>
    <n v="0"/>
    <n v="84723.75"/>
    <n v="0"/>
  </r>
  <r>
    <x v="1"/>
    <n v="23310003"/>
    <s v="Installtions techniques- Plastiques"/>
    <d v="2017-05-12T00:00:00"/>
    <d v="2017-05-12T00:00:00"/>
    <x v="1"/>
    <n v="343752.75"/>
    <n v="0.5"/>
    <n v="171876.375"/>
    <n v="229168.5"/>
    <n v="114584.25"/>
    <n v="114584.25"/>
    <n v="343752.75"/>
    <n v="0"/>
  </r>
  <r>
    <x v="1"/>
    <s v="23321000"/>
    <s v="Matériel divers"/>
    <d v="2016-11-22T00:00:00"/>
    <d v="2017-06-30T00:00:00"/>
    <x v="2"/>
    <n v="14000"/>
    <n v="0.2"/>
    <n v="2800"/>
    <n v="6533.333333333333"/>
    <n v="7466.6666666666679"/>
    <n v="2800"/>
    <n v="9333.3333333333321"/>
    <n v="4666.6666666666679"/>
  </r>
  <r>
    <x v="1"/>
    <s v="23321000"/>
    <s v="Matériel divers"/>
    <d v="2016-12-15T00:00:00"/>
    <d v="2017-06-30T00:00:00"/>
    <x v="0"/>
    <n v="16000"/>
    <n v="0.2"/>
    <n v="3200"/>
    <n v="7466.6766666666663"/>
    <n v="8533.3233333333337"/>
    <n v="3200"/>
    <n v="10666.676666666666"/>
    <n v="5333.3233333333337"/>
  </r>
  <r>
    <x v="1"/>
    <n v="23310003"/>
    <s v="Installtions techniques- Plastiques"/>
    <d v="2016-11-01T00:00:00"/>
    <d v="2017-06-30T00:00:00"/>
    <x v="0"/>
    <n v="21575"/>
    <n v="0.5"/>
    <n v="7191.6566666666677"/>
    <n v="21575"/>
    <n v="0"/>
    <n v="0"/>
    <n v="21575"/>
    <n v="0"/>
  </r>
  <r>
    <x v="1"/>
    <n v="23310003"/>
    <s v="Installtions techniques- Plastiques"/>
    <d v="2016-09-20T00:00:00"/>
    <d v="2017-06-30T00:00:00"/>
    <x v="0"/>
    <n v="14287.71"/>
    <n v="0.5"/>
    <n v="0"/>
    <n v="14287.71"/>
    <n v="0"/>
    <n v="0"/>
    <n v="14287.71"/>
    <n v="0"/>
  </r>
  <r>
    <x v="1"/>
    <n v="23310002"/>
    <s v="Installtions techniques- Serres"/>
    <d v="2015-08-31T00:00:00"/>
    <d v="2016-06-30T00:00:00"/>
    <x v="1"/>
    <n v="8682.2999999999993"/>
    <n v="0.1"/>
    <n v="868.23"/>
    <n v="3400.5675000000006"/>
    <n v="5281.7324999999983"/>
    <n v="868.23"/>
    <n v="4268.7975000000006"/>
    <n v="4413.5024999999987"/>
  </r>
  <r>
    <x v="1"/>
    <n v="23310002"/>
    <s v="Installtions techniques- Serres"/>
    <d v="2015-08-31T00:00:00"/>
    <d v="2016-06-30T00:00:00"/>
    <x v="1"/>
    <n v="7550.93"/>
    <n v="0.1"/>
    <n v="755.09300000000007"/>
    <n v="2957.4475833333336"/>
    <n v="4593.4824166666667"/>
    <n v="755.09300000000007"/>
    <n v="3712.5405833333334"/>
    <n v="3838.3894166666669"/>
  </r>
  <r>
    <x v="1"/>
    <n v="23310002"/>
    <s v="Installtions techniques- Serres"/>
    <d v="2015-08-31T00:00:00"/>
    <d v="2016-06-30T00:00:00"/>
    <x v="1"/>
    <n v="633.95000000000005"/>
    <n v="0.1"/>
    <n v="63.39500000000001"/>
    <n v="248.2970833333334"/>
    <n v="385.65291666666667"/>
    <n v="63.39500000000001"/>
    <n v="311.69208333333341"/>
    <n v="322.25791666666663"/>
  </r>
  <r>
    <x v="1"/>
    <n v="23310002"/>
    <s v="Installtions techniques- Serres"/>
    <d v="2015-08-31T00:00:00"/>
    <d v="2016-06-30T00:00:00"/>
    <x v="1"/>
    <n v="531.46"/>
    <n v="0.1"/>
    <n v="53.146000000000008"/>
    <n v="208.15516666666673"/>
    <n v="323.30483333333331"/>
    <n v="53.146000000000008"/>
    <n v="261.30116666666675"/>
    <n v="270.15883333333329"/>
  </r>
  <r>
    <x v="1"/>
    <n v="23310002"/>
    <s v="Installtions techniques- Serres"/>
    <d v="2015-08-31T00:00:00"/>
    <d v="2016-06-30T00:00:00"/>
    <x v="1"/>
    <n v="9000"/>
    <n v="0.1"/>
    <n v="900"/>
    <n v="3524.9900000000002"/>
    <n v="5475.01"/>
    <n v="900"/>
    <n v="4424.99"/>
    <n v="4575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873AC-1E1F-426A-BAD2-86D718C6B713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5" firstHeaderRow="1" firstDataRow="1" firstDataCol="1"/>
  <pivotFields count="14"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numFmtId="14" showAll="0"/>
    <pivotField axis="axisRow" showAll="0">
      <items count="4">
        <item x="0"/>
        <item x="1"/>
        <item x="2"/>
        <item t="default"/>
      </items>
    </pivotField>
    <pivotField numFmtId="4" showAll="0"/>
    <pivotField numFmtId="9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</pivotFields>
  <rowFields count="2">
    <field x="0"/>
    <field x="5"/>
  </rowFields>
  <rowItems count="12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omme de Dotation 19/20" fld="11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99AF-E9CB-4F94-810B-B75D3F0CCFB0}">
  <sheetPr>
    <tabColor rgb="FF92D050"/>
  </sheetPr>
  <dimension ref="A1:K40"/>
  <sheetViews>
    <sheetView zoomScale="110" zoomScaleNormal="110" workbookViewId="0">
      <pane xSplit="1" topLeftCell="B1" activePane="topRight" state="frozen"/>
      <selection activeCell="A11" sqref="A11"/>
      <selection pane="topRight" activeCell="B24" sqref="B24"/>
    </sheetView>
  </sheetViews>
  <sheetFormatPr baseColWidth="10" defaultColWidth="11.46484375" defaultRowHeight="14.25" outlineLevelRow="1" x14ac:dyDescent="0.45"/>
  <cols>
    <col min="1" max="1" width="24.06640625" style="1" bestFit="1" customWidth="1"/>
    <col min="2" max="2" width="8.06640625" style="2" bestFit="1" customWidth="1"/>
    <col min="3" max="3" width="9" style="3" bestFit="1" customWidth="1"/>
    <col min="4" max="4" width="8.06640625" style="2" bestFit="1" customWidth="1"/>
    <col min="5" max="5" width="9" style="3" bestFit="1" customWidth="1"/>
    <col min="6" max="6" width="8.06640625" style="2" customWidth="1"/>
    <col min="7" max="8" width="8.265625" style="22" bestFit="1" customWidth="1"/>
    <col min="9" max="9" width="7.59765625" style="22" bestFit="1" customWidth="1"/>
    <col min="10" max="10" width="5.796875" style="22" bestFit="1" customWidth="1"/>
    <col min="11" max="16384" width="11.46484375" style="1"/>
  </cols>
  <sheetData>
    <row r="1" spans="1:10" ht="14.65" thickBot="1" x14ac:dyDescent="0.5">
      <c r="A1" s="219" t="s">
        <v>308</v>
      </c>
      <c r="B1" s="204" t="s">
        <v>322</v>
      </c>
      <c r="C1" s="205" t="s">
        <v>323</v>
      </c>
      <c r="D1" s="204" t="s">
        <v>324</v>
      </c>
      <c r="E1" s="205" t="s">
        <v>325</v>
      </c>
      <c r="F1" s="204" t="s">
        <v>326</v>
      </c>
      <c r="G1" s="25" t="s">
        <v>239</v>
      </c>
      <c r="H1" s="25" t="s">
        <v>230</v>
      </c>
      <c r="I1" s="25" t="s">
        <v>229</v>
      </c>
      <c r="J1" s="25" t="s">
        <v>178</v>
      </c>
    </row>
    <row r="2" spans="1:10" x14ac:dyDescent="0.45">
      <c r="A2" s="26" t="s">
        <v>27</v>
      </c>
      <c r="B2" s="6">
        <f>+'104_Synthèse'!N3</f>
        <v>0</v>
      </c>
      <c r="C2" s="7">
        <f>+'105_Synthèse'!N3</f>
        <v>0</v>
      </c>
      <c r="D2" s="6">
        <f>+'106_Synthèse'!N3</f>
        <v>5.5750000000000002</v>
      </c>
      <c r="E2" s="7"/>
      <c r="F2" s="6"/>
      <c r="G2" s="20">
        <f>SUM(B2:D2)</f>
        <v>5.5750000000000002</v>
      </c>
      <c r="H2" s="20">
        <f>+Synthèse!O3</f>
        <v>17.3</v>
      </c>
      <c r="I2" s="20">
        <f t="shared" ref="I2:I32" si="0">+G2-H2</f>
        <v>-11.725000000000001</v>
      </c>
      <c r="J2" s="133">
        <f>+I2/H2</f>
        <v>-0.6777456647398844</v>
      </c>
    </row>
    <row r="3" spans="1:10" x14ac:dyDescent="0.45">
      <c r="A3" s="26" t="s">
        <v>0</v>
      </c>
      <c r="B3" s="8">
        <f>+'104_Synthèse'!N5</f>
        <v>1972475.0000000002</v>
      </c>
      <c r="C3" s="9">
        <f>+'105_Synthèse'!N5</f>
        <v>728325</v>
      </c>
      <c r="D3" s="8">
        <f>+'106_Synthèse'!N5</f>
        <v>728325000</v>
      </c>
      <c r="E3" s="9"/>
      <c r="F3" s="8"/>
      <c r="G3" s="31">
        <f>SUM(B3:D3)</f>
        <v>731025800</v>
      </c>
      <c r="H3" s="31">
        <f>+Synthèse!O5</f>
        <v>1982993.5014606742</v>
      </c>
      <c r="I3" s="31">
        <f t="shared" si="0"/>
        <v>729042806.49853933</v>
      </c>
      <c r="J3" s="134">
        <f t="shared" ref="J3:J12" si="1">+I3/H3</f>
        <v>367.64760245634994</v>
      </c>
    </row>
    <row r="4" spans="1:10" x14ac:dyDescent="0.45">
      <c r="A4" s="17" t="s">
        <v>1</v>
      </c>
      <c r="B4" s="10" t="e">
        <f>+B3/B2/1000</f>
        <v>#DIV/0!</v>
      </c>
      <c r="C4" s="11" t="e">
        <f t="shared" ref="C4:H4" si="2">+C3/C2/1000</f>
        <v>#DIV/0!</v>
      </c>
      <c r="D4" s="10">
        <f t="shared" si="2"/>
        <v>130641.25560538116</v>
      </c>
      <c r="E4" s="11"/>
      <c r="F4" s="10"/>
      <c r="G4" s="45">
        <f t="shared" si="2"/>
        <v>131125.70403587443</v>
      </c>
      <c r="H4" s="45">
        <f t="shared" si="2"/>
        <v>114.62390181853608</v>
      </c>
      <c r="I4" s="45">
        <f t="shared" si="0"/>
        <v>131011.0801340559</v>
      </c>
      <c r="J4" s="135">
        <f t="shared" si="1"/>
        <v>1142.9647573981799</v>
      </c>
    </row>
    <row r="5" spans="1:10" ht="14.65" thickBot="1" x14ac:dyDescent="0.5">
      <c r="A5" s="206" t="s">
        <v>295</v>
      </c>
      <c r="B5" s="207">
        <f>'104_Synthèse'!N7</f>
        <v>17652500.000000004</v>
      </c>
      <c r="C5" s="208">
        <f>'105_Synthèse'!N7</f>
        <v>0</v>
      </c>
      <c r="D5" s="207">
        <f>'106_Synthèse'!N7</f>
        <v>0</v>
      </c>
      <c r="E5" s="208"/>
      <c r="F5" s="207"/>
      <c r="G5" s="209">
        <f>SUM(B5:D5)</f>
        <v>17652500.000000004</v>
      </c>
      <c r="H5" s="209">
        <f>Synthèse!O7+Synthèse!O9</f>
        <v>12803956.921690382</v>
      </c>
      <c r="I5" s="209">
        <f t="shared" si="0"/>
        <v>4848543.0783096217</v>
      </c>
      <c r="J5" s="210">
        <f t="shared" si="1"/>
        <v>0.37867536637022015</v>
      </c>
    </row>
    <row r="6" spans="1:10" ht="14.65" outlineLevel="1" thickTop="1" x14ac:dyDescent="0.45">
      <c r="A6" s="32" t="s">
        <v>296</v>
      </c>
      <c r="B6" s="12">
        <f>+'104_Synthèse'!N18</f>
        <v>3255984</v>
      </c>
      <c r="C6" s="13">
        <f>+'105_Synthèse'!N18</f>
        <v>0</v>
      </c>
      <c r="D6" s="12">
        <f>+'106_Synthèse'!N18</f>
        <v>94.800000000000011</v>
      </c>
      <c r="E6" s="13"/>
      <c r="F6" s="12"/>
      <c r="G6" s="31">
        <f>SUM(B6:D6)</f>
        <v>3256078.8</v>
      </c>
      <c r="H6" s="31">
        <f>+Synthèse!O18</f>
        <v>5773682.924901247</v>
      </c>
      <c r="I6" s="31">
        <f t="shared" si="0"/>
        <v>-2517604.1249012472</v>
      </c>
      <c r="J6" s="134">
        <f t="shared" si="1"/>
        <v>-0.43604821353162693</v>
      </c>
    </row>
    <row r="7" spans="1:10" outlineLevel="1" x14ac:dyDescent="0.45">
      <c r="A7" s="17" t="s">
        <v>297</v>
      </c>
      <c r="B7" s="211" t="e">
        <f>B6/$B$2</f>
        <v>#DIV/0!</v>
      </c>
      <c r="C7" s="212" t="e">
        <f>C6/$C$2</f>
        <v>#DIV/0!</v>
      </c>
      <c r="D7" s="211">
        <f>D6/$D$2</f>
        <v>17.004484304932738</v>
      </c>
      <c r="E7" s="212"/>
      <c r="F7" s="211"/>
      <c r="G7" s="213">
        <f>G6/$G$2</f>
        <v>584050.00896860985</v>
      </c>
      <c r="H7" s="213">
        <f>H6/$H$2</f>
        <v>333738.89739313564</v>
      </c>
      <c r="I7" s="213">
        <f t="shared" si="0"/>
        <v>250311.11157547421</v>
      </c>
      <c r="J7" s="214">
        <f t="shared" si="1"/>
        <v>0.75002079029647628</v>
      </c>
    </row>
    <row r="8" spans="1:10" outlineLevel="1" x14ac:dyDescent="0.45">
      <c r="A8" s="32" t="s">
        <v>298</v>
      </c>
      <c r="B8" s="12">
        <f>'104_Synthèse'!N25</f>
        <v>2548032.8701790893</v>
      </c>
      <c r="C8" s="13">
        <f>'105_Synthèse'!N25</f>
        <v>0</v>
      </c>
      <c r="D8" s="12">
        <f>'106_Synthèse'!N25</f>
        <v>705.88235294117646</v>
      </c>
      <c r="E8" s="13"/>
      <c r="F8" s="12"/>
      <c r="G8" s="31">
        <f>SUM(B8:D8)</f>
        <v>2548738.7525320305</v>
      </c>
      <c r="H8" s="31">
        <f>Synthèse!O25</f>
        <v>3967234.2822417114</v>
      </c>
      <c r="I8" s="31">
        <f t="shared" si="0"/>
        <v>-1418495.5297096809</v>
      </c>
      <c r="J8" s="134">
        <f t="shared" ref="J8:J9" si="3">+I8/H8</f>
        <v>-0.35755275055451247</v>
      </c>
    </row>
    <row r="9" spans="1:10" outlineLevel="1" x14ac:dyDescent="0.45">
      <c r="A9" s="17" t="s">
        <v>297</v>
      </c>
      <c r="B9" s="211" t="e">
        <f>B8/$B$2</f>
        <v>#DIV/0!</v>
      </c>
      <c r="C9" s="212" t="e">
        <f>C8/$C$2</f>
        <v>#DIV/0!</v>
      </c>
      <c r="D9" s="211">
        <f>D8/$D$2</f>
        <v>126.61566868900026</v>
      </c>
      <c r="E9" s="212"/>
      <c r="F9" s="211"/>
      <c r="G9" s="213">
        <f>G8/$G$2</f>
        <v>457172.8704093328</v>
      </c>
      <c r="H9" s="213">
        <f>H8/$H$2</f>
        <v>229319.90070761336</v>
      </c>
      <c r="I9" s="213">
        <f t="shared" si="0"/>
        <v>227852.96970171944</v>
      </c>
      <c r="J9" s="214">
        <f t="shared" si="3"/>
        <v>0.99360312383980898</v>
      </c>
    </row>
    <row r="10" spans="1:10" outlineLevel="1" x14ac:dyDescent="0.45">
      <c r="A10" s="32" t="s">
        <v>248</v>
      </c>
      <c r="B10" s="12">
        <f>'104_Synthèse'!N21</f>
        <v>0</v>
      </c>
      <c r="C10" s="13" t="e">
        <f>'105_Synthèse'!N21</f>
        <v>#DIV/0!</v>
      </c>
      <c r="D10" s="12">
        <f>'106_Synthèse'!N21</f>
        <v>0</v>
      </c>
      <c r="E10" s="13"/>
      <c r="F10" s="12"/>
      <c r="G10" s="31" t="e">
        <f>SUM(B10:D10)</f>
        <v>#DIV/0!</v>
      </c>
      <c r="H10" s="31">
        <f>Synthèse!O21</f>
        <v>298133.26097485831</v>
      </c>
      <c r="I10" s="31" t="e">
        <f t="shared" si="0"/>
        <v>#DIV/0!</v>
      </c>
      <c r="J10" s="134" t="e">
        <f t="shared" si="1"/>
        <v>#DIV/0!</v>
      </c>
    </row>
    <row r="11" spans="1:10" outlineLevel="1" x14ac:dyDescent="0.45">
      <c r="A11" s="17" t="s">
        <v>297</v>
      </c>
      <c r="B11" s="211" t="e">
        <f>B10/$B$2</f>
        <v>#DIV/0!</v>
      </c>
      <c r="C11" s="212" t="e">
        <f>C10/$C$2</f>
        <v>#DIV/0!</v>
      </c>
      <c r="D11" s="211">
        <f>D10/$D$2</f>
        <v>0</v>
      </c>
      <c r="E11" s="212"/>
      <c r="F11" s="211"/>
      <c r="G11" s="213" t="e">
        <f>G10/$G$2</f>
        <v>#DIV/0!</v>
      </c>
      <c r="H11" s="213">
        <f>H10/$H$2</f>
        <v>17233.136472535163</v>
      </c>
      <c r="I11" s="213" t="e">
        <f t="shared" si="0"/>
        <v>#DIV/0!</v>
      </c>
      <c r="J11" s="214" t="e">
        <f t="shared" si="1"/>
        <v>#DIV/0!</v>
      </c>
    </row>
    <row r="12" spans="1:10" outlineLevel="1" x14ac:dyDescent="0.45">
      <c r="A12" s="32" t="s">
        <v>299</v>
      </c>
      <c r="B12" s="12">
        <f>'104_Synthèse'!N28</f>
        <v>132393750.00000001</v>
      </c>
      <c r="C12" s="13">
        <f>'105_Synthèse'!N28</f>
        <v>0</v>
      </c>
      <c r="D12" s="12">
        <f>'106_Synthèse'!N28</f>
        <v>0</v>
      </c>
      <c r="E12" s="13"/>
      <c r="F12" s="12"/>
      <c r="G12" s="31">
        <f>SUM(B12:D12)</f>
        <v>132393750.00000001</v>
      </c>
      <c r="H12" s="31">
        <f>Synthèse!O28</f>
        <v>142933</v>
      </c>
      <c r="I12" s="31">
        <f t="shared" si="0"/>
        <v>132250817.00000001</v>
      </c>
      <c r="J12" s="134">
        <f t="shared" si="1"/>
        <v>925.2644036016876</v>
      </c>
    </row>
    <row r="13" spans="1:10" outlineLevel="1" x14ac:dyDescent="0.45">
      <c r="A13" s="17" t="s">
        <v>297</v>
      </c>
      <c r="B13" s="211" t="e">
        <f>B12/$B$2</f>
        <v>#DIV/0!</v>
      </c>
      <c r="C13" s="212" t="e">
        <f>C12/$C$2</f>
        <v>#DIV/0!</v>
      </c>
      <c r="D13" s="211">
        <f>D12/$D$2</f>
        <v>0</v>
      </c>
      <c r="E13" s="212"/>
      <c r="F13" s="211"/>
      <c r="G13" s="213">
        <f>G12/$G$2</f>
        <v>23747757.847533636</v>
      </c>
      <c r="H13" s="213">
        <f>H12/$H$2</f>
        <v>8262.023121387283</v>
      </c>
      <c r="I13" s="213">
        <f t="shared" si="0"/>
        <v>23739495.824412249</v>
      </c>
      <c r="J13" s="214">
        <f t="shared" ref="J13:J14" si="4">+I13/H13</f>
        <v>2873.3272075890936</v>
      </c>
    </row>
    <row r="14" spans="1:10" ht="14.65" thickBot="1" x14ac:dyDescent="0.5">
      <c r="A14" s="206" t="s">
        <v>300</v>
      </c>
      <c r="B14" s="207">
        <f>+B12+B10+B8+B6</f>
        <v>138197766.87017912</v>
      </c>
      <c r="C14" s="208" t="e">
        <f t="shared" ref="C14:H14" si="5">+C12+C10+C8+C6</f>
        <v>#DIV/0!</v>
      </c>
      <c r="D14" s="207">
        <f t="shared" si="5"/>
        <v>800.68235294117653</v>
      </c>
      <c r="E14" s="208"/>
      <c r="F14" s="207"/>
      <c r="G14" s="209" t="e">
        <f>SUM(B14:D14)</f>
        <v>#DIV/0!</v>
      </c>
      <c r="H14" s="209">
        <f t="shared" si="5"/>
        <v>10181983.468117816</v>
      </c>
      <c r="I14" s="209" t="e">
        <f t="shared" si="0"/>
        <v>#DIV/0!</v>
      </c>
      <c r="J14" s="210" t="e">
        <f t="shared" si="4"/>
        <v>#DIV/0!</v>
      </c>
    </row>
    <row r="15" spans="1:10" ht="14.65" thickTop="1" x14ac:dyDescent="0.45">
      <c r="A15" s="17" t="s">
        <v>297</v>
      </c>
      <c r="B15" s="211" t="e">
        <f>B14/$B$2</f>
        <v>#DIV/0!</v>
      </c>
      <c r="C15" s="212" t="e">
        <f>C14/$C$2</f>
        <v>#DIV/0!</v>
      </c>
      <c r="D15" s="211">
        <f>D14/$D$2</f>
        <v>143.620152993933</v>
      </c>
      <c r="E15" s="212"/>
      <c r="F15" s="211"/>
      <c r="G15" s="213" t="e">
        <f>G14/$G$2</f>
        <v>#DIV/0!</v>
      </c>
      <c r="H15" s="213">
        <f>H14/$H$2</f>
        <v>588553.95769467147</v>
      </c>
      <c r="I15" s="213" t="e">
        <f t="shared" si="0"/>
        <v>#DIV/0!</v>
      </c>
      <c r="J15" s="214" t="e">
        <f t="shared" ref="J15:J16" si="6">+I15/H15</f>
        <v>#DIV/0!</v>
      </c>
    </row>
    <row r="16" spans="1:10" outlineLevel="1" x14ac:dyDescent="0.45">
      <c r="A16" s="32" t="s">
        <v>301</v>
      </c>
      <c r="B16" s="12">
        <f>+'104_Synthèse'!N26+'104_Synthèse'!N27</f>
        <v>364794.45086705196</v>
      </c>
      <c r="C16" s="13">
        <f>+'105_Synthèse'!N26+'105_Synthèse'!N27</f>
        <v>423805.31791907508</v>
      </c>
      <c r="D16" s="12">
        <f>+'106_Synthèse'!N26+'106_Synthèse'!N27</f>
        <v>139480.23121387287</v>
      </c>
      <c r="E16" s="13"/>
      <c r="F16" s="12"/>
      <c r="G16" s="31">
        <f>SUM(B16:D16)</f>
        <v>928079.99999999988</v>
      </c>
      <c r="H16" s="31">
        <f>+Synthèse!O26+Synthèse!O27</f>
        <v>1212671.6143762537</v>
      </c>
      <c r="I16" s="31">
        <f t="shared" si="0"/>
        <v>-284591.6143762538</v>
      </c>
      <c r="J16" s="134">
        <f t="shared" si="6"/>
        <v>-0.23468151724045716</v>
      </c>
    </row>
    <row r="17" spans="1:11" outlineLevel="1" x14ac:dyDescent="0.45">
      <c r="A17" s="17" t="s">
        <v>297</v>
      </c>
      <c r="B17" s="211" t="e">
        <f>B16/$B$2</f>
        <v>#DIV/0!</v>
      </c>
      <c r="C17" s="212" t="e">
        <f>C16/$C$2</f>
        <v>#DIV/0!</v>
      </c>
      <c r="D17" s="211">
        <f>D16/$D$2</f>
        <v>25018.875554057915</v>
      </c>
      <c r="E17" s="212"/>
      <c r="F17" s="211"/>
      <c r="G17" s="213">
        <f>G16/$G$2</f>
        <v>166471.74887892374</v>
      </c>
      <c r="H17" s="213">
        <f>H16/$H$2</f>
        <v>70096.625108453969</v>
      </c>
      <c r="I17" s="213">
        <f t="shared" si="0"/>
        <v>96375.123770469771</v>
      </c>
      <c r="J17" s="214">
        <f t="shared" ref="J17" si="7">+I17/H17</f>
        <v>1.3748896415677292</v>
      </c>
    </row>
    <row r="18" spans="1:11" outlineLevel="1" x14ac:dyDescent="0.45">
      <c r="A18" s="32" t="s">
        <v>11</v>
      </c>
      <c r="B18" s="12">
        <f>'104_Synthèse'!N23</f>
        <v>451470.58823529416</v>
      </c>
      <c r="C18" s="13">
        <f>'105_Synthèse'!N23</f>
        <v>0</v>
      </c>
      <c r="D18" s="12">
        <f>'106_Synthèse'!N23</f>
        <v>0</v>
      </c>
      <c r="E18" s="13"/>
      <c r="F18" s="12"/>
      <c r="G18" s="31">
        <f>SUM(B18:D18)</f>
        <v>451470.58823529416</v>
      </c>
      <c r="H18" s="31">
        <f>Synthèse!O23</f>
        <v>625000</v>
      </c>
      <c r="I18" s="213">
        <f t="shared" si="0"/>
        <v>-173529.41176470584</v>
      </c>
      <c r="J18" s="214">
        <f t="shared" ref="J18" si="8">+I18/H18</f>
        <v>-0.27764705882352936</v>
      </c>
    </row>
    <row r="19" spans="1:11" outlineLevel="1" x14ac:dyDescent="0.45">
      <c r="A19" s="17" t="s">
        <v>297</v>
      </c>
      <c r="B19" s="211" t="e">
        <f>B18/$B$2</f>
        <v>#DIV/0!</v>
      </c>
      <c r="C19" s="212" t="e">
        <f>C18/$C$2</f>
        <v>#DIV/0!</v>
      </c>
      <c r="D19" s="211">
        <f>D18/$D$2</f>
        <v>0</v>
      </c>
      <c r="E19" s="212"/>
      <c r="F19" s="211"/>
      <c r="G19" s="213">
        <f>G18/$G$2</f>
        <v>80981.271432339752</v>
      </c>
      <c r="H19" s="213">
        <f>H18/$H$2</f>
        <v>36127.167630057804</v>
      </c>
      <c r="I19" s="213">
        <f t="shared" si="0"/>
        <v>44854.103802281948</v>
      </c>
      <c r="J19" s="214">
        <f t="shared" ref="J19:J20" si="9">+I19/H19</f>
        <v>1.2415615932471644</v>
      </c>
    </row>
    <row r="20" spans="1:11" outlineLevel="1" x14ac:dyDescent="0.45">
      <c r="A20" s="32" t="s">
        <v>302</v>
      </c>
      <c r="B20" s="12">
        <f>+'104_Synthèse'!N24</f>
        <v>125618.6416184971</v>
      </c>
      <c r="C20" s="13">
        <f>+'105_Synthèse'!N24</f>
        <v>17535.260115606932</v>
      </c>
      <c r="D20" s="12">
        <f>+'106_Synthèse'!N24</f>
        <v>5771.098265895952</v>
      </c>
      <c r="E20" s="13"/>
      <c r="F20" s="12"/>
      <c r="G20" s="31">
        <f>SUM(B20:D20)</f>
        <v>148924.99999999997</v>
      </c>
      <c r="H20" s="31">
        <f>+Synthèse!O24</f>
        <v>308852.94597672822</v>
      </c>
      <c r="I20" s="213">
        <f t="shared" si="0"/>
        <v>-159927.94597672825</v>
      </c>
      <c r="J20" s="214">
        <f t="shared" si="9"/>
        <v>-0.51781259677147029</v>
      </c>
    </row>
    <row r="21" spans="1:11" outlineLevel="1" x14ac:dyDescent="0.45">
      <c r="A21" s="17" t="s">
        <v>297</v>
      </c>
      <c r="B21" s="211" t="e">
        <f>B20/$B$2</f>
        <v>#DIV/0!</v>
      </c>
      <c r="C21" s="212" t="e">
        <f>C20/$C$2</f>
        <v>#DIV/0!</v>
      </c>
      <c r="D21" s="211">
        <f>D20/$D$2</f>
        <v>1035.1745768423232</v>
      </c>
      <c r="E21" s="212"/>
      <c r="F21" s="211"/>
      <c r="G21" s="213">
        <f>G20/$G$2</f>
        <v>26713.004484304925</v>
      </c>
      <c r="H21" s="213">
        <f>H20/$H$2</f>
        <v>17852.771443741516</v>
      </c>
      <c r="I21" s="213">
        <f t="shared" si="0"/>
        <v>8860.2330405634093</v>
      </c>
      <c r="J21" s="214">
        <f t="shared" ref="J21:J22" si="10">+I21/H21</f>
        <v>0.49629454275400253</v>
      </c>
    </row>
    <row r="22" spans="1:11" outlineLevel="1" x14ac:dyDescent="0.45">
      <c r="A22" s="32" t="s">
        <v>303</v>
      </c>
      <c r="B22" s="12">
        <f>'104_Synthèse'!N29+'104_Synthèse'!N22</f>
        <v>184979.19075144507</v>
      </c>
      <c r="C22" s="13">
        <f>+'105_Synthèse'!N29+'105_Synthèse'!N22</f>
        <v>143569.94219653177</v>
      </c>
      <c r="D22" s="12">
        <f>+'106_Synthèse'!N22+'106_Synthèse'!N29</f>
        <v>47250.867052023117</v>
      </c>
      <c r="E22" s="13"/>
      <c r="F22" s="12"/>
      <c r="G22" s="31">
        <f>SUM(B22:D22)</f>
        <v>375799.99999999994</v>
      </c>
      <c r="H22" s="31">
        <f>+Synthèse!O29+Synthèse!O22</f>
        <v>253848.78325247153</v>
      </c>
      <c r="I22" s="213">
        <f t="shared" si="0"/>
        <v>121951.21674752841</v>
      </c>
      <c r="J22" s="214">
        <f t="shared" si="10"/>
        <v>0.48040890795304242</v>
      </c>
    </row>
    <row r="23" spans="1:11" outlineLevel="1" x14ac:dyDescent="0.45">
      <c r="A23" s="17" t="s">
        <v>297</v>
      </c>
      <c r="B23" s="211" t="e">
        <f>B22/$B$2</f>
        <v>#DIV/0!</v>
      </c>
      <c r="C23" s="212" t="e">
        <f>C22/$C$2</f>
        <v>#DIV/0!</v>
      </c>
      <c r="D23" s="211">
        <f>D22/$D$2</f>
        <v>8475.4918478965228</v>
      </c>
      <c r="E23" s="212"/>
      <c r="F23" s="211"/>
      <c r="G23" s="213">
        <f>G22/$G$2</f>
        <v>67408.071748878909</v>
      </c>
      <c r="H23" s="213">
        <f>H22/$H$2</f>
        <v>14673.340072397197</v>
      </c>
      <c r="I23" s="213">
        <f t="shared" si="0"/>
        <v>52734.731676481708</v>
      </c>
      <c r="J23" s="214">
        <f t="shared" ref="J23:J25" si="11">+I23/H23</f>
        <v>3.5939146381323108</v>
      </c>
    </row>
    <row r="24" spans="1:11" s="139" customFormat="1" ht="14.65" thickBot="1" x14ac:dyDescent="0.5">
      <c r="A24" s="206" t="s">
        <v>304</v>
      </c>
      <c r="B24" s="207">
        <f>+B22+B20+B18+B16</f>
        <v>1126862.8714722884</v>
      </c>
      <c r="C24" s="208">
        <f t="shared" ref="C24:H24" si="12">+C22+C20+C18+C16</f>
        <v>584910.52023121377</v>
      </c>
      <c r="D24" s="207">
        <f t="shared" si="12"/>
        <v>192502.19653179194</v>
      </c>
      <c r="E24" s="208"/>
      <c r="F24" s="207"/>
      <c r="G24" s="209">
        <f>SUM(B24:D24)</f>
        <v>1904275.5882352942</v>
      </c>
      <c r="H24" s="209">
        <f t="shared" si="12"/>
        <v>2400373.3436054531</v>
      </c>
      <c r="I24" s="209">
        <f t="shared" si="0"/>
        <v>-496097.75537015893</v>
      </c>
      <c r="J24" s="210">
        <f t="shared" si="11"/>
        <v>-0.20667524770334311</v>
      </c>
      <c r="K24" s="1"/>
    </row>
    <row r="25" spans="1:11" s="139" customFormat="1" ht="14.65" thickTop="1" x14ac:dyDescent="0.45">
      <c r="A25" s="17" t="s">
        <v>297</v>
      </c>
      <c r="B25" s="211" t="e">
        <f>B24/$B$2</f>
        <v>#DIV/0!</v>
      </c>
      <c r="C25" s="212" t="e">
        <f>C24/$C$2</f>
        <v>#DIV/0!</v>
      </c>
      <c r="D25" s="211">
        <f>D24/$D$2</f>
        <v>34529.541978796762</v>
      </c>
      <c r="E25" s="212"/>
      <c r="F25" s="211"/>
      <c r="G25" s="213">
        <f>G24/$G$2</f>
        <v>341574.09654444735</v>
      </c>
      <c r="H25" s="213">
        <f>H24/$H$2</f>
        <v>138749.90425465046</v>
      </c>
      <c r="I25" s="213">
        <f t="shared" si="0"/>
        <v>202824.19228979689</v>
      </c>
      <c r="J25" s="214">
        <f t="shared" si="11"/>
        <v>1.4617969891896256</v>
      </c>
      <c r="K25" s="1"/>
    </row>
    <row r="26" spans="1:11" s="139" customFormat="1" ht="14.65" thickBot="1" x14ac:dyDescent="0.5">
      <c r="A26" s="206" t="s">
        <v>305</v>
      </c>
      <c r="B26" s="207">
        <f>+B5-B14-B24</f>
        <v>-121672129.7416514</v>
      </c>
      <c r="C26" s="208" t="e">
        <f>+C5-C14-C24</f>
        <v>#DIV/0!</v>
      </c>
      <c r="D26" s="207">
        <f>+D5-D14-D24</f>
        <v>-193302.8788847331</v>
      </c>
      <c r="E26" s="208"/>
      <c r="F26" s="207"/>
      <c r="G26" s="209" t="e">
        <f>SUM(B26:D26)</f>
        <v>#DIV/0!</v>
      </c>
      <c r="H26" s="209">
        <f>+H5-H14-H24</f>
        <v>221600.10996711254</v>
      </c>
      <c r="I26" s="209" t="e">
        <f t="shared" si="0"/>
        <v>#DIV/0!</v>
      </c>
      <c r="J26" s="210" t="e">
        <f t="shared" ref="J26:J27" si="13">+I26/H26</f>
        <v>#DIV/0!</v>
      </c>
      <c r="K26" s="1"/>
    </row>
    <row r="27" spans="1:11" s="139" customFormat="1" ht="14.65" thickTop="1" x14ac:dyDescent="0.45">
      <c r="A27" s="17" t="s">
        <v>297</v>
      </c>
      <c r="B27" s="211" t="e">
        <f>B26/$B$2</f>
        <v>#DIV/0!</v>
      </c>
      <c r="C27" s="212" t="e">
        <f>C26/$C$2</f>
        <v>#DIV/0!</v>
      </c>
      <c r="D27" s="211">
        <f>D26/$D$2</f>
        <v>-34673.16213179069</v>
      </c>
      <c r="E27" s="212"/>
      <c r="F27" s="211"/>
      <c r="G27" s="213" t="e">
        <f>G26/$G$2</f>
        <v>#DIV/0!</v>
      </c>
      <c r="H27" s="213">
        <f>H26/$H$2</f>
        <v>12809.254911393788</v>
      </c>
      <c r="I27" s="213" t="e">
        <f t="shared" si="0"/>
        <v>#DIV/0!</v>
      </c>
      <c r="J27" s="214" t="e">
        <f t="shared" si="13"/>
        <v>#DIV/0!</v>
      </c>
      <c r="K27" s="1"/>
    </row>
    <row r="28" spans="1:11" s="139" customFormat="1" x14ac:dyDescent="0.45">
      <c r="A28" s="215" t="s">
        <v>306</v>
      </c>
      <c r="B28" s="216">
        <f>B26/$B$5</f>
        <v>-6.8926287914828706</v>
      </c>
      <c r="C28" s="217" t="e">
        <f>C26/$C$5</f>
        <v>#DIV/0!</v>
      </c>
      <c r="D28" s="216" t="e">
        <f>D26/$D$5</f>
        <v>#DIV/0!</v>
      </c>
      <c r="E28" s="217"/>
      <c r="F28" s="216"/>
      <c r="G28" s="218" t="e">
        <f>G26/$G$5</f>
        <v>#DIV/0!</v>
      </c>
      <c r="H28" s="218">
        <f>H26/$H$5</f>
        <v>1.7307158351315105E-2</v>
      </c>
      <c r="I28" s="218" t="e">
        <f t="shared" si="0"/>
        <v>#DIV/0!</v>
      </c>
      <c r="J28" s="218"/>
      <c r="K28" s="1"/>
    </row>
    <row r="29" spans="1:11" s="139" customFormat="1" x14ac:dyDescent="0.45">
      <c r="A29" s="220" t="s">
        <v>14</v>
      </c>
      <c r="B29" s="222">
        <f>'104_Synthèse'!N32</f>
        <v>1019827.7274843582</v>
      </c>
      <c r="C29" s="223">
        <f>'105_Synthèse'!N32</f>
        <v>1580439.4392824897</v>
      </c>
      <c r="D29" s="222">
        <f>'106_Synthèse'!N32</f>
        <v>292852.23442189448</v>
      </c>
      <c r="E29" s="223"/>
      <c r="F29" s="222"/>
      <c r="G29" s="221">
        <f>SUM(B29:D29)</f>
        <v>2893119.4011887424</v>
      </c>
      <c r="H29" s="221">
        <f>Synthèse!O32</f>
        <v>2724261.2046245108</v>
      </c>
      <c r="I29" s="221">
        <f t="shared" si="0"/>
        <v>168858.19656423153</v>
      </c>
      <c r="J29" s="224">
        <f t="shared" ref="J29" si="14">+I29/H29</f>
        <v>6.1983115377332372E-2</v>
      </c>
      <c r="K29" s="1"/>
    </row>
    <row r="30" spans="1:11" s="139" customFormat="1" x14ac:dyDescent="0.45">
      <c r="A30" s="17" t="s">
        <v>297</v>
      </c>
      <c r="B30" s="211" t="e">
        <f>B29/$B$2</f>
        <v>#DIV/0!</v>
      </c>
      <c r="C30" s="212" t="e">
        <f>C29/$C$2</f>
        <v>#DIV/0!</v>
      </c>
      <c r="D30" s="211">
        <f>D29/$D$2</f>
        <v>52529.548775227704</v>
      </c>
      <c r="E30" s="212"/>
      <c r="F30" s="211"/>
      <c r="G30" s="213">
        <f>G29/$G$2</f>
        <v>518945.18406972958</v>
      </c>
      <c r="H30" s="213">
        <f>H29/$H$2</f>
        <v>157471.74593205264</v>
      </c>
      <c r="I30" s="213">
        <f t="shared" si="0"/>
        <v>361473.43813767692</v>
      </c>
      <c r="J30" s="214">
        <f t="shared" ref="J30:J31" si="15">+I30/H30</f>
        <v>2.2954812369556681</v>
      </c>
      <c r="K30" s="1"/>
    </row>
    <row r="31" spans="1:11" s="139" customFormat="1" ht="14.65" thickBot="1" x14ac:dyDescent="0.5">
      <c r="A31" s="206" t="s">
        <v>19</v>
      </c>
      <c r="B31" s="207">
        <f>+B26-B29</f>
        <v>-122691957.46913576</v>
      </c>
      <c r="C31" s="208" t="e">
        <f>+C26-C29</f>
        <v>#DIV/0!</v>
      </c>
      <c r="D31" s="207">
        <f>+D26-D29</f>
        <v>-486155.11330662761</v>
      </c>
      <c r="E31" s="208"/>
      <c r="F31" s="207"/>
      <c r="G31" s="209" t="e">
        <f>SUM(B31:D31)</f>
        <v>#DIV/0!</v>
      </c>
      <c r="H31" s="209">
        <f>+H26-H29</f>
        <v>-2502661.0946573983</v>
      </c>
      <c r="I31" s="209" t="e">
        <f t="shared" si="0"/>
        <v>#DIV/0!</v>
      </c>
      <c r="J31" s="210" t="e">
        <f t="shared" si="15"/>
        <v>#DIV/0!</v>
      </c>
      <c r="K31" s="1"/>
    </row>
    <row r="32" spans="1:11" s="139" customFormat="1" ht="14.65" thickTop="1" x14ac:dyDescent="0.45">
      <c r="A32" s="215" t="s">
        <v>306</v>
      </c>
      <c r="B32" s="216">
        <f>B31/$B$5</f>
        <v>-6.95040121620936</v>
      </c>
      <c r="C32" s="217" t="e">
        <f t="shared" ref="C32:H32" si="16">C31/$B$5</f>
        <v>#DIV/0!</v>
      </c>
      <c r="D32" s="216">
        <f t="shared" si="16"/>
        <v>-2.7540298162108907E-2</v>
      </c>
      <c r="E32" s="217"/>
      <c r="F32" s="216"/>
      <c r="G32" s="218" t="e">
        <f t="shared" si="16"/>
        <v>#DIV/0!</v>
      </c>
      <c r="H32" s="218">
        <f t="shared" si="16"/>
        <v>-0.14177374845814461</v>
      </c>
      <c r="I32" s="218" t="e">
        <f t="shared" si="0"/>
        <v>#DIV/0!</v>
      </c>
      <c r="J32" s="218"/>
      <c r="K32" s="1"/>
    </row>
    <row r="33" spans="1:11" s="139" customFormat="1" x14ac:dyDescent="0.45">
      <c r="A33" s="1"/>
      <c r="B33" s="2"/>
      <c r="C33" s="3"/>
      <c r="D33" s="2"/>
      <c r="E33" s="3"/>
      <c r="F33" s="2"/>
      <c r="G33" s="22"/>
      <c r="H33" s="22"/>
      <c r="I33" s="22"/>
      <c r="J33" s="22"/>
      <c r="K33" s="1"/>
    </row>
    <row r="34" spans="1:11" s="139" customFormat="1" x14ac:dyDescent="0.45">
      <c r="A34" s="1"/>
      <c r="B34" s="2"/>
      <c r="C34" s="3"/>
      <c r="D34" s="2"/>
      <c r="E34" s="3"/>
      <c r="F34" s="2"/>
      <c r="G34" s="22"/>
      <c r="H34" s="22"/>
      <c r="I34" s="22"/>
      <c r="J34" s="22"/>
      <c r="K34" s="1"/>
    </row>
    <row r="35" spans="1:11" s="139" customFormat="1" x14ac:dyDescent="0.45">
      <c r="A35" s="152" t="s">
        <v>307</v>
      </c>
      <c r="B35" s="225"/>
      <c r="C35" s="226"/>
      <c r="D35" s="225"/>
      <c r="E35" s="226"/>
      <c r="F35" s="225"/>
      <c r="G35" s="228" t="e">
        <f>G31-Synthèse!N33</f>
        <v>#DIV/0!</v>
      </c>
      <c r="H35" s="228">
        <f>H31-Synthèse!O33</f>
        <v>0</v>
      </c>
      <c r="I35" s="227"/>
      <c r="J35" s="227"/>
      <c r="K35" s="1"/>
    </row>
    <row r="36" spans="1:11" s="139" customFormat="1" x14ac:dyDescent="0.45">
      <c r="A36" s="1"/>
      <c r="B36" s="2"/>
      <c r="C36" s="3"/>
      <c r="D36" s="2"/>
      <c r="E36" s="3"/>
      <c r="F36" s="2"/>
      <c r="G36" s="22"/>
      <c r="H36" s="22"/>
      <c r="I36" s="22"/>
      <c r="J36" s="22"/>
      <c r="K36" s="1"/>
    </row>
    <row r="37" spans="1:11" s="139" customFormat="1" x14ac:dyDescent="0.45">
      <c r="A37" s="1"/>
      <c r="B37" s="2"/>
      <c r="C37" s="3"/>
      <c r="D37" s="2"/>
      <c r="E37" s="3"/>
      <c r="F37" s="2"/>
      <c r="G37" s="22"/>
      <c r="H37" s="22"/>
      <c r="I37" s="22"/>
      <c r="J37" s="22"/>
      <c r="K37" s="1"/>
    </row>
    <row r="38" spans="1:11" s="139" customFormat="1" x14ac:dyDescent="0.45">
      <c r="A38" s="1"/>
      <c r="B38" s="2"/>
      <c r="C38" s="3"/>
      <c r="D38" s="2"/>
      <c r="E38" s="3"/>
      <c r="F38" s="2"/>
      <c r="G38" s="22"/>
      <c r="H38" s="22"/>
      <c r="I38" s="22"/>
      <c r="J38" s="22"/>
      <c r="K38" s="1"/>
    </row>
    <row r="39" spans="1:11" s="139" customFormat="1" x14ac:dyDescent="0.45">
      <c r="A39" s="1"/>
      <c r="B39" s="2"/>
      <c r="C39" s="3"/>
      <c r="D39" s="2"/>
      <c r="E39" s="3"/>
      <c r="F39" s="2"/>
      <c r="G39" s="22"/>
      <c r="H39" s="22"/>
      <c r="I39" s="22"/>
      <c r="J39" s="22"/>
      <c r="K39" s="1"/>
    </row>
    <row r="40" spans="1:11" s="139" customFormat="1" x14ac:dyDescent="0.45">
      <c r="A40" s="1"/>
      <c r="B40" s="2"/>
      <c r="C40" s="3"/>
      <c r="D40" s="2"/>
      <c r="E40" s="3"/>
      <c r="F40" s="2"/>
      <c r="G40" s="22"/>
      <c r="H40" s="22"/>
      <c r="I40" s="22"/>
      <c r="J40" s="22"/>
      <c r="K4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87"/>
  <sheetViews>
    <sheetView zoomScaleNormal="100" workbookViewId="0">
      <pane xSplit="1" topLeftCell="B1" activePane="topRight" state="frozen"/>
      <selection activeCell="A11" sqref="A11"/>
      <selection pane="topRight" activeCell="B7" sqref="B7"/>
    </sheetView>
  </sheetViews>
  <sheetFormatPr baseColWidth="10" defaultColWidth="11.46484375" defaultRowHeight="14.25" x14ac:dyDescent="0.45"/>
  <cols>
    <col min="1" max="1" width="25.265625" style="1" bestFit="1" customWidth="1"/>
    <col min="2" max="2" width="8.796875" style="2" bestFit="1" customWidth="1"/>
    <col min="3" max="3" width="8.796875" style="3" bestFit="1" customWidth="1"/>
    <col min="4" max="4" width="8.796875" style="2" bestFit="1" customWidth="1"/>
    <col min="5" max="5" width="8.796875" style="3" bestFit="1" customWidth="1"/>
    <col min="6" max="6" width="8.796875" style="2" bestFit="1" customWidth="1"/>
    <col min="7" max="7" width="8.796875" style="3" bestFit="1" customWidth="1"/>
    <col min="8" max="8" width="8.796875" style="2" bestFit="1" customWidth="1"/>
    <col min="9" max="9" width="8.796875" style="3" bestFit="1" customWidth="1"/>
    <col min="10" max="10" width="8.796875" style="2" bestFit="1" customWidth="1"/>
    <col min="11" max="11" width="8.796875" style="3" bestFit="1" customWidth="1"/>
    <col min="12" max="12" width="8.796875" style="2" bestFit="1" customWidth="1"/>
    <col min="13" max="13" width="8.796875" style="3" bestFit="1" customWidth="1"/>
    <col min="14" max="15" width="8.796875" style="22" bestFit="1" customWidth="1"/>
    <col min="16" max="16" width="9.46484375" style="22" bestFit="1" customWidth="1"/>
    <col min="17" max="17" width="9" style="22" bestFit="1" customWidth="1"/>
    <col min="18" max="18" width="7.19921875" style="139" bestFit="1" customWidth="1"/>
    <col min="19" max="19" width="4" style="139" bestFit="1" customWidth="1"/>
    <col min="20" max="16384" width="11.46484375" style="1"/>
  </cols>
  <sheetData>
    <row r="1" spans="1:19" s="32" customFormat="1" ht="11.65" x14ac:dyDescent="0.35">
      <c r="B1" s="143" t="s">
        <v>78</v>
      </c>
      <c r="C1" s="144" t="s">
        <v>78</v>
      </c>
      <c r="D1" s="143" t="s">
        <v>78</v>
      </c>
      <c r="E1" s="144" t="s">
        <v>78</v>
      </c>
      <c r="F1" s="143" t="s">
        <v>78</v>
      </c>
      <c r="G1" s="144" t="s">
        <v>78</v>
      </c>
      <c r="H1" s="143" t="s">
        <v>78</v>
      </c>
      <c r="I1" s="144" t="s">
        <v>78</v>
      </c>
      <c r="J1" s="143" t="s">
        <v>78</v>
      </c>
      <c r="K1" s="144" t="s">
        <v>78</v>
      </c>
      <c r="L1" s="143" t="s">
        <v>78</v>
      </c>
      <c r="M1" s="144" t="s">
        <v>78</v>
      </c>
      <c r="N1" s="145" t="s">
        <v>78</v>
      </c>
      <c r="O1" s="145" t="s">
        <v>228</v>
      </c>
      <c r="P1" s="145" t="s">
        <v>177</v>
      </c>
      <c r="Q1" s="145" t="s">
        <v>177</v>
      </c>
      <c r="R1" s="137"/>
      <c r="S1" s="138"/>
    </row>
    <row r="2" spans="1:19" ht="14.65" thickBot="1" x14ac:dyDescent="0.5">
      <c r="A2" s="5" t="s">
        <v>309</v>
      </c>
      <c r="B2" s="23">
        <v>45839</v>
      </c>
      <c r="C2" s="24">
        <f>+B2+31</f>
        <v>45870</v>
      </c>
      <c r="D2" s="23">
        <f t="shared" ref="D2:M2" si="0">+C2+31</f>
        <v>45901</v>
      </c>
      <c r="E2" s="24">
        <f t="shared" si="0"/>
        <v>45932</v>
      </c>
      <c r="F2" s="23">
        <f t="shared" si="0"/>
        <v>45963</v>
      </c>
      <c r="G2" s="24">
        <f t="shared" si="0"/>
        <v>45994</v>
      </c>
      <c r="H2" s="23">
        <f t="shared" si="0"/>
        <v>46025</v>
      </c>
      <c r="I2" s="24">
        <f t="shared" si="0"/>
        <v>46056</v>
      </c>
      <c r="J2" s="23">
        <f t="shared" si="0"/>
        <v>46087</v>
      </c>
      <c r="K2" s="24">
        <f t="shared" si="0"/>
        <v>46118</v>
      </c>
      <c r="L2" s="23">
        <f t="shared" si="0"/>
        <v>46149</v>
      </c>
      <c r="M2" s="24">
        <f t="shared" si="0"/>
        <v>46180</v>
      </c>
      <c r="N2" s="25" t="s">
        <v>432</v>
      </c>
      <c r="O2" s="25" t="s">
        <v>230</v>
      </c>
      <c r="P2" s="25" t="s">
        <v>229</v>
      </c>
      <c r="Q2" s="25" t="s">
        <v>178</v>
      </c>
      <c r="R2" s="139" t="s">
        <v>155</v>
      </c>
      <c r="S2" s="139" t="s">
        <v>79</v>
      </c>
    </row>
    <row r="3" spans="1:19" x14ac:dyDescent="0.45">
      <c r="A3" s="26" t="s">
        <v>27</v>
      </c>
      <c r="B3" s="6">
        <f>+'104_Synthèse'!B3+'105_Synthèse'!B3+'106_Synthèse'!B3</f>
        <v>5.5750000000000002</v>
      </c>
      <c r="C3" s="7">
        <f>+'104_Synthèse'!C3+'105_Synthèse'!C3+'106_Synthèse'!C3</f>
        <v>5.5750000000000002</v>
      </c>
      <c r="D3" s="6">
        <f>+'104_Synthèse'!D3+'105_Synthèse'!D3+'106_Synthèse'!D3</f>
        <v>5.5750000000000002</v>
      </c>
      <c r="E3" s="7">
        <f>+'104_Synthèse'!E3+'105_Synthèse'!E3+'106_Synthèse'!E3</f>
        <v>5.5750000000000002</v>
      </c>
      <c r="F3" s="6">
        <f>+'104_Synthèse'!F3+'105_Synthèse'!F3+'106_Synthèse'!F3</f>
        <v>5.5750000000000002</v>
      </c>
      <c r="G3" s="7">
        <f>+'104_Synthèse'!G3+'105_Synthèse'!G3+'106_Synthèse'!G3</f>
        <v>5.5750000000000002</v>
      </c>
      <c r="H3" s="6">
        <f>+'104_Synthèse'!H3+'105_Synthèse'!H3+'106_Synthèse'!H3</f>
        <v>5.5750000000000002</v>
      </c>
      <c r="I3" s="7">
        <f>+'104_Synthèse'!I3+'105_Synthèse'!I3+'106_Synthèse'!I3</f>
        <v>5.5750000000000002</v>
      </c>
      <c r="J3" s="6">
        <f>+'104_Synthèse'!J3+'105_Synthèse'!J3+'106_Synthèse'!J3</f>
        <v>5.5750000000000002</v>
      </c>
      <c r="K3" s="7">
        <f>+'104_Synthèse'!K3+'105_Synthèse'!K3+'106_Synthèse'!K3</f>
        <v>5.5750000000000002</v>
      </c>
      <c r="L3" s="6">
        <f>+'104_Synthèse'!L3+'105_Synthèse'!L3+'106_Synthèse'!L3</f>
        <v>5.5750000000000002</v>
      </c>
      <c r="M3" s="7">
        <f>+'104_Synthèse'!M3+'105_Synthèse'!M3+'106_Synthèse'!M3</f>
        <v>5.5750000000000002</v>
      </c>
      <c r="N3" s="20">
        <f>+'106_Synthèse'!N3+'104_Synthèse'!N3+'105_Synthèse'!N3</f>
        <v>5.5750000000000002</v>
      </c>
      <c r="O3" s="20">
        <f>+'104_Synthèse'!O3+'105_Synthèse'!O3++'106_Synthèse'!O3</f>
        <v>17.3</v>
      </c>
      <c r="P3" s="20">
        <f>+N3-O3</f>
        <v>-11.725000000000001</v>
      </c>
      <c r="Q3" s="133">
        <f>+P3/O3</f>
        <v>-0.6777456647398844</v>
      </c>
      <c r="R3" s="141">
        <f>+'Plan de culture 104 '!B3+'Plan de culture 105'!B3+'Plan de culture 106'!C3</f>
        <v>5.5750000000000002</v>
      </c>
      <c r="S3" s="141">
        <f t="shared" ref="S3:S11" si="1">+N3-R3</f>
        <v>0</v>
      </c>
    </row>
    <row r="4" spans="1:19" x14ac:dyDescent="0.45">
      <c r="A4" s="26" t="s">
        <v>23</v>
      </c>
      <c r="B4" s="6">
        <f>+'104_Synthèse'!B4+'105_Synthèse'!B4+'106_Synthèse'!B4</f>
        <v>26.140000000000004</v>
      </c>
      <c r="C4" s="7">
        <f>+'104_Synthèse'!C4+'105_Synthèse'!C4+'106_Synthèse'!C4</f>
        <v>26.140000000000004</v>
      </c>
      <c r="D4" s="6">
        <f>+'104_Synthèse'!D4+'105_Synthèse'!D4+'106_Synthèse'!D4</f>
        <v>26.140000000000004</v>
      </c>
      <c r="E4" s="7">
        <f>+'104_Synthèse'!E4+'105_Synthèse'!E4+'106_Synthèse'!E4</f>
        <v>26.140000000000004</v>
      </c>
      <c r="F4" s="6">
        <f>+'104_Synthèse'!F4+'105_Synthèse'!F4+'106_Synthèse'!F4</f>
        <v>26.140000000000004</v>
      </c>
      <c r="G4" s="7">
        <f>+'104_Synthèse'!G4+'105_Synthèse'!G4+'106_Synthèse'!G4</f>
        <v>26.140000000000004</v>
      </c>
      <c r="H4" s="6">
        <f>+'104_Synthèse'!H4+'105_Synthèse'!H4+'106_Synthèse'!H4</f>
        <v>26.140000000000004</v>
      </c>
      <c r="I4" s="7">
        <f>+'104_Synthèse'!I4+'105_Synthèse'!I4+'106_Synthèse'!I4</f>
        <v>26.140000000000004</v>
      </c>
      <c r="J4" s="6">
        <f>+'104_Synthèse'!J4+'105_Synthèse'!J4+'106_Synthèse'!J4</f>
        <v>26.140000000000004</v>
      </c>
      <c r="K4" s="7">
        <f>+'104_Synthèse'!K4+'105_Synthèse'!K4+'106_Synthèse'!K4</f>
        <v>26.140000000000004</v>
      </c>
      <c r="L4" s="6">
        <f>+'104_Synthèse'!L4+'105_Synthèse'!L4+'106_Synthèse'!L4</f>
        <v>26.140000000000004</v>
      </c>
      <c r="M4" s="7">
        <f>+'104_Synthèse'!M4+'105_Synthèse'!M4+'106_Synthèse'!M4</f>
        <v>26.140000000000004</v>
      </c>
      <c r="N4" s="20">
        <f>+'106_Synthèse'!N4+'104_Synthèse'!N4+'105_Synthèse'!N4</f>
        <v>26.140000000000004</v>
      </c>
      <c r="O4" s="20">
        <f>+'104_Synthèse'!O4+'105_Synthèse'!O4++'106_Synthèse'!O4</f>
        <v>17.3</v>
      </c>
      <c r="P4" s="20">
        <f>+N4-O4</f>
        <v>8.8400000000000034</v>
      </c>
      <c r="Q4" s="133">
        <f>+P4/O4</f>
        <v>0.51098265895953776</v>
      </c>
      <c r="R4" s="141">
        <f>'106_Synthèse'!N4+'104_Synthèse'!N4+'105_Synthèse'!N4</f>
        <v>26.140000000000004</v>
      </c>
      <c r="S4" s="141">
        <f t="shared" si="1"/>
        <v>0</v>
      </c>
    </row>
    <row r="5" spans="1:19" x14ac:dyDescent="0.45">
      <c r="A5" s="26" t="s">
        <v>0</v>
      </c>
      <c r="B5" s="8">
        <f>+'104_Synthèse'!B5+'105_Synthèse'!B5+'106_Synthèse'!B5</f>
        <v>0</v>
      </c>
      <c r="C5" s="9">
        <f>+'104_Synthèse'!C5+'105_Synthèse'!C5+'106_Synthèse'!C5</f>
        <v>0</v>
      </c>
      <c r="D5" s="8">
        <f>+'104_Synthèse'!D5+'105_Synthèse'!D5+'106_Synthèse'!D5</f>
        <v>0</v>
      </c>
      <c r="E5" s="9">
        <f>+'104_Synthèse'!E5+'105_Synthèse'!E5+'106_Synthèse'!E5</f>
        <v>108038600.00000001</v>
      </c>
      <c r="F5" s="8">
        <f>+'104_Synthèse'!F5+'105_Synthèse'!F5+'106_Synthèse'!F5</f>
        <v>108345600.00000001</v>
      </c>
      <c r="G5" s="9">
        <f>+'104_Synthèse'!G5+'105_Synthèse'!G5+'106_Synthèse'!G5</f>
        <v>81259200</v>
      </c>
      <c r="H5" s="8">
        <f>+'104_Synthèse'!H5+'105_Synthèse'!H5+'106_Synthèse'!H5</f>
        <v>81259200</v>
      </c>
      <c r="I5" s="9">
        <f>+'104_Synthèse'!I5+'105_Synthèse'!I5+'106_Synthèse'!I5</f>
        <v>108345600.00000001</v>
      </c>
      <c r="J5" s="8">
        <f>+'104_Synthèse'!J5+'105_Synthèse'!J5+'106_Synthèse'!J5</f>
        <v>81259200</v>
      </c>
      <c r="K5" s="9">
        <f>+'104_Synthèse'!K5+'105_Synthèse'!K5+'106_Synthèse'!K5</f>
        <v>81259200</v>
      </c>
      <c r="L5" s="8">
        <f>+'104_Synthèse'!L5+'105_Synthèse'!L5+'106_Synthèse'!L5</f>
        <v>54172800.000000007</v>
      </c>
      <c r="M5" s="9">
        <f>+'104_Synthèse'!M5+'105_Synthèse'!M5+'106_Synthèse'!M5</f>
        <v>27086400.000000004</v>
      </c>
      <c r="N5" s="31">
        <f>SUM(B5:M5)</f>
        <v>731025800</v>
      </c>
      <c r="O5" s="31">
        <f>+'104_Synthèse'!O5+'105_Synthèse'!O5++'106_Synthèse'!O5</f>
        <v>1982993.5014606742</v>
      </c>
      <c r="P5" s="31">
        <f>+N5-O5</f>
        <v>729042806.49853933</v>
      </c>
      <c r="Q5" s="134">
        <f t="shared" ref="Q5:Q61" si="2">+P5/O5</f>
        <v>367.64760245634994</v>
      </c>
      <c r="R5" s="141">
        <f>'106_Synthèse'!N5+'104_Synthèse'!N5+'105_Synthèse'!N5</f>
        <v>731025800</v>
      </c>
      <c r="S5" s="141">
        <f t="shared" si="1"/>
        <v>0</v>
      </c>
    </row>
    <row r="6" spans="1:19" x14ac:dyDescent="0.45">
      <c r="A6" s="17" t="s">
        <v>1</v>
      </c>
      <c r="B6" s="10">
        <f>+B5/B4/1000</f>
        <v>0</v>
      </c>
      <c r="C6" s="11">
        <f t="shared" ref="C6:O6" si="3">+C5/C4/1000</f>
        <v>0</v>
      </c>
      <c r="D6" s="10">
        <f t="shared" si="3"/>
        <v>0</v>
      </c>
      <c r="E6" s="11">
        <f t="shared" si="3"/>
        <v>4133.0757459831675</v>
      </c>
      <c r="F6" s="10">
        <f t="shared" si="3"/>
        <v>4144.8201989288445</v>
      </c>
      <c r="G6" s="11">
        <f t="shared" si="3"/>
        <v>3108.615149196633</v>
      </c>
      <c r="H6" s="10">
        <f t="shared" si="3"/>
        <v>3108.615149196633</v>
      </c>
      <c r="I6" s="11">
        <f t="shared" si="3"/>
        <v>4144.8201989288445</v>
      </c>
      <c r="J6" s="10">
        <f t="shared" si="3"/>
        <v>3108.615149196633</v>
      </c>
      <c r="K6" s="11">
        <f t="shared" si="3"/>
        <v>3108.615149196633</v>
      </c>
      <c r="L6" s="10">
        <f t="shared" si="3"/>
        <v>2072.4100994644223</v>
      </c>
      <c r="M6" s="11">
        <f t="shared" si="3"/>
        <v>1036.2050497322111</v>
      </c>
      <c r="N6" s="45">
        <f t="shared" si="3"/>
        <v>27965.79188982402</v>
      </c>
      <c r="O6" s="45">
        <f t="shared" si="3"/>
        <v>114.62390181853608</v>
      </c>
      <c r="P6" s="45">
        <f t="shared" ref="P6:P61" si="4">+N6-O6</f>
        <v>27851.167988005483</v>
      </c>
      <c r="Q6" s="135">
        <f t="shared" si="2"/>
        <v>242.97871164861715</v>
      </c>
      <c r="R6" s="141">
        <f>+R5/R4/1000</f>
        <v>27965.79188982402</v>
      </c>
      <c r="S6" s="141">
        <f t="shared" si="1"/>
        <v>0</v>
      </c>
    </row>
    <row r="7" spans="1:19" x14ac:dyDescent="0.45">
      <c r="A7" s="32" t="s">
        <v>477</v>
      </c>
      <c r="B7" s="12">
        <f>+'104_Synthèse'!B7+'105_Synthèse'!B7+'106_Synthèse'!B7</f>
        <v>0</v>
      </c>
      <c r="C7" s="13">
        <f>+'104_Synthèse'!C7+'105_Synthèse'!C7+'106_Synthèse'!C7</f>
        <v>0</v>
      </c>
      <c r="D7" s="12">
        <f>+'104_Synthèse'!D7+'105_Synthèse'!D7+'106_Synthèse'!D7</f>
        <v>0</v>
      </c>
      <c r="E7" s="13">
        <f>+'104_Synthèse'!E7+'105_Synthèse'!E7+'106_Synthèse'!E7</f>
        <v>0</v>
      </c>
      <c r="F7" s="12">
        <f>+'104_Synthèse'!F7+'105_Synthèse'!F7+'106_Synthèse'!F7</f>
        <v>3070000.0000000005</v>
      </c>
      <c r="G7" s="13">
        <f>+'104_Synthèse'!G7+'105_Synthèse'!G7+'106_Synthèse'!G7</f>
        <v>2302500.0000000005</v>
      </c>
      <c r="H7" s="12">
        <f>+'104_Synthèse'!H7+'105_Synthèse'!H7+'106_Synthèse'!H7</f>
        <v>2302500.0000000005</v>
      </c>
      <c r="I7" s="13">
        <f>+'104_Synthèse'!I7+'105_Synthèse'!I7+'106_Synthèse'!I7</f>
        <v>3070000.0000000005</v>
      </c>
      <c r="J7" s="12">
        <f>+'104_Synthèse'!J7+'105_Synthèse'!J7+'106_Synthèse'!J7</f>
        <v>2302500.0000000005</v>
      </c>
      <c r="K7" s="13">
        <f>+'104_Synthèse'!K7+'105_Synthèse'!K7+'106_Synthèse'!K7</f>
        <v>2302500.0000000005</v>
      </c>
      <c r="L7" s="12">
        <f>+'104_Synthèse'!L7+'105_Synthèse'!L7+'106_Synthèse'!L7</f>
        <v>1535000.0000000002</v>
      </c>
      <c r="M7" s="13">
        <f>+'104_Synthèse'!M7+'105_Synthèse'!M7+'106_Synthèse'!M7</f>
        <v>767500.00000000012</v>
      </c>
      <c r="N7" s="31">
        <f t="shared" ref="N7:N32" si="5">SUM(B7:M7)</f>
        <v>17652500.000000004</v>
      </c>
      <c r="O7" s="31">
        <f>+'104_Synthèse'!O7+'105_Synthèse'!O7++'106_Synthèse'!O7</f>
        <v>11264310.921690382</v>
      </c>
      <c r="P7" s="31">
        <f>+N7-O7</f>
        <v>6388189.0783096217</v>
      </c>
      <c r="Q7" s="134">
        <f t="shared" ref="Q7" si="6">+P7/O7</f>
        <v>0.56711760912144427</v>
      </c>
      <c r="R7" s="141">
        <f>'106_Synthèse'!N7+'104_Synthèse'!N7+'105_Synthèse'!N7</f>
        <v>17652500.000000004</v>
      </c>
      <c r="S7" s="141">
        <f t="shared" si="1"/>
        <v>0</v>
      </c>
    </row>
    <row r="8" spans="1:19" x14ac:dyDescent="0.45">
      <c r="A8" s="32" t="s">
        <v>483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31"/>
      <c r="O8" s="31"/>
      <c r="P8" s="31"/>
      <c r="Q8" s="134"/>
      <c r="R8" s="141"/>
      <c r="S8" s="141"/>
    </row>
    <row r="9" spans="1:19" x14ac:dyDescent="0.45">
      <c r="A9" s="32" t="s">
        <v>57</v>
      </c>
      <c r="B9" s="12">
        <f>+'104_Synthèse'!B9+'105_Synthèse'!B9+'106_Synthèse'!B9</f>
        <v>0</v>
      </c>
      <c r="C9" s="13">
        <f>+'104_Synthèse'!C9+'105_Synthèse'!C9+'106_Synthèse'!C9</f>
        <v>0</v>
      </c>
      <c r="D9" s="12">
        <f>+'104_Synthèse'!D9+'105_Synthèse'!D9+'106_Synthèse'!D9</f>
        <v>0</v>
      </c>
      <c r="E9" s="13">
        <f>+'104_Synthèse'!E9+'105_Synthèse'!E9+'106_Synthèse'!E9</f>
        <v>0</v>
      </c>
      <c r="F9" s="12">
        <f>+'104_Synthèse'!F9+'105_Synthèse'!F9+'106_Synthèse'!F9</f>
        <v>0</v>
      </c>
      <c r="G9" s="13">
        <f>+'104_Synthèse'!G9+'105_Synthèse'!G9+'106_Synthèse'!G9</f>
        <v>0</v>
      </c>
      <c r="H9" s="12">
        <f>+'104_Synthèse'!H9+'105_Synthèse'!H9+'106_Synthèse'!H9</f>
        <v>0</v>
      </c>
      <c r="I9" s="13">
        <f>+'104_Synthèse'!I9+'105_Synthèse'!I9+'106_Synthèse'!I9</f>
        <v>0</v>
      </c>
      <c r="J9" s="12">
        <f>+'104_Synthèse'!J9+'105_Synthèse'!J9+'106_Synthèse'!J9</f>
        <v>0</v>
      </c>
      <c r="K9" s="13">
        <f>+'104_Synthèse'!K9+'105_Synthèse'!K9+'106_Synthèse'!K9</f>
        <v>0</v>
      </c>
      <c r="L9" s="12">
        <f>+'104_Synthèse'!L9+'105_Synthèse'!L9+'106_Synthèse'!L9</f>
        <v>0</v>
      </c>
      <c r="M9" s="13">
        <f>+'104_Synthèse'!M9+'105_Synthèse'!M9+'106_Synthèse'!M9</f>
        <v>0</v>
      </c>
      <c r="N9" s="31">
        <f t="shared" si="5"/>
        <v>0</v>
      </c>
      <c r="O9" s="31">
        <f>+'104_Synthèse'!O9+'105_Synthèse'!O9++'106_Synthèse'!O9</f>
        <v>1539646</v>
      </c>
      <c r="P9" s="31">
        <f t="shared" si="4"/>
        <v>-1539646</v>
      </c>
      <c r="Q9" s="134">
        <f t="shared" si="2"/>
        <v>-1</v>
      </c>
      <c r="R9" s="141">
        <f>'106_Synthèse'!N9+'104_Synthèse'!N9+'105_Synthèse'!N9</f>
        <v>0</v>
      </c>
      <c r="S9" s="141">
        <f t="shared" si="1"/>
        <v>0</v>
      </c>
    </row>
    <row r="10" spans="1:19" x14ac:dyDescent="0.45">
      <c r="A10" s="32" t="s">
        <v>24</v>
      </c>
      <c r="B10" s="12" t="e">
        <f>+'104_Synthèse'!B10+'105_Synthèse'!B10+'106_Synthèse'!B10</f>
        <v>#DIV/0!</v>
      </c>
      <c r="C10" s="13" t="e">
        <f>+'104_Synthèse'!C10+'105_Synthèse'!C10+'106_Synthèse'!C10</f>
        <v>#DIV/0!</v>
      </c>
      <c r="D10" s="12" t="e">
        <f>+'104_Synthèse'!D10+'105_Synthèse'!D10+'106_Synthèse'!D10</f>
        <v>#DIV/0!</v>
      </c>
      <c r="E10" s="13" t="e">
        <f>+'104_Synthèse'!E10+'105_Synthèse'!E10+'106_Synthèse'!E10</f>
        <v>#DIV/0!</v>
      </c>
      <c r="F10" s="12" t="e">
        <f>+'104_Synthèse'!F10+'105_Synthèse'!F10+'106_Synthèse'!F10</f>
        <v>#DIV/0!</v>
      </c>
      <c r="G10" s="13" t="e">
        <f>+'104_Synthèse'!G10+'105_Synthèse'!G10+'106_Synthèse'!G10</f>
        <v>#DIV/0!</v>
      </c>
      <c r="H10" s="12" t="e">
        <f>+'104_Synthèse'!H10+'105_Synthèse'!H10+'106_Synthèse'!H10</f>
        <v>#DIV/0!</v>
      </c>
      <c r="I10" s="13" t="e">
        <f>+'104_Synthèse'!I10+'105_Synthèse'!I10+'106_Synthèse'!I10</f>
        <v>#DIV/0!</v>
      </c>
      <c r="J10" s="12" t="e">
        <f>+'104_Synthèse'!J10+'105_Synthèse'!J10+'106_Synthèse'!J10</f>
        <v>#DIV/0!</v>
      </c>
      <c r="K10" s="13" t="e">
        <f>+'104_Synthèse'!K10+'105_Synthèse'!K10+'106_Synthèse'!K10</f>
        <v>#DIV/0!</v>
      </c>
      <c r="L10" s="12" t="e">
        <f>+'104_Synthèse'!L10+'105_Synthèse'!L10+'106_Synthèse'!L10</f>
        <v>#DIV/0!</v>
      </c>
      <c r="M10" s="13" t="e">
        <f>+'104_Synthèse'!M10+'105_Synthèse'!M10+'106_Synthèse'!M10</f>
        <v>#DIV/0!</v>
      </c>
      <c r="N10" s="31" t="e">
        <f t="shared" si="5"/>
        <v>#DIV/0!</v>
      </c>
      <c r="O10" s="31">
        <f>+'104_Synthèse'!O10+'105_Synthèse'!O10++'106_Synthèse'!O10</f>
        <v>0</v>
      </c>
      <c r="P10" s="31" t="e">
        <f t="shared" si="4"/>
        <v>#DIV/0!</v>
      </c>
      <c r="Q10" s="134" t="e">
        <f t="shared" si="2"/>
        <v>#DIV/0!</v>
      </c>
      <c r="R10" s="141" t="e">
        <f>'106_Synthèse'!N10+'104_Synthèse'!N10+'105_Synthèse'!N10</f>
        <v>#DIV/0!</v>
      </c>
      <c r="S10" s="141" t="e">
        <f t="shared" si="1"/>
        <v>#DIV/0!</v>
      </c>
    </row>
    <row r="11" spans="1:19" x14ac:dyDescent="0.45">
      <c r="A11" s="26" t="s">
        <v>25</v>
      </c>
      <c r="B11" s="8" t="e">
        <f>+B10+B7+B9</f>
        <v>#DIV/0!</v>
      </c>
      <c r="C11" s="9" t="e">
        <f t="shared" ref="C11:O11" si="7">+C10+C7+C9</f>
        <v>#DIV/0!</v>
      </c>
      <c r="D11" s="8" t="e">
        <f t="shared" si="7"/>
        <v>#DIV/0!</v>
      </c>
      <c r="E11" s="9" t="e">
        <f t="shared" si="7"/>
        <v>#DIV/0!</v>
      </c>
      <c r="F11" s="8" t="e">
        <f t="shared" si="7"/>
        <v>#DIV/0!</v>
      </c>
      <c r="G11" s="9" t="e">
        <f t="shared" si="7"/>
        <v>#DIV/0!</v>
      </c>
      <c r="H11" s="8" t="e">
        <f t="shared" si="7"/>
        <v>#DIV/0!</v>
      </c>
      <c r="I11" s="9" t="e">
        <f t="shared" si="7"/>
        <v>#DIV/0!</v>
      </c>
      <c r="J11" s="8" t="e">
        <f t="shared" si="7"/>
        <v>#DIV/0!</v>
      </c>
      <c r="K11" s="9" t="e">
        <f t="shared" si="7"/>
        <v>#DIV/0!</v>
      </c>
      <c r="L11" s="8" t="e">
        <f t="shared" si="7"/>
        <v>#DIV/0!</v>
      </c>
      <c r="M11" s="9" t="e">
        <f t="shared" si="7"/>
        <v>#DIV/0!</v>
      </c>
      <c r="N11" s="31" t="e">
        <f t="shared" si="5"/>
        <v>#DIV/0!</v>
      </c>
      <c r="O11" s="31">
        <f t="shared" si="7"/>
        <v>12803956.921690382</v>
      </c>
      <c r="P11" s="31" t="e">
        <f t="shared" si="4"/>
        <v>#DIV/0!</v>
      </c>
      <c r="Q11" s="134" t="e">
        <f t="shared" si="2"/>
        <v>#DIV/0!</v>
      </c>
      <c r="R11" s="141" t="e">
        <f>'106_Synthèse'!N11+'104_Synthèse'!N11+'105_Synthèse'!N11</f>
        <v>#DIV/0!</v>
      </c>
      <c r="S11" s="141" t="e">
        <f t="shared" si="1"/>
        <v>#DIV/0!</v>
      </c>
    </row>
    <row r="12" spans="1:19" x14ac:dyDescent="0.45">
      <c r="A12" s="32" t="s">
        <v>2</v>
      </c>
      <c r="B12" s="12">
        <f>+'104_Synthèse'!B12+'105_Synthèse'!B12+'106_Synthèse'!B12</f>
        <v>3.2</v>
      </c>
      <c r="C12" s="13">
        <f>+'104_Synthèse'!C12+'105_Synthèse'!C12+'106_Synthèse'!C12</f>
        <v>1494603.2</v>
      </c>
      <c r="D12" s="12">
        <f>+'104_Synthèse'!D12+'105_Synthèse'!D12+'106_Synthèse'!D12</f>
        <v>3.2</v>
      </c>
      <c r="E12" s="13">
        <f>+'104_Synthèse'!E12+'105_Synthèse'!E12+'106_Synthèse'!E12</f>
        <v>3.2</v>
      </c>
      <c r="F12" s="12">
        <f>+'104_Synthèse'!F12+'105_Synthèse'!F12+'106_Synthèse'!F12</f>
        <v>3.2</v>
      </c>
      <c r="G12" s="13">
        <f>+'104_Synthèse'!G12+'105_Synthèse'!G12+'106_Synthèse'!G12</f>
        <v>3.2</v>
      </c>
      <c r="H12" s="12">
        <f>+'104_Synthèse'!H12+'105_Synthèse'!H12+'106_Synthèse'!H12</f>
        <v>3.2</v>
      </c>
      <c r="I12" s="13">
        <f>+'104_Synthèse'!I12+'105_Synthèse'!I12+'106_Synthèse'!I12</f>
        <v>3.2</v>
      </c>
      <c r="J12" s="12">
        <f>+'104_Synthèse'!J12+'105_Synthèse'!J12+'106_Synthèse'!J12</f>
        <v>3.2</v>
      </c>
      <c r="K12" s="13">
        <f>+'104_Synthèse'!K12+'105_Synthèse'!K12+'106_Synthèse'!K12</f>
        <v>3.2</v>
      </c>
      <c r="L12" s="12">
        <f>+'104_Synthèse'!L12+'105_Synthèse'!L12+'106_Synthèse'!L12</f>
        <v>3.2</v>
      </c>
      <c r="M12" s="13">
        <f>+'104_Synthèse'!M12+'105_Synthèse'!M12+'106_Synthèse'!M12</f>
        <v>3.2</v>
      </c>
      <c r="N12" s="31">
        <f t="shared" si="5"/>
        <v>1494638.3999999994</v>
      </c>
      <c r="O12" s="31">
        <f>+'104_Synthèse'!O12+'105_Synthèse'!O12++'106_Synthèse'!O12</f>
        <v>1487208.24999998</v>
      </c>
      <c r="P12" s="31">
        <f t="shared" si="4"/>
        <v>7430.1500000194646</v>
      </c>
      <c r="Q12" s="134">
        <f t="shared" si="2"/>
        <v>4.9960387188677608E-3</v>
      </c>
      <c r="R12" s="141">
        <f>'106_Synthèse'!N12+'104_Synthèse'!N12+'105_Synthèse'!N12</f>
        <v>1494638.4</v>
      </c>
      <c r="S12" s="141">
        <f t="shared" ref="S12:S33" si="8">+N12-R12</f>
        <v>0</v>
      </c>
    </row>
    <row r="13" spans="1:19" x14ac:dyDescent="0.45">
      <c r="A13" s="32" t="s">
        <v>3</v>
      </c>
      <c r="B13" s="12">
        <f>+'104_Synthèse'!B13+'105_Synthèse'!B13+'106_Synthèse'!B13</f>
        <v>0</v>
      </c>
      <c r="C13" s="13">
        <f>+'104_Synthèse'!C13+'105_Synthèse'!C13+'106_Synthèse'!C13</f>
        <v>0</v>
      </c>
      <c r="D13" s="12">
        <f>+'104_Synthèse'!D13+'105_Synthèse'!D13+'106_Synthèse'!D13</f>
        <v>0</v>
      </c>
      <c r="E13" s="13">
        <f>+'104_Synthèse'!E13+'105_Synthèse'!E13+'106_Synthèse'!E13</f>
        <v>0</v>
      </c>
      <c r="F13" s="12">
        <f>+'104_Synthèse'!F13+'105_Synthèse'!F13+'106_Synthèse'!F13</f>
        <v>0</v>
      </c>
      <c r="G13" s="13">
        <f>+'104_Synthèse'!G13+'105_Synthèse'!G13+'106_Synthèse'!G13</f>
        <v>0</v>
      </c>
      <c r="H13" s="12">
        <f>+'104_Synthèse'!H13+'105_Synthèse'!H13+'106_Synthèse'!H13</f>
        <v>0</v>
      </c>
      <c r="I13" s="13">
        <f>+'104_Synthèse'!I13+'105_Synthèse'!I13+'106_Synthèse'!I13</f>
        <v>0</v>
      </c>
      <c r="J13" s="12">
        <f>+'104_Synthèse'!J13+'105_Synthèse'!J13+'106_Synthèse'!J13</f>
        <v>0</v>
      </c>
      <c r="K13" s="13">
        <f>+'104_Synthèse'!K13+'105_Synthèse'!K13+'106_Synthèse'!K13</f>
        <v>0</v>
      </c>
      <c r="L13" s="12">
        <f>+'104_Synthèse'!L13+'105_Synthèse'!L13+'106_Synthèse'!L13</f>
        <v>0</v>
      </c>
      <c r="M13" s="13">
        <f>+'104_Synthèse'!M13+'105_Synthèse'!M13+'106_Synthèse'!M13</f>
        <v>0</v>
      </c>
      <c r="N13" s="31">
        <f t="shared" si="5"/>
        <v>0</v>
      </c>
      <c r="O13" s="31">
        <f>+'104_Synthèse'!O13+'105_Synthèse'!O13++'106_Synthèse'!O13</f>
        <v>1893892.234903302</v>
      </c>
      <c r="P13" s="31">
        <f t="shared" si="4"/>
        <v>-1893892.234903302</v>
      </c>
      <c r="Q13" s="134">
        <f t="shared" si="2"/>
        <v>-1</v>
      </c>
      <c r="R13" s="141">
        <f>'106_Synthèse'!N13+'104_Synthèse'!N13+'105_Synthèse'!N13</f>
        <v>0</v>
      </c>
      <c r="S13" s="141">
        <f t="shared" si="8"/>
        <v>0</v>
      </c>
    </row>
    <row r="14" spans="1:19" x14ac:dyDescent="0.45">
      <c r="A14" s="32" t="s">
        <v>4</v>
      </c>
      <c r="B14" s="12">
        <f>+'104_Synthèse'!B14+'105_Synthèse'!B14+'106_Synthèse'!B14</f>
        <v>0</v>
      </c>
      <c r="C14" s="13">
        <f>+'104_Synthèse'!C14+'105_Synthèse'!C14+'106_Synthèse'!C14</f>
        <v>1113000</v>
      </c>
      <c r="D14" s="12">
        <f>+'104_Synthèse'!D14+'105_Synthèse'!D14+'106_Synthèse'!D14</f>
        <v>0</v>
      </c>
      <c r="E14" s="13">
        <f>+'104_Synthèse'!E14+'105_Synthèse'!E14+'106_Synthèse'!E14</f>
        <v>0</v>
      </c>
      <c r="F14" s="12">
        <f>+'104_Synthèse'!F14+'105_Synthèse'!F14+'106_Synthèse'!F14</f>
        <v>0</v>
      </c>
      <c r="G14" s="13">
        <f>+'104_Synthèse'!G14+'105_Synthèse'!G14+'106_Synthèse'!G14</f>
        <v>0</v>
      </c>
      <c r="H14" s="12">
        <f>+'104_Synthèse'!H14+'105_Synthèse'!H14+'106_Synthèse'!H14</f>
        <v>0</v>
      </c>
      <c r="I14" s="13">
        <f>+'104_Synthèse'!I14+'105_Synthèse'!I14+'106_Synthèse'!I14</f>
        <v>0</v>
      </c>
      <c r="J14" s="12">
        <f>+'104_Synthèse'!J14+'105_Synthèse'!J14+'106_Synthèse'!J14</f>
        <v>0</v>
      </c>
      <c r="K14" s="13">
        <f>+'104_Synthèse'!K14+'105_Synthèse'!K14+'106_Synthèse'!K14</f>
        <v>0</v>
      </c>
      <c r="L14" s="12">
        <f>+'104_Synthèse'!L14+'105_Synthèse'!L14+'106_Synthèse'!L14</f>
        <v>0</v>
      </c>
      <c r="M14" s="13">
        <f>+'104_Synthèse'!M14+'105_Synthèse'!M14+'106_Synthèse'!M14</f>
        <v>0</v>
      </c>
      <c r="N14" s="31">
        <f t="shared" si="5"/>
        <v>1113000</v>
      </c>
      <c r="O14" s="31">
        <f>+'104_Synthèse'!O14+'105_Synthèse'!O14++'106_Synthèse'!O14</f>
        <v>670159.1999998726</v>
      </c>
      <c r="P14" s="31">
        <f t="shared" si="4"/>
        <v>442840.8000001274</v>
      </c>
      <c r="Q14" s="134">
        <f t="shared" si="2"/>
        <v>0.66079940408221149</v>
      </c>
      <c r="R14" s="141">
        <f>'106_Synthèse'!N14+'104_Synthèse'!N14+'105_Synthèse'!N14</f>
        <v>1113000</v>
      </c>
      <c r="S14" s="141">
        <f t="shared" si="8"/>
        <v>0</v>
      </c>
    </row>
    <row r="15" spans="1:19" x14ac:dyDescent="0.45">
      <c r="A15" s="32" t="s">
        <v>5</v>
      </c>
      <c r="B15" s="12">
        <f>+'104_Synthèse'!B15+'105_Synthèse'!B15+'106_Synthèse'!B15</f>
        <v>0</v>
      </c>
      <c r="C15" s="13">
        <f>+'104_Synthèse'!C15+'105_Synthèse'!C15+'106_Synthèse'!C15</f>
        <v>0</v>
      </c>
      <c r="D15" s="12">
        <f>+'104_Synthèse'!D15+'105_Synthèse'!D15+'106_Synthèse'!D15</f>
        <v>0</v>
      </c>
      <c r="E15" s="13">
        <f>+'104_Synthèse'!E15+'105_Synthèse'!E15+'106_Synthèse'!E15</f>
        <v>0</v>
      </c>
      <c r="F15" s="12">
        <f>+'104_Synthèse'!F15+'105_Synthèse'!F15+'106_Synthèse'!F15</f>
        <v>0</v>
      </c>
      <c r="G15" s="13">
        <f>+'104_Synthèse'!G15+'105_Synthèse'!G15+'106_Synthèse'!G15</f>
        <v>0</v>
      </c>
      <c r="H15" s="12">
        <f>+'104_Synthèse'!H15+'105_Synthèse'!H15+'106_Synthèse'!H15</f>
        <v>0</v>
      </c>
      <c r="I15" s="13">
        <f>+'104_Synthèse'!I15+'105_Synthèse'!I15+'106_Synthèse'!I15</f>
        <v>0</v>
      </c>
      <c r="J15" s="12">
        <f>+'104_Synthèse'!J15+'105_Synthèse'!J15+'106_Synthèse'!J15</f>
        <v>0</v>
      </c>
      <c r="K15" s="13">
        <f>+'104_Synthèse'!K15+'105_Synthèse'!K15+'106_Synthèse'!K15</f>
        <v>0</v>
      </c>
      <c r="L15" s="12">
        <f>+'104_Synthèse'!L15+'105_Synthèse'!L15+'106_Synthèse'!L15</f>
        <v>0</v>
      </c>
      <c r="M15" s="13">
        <f>+'104_Synthèse'!M15+'105_Synthèse'!M15+'106_Synthèse'!M15</f>
        <v>0</v>
      </c>
      <c r="N15" s="31">
        <f t="shared" si="5"/>
        <v>0</v>
      </c>
      <c r="O15" s="31">
        <f>+'104_Synthèse'!O15+'105_Synthèse'!O15++'106_Synthèse'!O15</f>
        <v>1272725.2875981003</v>
      </c>
      <c r="P15" s="31">
        <f t="shared" si="4"/>
        <v>-1272725.2875981003</v>
      </c>
      <c r="Q15" s="134">
        <f t="shared" si="2"/>
        <v>-1</v>
      </c>
      <c r="R15" s="141">
        <f>'106_Synthèse'!N15+'104_Synthèse'!N15+'105_Synthèse'!N15</f>
        <v>0</v>
      </c>
      <c r="S15" s="141">
        <f t="shared" si="8"/>
        <v>0</v>
      </c>
    </row>
    <row r="16" spans="1:19" x14ac:dyDescent="0.45">
      <c r="A16" s="32" t="s">
        <v>6</v>
      </c>
      <c r="B16" s="12">
        <f>+'104_Synthèse'!B16+'105_Synthèse'!B16+'106_Synthèse'!B16</f>
        <v>4.7</v>
      </c>
      <c r="C16" s="13">
        <f>+'104_Synthèse'!C16+'105_Synthèse'!C16+'106_Synthèse'!C16</f>
        <v>4.7</v>
      </c>
      <c r="D16" s="12">
        <f>+'104_Synthèse'!D16+'105_Synthèse'!D16+'106_Synthèse'!D16</f>
        <v>4.7</v>
      </c>
      <c r="E16" s="13">
        <f>+'104_Synthèse'!E16+'105_Synthèse'!E16+'106_Synthèse'!E16</f>
        <v>4.7</v>
      </c>
      <c r="F16" s="12">
        <f>+'104_Synthèse'!F16+'105_Synthèse'!F16+'106_Synthèse'!F16</f>
        <v>4.7</v>
      </c>
      <c r="G16" s="13">
        <f>+'104_Synthèse'!G16+'105_Synthèse'!G16+'106_Synthèse'!G16</f>
        <v>4.7</v>
      </c>
      <c r="H16" s="12">
        <f>+'104_Synthèse'!H16+'105_Synthèse'!H16+'106_Synthèse'!H16</f>
        <v>4.7</v>
      </c>
      <c r="I16" s="13">
        <f>+'104_Synthèse'!I16+'105_Synthèse'!I16+'106_Synthèse'!I16</f>
        <v>4.7</v>
      </c>
      <c r="J16" s="12">
        <f>+'104_Synthèse'!J16+'105_Synthèse'!J16+'106_Synthèse'!J16</f>
        <v>4.7</v>
      </c>
      <c r="K16" s="13">
        <f>+'104_Synthèse'!K16+'105_Synthèse'!K16+'106_Synthèse'!K16</f>
        <v>4.7</v>
      </c>
      <c r="L16" s="12">
        <f>+'104_Synthèse'!L16+'105_Synthèse'!L16+'106_Synthèse'!L16</f>
        <v>4.7</v>
      </c>
      <c r="M16" s="13">
        <f>+'104_Synthèse'!M16+'105_Synthèse'!M16+'106_Synthèse'!M16</f>
        <v>4.7</v>
      </c>
      <c r="N16" s="31">
        <f t="shared" si="5"/>
        <v>56.400000000000013</v>
      </c>
      <c r="O16" s="31">
        <f>+'104_Synthèse'!O16+'105_Synthèse'!O16++'106_Synthèse'!O16</f>
        <v>307765.01099999249</v>
      </c>
      <c r="P16" s="31">
        <f t="shared" si="4"/>
        <v>-307708.61099999247</v>
      </c>
      <c r="Q16" s="134">
        <f t="shared" si="2"/>
        <v>-0.9998167433009465</v>
      </c>
      <c r="R16" s="141">
        <f>'106_Synthèse'!N16+'104_Synthèse'!N16+'105_Synthèse'!N16</f>
        <v>56.400000000000013</v>
      </c>
      <c r="S16" s="141">
        <f t="shared" si="8"/>
        <v>0</v>
      </c>
    </row>
    <row r="17" spans="1:20" x14ac:dyDescent="0.45">
      <c r="A17" s="173" t="s">
        <v>7</v>
      </c>
      <c r="B17" s="12">
        <f>+'104_Synthèse'!B17+'105_Synthèse'!B17+'106_Synthèse'!B17</f>
        <v>479534.00000000006</v>
      </c>
      <c r="C17" s="13">
        <f>+'104_Synthèse'!C17+'105_Synthèse'!C17+'106_Synthèse'!C17</f>
        <v>15350.000000000004</v>
      </c>
      <c r="D17" s="12">
        <f>+'104_Synthèse'!D17+'105_Synthèse'!D17+'106_Synthèse'!D17</f>
        <v>15350.000000000004</v>
      </c>
      <c r="E17" s="13">
        <f>+'104_Synthèse'!E17+'105_Synthèse'!E17+'106_Synthèse'!E17</f>
        <v>15350.000000000004</v>
      </c>
      <c r="F17" s="12">
        <f>+'104_Synthèse'!F17+'105_Synthèse'!F17+'106_Synthèse'!F17</f>
        <v>15350.000000000004</v>
      </c>
      <c r="G17" s="13">
        <f>+'104_Synthèse'!G17+'105_Synthèse'!G17+'106_Synthèse'!G17</f>
        <v>15350.000000000004</v>
      </c>
      <c r="H17" s="12">
        <f>+'104_Synthèse'!H17+'105_Synthèse'!H17+'106_Synthèse'!H17</f>
        <v>15350.000000000004</v>
      </c>
      <c r="I17" s="13">
        <f>+'104_Synthèse'!I17+'105_Synthèse'!I17+'106_Synthèse'!I17</f>
        <v>15350.000000000004</v>
      </c>
      <c r="J17" s="12">
        <f>+'104_Synthèse'!J17+'105_Synthèse'!J17+'106_Synthèse'!J17</f>
        <v>15350.000000000004</v>
      </c>
      <c r="K17" s="13">
        <f>+'104_Synthèse'!K17+'105_Synthèse'!K17+'106_Synthèse'!K17</f>
        <v>15350.000000000004</v>
      </c>
      <c r="L17" s="12">
        <f>+'104_Synthèse'!L17+'105_Synthèse'!L17+'106_Synthèse'!L17</f>
        <v>15350.000000000004</v>
      </c>
      <c r="M17" s="13">
        <f>+'104_Synthèse'!M17+'105_Synthèse'!M17+'106_Synthèse'!M17</f>
        <v>15350.000000000004</v>
      </c>
      <c r="N17" s="31">
        <f t="shared" si="5"/>
        <v>648384.00000000012</v>
      </c>
      <c r="O17" s="31">
        <f>+'104_Synthèse'!O17+'105_Synthèse'!O17++'106_Synthèse'!O17</f>
        <v>141932.94140000001</v>
      </c>
      <c r="P17" s="31">
        <f t="shared" si="4"/>
        <v>506451.05860000011</v>
      </c>
      <c r="Q17" s="134">
        <f t="shared" si="2"/>
        <v>3.5682418302929646</v>
      </c>
      <c r="R17" s="141">
        <f>'106_Synthèse'!N17+'104_Synthèse'!N17+'105_Synthèse'!N17</f>
        <v>648384.00000000012</v>
      </c>
      <c r="S17" s="141">
        <f t="shared" si="8"/>
        <v>0</v>
      </c>
    </row>
    <row r="18" spans="1:20" x14ac:dyDescent="0.45">
      <c r="A18" s="26" t="s">
        <v>15</v>
      </c>
      <c r="B18" s="8">
        <f>SUM(B12:B17)</f>
        <v>479541.90000000008</v>
      </c>
      <c r="C18" s="9">
        <f t="shared" ref="C18:O18" si="9">SUM(C12:C17)</f>
        <v>2622957.9000000004</v>
      </c>
      <c r="D18" s="8">
        <f>SUM(D12:D17)</f>
        <v>15357.900000000003</v>
      </c>
      <c r="E18" s="9">
        <f t="shared" si="9"/>
        <v>15357.900000000003</v>
      </c>
      <c r="F18" s="8">
        <f>SUM(F12:F17)</f>
        <v>15357.900000000003</v>
      </c>
      <c r="G18" s="9">
        <f t="shared" si="9"/>
        <v>15357.900000000003</v>
      </c>
      <c r="H18" s="8">
        <f>SUM(H12:H17)</f>
        <v>15357.900000000003</v>
      </c>
      <c r="I18" s="9">
        <f t="shared" si="9"/>
        <v>15357.900000000003</v>
      </c>
      <c r="J18" s="8">
        <f>SUM(J12:J17)</f>
        <v>15357.900000000003</v>
      </c>
      <c r="K18" s="9">
        <f t="shared" si="9"/>
        <v>15357.900000000003</v>
      </c>
      <c r="L18" s="8">
        <f>SUM(L12:L17)</f>
        <v>15357.900000000003</v>
      </c>
      <c r="M18" s="9">
        <f t="shared" si="9"/>
        <v>15357.900000000003</v>
      </c>
      <c r="N18" s="31">
        <f t="shared" si="5"/>
        <v>3256078.7999999993</v>
      </c>
      <c r="O18" s="31">
        <f t="shared" si="9"/>
        <v>5773682.924901247</v>
      </c>
      <c r="P18" s="31">
        <f t="shared" si="4"/>
        <v>-2517604.1249012477</v>
      </c>
      <c r="Q18" s="134">
        <f t="shared" si="2"/>
        <v>-0.43604821353162698</v>
      </c>
      <c r="R18" s="141">
        <f>'106_Synthèse'!N18+'104_Synthèse'!N18+'105_Synthèse'!N18</f>
        <v>3256078.8</v>
      </c>
      <c r="S18" s="141">
        <f t="shared" si="8"/>
        <v>0</v>
      </c>
    </row>
    <row r="19" spans="1:20" x14ac:dyDescent="0.45">
      <c r="A19" s="32" t="s">
        <v>8</v>
      </c>
      <c r="B19" s="12">
        <f>+'104_Synthèse'!B19+'105_Synthèse'!B19+'106_Synthèse'!B19</f>
        <v>0</v>
      </c>
      <c r="C19" s="13">
        <f>+'104_Synthèse'!C19+'105_Synthèse'!C19+'106_Synthèse'!C19</f>
        <v>0</v>
      </c>
      <c r="D19" s="12">
        <f>+'104_Synthèse'!D19+'105_Synthèse'!D19+'106_Synthèse'!D19</f>
        <v>0</v>
      </c>
      <c r="E19" s="13">
        <f>+'104_Synthèse'!E19+'105_Synthèse'!E19+'106_Synthèse'!E19</f>
        <v>0</v>
      </c>
      <c r="F19" s="12">
        <f>+'104_Synthèse'!F19+'105_Synthèse'!F19+'106_Synthèse'!F19</f>
        <v>0</v>
      </c>
      <c r="G19" s="13">
        <f>+'104_Synthèse'!G19+'105_Synthèse'!G19+'106_Synthèse'!G19</f>
        <v>0</v>
      </c>
      <c r="H19" s="12">
        <f>+'104_Synthèse'!H19+'105_Synthèse'!H19+'106_Synthèse'!H19</f>
        <v>0</v>
      </c>
      <c r="I19" s="13">
        <f>+'104_Synthèse'!I19+'105_Synthèse'!I19+'106_Synthèse'!I19</f>
        <v>0</v>
      </c>
      <c r="J19" s="12">
        <f>+'104_Synthèse'!J19+'105_Synthèse'!J19+'106_Synthèse'!J19</f>
        <v>0</v>
      </c>
      <c r="K19" s="13">
        <f>+'104_Synthèse'!K19+'105_Synthèse'!K19+'106_Synthèse'!K19</f>
        <v>0</v>
      </c>
      <c r="L19" s="12">
        <f>+'104_Synthèse'!L19+'105_Synthèse'!L19+'106_Synthèse'!L19</f>
        <v>0</v>
      </c>
      <c r="M19" s="13">
        <f>+'104_Synthèse'!M19+'105_Synthèse'!M19+'106_Synthèse'!M19</f>
        <v>0</v>
      </c>
      <c r="N19" s="31">
        <f t="shared" si="5"/>
        <v>0</v>
      </c>
      <c r="O19" s="31">
        <f>+'104_Synthèse'!O19+'105_Synthèse'!O19++'106_Synthèse'!O19</f>
        <v>250614.88364159031</v>
      </c>
      <c r="P19" s="31">
        <f t="shared" si="4"/>
        <v>-250614.88364159031</v>
      </c>
      <c r="Q19" s="134">
        <f t="shared" si="2"/>
        <v>-1</v>
      </c>
      <c r="R19" s="141">
        <f>'106_Synthèse'!N19+'104_Synthèse'!N19+'105_Synthèse'!N19</f>
        <v>0</v>
      </c>
      <c r="S19" s="141">
        <f t="shared" si="8"/>
        <v>0</v>
      </c>
    </row>
    <row r="20" spans="1:20" x14ac:dyDescent="0.45">
      <c r="A20" s="32" t="s">
        <v>9</v>
      </c>
      <c r="B20" s="12" t="e">
        <f>+'104_Synthèse'!B20+'105_Synthèse'!B20+'106_Synthèse'!B20</f>
        <v>#DIV/0!</v>
      </c>
      <c r="C20" s="13" t="e">
        <f>+'104_Synthèse'!C20+'105_Synthèse'!C20+'106_Synthèse'!C20</f>
        <v>#DIV/0!</v>
      </c>
      <c r="D20" s="12" t="e">
        <f>+'104_Synthèse'!D20+'105_Synthèse'!D20+'106_Synthèse'!D20</f>
        <v>#DIV/0!</v>
      </c>
      <c r="E20" s="13" t="e">
        <f>+'104_Synthèse'!E20+'105_Synthèse'!E20+'106_Synthèse'!E20</f>
        <v>#DIV/0!</v>
      </c>
      <c r="F20" s="12" t="e">
        <f>+'104_Synthèse'!F20+'105_Synthèse'!F20+'106_Synthèse'!F20</f>
        <v>#DIV/0!</v>
      </c>
      <c r="G20" s="13" t="e">
        <f>+'104_Synthèse'!G20+'105_Synthèse'!G20+'106_Synthèse'!G20</f>
        <v>#DIV/0!</v>
      </c>
      <c r="H20" s="12" t="e">
        <f>+'104_Synthèse'!H20+'105_Synthèse'!H20+'106_Synthèse'!H20</f>
        <v>#DIV/0!</v>
      </c>
      <c r="I20" s="13" t="e">
        <f>+'104_Synthèse'!I20+'105_Synthèse'!I20+'106_Synthèse'!I20</f>
        <v>#DIV/0!</v>
      </c>
      <c r="J20" s="12" t="e">
        <f>+'104_Synthèse'!J20+'105_Synthèse'!J20+'106_Synthèse'!J20</f>
        <v>#DIV/0!</v>
      </c>
      <c r="K20" s="13" t="e">
        <f>+'104_Synthèse'!K20+'105_Synthèse'!K20+'106_Synthèse'!K20</f>
        <v>#DIV/0!</v>
      </c>
      <c r="L20" s="12" t="e">
        <f>+'104_Synthèse'!L20+'105_Synthèse'!L20+'106_Synthèse'!L20</f>
        <v>#DIV/0!</v>
      </c>
      <c r="M20" s="13" t="e">
        <f>+'104_Synthèse'!M20+'105_Synthèse'!M20+'106_Synthèse'!M20</f>
        <v>#DIV/0!</v>
      </c>
      <c r="N20" s="31" t="e">
        <f t="shared" si="5"/>
        <v>#DIV/0!</v>
      </c>
      <c r="O20" s="31">
        <f>+'104_Synthèse'!O20+'105_Synthèse'!O20++'106_Synthèse'!O20</f>
        <v>47518.377333267992</v>
      </c>
      <c r="P20" s="31" t="e">
        <f t="shared" si="4"/>
        <v>#DIV/0!</v>
      </c>
      <c r="Q20" s="134" t="e">
        <f t="shared" si="2"/>
        <v>#DIV/0!</v>
      </c>
      <c r="R20" s="141" t="e">
        <f>'106_Synthèse'!N20+'104_Synthèse'!N20+'105_Synthèse'!N20</f>
        <v>#DIV/0!</v>
      </c>
      <c r="S20" s="141" t="e">
        <f t="shared" si="8"/>
        <v>#DIV/0!</v>
      </c>
    </row>
    <row r="21" spans="1:20" x14ac:dyDescent="0.45">
      <c r="A21" s="26" t="s">
        <v>16</v>
      </c>
      <c r="B21" s="8" t="e">
        <f>SUM(B19:B20)</f>
        <v>#DIV/0!</v>
      </c>
      <c r="C21" s="9" t="e">
        <f t="shared" ref="C21:M21" si="10">SUM(C19:C20)</f>
        <v>#DIV/0!</v>
      </c>
      <c r="D21" s="8" t="e">
        <f t="shared" si="10"/>
        <v>#DIV/0!</v>
      </c>
      <c r="E21" s="9" t="e">
        <f t="shared" si="10"/>
        <v>#DIV/0!</v>
      </c>
      <c r="F21" s="8" t="e">
        <f t="shared" si="10"/>
        <v>#DIV/0!</v>
      </c>
      <c r="G21" s="9" t="e">
        <f t="shared" si="10"/>
        <v>#DIV/0!</v>
      </c>
      <c r="H21" s="8" t="e">
        <f t="shared" si="10"/>
        <v>#DIV/0!</v>
      </c>
      <c r="I21" s="9" t="e">
        <f t="shared" si="10"/>
        <v>#DIV/0!</v>
      </c>
      <c r="J21" s="8" t="e">
        <f t="shared" si="10"/>
        <v>#DIV/0!</v>
      </c>
      <c r="K21" s="9" t="e">
        <f t="shared" si="10"/>
        <v>#DIV/0!</v>
      </c>
      <c r="L21" s="8" t="e">
        <f t="shared" si="10"/>
        <v>#DIV/0!</v>
      </c>
      <c r="M21" s="9" t="e">
        <f t="shared" si="10"/>
        <v>#DIV/0!</v>
      </c>
      <c r="N21" s="31" t="e">
        <f t="shared" si="5"/>
        <v>#DIV/0!</v>
      </c>
      <c r="O21" s="31">
        <f>+O20+O19</f>
        <v>298133.26097485831</v>
      </c>
      <c r="P21" s="31" t="e">
        <f t="shared" si="4"/>
        <v>#DIV/0!</v>
      </c>
      <c r="Q21" s="134" t="e">
        <f t="shared" si="2"/>
        <v>#DIV/0!</v>
      </c>
      <c r="R21" s="141" t="e">
        <f>'106_Synthèse'!N21+'104_Synthèse'!N21+'105_Synthèse'!N21</f>
        <v>#DIV/0!</v>
      </c>
      <c r="S21" s="141" t="e">
        <f t="shared" si="8"/>
        <v>#DIV/0!</v>
      </c>
    </row>
    <row r="22" spans="1:20" x14ac:dyDescent="0.45">
      <c r="A22" s="32" t="s">
        <v>10</v>
      </c>
      <c r="B22" s="12">
        <f>+'104_Synthèse'!B22+'105_Synthèse'!B22+'106_Synthèse'!B22</f>
        <v>0</v>
      </c>
      <c r="C22" s="13">
        <f>+'104_Synthèse'!C22+'105_Synthèse'!C22+'106_Synthèse'!C22</f>
        <v>61400.000000000015</v>
      </c>
      <c r="D22" s="12">
        <f>+'104_Synthèse'!D22+'105_Synthèse'!D22+'106_Synthèse'!D22</f>
        <v>0</v>
      </c>
      <c r="E22" s="13">
        <f>+'104_Synthèse'!E22+'105_Synthèse'!E22+'106_Synthèse'!E22</f>
        <v>0</v>
      </c>
      <c r="F22" s="12">
        <f>+'104_Synthèse'!F22+'105_Synthèse'!F22+'106_Synthèse'!F22</f>
        <v>0</v>
      </c>
      <c r="G22" s="13">
        <f>+'104_Synthèse'!G22+'105_Synthèse'!G22+'106_Synthèse'!G22</f>
        <v>0</v>
      </c>
      <c r="H22" s="12">
        <f>+'104_Synthèse'!H22+'105_Synthèse'!H22+'106_Synthèse'!H22</f>
        <v>0</v>
      </c>
      <c r="I22" s="13">
        <f>+'104_Synthèse'!I22+'105_Synthèse'!I22+'106_Synthèse'!I22</f>
        <v>0</v>
      </c>
      <c r="J22" s="12">
        <f>+'104_Synthèse'!J22+'105_Synthèse'!J22+'106_Synthèse'!J22</f>
        <v>0</v>
      </c>
      <c r="K22" s="13">
        <f>+'104_Synthèse'!K22+'105_Synthèse'!K22+'106_Synthèse'!K22</f>
        <v>0</v>
      </c>
      <c r="L22" s="12">
        <f>+'104_Synthèse'!L22+'105_Synthèse'!L22+'106_Synthèse'!L22</f>
        <v>0</v>
      </c>
      <c r="M22" s="13">
        <f>+'104_Synthèse'!M22+'105_Synthèse'!M22+'106_Synthèse'!M22</f>
        <v>0</v>
      </c>
      <c r="N22" s="31">
        <f t="shared" si="5"/>
        <v>61400.000000000015</v>
      </c>
      <c r="O22" s="31">
        <f>+'104_Synthèse'!O22+'105_Synthèse'!O22++'106_Synthèse'!O22</f>
        <v>58498.532558139537</v>
      </c>
      <c r="P22" s="31">
        <f t="shared" si="4"/>
        <v>2901.4674418604773</v>
      </c>
      <c r="Q22" s="134">
        <f>-+P22/O22</f>
        <v>-4.9598978213287924E-2</v>
      </c>
      <c r="R22" s="141">
        <f>'106_Synthèse'!N22+'104_Synthèse'!N22+'105_Synthèse'!N22</f>
        <v>61400.000000000015</v>
      </c>
      <c r="S22" s="141">
        <f t="shared" si="8"/>
        <v>0</v>
      </c>
    </row>
    <row r="23" spans="1:20" x14ac:dyDescent="0.45">
      <c r="A23" s="32" t="s">
        <v>11</v>
      </c>
      <c r="B23" s="12">
        <f>+'104_Synthèse'!B23+'105_Synthèse'!B23+'106_Synthèse'!B23</f>
        <v>37622.549019607854</v>
      </c>
      <c r="C23" s="13">
        <f>+'104_Synthèse'!C23+'105_Synthèse'!C23+'106_Synthèse'!C23</f>
        <v>37622.549019607854</v>
      </c>
      <c r="D23" s="12">
        <f>+'104_Synthèse'!D23+'105_Synthèse'!D23+'106_Synthèse'!D23</f>
        <v>37622.549019607854</v>
      </c>
      <c r="E23" s="13">
        <f>+'104_Synthèse'!E23+'105_Synthèse'!E23+'106_Synthèse'!E23</f>
        <v>37622.549019607854</v>
      </c>
      <c r="F23" s="12">
        <f>+'104_Synthèse'!F23+'105_Synthèse'!F23+'106_Synthèse'!F23</f>
        <v>37622.549019607854</v>
      </c>
      <c r="G23" s="13">
        <f>+'104_Synthèse'!G23+'105_Synthèse'!G23+'106_Synthèse'!G23</f>
        <v>37622.549019607854</v>
      </c>
      <c r="H23" s="12">
        <f>+'104_Synthèse'!H23+'105_Synthèse'!H23+'106_Synthèse'!H23</f>
        <v>37622.549019607854</v>
      </c>
      <c r="I23" s="13">
        <f>+'104_Synthèse'!I23+'105_Synthèse'!I23+'106_Synthèse'!I23</f>
        <v>37622.549019607854</v>
      </c>
      <c r="J23" s="12">
        <f>+'104_Synthèse'!J23+'105_Synthèse'!J23+'106_Synthèse'!J23</f>
        <v>37622.549019607854</v>
      </c>
      <c r="K23" s="13">
        <f>+'104_Synthèse'!K23+'105_Synthèse'!K23+'106_Synthèse'!K23</f>
        <v>37622.549019607854</v>
      </c>
      <c r="L23" s="12">
        <f>+'104_Synthèse'!L23+'105_Synthèse'!L23+'106_Synthèse'!L23</f>
        <v>37622.549019607854</v>
      </c>
      <c r="M23" s="13">
        <f>+'104_Synthèse'!M23+'105_Synthèse'!M23+'106_Synthèse'!M23</f>
        <v>37622.549019607854</v>
      </c>
      <c r="N23" s="31">
        <f t="shared" si="5"/>
        <v>451470.58823529416</v>
      </c>
      <c r="O23" s="31">
        <f>+'104_Synthèse'!O23+'105_Synthèse'!O23++'106_Synthèse'!O23</f>
        <v>625000</v>
      </c>
      <c r="P23" s="31">
        <f t="shared" si="4"/>
        <v>-173529.41176470584</v>
      </c>
      <c r="Q23" s="134">
        <f t="shared" si="2"/>
        <v>-0.27764705882352936</v>
      </c>
      <c r="R23" s="141">
        <f>'106_Synthèse'!N23+'104_Synthèse'!N23+'105_Synthèse'!N23</f>
        <v>451470.58823529416</v>
      </c>
      <c r="S23" s="141">
        <f t="shared" si="8"/>
        <v>0</v>
      </c>
    </row>
    <row r="24" spans="1:20" x14ac:dyDescent="0.45">
      <c r="A24" s="32" t="s">
        <v>12</v>
      </c>
      <c r="B24" s="12">
        <f>+'104_Synthèse'!B24+'105_Synthèse'!B24+'106_Synthèse'!B24</f>
        <v>12237.5</v>
      </c>
      <c r="C24" s="13">
        <f>+'104_Synthèse'!C24+'105_Synthèse'!C24+'106_Synthèse'!C24</f>
        <v>16075</v>
      </c>
      <c r="D24" s="12">
        <f>+'104_Synthèse'!D24+'105_Synthèse'!D24+'106_Synthèse'!D24</f>
        <v>16075.000000000002</v>
      </c>
      <c r="E24" s="13">
        <f>+'104_Synthèse'!E24+'105_Synthèse'!E24+'106_Synthèse'!E24</f>
        <v>12237.5</v>
      </c>
      <c r="F24" s="12">
        <f>+'104_Synthèse'!F24+'105_Synthèse'!F24+'106_Synthèse'!F24</f>
        <v>12237.5</v>
      </c>
      <c r="G24" s="13">
        <f>+'104_Synthèse'!G24+'105_Synthèse'!G24+'106_Synthèse'!G24</f>
        <v>16075.000000000002</v>
      </c>
      <c r="H24" s="12">
        <f>+'104_Synthèse'!H24+'105_Synthèse'!H24+'106_Synthèse'!H24</f>
        <v>16075.000000000002</v>
      </c>
      <c r="I24" s="13">
        <f>+'104_Synthèse'!I24+'105_Synthèse'!I24+'106_Synthèse'!I24</f>
        <v>12237.5</v>
      </c>
      <c r="J24" s="12">
        <f>+'104_Synthèse'!J24+'105_Synthèse'!J24+'106_Synthèse'!J24</f>
        <v>16075.000000000002</v>
      </c>
      <c r="K24" s="13">
        <f>+'104_Synthèse'!K24+'105_Synthèse'!K24+'106_Synthèse'!K24</f>
        <v>8200</v>
      </c>
      <c r="L24" s="12">
        <f>+'104_Synthèse'!L24+'105_Synthèse'!L24+'106_Synthèse'!L24</f>
        <v>8200</v>
      </c>
      <c r="M24" s="13">
        <f>+'104_Synthèse'!M24+'105_Synthèse'!M24+'106_Synthèse'!M24</f>
        <v>3200</v>
      </c>
      <c r="N24" s="31">
        <f t="shared" si="5"/>
        <v>148925</v>
      </c>
      <c r="O24" s="31">
        <f>+'104_Synthèse'!O24+'105_Synthèse'!O24++'106_Synthèse'!O24</f>
        <v>308852.94597672822</v>
      </c>
      <c r="P24" s="31">
        <f t="shared" si="4"/>
        <v>-159927.94597672822</v>
      </c>
      <c r="Q24" s="134">
        <f t="shared" si="2"/>
        <v>-0.51781259677147018</v>
      </c>
      <c r="R24" s="141">
        <f>'106_Synthèse'!N24+'104_Synthèse'!N24+'105_Synthèse'!N24</f>
        <v>148925</v>
      </c>
      <c r="S24" s="141">
        <f t="shared" si="8"/>
        <v>0</v>
      </c>
    </row>
    <row r="25" spans="1:20" x14ac:dyDescent="0.45">
      <c r="A25" s="32" t="s">
        <v>156</v>
      </c>
      <c r="B25" s="12">
        <f>+'104_Synthèse'!B25+'105_Synthèse'!B25+'106_Synthèse'!B25</f>
        <v>354391.6876892061</v>
      </c>
      <c r="C25" s="13">
        <f>+'104_Synthèse'!C25+'105_Synthèse'!C25+'106_Synthèse'!C25</f>
        <v>309277.47388370597</v>
      </c>
      <c r="D25" s="12">
        <f>+'104_Synthèse'!D25+'105_Synthèse'!D25+'106_Synthèse'!D25</f>
        <v>278050.92887385306</v>
      </c>
      <c r="E25" s="13">
        <f>+'104_Synthèse'!E25+'105_Synthèse'!E25+'106_Synthèse'!E25</f>
        <v>277413.74556170596</v>
      </c>
      <c r="F25" s="12">
        <f>+'104_Synthèse'!F25+'105_Synthèse'!F25+'106_Synthèse'!F25</f>
        <v>271051.41585470585</v>
      </c>
      <c r="G25" s="13">
        <f>+'104_Synthèse'!G25+'105_Synthèse'!G25+'106_Synthèse'!G25</f>
        <v>261371.35178385308</v>
      </c>
      <c r="H25" s="12">
        <f>+'104_Synthèse'!H25+'105_Synthèse'!H25+'106_Synthèse'!H25</f>
        <v>259638.91987670597</v>
      </c>
      <c r="I25" s="13">
        <f>+'104_Synthèse'!I25+'105_Synthèse'!I25+'106_Synthèse'!I25</f>
        <v>259783.08032270591</v>
      </c>
      <c r="J25" s="12">
        <f>+'104_Synthèse'!J25+'105_Synthèse'!J25+'106_Synthèse'!J25</f>
        <v>271443.67809735303</v>
      </c>
      <c r="K25" s="13">
        <f>+'104_Synthèse'!K25+'105_Synthèse'!K25+'106_Synthèse'!K25</f>
        <v>0</v>
      </c>
      <c r="L25" s="12">
        <f>+'104_Synthèse'!L25+'105_Synthèse'!L25+'106_Synthèse'!L25</f>
        <v>0</v>
      </c>
      <c r="M25" s="13">
        <f>+'104_Synthèse'!M25+'105_Synthèse'!M25+'106_Synthèse'!M25</f>
        <v>6316.4705882352946</v>
      </c>
      <c r="N25" s="31">
        <f t="shared" si="5"/>
        <v>2548738.75253203</v>
      </c>
      <c r="O25" s="31">
        <f>+'104_Synthèse'!O25+'105_Synthèse'!O25++'106_Synthèse'!O25</f>
        <v>3967234.2822417114</v>
      </c>
      <c r="P25" s="31">
        <f t="shared" si="4"/>
        <v>-1418495.5297096814</v>
      </c>
      <c r="Q25" s="134">
        <f t="shared" si="2"/>
        <v>-0.35755275055451258</v>
      </c>
      <c r="R25" s="141">
        <f>'106_Synthèse'!N25+'104_Synthèse'!N25+'105_Synthèse'!N25</f>
        <v>2548738.7525320305</v>
      </c>
      <c r="S25" s="141">
        <f t="shared" si="8"/>
        <v>0</v>
      </c>
    </row>
    <row r="26" spans="1:20" x14ac:dyDescent="0.45">
      <c r="A26" s="32" t="s">
        <v>157</v>
      </c>
      <c r="B26" s="12">
        <f>+'104_Synthèse'!B26+'105_Synthèse'!B26+'106_Synthèse'!B26</f>
        <v>77340</v>
      </c>
      <c r="C26" s="13">
        <f>+'104_Synthèse'!C26+'105_Synthèse'!C26+'106_Synthèse'!C26</f>
        <v>77340</v>
      </c>
      <c r="D26" s="12">
        <f>+'104_Synthèse'!D26+'105_Synthèse'!D26+'106_Synthèse'!D26</f>
        <v>77340</v>
      </c>
      <c r="E26" s="13">
        <f>+'104_Synthèse'!E26+'105_Synthèse'!E26+'106_Synthèse'!E26</f>
        <v>77340</v>
      </c>
      <c r="F26" s="12">
        <f>+'104_Synthèse'!F26+'105_Synthèse'!F26+'106_Synthèse'!F26</f>
        <v>77340</v>
      </c>
      <c r="G26" s="13">
        <f>+'104_Synthèse'!G26+'105_Synthèse'!G26+'106_Synthèse'!G26</f>
        <v>77340</v>
      </c>
      <c r="H26" s="12">
        <f>+'104_Synthèse'!H26+'105_Synthèse'!H26+'106_Synthèse'!H26</f>
        <v>77340</v>
      </c>
      <c r="I26" s="13">
        <f>+'104_Synthèse'!I26+'105_Synthèse'!I26+'106_Synthèse'!I26</f>
        <v>77340</v>
      </c>
      <c r="J26" s="12">
        <f>+'104_Synthèse'!J26+'105_Synthèse'!J26+'106_Synthèse'!J26</f>
        <v>77340</v>
      </c>
      <c r="K26" s="13">
        <f>+'104_Synthèse'!K26+'105_Synthèse'!K26+'106_Synthèse'!K26</f>
        <v>77340</v>
      </c>
      <c r="L26" s="12">
        <f>+'104_Synthèse'!L26+'105_Synthèse'!L26+'106_Synthèse'!L26</f>
        <v>77340</v>
      </c>
      <c r="M26" s="13">
        <f>+'104_Synthèse'!M26+'105_Synthèse'!M26+'106_Synthèse'!M26</f>
        <v>77340</v>
      </c>
      <c r="N26" s="31">
        <f t="shared" si="5"/>
        <v>928080</v>
      </c>
      <c r="O26" s="31">
        <f>+'104_Synthèse'!O26+'105_Synthèse'!O26++'106_Synthèse'!O26</f>
        <v>815705.55437625363</v>
      </c>
      <c r="P26" s="31">
        <f t="shared" si="4"/>
        <v>112374.44562374637</v>
      </c>
      <c r="Q26" s="134">
        <f t="shared" si="2"/>
        <v>0.13776349201112875</v>
      </c>
      <c r="R26" s="141">
        <f>'106_Synthèse'!N26+'104_Synthèse'!N26+'105_Synthèse'!N26</f>
        <v>928080</v>
      </c>
      <c r="S26" s="141">
        <f t="shared" si="8"/>
        <v>0</v>
      </c>
    </row>
    <row r="27" spans="1:20" x14ac:dyDescent="0.45">
      <c r="A27" s="32" t="s">
        <v>158</v>
      </c>
      <c r="B27" s="12">
        <f>+'104_Synthèse'!B27+'105_Synthèse'!B27+'106_Synthèse'!B27</f>
        <v>0</v>
      </c>
      <c r="C27" s="13">
        <f>+'104_Synthèse'!C27+'105_Synthèse'!C27+'106_Synthèse'!C27</f>
        <v>0</v>
      </c>
      <c r="D27" s="12">
        <f>+'104_Synthèse'!D27+'105_Synthèse'!D27+'106_Synthèse'!D27</f>
        <v>0</v>
      </c>
      <c r="E27" s="13">
        <f>+'104_Synthèse'!E27+'105_Synthèse'!E27+'106_Synthèse'!E27</f>
        <v>0</v>
      </c>
      <c r="F27" s="12">
        <f>+'104_Synthèse'!F27+'105_Synthèse'!F27+'106_Synthèse'!F27</f>
        <v>0</v>
      </c>
      <c r="G27" s="13">
        <f>+'104_Synthèse'!G27+'105_Synthèse'!G27+'106_Synthèse'!G27</f>
        <v>0</v>
      </c>
      <c r="H27" s="12">
        <f>+'104_Synthèse'!H27+'105_Synthèse'!H27+'106_Synthèse'!H27</f>
        <v>0</v>
      </c>
      <c r="I27" s="13">
        <f>+'104_Synthèse'!I27+'105_Synthèse'!I27+'106_Synthèse'!I27</f>
        <v>0</v>
      </c>
      <c r="J27" s="12">
        <f>+'104_Synthèse'!J27+'105_Synthèse'!J27+'106_Synthèse'!J27</f>
        <v>0</v>
      </c>
      <c r="K27" s="13">
        <f>+'104_Synthèse'!K27+'105_Synthèse'!K27+'106_Synthèse'!K27</f>
        <v>0</v>
      </c>
      <c r="L27" s="12">
        <f>+'104_Synthèse'!L27+'105_Synthèse'!L27+'106_Synthèse'!L27</f>
        <v>0</v>
      </c>
      <c r="M27" s="13">
        <f>+'104_Synthèse'!M27+'105_Synthèse'!M27+'106_Synthèse'!M27</f>
        <v>0</v>
      </c>
      <c r="N27" s="31">
        <f t="shared" si="5"/>
        <v>0</v>
      </c>
      <c r="O27" s="31">
        <f>+'104_Synthèse'!O27+'105_Synthèse'!O27++'106_Synthèse'!O27</f>
        <v>396966.06</v>
      </c>
      <c r="P27" s="31">
        <f t="shared" si="4"/>
        <v>-396966.06</v>
      </c>
      <c r="Q27" s="134">
        <f t="shared" si="2"/>
        <v>-1</v>
      </c>
      <c r="R27" s="141">
        <f>'106_Synthèse'!N27+'104_Synthèse'!N27+'105_Synthèse'!N27</f>
        <v>0</v>
      </c>
      <c r="S27" s="141">
        <f t="shared" si="8"/>
        <v>0</v>
      </c>
      <c r="T27" s="37"/>
    </row>
    <row r="28" spans="1:20" x14ac:dyDescent="0.45">
      <c r="A28" s="32" t="s">
        <v>13</v>
      </c>
      <c r="B28" s="12">
        <f>+'104_Synthèse'!B28+'105_Synthèse'!B28+'106_Synthèse'!B28</f>
        <v>0</v>
      </c>
      <c r="C28" s="13">
        <f>+'104_Synthèse'!C28+'105_Synthèse'!C28+'106_Synthèse'!C28</f>
        <v>0</v>
      </c>
      <c r="D28" s="12">
        <f>+'104_Synthèse'!D28+'105_Synthèse'!D28+'106_Synthèse'!D28</f>
        <v>0</v>
      </c>
      <c r="E28" s="13">
        <f>+'104_Synthèse'!E28+'105_Synthèse'!E28+'106_Synthèse'!E28</f>
        <v>0</v>
      </c>
      <c r="F28" s="12">
        <f>+'104_Synthèse'!F28+'105_Synthèse'!F28+'106_Synthèse'!F28</f>
        <v>23025000.000000004</v>
      </c>
      <c r="G28" s="13">
        <f>+'104_Synthèse'!G28+'105_Synthèse'!G28+'106_Synthèse'!G28</f>
        <v>17268750.000000004</v>
      </c>
      <c r="H28" s="12">
        <f>+'104_Synthèse'!H28+'105_Synthèse'!H28+'106_Synthèse'!H28</f>
        <v>17268750.000000004</v>
      </c>
      <c r="I28" s="13">
        <f>+'104_Synthèse'!I28+'105_Synthèse'!I28+'106_Synthèse'!I28</f>
        <v>23025000.000000004</v>
      </c>
      <c r="J28" s="12">
        <f>+'104_Synthèse'!J28+'105_Synthèse'!J28+'106_Synthèse'!J28</f>
        <v>17268750.000000004</v>
      </c>
      <c r="K28" s="13">
        <f>+'104_Synthèse'!K28+'105_Synthèse'!K28+'106_Synthèse'!K28</f>
        <v>17268750.000000004</v>
      </c>
      <c r="L28" s="12">
        <f>+'104_Synthèse'!L28+'105_Synthèse'!L28+'106_Synthèse'!L28</f>
        <v>11512500.000000002</v>
      </c>
      <c r="M28" s="13">
        <f>+'104_Synthèse'!M28+'105_Synthèse'!M28+'106_Synthèse'!M28</f>
        <v>5756250.0000000009</v>
      </c>
      <c r="N28" s="31">
        <f t="shared" si="5"/>
        <v>132393750.00000001</v>
      </c>
      <c r="O28" s="31">
        <f>+'104_Synthèse'!O28+'105_Synthèse'!O28++'106_Synthèse'!O28</f>
        <v>142933</v>
      </c>
      <c r="P28" s="31">
        <f t="shared" si="4"/>
        <v>132250817.00000001</v>
      </c>
      <c r="Q28" s="134">
        <f t="shared" si="2"/>
        <v>925.2644036016876</v>
      </c>
      <c r="R28" s="141">
        <f>'106_Synthèse'!N28+'104_Synthèse'!N28+'105_Synthèse'!N28</f>
        <v>132393750.00000001</v>
      </c>
      <c r="S28" s="141">
        <f t="shared" si="8"/>
        <v>0</v>
      </c>
    </row>
    <row r="29" spans="1:20" x14ac:dyDescent="0.45">
      <c r="A29" s="32" t="s">
        <v>18</v>
      </c>
      <c r="B29" s="12">
        <f>+'104_Synthèse'!B29+'105_Synthèse'!B29+'106_Synthèse'!B29</f>
        <v>190150</v>
      </c>
      <c r="C29" s="13">
        <f>+'104_Synthèse'!C29+'105_Synthèse'!C29+'106_Synthèse'!C29</f>
        <v>9550</v>
      </c>
      <c r="D29" s="12">
        <f>+'104_Synthèse'!D29+'105_Synthèse'!D29+'106_Synthèse'!D29</f>
        <v>9550</v>
      </c>
      <c r="E29" s="13">
        <f>+'104_Synthèse'!E29+'105_Synthèse'!E29+'106_Synthèse'!E29</f>
        <v>9550</v>
      </c>
      <c r="F29" s="12">
        <f>+'104_Synthèse'!F29+'105_Synthèse'!F29+'106_Synthèse'!F29</f>
        <v>9550</v>
      </c>
      <c r="G29" s="13">
        <f>+'104_Synthèse'!G29+'105_Synthèse'!G29+'106_Synthèse'!G29</f>
        <v>9550</v>
      </c>
      <c r="H29" s="12">
        <f>+'104_Synthèse'!H29+'105_Synthèse'!H29+'106_Synthèse'!H29</f>
        <v>13749.999999999998</v>
      </c>
      <c r="I29" s="13">
        <f>+'104_Synthèse'!I29+'105_Synthèse'!I29+'106_Synthèse'!I29</f>
        <v>9550</v>
      </c>
      <c r="J29" s="12">
        <f>+'104_Synthèse'!J29+'105_Synthèse'!J29+'106_Synthèse'!J29</f>
        <v>24550</v>
      </c>
      <c r="K29" s="13">
        <f>+'104_Synthèse'!K29+'105_Synthèse'!K29+'106_Synthèse'!K29</f>
        <v>9550</v>
      </c>
      <c r="L29" s="12">
        <f>+'104_Synthèse'!L29+'105_Synthèse'!L29+'106_Synthèse'!L29</f>
        <v>9550</v>
      </c>
      <c r="M29" s="13">
        <f>+'104_Synthèse'!M29+'105_Synthèse'!M29+'106_Synthèse'!M29</f>
        <v>9550</v>
      </c>
      <c r="N29" s="31">
        <f t="shared" si="5"/>
        <v>314400</v>
      </c>
      <c r="O29" s="31">
        <f>+'104_Synthèse'!O29+'105_Synthèse'!O29++'106_Synthèse'!O29</f>
        <v>195350.250694332</v>
      </c>
      <c r="P29" s="31">
        <f t="shared" si="4"/>
        <v>119049.749305668</v>
      </c>
      <c r="Q29" s="134">
        <f t="shared" si="2"/>
        <v>0.60941692617506416</v>
      </c>
      <c r="R29" s="141">
        <f>'106_Synthèse'!N29+'104_Synthèse'!N29+'105_Synthèse'!N29</f>
        <v>314400</v>
      </c>
      <c r="S29" s="141">
        <f t="shared" si="8"/>
        <v>0</v>
      </c>
    </row>
    <row r="30" spans="1:20" x14ac:dyDescent="0.45">
      <c r="A30" s="26" t="s">
        <v>20</v>
      </c>
      <c r="B30" s="8" t="e">
        <f t="shared" ref="B30:M30" si="11">SUM(B22:B29)+B21+B18</f>
        <v>#DIV/0!</v>
      </c>
      <c r="C30" s="9" t="e">
        <f t="shared" si="11"/>
        <v>#DIV/0!</v>
      </c>
      <c r="D30" s="8" t="e">
        <f t="shared" si="11"/>
        <v>#DIV/0!</v>
      </c>
      <c r="E30" s="9" t="e">
        <f t="shared" si="11"/>
        <v>#DIV/0!</v>
      </c>
      <c r="F30" s="8" t="e">
        <f t="shared" si="11"/>
        <v>#DIV/0!</v>
      </c>
      <c r="G30" s="9" t="e">
        <f t="shared" si="11"/>
        <v>#DIV/0!</v>
      </c>
      <c r="H30" s="8" t="e">
        <f t="shared" si="11"/>
        <v>#DIV/0!</v>
      </c>
      <c r="I30" s="9" t="e">
        <f t="shared" si="11"/>
        <v>#DIV/0!</v>
      </c>
      <c r="J30" s="8" t="e">
        <f t="shared" si="11"/>
        <v>#DIV/0!</v>
      </c>
      <c r="K30" s="9" t="e">
        <f t="shared" si="11"/>
        <v>#DIV/0!</v>
      </c>
      <c r="L30" s="8" t="e">
        <f t="shared" si="11"/>
        <v>#DIV/0!</v>
      </c>
      <c r="M30" s="9" t="e">
        <f t="shared" si="11"/>
        <v>#DIV/0!</v>
      </c>
      <c r="N30" s="31" t="e">
        <f t="shared" si="5"/>
        <v>#DIV/0!</v>
      </c>
      <c r="O30" s="31">
        <f t="shared" ref="O30" si="12">SUM(O22:O29)+O21+O18</f>
        <v>12582356.81172327</v>
      </c>
      <c r="P30" s="31" t="e">
        <f t="shared" si="4"/>
        <v>#DIV/0!</v>
      </c>
      <c r="Q30" s="134" t="e">
        <f t="shared" si="2"/>
        <v>#DIV/0!</v>
      </c>
      <c r="R30" s="141" t="e">
        <f>'106_Synthèse'!N30+'104_Synthèse'!N30+'105_Synthèse'!N30</f>
        <v>#DIV/0!</v>
      </c>
      <c r="S30" s="141" t="e">
        <f t="shared" si="8"/>
        <v>#DIV/0!</v>
      </c>
    </row>
    <row r="31" spans="1:20" x14ac:dyDescent="0.45">
      <c r="A31" s="26" t="s">
        <v>17</v>
      </c>
      <c r="B31" s="8" t="e">
        <f t="shared" ref="B31:O31" si="13">B11-B30</f>
        <v>#DIV/0!</v>
      </c>
      <c r="C31" s="9" t="e">
        <f t="shared" si="13"/>
        <v>#DIV/0!</v>
      </c>
      <c r="D31" s="8" t="e">
        <f t="shared" si="13"/>
        <v>#DIV/0!</v>
      </c>
      <c r="E31" s="9" t="e">
        <f t="shared" si="13"/>
        <v>#DIV/0!</v>
      </c>
      <c r="F31" s="8" t="e">
        <f t="shared" si="13"/>
        <v>#DIV/0!</v>
      </c>
      <c r="G31" s="9" t="e">
        <f t="shared" si="13"/>
        <v>#DIV/0!</v>
      </c>
      <c r="H31" s="8" t="e">
        <f t="shared" si="13"/>
        <v>#DIV/0!</v>
      </c>
      <c r="I31" s="9" t="e">
        <f t="shared" si="13"/>
        <v>#DIV/0!</v>
      </c>
      <c r="J31" s="8" t="e">
        <f t="shared" si="13"/>
        <v>#DIV/0!</v>
      </c>
      <c r="K31" s="9" t="e">
        <f t="shared" si="13"/>
        <v>#DIV/0!</v>
      </c>
      <c r="L31" s="8" t="e">
        <f t="shared" si="13"/>
        <v>#DIV/0!</v>
      </c>
      <c r="M31" s="9" t="e">
        <f t="shared" si="13"/>
        <v>#DIV/0!</v>
      </c>
      <c r="N31" s="21" t="e">
        <f t="shared" si="13"/>
        <v>#DIV/0!</v>
      </c>
      <c r="O31" s="21">
        <f t="shared" si="13"/>
        <v>221600.10996711254</v>
      </c>
      <c r="P31" s="21" t="e">
        <f t="shared" si="4"/>
        <v>#DIV/0!</v>
      </c>
      <c r="Q31" s="133" t="e">
        <f t="shared" si="2"/>
        <v>#DIV/0!</v>
      </c>
      <c r="R31" s="141" t="e">
        <f>'106_Synthèse'!N31+'104_Synthèse'!N31+'105_Synthèse'!N31</f>
        <v>#DIV/0!</v>
      </c>
      <c r="S31" s="141" t="e">
        <f t="shared" si="8"/>
        <v>#DIV/0!</v>
      </c>
    </row>
    <row r="32" spans="1:20" x14ac:dyDescent="0.45">
      <c r="A32" s="32" t="s">
        <v>14</v>
      </c>
      <c r="B32" s="12">
        <f>+'104_Synthèse'!B32+'105_Synthèse'!B32+'106_Synthèse'!B32</f>
        <v>240339.32509906188</v>
      </c>
      <c r="C32" s="13">
        <f>+'104_Synthèse'!C32+'105_Synthèse'!C32+'106_Synthèse'!C32</f>
        <v>240339.32509906188</v>
      </c>
      <c r="D32" s="12">
        <f>+'104_Synthèse'!D32+'105_Synthèse'!D32+'106_Synthèse'!D32</f>
        <v>240339.32509906188</v>
      </c>
      <c r="E32" s="13">
        <f>+'104_Synthèse'!E32+'105_Synthèse'!E32+'106_Synthèse'!E32</f>
        <v>240339.32509906188</v>
      </c>
      <c r="F32" s="12">
        <f>+'104_Synthèse'!F32+'105_Synthèse'!F32+'106_Synthèse'!F32</f>
        <v>240339.32509906188</v>
      </c>
      <c r="G32" s="13">
        <f>+'104_Synthèse'!G32+'105_Synthèse'!G32+'106_Synthèse'!G32</f>
        <v>240339.32509906188</v>
      </c>
      <c r="H32" s="12">
        <f>+'104_Synthèse'!H32+'105_Synthèse'!H32+'106_Synthèse'!H32</f>
        <v>240339.32509906188</v>
      </c>
      <c r="I32" s="13">
        <f>+'104_Synthèse'!I32+'105_Synthèse'!I32+'106_Synthèse'!I32</f>
        <v>240339.32509906188</v>
      </c>
      <c r="J32" s="12">
        <f>+'104_Synthèse'!J32+'105_Synthèse'!J32+'106_Synthèse'!J32</f>
        <v>240339.32509906188</v>
      </c>
      <c r="K32" s="13">
        <f>+'104_Synthèse'!K32+'105_Synthèse'!K32+'106_Synthèse'!K32</f>
        <v>243355.15843239523</v>
      </c>
      <c r="L32" s="12">
        <f>+'104_Synthèse'!L32+'105_Synthèse'!L32+'106_Synthèse'!L32</f>
        <v>243355.15843239523</v>
      </c>
      <c r="M32" s="13">
        <f>+'104_Synthèse'!M32+'105_Synthèse'!M32+'106_Synthèse'!M32</f>
        <v>243355.15843239523</v>
      </c>
      <c r="N32" s="31">
        <f t="shared" si="5"/>
        <v>2893119.4011887428</v>
      </c>
      <c r="O32" s="31">
        <f>+'104_Synthèse'!O32+'105_Synthèse'!O32++'106_Synthèse'!O32</f>
        <v>2724261.2046245108</v>
      </c>
      <c r="P32" s="31">
        <f t="shared" si="4"/>
        <v>168858.196564232</v>
      </c>
      <c r="Q32" s="134">
        <f t="shared" si="2"/>
        <v>6.1983115377332546E-2</v>
      </c>
      <c r="R32" s="141">
        <f>'106_Synthèse'!N32+'104_Synthèse'!N32+'105_Synthèse'!N32</f>
        <v>2893119.4011887424</v>
      </c>
      <c r="S32" s="141">
        <f t="shared" si="8"/>
        <v>0</v>
      </c>
    </row>
    <row r="33" spans="1:19" x14ac:dyDescent="0.45">
      <c r="A33" s="26" t="s">
        <v>19</v>
      </c>
      <c r="B33" s="8" t="e">
        <f>B31-B32</f>
        <v>#DIV/0!</v>
      </c>
      <c r="C33" s="9" t="e">
        <f t="shared" ref="C33:O33" si="14">C31-C32</f>
        <v>#DIV/0!</v>
      </c>
      <c r="D33" s="8" t="e">
        <f t="shared" si="14"/>
        <v>#DIV/0!</v>
      </c>
      <c r="E33" s="9" t="e">
        <f t="shared" si="14"/>
        <v>#DIV/0!</v>
      </c>
      <c r="F33" s="8" t="e">
        <f t="shared" si="14"/>
        <v>#DIV/0!</v>
      </c>
      <c r="G33" s="9" t="e">
        <f t="shared" si="14"/>
        <v>#DIV/0!</v>
      </c>
      <c r="H33" s="8" t="e">
        <f t="shared" si="14"/>
        <v>#DIV/0!</v>
      </c>
      <c r="I33" s="9" t="e">
        <f t="shared" si="14"/>
        <v>#DIV/0!</v>
      </c>
      <c r="J33" s="8" t="e">
        <f t="shared" si="14"/>
        <v>#DIV/0!</v>
      </c>
      <c r="K33" s="9" t="e">
        <f t="shared" si="14"/>
        <v>#DIV/0!</v>
      </c>
      <c r="L33" s="8" t="e">
        <f t="shared" si="14"/>
        <v>#DIV/0!</v>
      </c>
      <c r="M33" s="9" t="e">
        <f t="shared" si="14"/>
        <v>#DIV/0!</v>
      </c>
      <c r="N33" s="21" t="e">
        <f t="shared" si="14"/>
        <v>#DIV/0!</v>
      </c>
      <c r="O33" s="21">
        <f t="shared" si="14"/>
        <v>-2502661.0946573983</v>
      </c>
      <c r="P33" s="21" t="e">
        <f t="shared" si="4"/>
        <v>#DIV/0!</v>
      </c>
      <c r="Q33" s="133" t="e">
        <f t="shared" si="2"/>
        <v>#DIV/0!</v>
      </c>
      <c r="R33" s="141" t="e">
        <f>'106_Synthèse'!N33+'104_Synthèse'!N33+'105_Synthèse'!N33</f>
        <v>#DIV/0!</v>
      </c>
      <c r="S33" s="141" t="e">
        <f t="shared" si="8"/>
        <v>#DIV/0!</v>
      </c>
    </row>
    <row r="34" spans="1:19" x14ac:dyDescent="0.45">
      <c r="A34" s="17" t="s">
        <v>224</v>
      </c>
      <c r="B34" s="165"/>
      <c r="C34" s="166"/>
      <c r="D34" s="165"/>
      <c r="E34" s="166"/>
      <c r="F34" s="165"/>
      <c r="G34" s="166"/>
      <c r="H34" s="165"/>
      <c r="I34" s="166"/>
      <c r="J34" s="165"/>
      <c r="K34" s="166"/>
      <c r="L34" s="165"/>
      <c r="M34" s="166"/>
      <c r="N34" s="203" t="e">
        <f>+N33/N7</f>
        <v>#DIV/0!</v>
      </c>
      <c r="O34" s="203">
        <f>+O33/O7</f>
        <v>-0.22217613771991263</v>
      </c>
      <c r="P34" s="167" t="e">
        <f t="shared" si="4"/>
        <v>#DIV/0!</v>
      </c>
      <c r="Q34" s="167"/>
      <c r="R34" s="141"/>
    </row>
    <row r="35" spans="1:19" x14ac:dyDescent="0.45">
      <c r="A35" s="17" t="s">
        <v>225</v>
      </c>
      <c r="B35" s="165"/>
      <c r="C35" s="166"/>
      <c r="D35" s="165"/>
      <c r="E35" s="166"/>
      <c r="F35" s="165"/>
      <c r="G35" s="166"/>
      <c r="H35" s="165"/>
      <c r="I35" s="166"/>
      <c r="J35" s="165"/>
      <c r="K35" s="166"/>
      <c r="L35" s="165"/>
      <c r="M35" s="166"/>
      <c r="N35" s="135" t="e">
        <f>+N31/N7</f>
        <v>#DIV/0!</v>
      </c>
      <c r="O35" s="135">
        <f>+O31/O7</f>
        <v>1.967276218737915E-2</v>
      </c>
      <c r="P35" s="167" t="e">
        <f t="shared" si="4"/>
        <v>#DIV/0!</v>
      </c>
      <c r="Q35" s="167"/>
      <c r="R35" s="141"/>
    </row>
    <row r="36" spans="1:19" x14ac:dyDescent="0.45">
      <c r="A36" s="17" t="s">
        <v>75</v>
      </c>
      <c r="B36" s="49" t="e">
        <f t="shared" ref="B36:D36" si="15">+(B7)/B5</f>
        <v>#DIV/0!</v>
      </c>
      <c r="C36" s="50" t="e">
        <f t="shared" si="15"/>
        <v>#DIV/0!</v>
      </c>
      <c r="D36" s="49" t="e">
        <f t="shared" si="15"/>
        <v>#DIV/0!</v>
      </c>
      <c r="E36" s="50">
        <f>+(E7)/E5</f>
        <v>0</v>
      </c>
      <c r="F36" s="49">
        <f t="shared" ref="F36:O36" si="16">+(F7)/F5</f>
        <v>2.8335253115954872E-2</v>
      </c>
      <c r="G36" s="50">
        <f t="shared" si="16"/>
        <v>2.8335253115954875E-2</v>
      </c>
      <c r="H36" s="49">
        <f t="shared" si="16"/>
        <v>2.8335253115954875E-2</v>
      </c>
      <c r="I36" s="50">
        <f t="shared" si="16"/>
        <v>2.8335253115954872E-2</v>
      </c>
      <c r="J36" s="49">
        <f t="shared" si="16"/>
        <v>2.8335253115954875E-2</v>
      </c>
      <c r="K36" s="50">
        <f t="shared" si="16"/>
        <v>2.8335253115954875E-2</v>
      </c>
      <c r="L36" s="49">
        <f t="shared" si="16"/>
        <v>2.8335253115954872E-2</v>
      </c>
      <c r="M36" s="50">
        <f t="shared" si="16"/>
        <v>2.8335253115954872E-2</v>
      </c>
      <c r="N36" s="51">
        <f t="shared" si="16"/>
        <v>2.4147574545248612E-2</v>
      </c>
      <c r="O36" s="51">
        <f t="shared" si="16"/>
        <v>5.6804578095657314</v>
      </c>
      <c r="P36" s="51">
        <f t="shared" si="4"/>
        <v>-5.6563102350204826</v>
      </c>
      <c r="Q36" s="136">
        <f t="shared" si="2"/>
        <v>-0.99574900908434083</v>
      </c>
      <c r="R36" s="141"/>
      <c r="S36" s="141">
        <f>+'104_Synthèse'!O33+'105_Synthèse'!O33+'106_Synthèse'!O33</f>
        <v>-2502661.0946574011</v>
      </c>
    </row>
    <row r="37" spans="1:19" x14ac:dyDescent="0.45">
      <c r="A37" s="17" t="s">
        <v>176</v>
      </c>
      <c r="B37" s="18">
        <f t="shared" ref="B37:D37" si="17">+B7/B4</f>
        <v>0</v>
      </c>
      <c r="C37" s="19">
        <f t="shared" si="17"/>
        <v>0</v>
      </c>
      <c r="D37" s="18">
        <f t="shared" si="17"/>
        <v>0</v>
      </c>
      <c r="E37" s="19">
        <f t="shared" ref="E37:O37" si="18">+E7/E4</f>
        <v>0</v>
      </c>
      <c r="F37" s="18">
        <f t="shared" si="18"/>
        <v>117444.52945677123</v>
      </c>
      <c r="G37" s="19">
        <f t="shared" si="18"/>
        <v>88083.397092578423</v>
      </c>
      <c r="H37" s="18">
        <f t="shared" si="18"/>
        <v>88083.397092578423</v>
      </c>
      <c r="I37" s="19">
        <f t="shared" si="18"/>
        <v>117444.52945677123</v>
      </c>
      <c r="J37" s="18">
        <f t="shared" si="18"/>
        <v>88083.397092578423</v>
      </c>
      <c r="K37" s="19">
        <f t="shared" si="18"/>
        <v>88083.397092578423</v>
      </c>
      <c r="L37" s="18">
        <f t="shared" si="18"/>
        <v>58722.264728385613</v>
      </c>
      <c r="M37" s="19">
        <f t="shared" si="18"/>
        <v>29361.132364192807</v>
      </c>
      <c r="N37" s="44">
        <f t="shared" si="18"/>
        <v>675306.04437643464</v>
      </c>
      <c r="O37" s="44">
        <f t="shared" si="18"/>
        <v>651116.23824799899</v>
      </c>
      <c r="P37" s="44">
        <f t="shared" si="4"/>
        <v>24189.806128435652</v>
      </c>
      <c r="Q37" s="136">
        <f t="shared" si="2"/>
        <v>3.7151286832478245E-2</v>
      </c>
      <c r="R37" s="172"/>
      <c r="S37" s="141">
        <f>+O33-S36</f>
        <v>0</v>
      </c>
    </row>
    <row r="38" spans="1:19" x14ac:dyDescent="0.45">
      <c r="A38" s="17" t="s">
        <v>174</v>
      </c>
      <c r="B38" s="18" t="e">
        <f t="shared" ref="B38:D38" si="19">+(B30-B10)/B4</f>
        <v>#DIV/0!</v>
      </c>
      <c r="C38" s="19" t="e">
        <f t="shared" si="19"/>
        <v>#DIV/0!</v>
      </c>
      <c r="D38" s="18" t="e">
        <f t="shared" si="19"/>
        <v>#DIV/0!</v>
      </c>
      <c r="E38" s="19" t="e">
        <f t="shared" ref="E38:O38" si="20">+(E30-E10)/E4</f>
        <v>#DIV/0!</v>
      </c>
      <c r="F38" s="18" t="e">
        <f t="shared" si="20"/>
        <v>#DIV/0!</v>
      </c>
      <c r="G38" s="19" t="e">
        <f t="shared" si="20"/>
        <v>#DIV/0!</v>
      </c>
      <c r="H38" s="18" t="e">
        <f t="shared" si="20"/>
        <v>#DIV/0!</v>
      </c>
      <c r="I38" s="19" t="e">
        <f t="shared" si="20"/>
        <v>#DIV/0!</v>
      </c>
      <c r="J38" s="18" t="e">
        <f t="shared" si="20"/>
        <v>#DIV/0!</v>
      </c>
      <c r="K38" s="19" t="e">
        <f t="shared" si="20"/>
        <v>#DIV/0!</v>
      </c>
      <c r="L38" s="18" t="e">
        <f t="shared" si="20"/>
        <v>#DIV/0!</v>
      </c>
      <c r="M38" s="19" t="e">
        <f t="shared" si="20"/>
        <v>#DIV/0!</v>
      </c>
      <c r="N38" s="44" t="e">
        <f t="shared" si="20"/>
        <v>#DIV/0!</v>
      </c>
      <c r="O38" s="44">
        <f t="shared" si="20"/>
        <v>727303.86194932193</v>
      </c>
      <c r="P38" s="44" t="e">
        <f t="shared" si="4"/>
        <v>#DIV/0!</v>
      </c>
      <c r="Q38" s="136" t="e">
        <f t="shared" si="2"/>
        <v>#DIV/0!</v>
      </c>
      <c r="R38" s="141"/>
    </row>
    <row r="39" spans="1:19" x14ac:dyDescent="0.45">
      <c r="A39" s="17" t="s">
        <v>172</v>
      </c>
      <c r="B39" s="18" t="e">
        <f t="shared" ref="B39:D39" si="21">+B31/B4</f>
        <v>#DIV/0!</v>
      </c>
      <c r="C39" s="19" t="e">
        <f t="shared" si="21"/>
        <v>#DIV/0!</v>
      </c>
      <c r="D39" s="18" t="e">
        <f t="shared" si="21"/>
        <v>#DIV/0!</v>
      </c>
      <c r="E39" s="19" t="e">
        <f t="shared" ref="E39:O39" si="22">+E31/E4</f>
        <v>#DIV/0!</v>
      </c>
      <c r="F39" s="18" t="e">
        <f t="shared" si="22"/>
        <v>#DIV/0!</v>
      </c>
      <c r="G39" s="19" t="e">
        <f t="shared" si="22"/>
        <v>#DIV/0!</v>
      </c>
      <c r="H39" s="18" t="e">
        <f t="shared" si="22"/>
        <v>#DIV/0!</v>
      </c>
      <c r="I39" s="19" t="e">
        <f t="shared" si="22"/>
        <v>#DIV/0!</v>
      </c>
      <c r="J39" s="18" t="e">
        <f t="shared" si="22"/>
        <v>#DIV/0!</v>
      </c>
      <c r="K39" s="19" t="e">
        <f t="shared" si="22"/>
        <v>#DIV/0!</v>
      </c>
      <c r="L39" s="18" t="e">
        <f t="shared" si="22"/>
        <v>#DIV/0!</v>
      </c>
      <c r="M39" s="19" t="e">
        <f t="shared" si="22"/>
        <v>#DIV/0!</v>
      </c>
      <c r="N39" s="44" t="e">
        <f t="shared" si="22"/>
        <v>#DIV/0!</v>
      </c>
      <c r="O39" s="44">
        <f t="shared" si="22"/>
        <v>12809.254911393788</v>
      </c>
      <c r="P39" s="44" t="e">
        <f t="shared" si="4"/>
        <v>#DIV/0!</v>
      </c>
      <c r="Q39" s="136" t="e">
        <f t="shared" si="2"/>
        <v>#DIV/0!</v>
      </c>
      <c r="R39" s="141"/>
    </row>
    <row r="40" spans="1:19" x14ac:dyDescent="0.45">
      <c r="A40" s="17" t="s">
        <v>173</v>
      </c>
      <c r="B40" s="18" t="e">
        <f t="shared" ref="B40:D40" si="23">+(B30+B32-B10)/B4</f>
        <v>#DIV/0!</v>
      </c>
      <c r="C40" s="19" t="e">
        <f t="shared" si="23"/>
        <v>#DIV/0!</v>
      </c>
      <c r="D40" s="18" t="e">
        <f t="shared" si="23"/>
        <v>#DIV/0!</v>
      </c>
      <c r="E40" s="19" t="e">
        <f t="shared" ref="E40:O40" si="24">+(E30+E32-E10)/E4</f>
        <v>#DIV/0!</v>
      </c>
      <c r="F40" s="18" t="e">
        <f t="shared" si="24"/>
        <v>#DIV/0!</v>
      </c>
      <c r="G40" s="19" t="e">
        <f t="shared" si="24"/>
        <v>#DIV/0!</v>
      </c>
      <c r="H40" s="18" t="e">
        <f t="shared" si="24"/>
        <v>#DIV/0!</v>
      </c>
      <c r="I40" s="19" t="e">
        <f t="shared" si="24"/>
        <v>#DIV/0!</v>
      </c>
      <c r="J40" s="18" t="e">
        <f t="shared" si="24"/>
        <v>#DIV/0!</v>
      </c>
      <c r="K40" s="19" t="e">
        <f t="shared" si="24"/>
        <v>#DIV/0!</v>
      </c>
      <c r="L40" s="18" t="e">
        <f t="shared" si="24"/>
        <v>#DIV/0!</v>
      </c>
      <c r="M40" s="19" t="e">
        <f t="shared" si="24"/>
        <v>#DIV/0!</v>
      </c>
      <c r="N40" s="44" t="e">
        <f t="shared" si="24"/>
        <v>#DIV/0!</v>
      </c>
      <c r="O40" s="44">
        <f t="shared" si="24"/>
        <v>884775.60788137454</v>
      </c>
      <c r="P40" s="44" t="e">
        <f t="shared" si="4"/>
        <v>#DIV/0!</v>
      </c>
      <c r="Q40" s="136" t="e">
        <f t="shared" si="2"/>
        <v>#DIV/0!</v>
      </c>
      <c r="R40" s="141"/>
    </row>
    <row r="41" spans="1:19" x14ac:dyDescent="0.45">
      <c r="A41" s="17" t="s">
        <v>175</v>
      </c>
      <c r="B41" s="18" t="e">
        <f t="shared" ref="B41:D41" si="25">B33/B4</f>
        <v>#DIV/0!</v>
      </c>
      <c r="C41" s="19" t="e">
        <f t="shared" si="25"/>
        <v>#DIV/0!</v>
      </c>
      <c r="D41" s="18" t="e">
        <f t="shared" si="25"/>
        <v>#DIV/0!</v>
      </c>
      <c r="E41" s="19" t="e">
        <f t="shared" ref="E41:O41" si="26">E33/E4</f>
        <v>#DIV/0!</v>
      </c>
      <c r="F41" s="18" t="e">
        <f t="shared" si="26"/>
        <v>#DIV/0!</v>
      </c>
      <c r="G41" s="19" t="e">
        <f t="shared" si="26"/>
        <v>#DIV/0!</v>
      </c>
      <c r="H41" s="18" t="e">
        <f t="shared" si="26"/>
        <v>#DIV/0!</v>
      </c>
      <c r="I41" s="19" t="e">
        <f t="shared" si="26"/>
        <v>#DIV/0!</v>
      </c>
      <c r="J41" s="18" t="e">
        <f t="shared" si="26"/>
        <v>#DIV/0!</v>
      </c>
      <c r="K41" s="19" t="e">
        <f t="shared" si="26"/>
        <v>#DIV/0!</v>
      </c>
      <c r="L41" s="18" t="e">
        <f t="shared" si="26"/>
        <v>#DIV/0!</v>
      </c>
      <c r="M41" s="19" t="e">
        <f t="shared" si="26"/>
        <v>#DIV/0!</v>
      </c>
      <c r="N41" s="44" t="e">
        <f t="shared" si="26"/>
        <v>#DIV/0!</v>
      </c>
      <c r="O41" s="44">
        <f t="shared" si="26"/>
        <v>-144662.49102065887</v>
      </c>
      <c r="P41" s="44" t="e">
        <f t="shared" si="4"/>
        <v>#DIV/0!</v>
      </c>
      <c r="Q41" s="136" t="e">
        <f t="shared" si="2"/>
        <v>#DIV/0!</v>
      </c>
      <c r="R41" s="141"/>
    </row>
    <row r="42" spans="1:19" x14ac:dyDescent="0.45">
      <c r="A42" s="132" t="s">
        <v>166</v>
      </c>
      <c r="B42" s="49"/>
      <c r="C42" s="50"/>
      <c r="D42" s="49"/>
      <c r="E42" s="19"/>
      <c r="F42" s="18"/>
      <c r="G42" s="19"/>
      <c r="H42" s="18"/>
      <c r="I42" s="19"/>
      <c r="J42" s="18"/>
      <c r="K42" s="19"/>
      <c r="L42" s="18"/>
      <c r="M42" s="19"/>
      <c r="N42" s="44"/>
      <c r="O42" s="44"/>
      <c r="P42" s="44"/>
      <c r="Q42" s="136"/>
      <c r="R42" s="141"/>
    </row>
    <row r="43" spans="1:19" x14ac:dyDescent="0.45">
      <c r="A43" s="17" t="s">
        <v>77</v>
      </c>
      <c r="B43" s="18" t="e">
        <f>+(B30+B32)/B3</f>
        <v>#DIV/0!</v>
      </c>
      <c r="C43" s="19" t="e">
        <f t="shared" ref="C43:M43" si="27">+(C30+C32)/C3</f>
        <v>#DIV/0!</v>
      </c>
      <c r="D43" s="18" t="e">
        <f t="shared" si="27"/>
        <v>#DIV/0!</v>
      </c>
      <c r="E43" s="19" t="e">
        <f t="shared" si="27"/>
        <v>#DIV/0!</v>
      </c>
      <c r="F43" s="18" t="e">
        <f t="shared" si="27"/>
        <v>#DIV/0!</v>
      </c>
      <c r="G43" s="19" t="e">
        <f t="shared" si="27"/>
        <v>#DIV/0!</v>
      </c>
      <c r="H43" s="18" t="e">
        <f t="shared" si="27"/>
        <v>#DIV/0!</v>
      </c>
      <c r="I43" s="19" t="e">
        <f t="shared" si="27"/>
        <v>#DIV/0!</v>
      </c>
      <c r="J43" s="18" t="e">
        <f t="shared" si="27"/>
        <v>#DIV/0!</v>
      </c>
      <c r="K43" s="19" t="e">
        <f t="shared" si="27"/>
        <v>#DIV/0!</v>
      </c>
      <c r="L43" s="18" t="e">
        <f t="shared" si="27"/>
        <v>#DIV/0!</v>
      </c>
      <c r="M43" s="19" t="e">
        <f t="shared" si="27"/>
        <v>#DIV/0!</v>
      </c>
      <c r="N43" s="44" t="e">
        <f>+(N30+N32-N10)/N3</f>
        <v>#DIV/0!</v>
      </c>
      <c r="O43" s="44">
        <f>+(O30+O32-O10)/O3</f>
        <v>884775.60788137454</v>
      </c>
      <c r="P43" s="44" t="e">
        <f t="shared" si="4"/>
        <v>#DIV/0!</v>
      </c>
      <c r="Q43" s="136" t="e">
        <f t="shared" si="2"/>
        <v>#DIV/0!</v>
      </c>
      <c r="R43" s="141"/>
    </row>
    <row r="44" spans="1:19" x14ac:dyDescent="0.45">
      <c r="A44" s="17" t="s">
        <v>76</v>
      </c>
      <c r="B44" s="18" t="e">
        <f>+B30/B3</f>
        <v>#DIV/0!</v>
      </c>
      <c r="C44" s="19" t="e">
        <f t="shared" ref="C44:M44" si="28">+C30/C3</f>
        <v>#DIV/0!</v>
      </c>
      <c r="D44" s="18" t="e">
        <f t="shared" si="28"/>
        <v>#DIV/0!</v>
      </c>
      <c r="E44" s="19" t="e">
        <f t="shared" si="28"/>
        <v>#DIV/0!</v>
      </c>
      <c r="F44" s="18" t="e">
        <f t="shared" si="28"/>
        <v>#DIV/0!</v>
      </c>
      <c r="G44" s="19" t="e">
        <f t="shared" si="28"/>
        <v>#DIV/0!</v>
      </c>
      <c r="H44" s="18" t="e">
        <f t="shared" si="28"/>
        <v>#DIV/0!</v>
      </c>
      <c r="I44" s="19" t="e">
        <f t="shared" si="28"/>
        <v>#DIV/0!</v>
      </c>
      <c r="J44" s="18" t="e">
        <f t="shared" si="28"/>
        <v>#DIV/0!</v>
      </c>
      <c r="K44" s="19" t="e">
        <f t="shared" si="28"/>
        <v>#DIV/0!</v>
      </c>
      <c r="L44" s="18" t="e">
        <f t="shared" si="28"/>
        <v>#DIV/0!</v>
      </c>
      <c r="M44" s="19" t="e">
        <f t="shared" si="28"/>
        <v>#DIV/0!</v>
      </c>
      <c r="N44" s="44" t="e">
        <f>+(N30-N10)/N3</f>
        <v>#DIV/0!</v>
      </c>
      <c r="O44" s="44">
        <f>+(O30-O10)/O3</f>
        <v>727303.86194932193</v>
      </c>
      <c r="P44" s="44" t="e">
        <f t="shared" si="4"/>
        <v>#DIV/0!</v>
      </c>
      <c r="Q44" s="136" t="e">
        <f t="shared" si="2"/>
        <v>#DIV/0!</v>
      </c>
      <c r="R44" s="141"/>
    </row>
    <row r="45" spans="1:19" x14ac:dyDescent="0.45">
      <c r="A45" s="17" t="s">
        <v>167</v>
      </c>
      <c r="B45" s="18">
        <f>+B12/B3</f>
        <v>0.57399103139013452</v>
      </c>
      <c r="C45" s="19">
        <f t="shared" ref="C45:N45" si="29">+C12/C3</f>
        <v>268090.26008968608</v>
      </c>
      <c r="D45" s="18">
        <f t="shared" si="29"/>
        <v>0.57399103139013452</v>
      </c>
      <c r="E45" s="19">
        <f t="shared" si="29"/>
        <v>0.57399103139013452</v>
      </c>
      <c r="F45" s="18">
        <f t="shared" si="29"/>
        <v>0.57399103139013452</v>
      </c>
      <c r="G45" s="19">
        <f t="shared" si="29"/>
        <v>0.57399103139013452</v>
      </c>
      <c r="H45" s="18">
        <f t="shared" si="29"/>
        <v>0.57399103139013452</v>
      </c>
      <c r="I45" s="19">
        <f t="shared" si="29"/>
        <v>0.57399103139013452</v>
      </c>
      <c r="J45" s="18">
        <f t="shared" si="29"/>
        <v>0.57399103139013452</v>
      </c>
      <c r="K45" s="19">
        <f t="shared" si="29"/>
        <v>0.57399103139013452</v>
      </c>
      <c r="L45" s="18">
        <f t="shared" si="29"/>
        <v>0.57399103139013452</v>
      </c>
      <c r="M45" s="19">
        <f t="shared" si="29"/>
        <v>0.57399103139013452</v>
      </c>
      <c r="N45" s="44">
        <f t="shared" si="29"/>
        <v>268096.57399103127</v>
      </c>
      <c r="O45" s="44">
        <f t="shared" ref="O45" si="30">+O12/O3</f>
        <v>85965.7947976867</v>
      </c>
      <c r="P45" s="44">
        <f t="shared" si="4"/>
        <v>182130.77919334458</v>
      </c>
      <c r="Q45" s="136">
        <f t="shared" si="2"/>
        <v>2.1186424161141546</v>
      </c>
      <c r="R45" s="141"/>
    </row>
    <row r="46" spans="1:19" x14ac:dyDescent="0.45">
      <c r="A46" s="17" t="s">
        <v>168</v>
      </c>
      <c r="B46" s="18">
        <f>+B13/B3</f>
        <v>0</v>
      </c>
      <c r="C46" s="19">
        <f t="shared" ref="C46:N46" si="31">+C13/C3</f>
        <v>0</v>
      </c>
      <c r="D46" s="18">
        <f t="shared" si="31"/>
        <v>0</v>
      </c>
      <c r="E46" s="19">
        <f t="shared" si="31"/>
        <v>0</v>
      </c>
      <c r="F46" s="18">
        <f t="shared" si="31"/>
        <v>0</v>
      </c>
      <c r="G46" s="19">
        <f t="shared" si="31"/>
        <v>0</v>
      </c>
      <c r="H46" s="18">
        <f t="shared" si="31"/>
        <v>0</v>
      </c>
      <c r="I46" s="19">
        <f t="shared" si="31"/>
        <v>0</v>
      </c>
      <c r="J46" s="18">
        <f t="shared" si="31"/>
        <v>0</v>
      </c>
      <c r="K46" s="19">
        <f t="shared" si="31"/>
        <v>0</v>
      </c>
      <c r="L46" s="18">
        <f t="shared" si="31"/>
        <v>0</v>
      </c>
      <c r="M46" s="19">
        <f t="shared" si="31"/>
        <v>0</v>
      </c>
      <c r="N46" s="44">
        <f t="shared" si="31"/>
        <v>0</v>
      </c>
      <c r="O46" s="44">
        <f t="shared" ref="O46" si="32">+O13/O3</f>
        <v>109473.53958978625</v>
      </c>
      <c r="P46" s="44">
        <f t="shared" si="4"/>
        <v>-109473.53958978625</v>
      </c>
      <c r="Q46" s="136">
        <f t="shared" si="2"/>
        <v>-1</v>
      </c>
      <c r="R46" s="141"/>
    </row>
    <row r="47" spans="1:19" x14ac:dyDescent="0.45">
      <c r="A47" s="17" t="s">
        <v>169</v>
      </c>
      <c r="B47" s="18">
        <f>+B14/B3</f>
        <v>0</v>
      </c>
      <c r="C47" s="19">
        <f t="shared" ref="C47:N47" si="33">+C14/C3</f>
        <v>199641.25560538116</v>
      </c>
      <c r="D47" s="18">
        <f t="shared" si="33"/>
        <v>0</v>
      </c>
      <c r="E47" s="19">
        <f t="shared" si="33"/>
        <v>0</v>
      </c>
      <c r="F47" s="18">
        <f t="shared" si="33"/>
        <v>0</v>
      </c>
      <c r="G47" s="19">
        <f t="shared" si="33"/>
        <v>0</v>
      </c>
      <c r="H47" s="18">
        <f t="shared" si="33"/>
        <v>0</v>
      </c>
      <c r="I47" s="19">
        <f t="shared" si="33"/>
        <v>0</v>
      </c>
      <c r="J47" s="18">
        <f t="shared" si="33"/>
        <v>0</v>
      </c>
      <c r="K47" s="19">
        <f t="shared" si="33"/>
        <v>0</v>
      </c>
      <c r="L47" s="18">
        <f t="shared" si="33"/>
        <v>0</v>
      </c>
      <c r="M47" s="19">
        <f t="shared" si="33"/>
        <v>0</v>
      </c>
      <c r="N47" s="44">
        <f t="shared" si="33"/>
        <v>199641.25560538116</v>
      </c>
      <c r="O47" s="44">
        <f t="shared" ref="O47" si="34">+O14/O3</f>
        <v>38737.526011553331</v>
      </c>
      <c r="P47" s="44">
        <f t="shared" si="4"/>
        <v>160903.72959382783</v>
      </c>
      <c r="Q47" s="136">
        <f t="shared" si="2"/>
        <v>4.1536914243268619</v>
      </c>
      <c r="R47" s="141"/>
    </row>
    <row r="48" spans="1:19" x14ac:dyDescent="0.45">
      <c r="A48" s="17" t="s">
        <v>170</v>
      </c>
      <c r="B48" s="18">
        <f>+B15/B3</f>
        <v>0</v>
      </c>
      <c r="C48" s="19">
        <f t="shared" ref="C48:N48" si="35">+C15/C3</f>
        <v>0</v>
      </c>
      <c r="D48" s="18">
        <f t="shared" si="35"/>
        <v>0</v>
      </c>
      <c r="E48" s="19">
        <f t="shared" si="35"/>
        <v>0</v>
      </c>
      <c r="F48" s="18">
        <f t="shared" si="35"/>
        <v>0</v>
      </c>
      <c r="G48" s="19">
        <f t="shared" si="35"/>
        <v>0</v>
      </c>
      <c r="H48" s="18">
        <f t="shared" si="35"/>
        <v>0</v>
      </c>
      <c r="I48" s="19">
        <f t="shared" si="35"/>
        <v>0</v>
      </c>
      <c r="J48" s="18">
        <f t="shared" si="35"/>
        <v>0</v>
      </c>
      <c r="K48" s="19">
        <f t="shared" si="35"/>
        <v>0</v>
      </c>
      <c r="L48" s="18">
        <f t="shared" si="35"/>
        <v>0</v>
      </c>
      <c r="M48" s="19">
        <f t="shared" si="35"/>
        <v>0</v>
      </c>
      <c r="N48" s="44">
        <f t="shared" si="35"/>
        <v>0</v>
      </c>
      <c r="O48" s="44">
        <f t="shared" ref="O48" si="36">+O15/O3</f>
        <v>73567.935699312147</v>
      </c>
      <c r="P48" s="44">
        <f t="shared" si="4"/>
        <v>-73567.935699312147</v>
      </c>
      <c r="Q48" s="136">
        <f t="shared" si="2"/>
        <v>-1</v>
      </c>
      <c r="R48" s="141"/>
    </row>
    <row r="49" spans="1:18" x14ac:dyDescent="0.45">
      <c r="A49" s="17" t="s">
        <v>171</v>
      </c>
      <c r="B49" s="18">
        <f>+B16/B3</f>
        <v>0.84304932735426008</v>
      </c>
      <c r="C49" s="19">
        <f t="shared" ref="C49:N49" si="37">+C16/C3</f>
        <v>0.84304932735426008</v>
      </c>
      <c r="D49" s="18">
        <f t="shared" si="37"/>
        <v>0.84304932735426008</v>
      </c>
      <c r="E49" s="19">
        <f t="shared" si="37"/>
        <v>0.84304932735426008</v>
      </c>
      <c r="F49" s="18">
        <f t="shared" si="37"/>
        <v>0.84304932735426008</v>
      </c>
      <c r="G49" s="19">
        <f t="shared" si="37"/>
        <v>0.84304932735426008</v>
      </c>
      <c r="H49" s="18">
        <f t="shared" si="37"/>
        <v>0.84304932735426008</v>
      </c>
      <c r="I49" s="19">
        <f t="shared" si="37"/>
        <v>0.84304932735426008</v>
      </c>
      <c r="J49" s="18">
        <f t="shared" si="37"/>
        <v>0.84304932735426008</v>
      </c>
      <c r="K49" s="19">
        <f t="shared" si="37"/>
        <v>0.84304932735426008</v>
      </c>
      <c r="L49" s="18">
        <f t="shared" si="37"/>
        <v>0.84304932735426008</v>
      </c>
      <c r="M49" s="19">
        <f t="shared" si="37"/>
        <v>0.84304932735426008</v>
      </c>
      <c r="N49" s="44">
        <f t="shared" si="37"/>
        <v>10.116591928251124</v>
      </c>
      <c r="O49" s="44">
        <f t="shared" ref="O49" si="38">+O16/O3</f>
        <v>17789.885028901299</v>
      </c>
      <c r="P49" s="44">
        <f t="shared" si="4"/>
        <v>-17779.768436973049</v>
      </c>
      <c r="Q49" s="136">
        <f t="shared" si="2"/>
        <v>-0.99943132898769071</v>
      </c>
      <c r="R49" s="141"/>
    </row>
    <row r="50" spans="1:18" x14ac:dyDescent="0.45">
      <c r="A50" s="17" t="s">
        <v>7</v>
      </c>
      <c r="B50" s="18">
        <f>+B17/B3</f>
        <v>86015.067264573998</v>
      </c>
      <c r="C50" s="19">
        <f t="shared" ref="C50:N50" si="39">+C17/C3</f>
        <v>2753.3632286995521</v>
      </c>
      <c r="D50" s="18">
        <f t="shared" si="39"/>
        <v>2753.3632286995521</v>
      </c>
      <c r="E50" s="19">
        <f t="shared" si="39"/>
        <v>2753.3632286995521</v>
      </c>
      <c r="F50" s="18">
        <f t="shared" si="39"/>
        <v>2753.3632286995521</v>
      </c>
      <c r="G50" s="19">
        <f t="shared" si="39"/>
        <v>2753.3632286995521</v>
      </c>
      <c r="H50" s="18">
        <f t="shared" si="39"/>
        <v>2753.3632286995521</v>
      </c>
      <c r="I50" s="19">
        <f t="shared" si="39"/>
        <v>2753.3632286995521</v>
      </c>
      <c r="J50" s="18">
        <f t="shared" si="39"/>
        <v>2753.3632286995521</v>
      </c>
      <c r="K50" s="19">
        <f t="shared" si="39"/>
        <v>2753.3632286995521</v>
      </c>
      <c r="L50" s="18">
        <f t="shared" si="39"/>
        <v>2753.3632286995521</v>
      </c>
      <c r="M50" s="19">
        <f t="shared" si="39"/>
        <v>2753.3632286995521</v>
      </c>
      <c r="N50" s="44">
        <f t="shared" si="39"/>
        <v>116302.06278026907</v>
      </c>
      <c r="O50" s="44">
        <f t="shared" ref="O50" si="40">+O17/O3</f>
        <v>8204.2162658959533</v>
      </c>
      <c r="P50" s="44">
        <f t="shared" si="4"/>
        <v>108097.84651437312</v>
      </c>
      <c r="Q50" s="136">
        <f t="shared" si="2"/>
        <v>13.175889446469649</v>
      </c>
      <c r="R50" s="141"/>
    </row>
    <row r="51" spans="1:18" x14ac:dyDescent="0.45">
      <c r="A51" s="17" t="s">
        <v>8</v>
      </c>
      <c r="B51" s="18">
        <f>+B19/B3</f>
        <v>0</v>
      </c>
      <c r="C51" s="19">
        <f t="shared" ref="C51:N51" si="41">+C19/C3</f>
        <v>0</v>
      </c>
      <c r="D51" s="18">
        <f t="shared" si="41"/>
        <v>0</v>
      </c>
      <c r="E51" s="19">
        <f t="shared" si="41"/>
        <v>0</v>
      </c>
      <c r="F51" s="18">
        <f t="shared" si="41"/>
        <v>0</v>
      </c>
      <c r="G51" s="19">
        <f t="shared" si="41"/>
        <v>0</v>
      </c>
      <c r="H51" s="18">
        <f t="shared" si="41"/>
        <v>0</v>
      </c>
      <c r="I51" s="19">
        <f t="shared" si="41"/>
        <v>0</v>
      </c>
      <c r="J51" s="18">
        <f t="shared" si="41"/>
        <v>0</v>
      </c>
      <c r="K51" s="19">
        <f t="shared" si="41"/>
        <v>0</v>
      </c>
      <c r="L51" s="18">
        <f t="shared" si="41"/>
        <v>0</v>
      </c>
      <c r="M51" s="19">
        <f t="shared" si="41"/>
        <v>0</v>
      </c>
      <c r="N51" s="44">
        <f t="shared" si="41"/>
        <v>0</v>
      </c>
      <c r="O51" s="44">
        <f t="shared" ref="O51" si="42">+O19/O3</f>
        <v>14486.409459051461</v>
      </c>
      <c r="P51" s="44">
        <f t="shared" si="4"/>
        <v>-14486.409459051461</v>
      </c>
      <c r="Q51" s="136">
        <f t="shared" si="2"/>
        <v>-1</v>
      </c>
      <c r="R51" s="141"/>
    </row>
    <row r="52" spans="1:18" x14ac:dyDescent="0.45">
      <c r="A52" s="17" t="s">
        <v>9</v>
      </c>
      <c r="B52" s="18" t="e">
        <f>+B20/B3</f>
        <v>#DIV/0!</v>
      </c>
      <c r="C52" s="19" t="e">
        <f t="shared" ref="C52:N52" si="43">+C20/C3</f>
        <v>#DIV/0!</v>
      </c>
      <c r="D52" s="18" t="e">
        <f t="shared" si="43"/>
        <v>#DIV/0!</v>
      </c>
      <c r="E52" s="19" t="e">
        <f t="shared" si="43"/>
        <v>#DIV/0!</v>
      </c>
      <c r="F52" s="18" t="e">
        <f t="shared" si="43"/>
        <v>#DIV/0!</v>
      </c>
      <c r="G52" s="19" t="e">
        <f t="shared" si="43"/>
        <v>#DIV/0!</v>
      </c>
      <c r="H52" s="18" t="e">
        <f t="shared" si="43"/>
        <v>#DIV/0!</v>
      </c>
      <c r="I52" s="19" t="e">
        <f t="shared" si="43"/>
        <v>#DIV/0!</v>
      </c>
      <c r="J52" s="18" t="e">
        <f t="shared" si="43"/>
        <v>#DIV/0!</v>
      </c>
      <c r="K52" s="19" t="e">
        <f t="shared" si="43"/>
        <v>#DIV/0!</v>
      </c>
      <c r="L52" s="18" t="e">
        <f t="shared" si="43"/>
        <v>#DIV/0!</v>
      </c>
      <c r="M52" s="19" t="e">
        <f t="shared" si="43"/>
        <v>#DIV/0!</v>
      </c>
      <c r="N52" s="44" t="e">
        <f t="shared" si="43"/>
        <v>#DIV/0!</v>
      </c>
      <c r="O52" s="44">
        <f t="shared" ref="O52" si="44">+O20/O3</f>
        <v>2746.727013483699</v>
      </c>
      <c r="P52" s="44" t="e">
        <f t="shared" si="4"/>
        <v>#DIV/0!</v>
      </c>
      <c r="Q52" s="136" t="e">
        <f t="shared" si="2"/>
        <v>#DIV/0!</v>
      </c>
      <c r="R52" s="141"/>
    </row>
    <row r="53" spans="1:18" x14ac:dyDescent="0.45">
      <c r="A53" s="17" t="s">
        <v>10</v>
      </c>
      <c r="B53" s="18">
        <f>+B22/B3</f>
        <v>0</v>
      </c>
      <c r="C53" s="19">
        <f t="shared" ref="C53:N53" si="45">+C22/C3</f>
        <v>11013.452914798208</v>
      </c>
      <c r="D53" s="18">
        <f t="shared" si="45"/>
        <v>0</v>
      </c>
      <c r="E53" s="19">
        <f t="shared" si="45"/>
        <v>0</v>
      </c>
      <c r="F53" s="18">
        <f t="shared" si="45"/>
        <v>0</v>
      </c>
      <c r="G53" s="19">
        <f t="shared" si="45"/>
        <v>0</v>
      </c>
      <c r="H53" s="18">
        <f t="shared" si="45"/>
        <v>0</v>
      </c>
      <c r="I53" s="19">
        <f t="shared" si="45"/>
        <v>0</v>
      </c>
      <c r="J53" s="18">
        <f t="shared" si="45"/>
        <v>0</v>
      </c>
      <c r="K53" s="19">
        <f t="shared" si="45"/>
        <v>0</v>
      </c>
      <c r="L53" s="18">
        <f t="shared" si="45"/>
        <v>0</v>
      </c>
      <c r="M53" s="19">
        <f t="shared" si="45"/>
        <v>0</v>
      </c>
      <c r="N53" s="44">
        <f t="shared" si="45"/>
        <v>11013.452914798208</v>
      </c>
      <c r="O53" s="44">
        <f t="shared" ref="O53" si="46">+O22/O3</f>
        <v>3381.4180669444818</v>
      </c>
      <c r="P53" s="44">
        <f t="shared" si="4"/>
        <v>7632.0348478537271</v>
      </c>
      <c r="Q53" s="136">
        <f t="shared" si="2"/>
        <v>2.2570515377739699</v>
      </c>
      <c r="R53" s="141"/>
    </row>
    <row r="54" spans="1:18" x14ac:dyDescent="0.45">
      <c r="A54" s="17" t="s">
        <v>11</v>
      </c>
      <c r="B54" s="18">
        <f>+B23/B3</f>
        <v>6748.4392860283142</v>
      </c>
      <c r="C54" s="19">
        <f t="shared" ref="C54:N54" si="47">+C23/C3</f>
        <v>6748.4392860283142</v>
      </c>
      <c r="D54" s="18">
        <f t="shared" si="47"/>
        <v>6748.4392860283142</v>
      </c>
      <c r="E54" s="19">
        <f t="shared" si="47"/>
        <v>6748.4392860283142</v>
      </c>
      <c r="F54" s="18">
        <f t="shared" si="47"/>
        <v>6748.4392860283142</v>
      </c>
      <c r="G54" s="19">
        <f t="shared" si="47"/>
        <v>6748.4392860283142</v>
      </c>
      <c r="H54" s="18">
        <f t="shared" si="47"/>
        <v>6748.4392860283142</v>
      </c>
      <c r="I54" s="19">
        <f t="shared" si="47"/>
        <v>6748.4392860283142</v>
      </c>
      <c r="J54" s="18">
        <f t="shared" si="47"/>
        <v>6748.4392860283142</v>
      </c>
      <c r="K54" s="19">
        <f t="shared" si="47"/>
        <v>6748.4392860283142</v>
      </c>
      <c r="L54" s="18">
        <f t="shared" si="47"/>
        <v>6748.4392860283142</v>
      </c>
      <c r="M54" s="19">
        <f t="shared" si="47"/>
        <v>6748.4392860283142</v>
      </c>
      <c r="N54" s="44">
        <f t="shared" si="47"/>
        <v>80981.271432339752</v>
      </c>
      <c r="O54" s="44">
        <f t="shared" ref="O54" si="48">+O23/O3</f>
        <v>36127.167630057804</v>
      </c>
      <c r="P54" s="44">
        <f t="shared" si="4"/>
        <v>44854.103802281948</v>
      </c>
      <c r="Q54" s="136">
        <f t="shared" si="2"/>
        <v>1.2415615932471644</v>
      </c>
      <c r="R54" s="141"/>
    </row>
    <row r="55" spans="1:18" x14ac:dyDescent="0.45">
      <c r="A55" s="17" t="s">
        <v>12</v>
      </c>
      <c r="B55" s="18">
        <f>+B24/B3</f>
        <v>2195.067264573991</v>
      </c>
      <c r="C55" s="19">
        <f t="shared" ref="C55:N55" si="49">+C24/C3</f>
        <v>2883.4080717488787</v>
      </c>
      <c r="D55" s="18">
        <f t="shared" si="49"/>
        <v>2883.4080717488791</v>
      </c>
      <c r="E55" s="19">
        <f t="shared" si="49"/>
        <v>2195.067264573991</v>
      </c>
      <c r="F55" s="18">
        <f t="shared" si="49"/>
        <v>2195.067264573991</v>
      </c>
      <c r="G55" s="19">
        <f t="shared" si="49"/>
        <v>2883.4080717488791</v>
      </c>
      <c r="H55" s="18">
        <f t="shared" si="49"/>
        <v>2883.4080717488791</v>
      </c>
      <c r="I55" s="19">
        <f t="shared" si="49"/>
        <v>2195.067264573991</v>
      </c>
      <c r="J55" s="18">
        <f t="shared" si="49"/>
        <v>2883.4080717488791</v>
      </c>
      <c r="K55" s="19">
        <f t="shared" si="49"/>
        <v>1470.8520179372197</v>
      </c>
      <c r="L55" s="18">
        <f t="shared" si="49"/>
        <v>1470.8520179372197</v>
      </c>
      <c r="M55" s="19">
        <f t="shared" si="49"/>
        <v>573.99103139013448</v>
      </c>
      <c r="N55" s="44">
        <f t="shared" si="49"/>
        <v>26713.004484304933</v>
      </c>
      <c r="O55" s="44">
        <f t="shared" ref="O55" si="50">+O24/O3</f>
        <v>17852.771443741516</v>
      </c>
      <c r="P55" s="44">
        <f t="shared" si="4"/>
        <v>8860.2330405634166</v>
      </c>
      <c r="Q55" s="136">
        <f t="shared" si="2"/>
        <v>0.49629454275400292</v>
      </c>
      <c r="R55" s="141"/>
    </row>
    <row r="56" spans="1:18" x14ac:dyDescent="0.45">
      <c r="A56" s="17" t="s">
        <v>156</v>
      </c>
      <c r="B56" s="18">
        <f>+B25/B3</f>
        <v>63568.015729005579</v>
      </c>
      <c r="C56" s="19">
        <f t="shared" ref="C56:N56" si="51">+C25/C3</f>
        <v>55475.780068826178</v>
      </c>
      <c r="D56" s="18">
        <f t="shared" si="51"/>
        <v>49874.606076027456</v>
      </c>
      <c r="E56" s="19">
        <f t="shared" si="51"/>
        <v>49760.313105238733</v>
      </c>
      <c r="F56" s="18">
        <f t="shared" si="51"/>
        <v>48619.088045687145</v>
      </c>
      <c r="G56" s="19">
        <f t="shared" si="51"/>
        <v>46882.753683202347</v>
      </c>
      <c r="H56" s="18">
        <f t="shared" si="51"/>
        <v>46572.003565328421</v>
      </c>
      <c r="I56" s="19">
        <f t="shared" si="51"/>
        <v>46597.86194129254</v>
      </c>
      <c r="J56" s="18">
        <f t="shared" si="51"/>
        <v>48689.44898607229</v>
      </c>
      <c r="K56" s="19">
        <f t="shared" si="51"/>
        <v>0</v>
      </c>
      <c r="L56" s="18">
        <f t="shared" si="51"/>
        <v>0</v>
      </c>
      <c r="M56" s="19">
        <f t="shared" si="51"/>
        <v>1132.9992086520708</v>
      </c>
      <c r="N56" s="44">
        <f t="shared" si="51"/>
        <v>457172.87040933274</v>
      </c>
      <c r="O56" s="44">
        <f t="shared" ref="O56" si="52">+O25/O3</f>
        <v>229319.90070761336</v>
      </c>
      <c r="P56" s="44">
        <f t="shared" si="4"/>
        <v>227852.96970171938</v>
      </c>
      <c r="Q56" s="136">
        <f t="shared" si="2"/>
        <v>0.99360312383980864</v>
      </c>
      <c r="R56" s="141"/>
    </row>
    <row r="57" spans="1:18" x14ac:dyDescent="0.45">
      <c r="A57" s="17" t="s">
        <v>157</v>
      </c>
      <c r="B57" s="18">
        <f>+B26/B3</f>
        <v>13872.645739910313</v>
      </c>
      <c r="C57" s="19">
        <f t="shared" ref="C57:N57" si="53">+C26/C3</f>
        <v>13872.645739910313</v>
      </c>
      <c r="D57" s="18">
        <f t="shared" si="53"/>
        <v>13872.645739910313</v>
      </c>
      <c r="E57" s="19">
        <f t="shared" si="53"/>
        <v>13872.645739910313</v>
      </c>
      <c r="F57" s="18">
        <f t="shared" si="53"/>
        <v>13872.645739910313</v>
      </c>
      <c r="G57" s="19">
        <f t="shared" si="53"/>
        <v>13872.645739910313</v>
      </c>
      <c r="H57" s="18">
        <f t="shared" si="53"/>
        <v>13872.645739910313</v>
      </c>
      <c r="I57" s="19">
        <f t="shared" si="53"/>
        <v>13872.645739910313</v>
      </c>
      <c r="J57" s="18">
        <f t="shared" si="53"/>
        <v>13872.645739910313</v>
      </c>
      <c r="K57" s="19">
        <f t="shared" si="53"/>
        <v>13872.645739910313</v>
      </c>
      <c r="L57" s="18">
        <f t="shared" si="53"/>
        <v>13872.645739910313</v>
      </c>
      <c r="M57" s="19">
        <f t="shared" si="53"/>
        <v>13872.645739910313</v>
      </c>
      <c r="N57" s="44">
        <f t="shared" si="53"/>
        <v>166471.74887892377</v>
      </c>
      <c r="O57" s="44">
        <f t="shared" ref="O57" si="54">+O26/O3</f>
        <v>47150.610079552229</v>
      </c>
      <c r="P57" s="44">
        <f t="shared" si="4"/>
        <v>119321.13879937155</v>
      </c>
      <c r="Q57" s="136">
        <f t="shared" si="2"/>
        <v>2.5306382801421581</v>
      </c>
      <c r="R57" s="141"/>
    </row>
    <row r="58" spans="1:18" x14ac:dyDescent="0.45">
      <c r="A58" s="17" t="s">
        <v>158</v>
      </c>
      <c r="B58" s="18">
        <f>+B27/B3</f>
        <v>0</v>
      </c>
      <c r="C58" s="19">
        <f t="shared" ref="C58:N58" si="55">+C27/C3</f>
        <v>0</v>
      </c>
      <c r="D58" s="18">
        <f t="shared" si="55"/>
        <v>0</v>
      </c>
      <c r="E58" s="19">
        <f t="shared" si="55"/>
        <v>0</v>
      </c>
      <c r="F58" s="18">
        <f t="shared" si="55"/>
        <v>0</v>
      </c>
      <c r="G58" s="19">
        <f t="shared" si="55"/>
        <v>0</v>
      </c>
      <c r="H58" s="18">
        <f t="shared" si="55"/>
        <v>0</v>
      </c>
      <c r="I58" s="19">
        <f t="shared" si="55"/>
        <v>0</v>
      </c>
      <c r="J58" s="18">
        <f t="shared" si="55"/>
        <v>0</v>
      </c>
      <c r="K58" s="19">
        <f t="shared" si="55"/>
        <v>0</v>
      </c>
      <c r="L58" s="18">
        <f t="shared" si="55"/>
        <v>0</v>
      </c>
      <c r="M58" s="19">
        <f t="shared" si="55"/>
        <v>0</v>
      </c>
      <c r="N58" s="44">
        <f t="shared" si="55"/>
        <v>0</v>
      </c>
      <c r="O58" s="44">
        <f t="shared" ref="O58" si="56">+O27/O3</f>
        <v>22946.015028901733</v>
      </c>
      <c r="P58" s="44">
        <f t="shared" si="4"/>
        <v>-22946.015028901733</v>
      </c>
      <c r="Q58" s="136">
        <f t="shared" si="2"/>
        <v>-1</v>
      </c>
      <c r="R58" s="141"/>
    </row>
    <row r="59" spans="1:18" x14ac:dyDescent="0.45">
      <c r="A59" s="17" t="s">
        <v>13</v>
      </c>
      <c r="B59" s="18">
        <f>+B28/B3</f>
        <v>0</v>
      </c>
      <c r="C59" s="19">
        <f t="shared" ref="C59:N59" si="57">+C28/C3</f>
        <v>0</v>
      </c>
      <c r="D59" s="18">
        <f t="shared" si="57"/>
        <v>0</v>
      </c>
      <c r="E59" s="19">
        <f t="shared" si="57"/>
        <v>0</v>
      </c>
      <c r="F59" s="18">
        <f t="shared" si="57"/>
        <v>4130044.8430493278</v>
      </c>
      <c r="G59" s="19">
        <f t="shared" si="57"/>
        <v>3097533.6322869961</v>
      </c>
      <c r="H59" s="18">
        <f t="shared" si="57"/>
        <v>3097533.6322869961</v>
      </c>
      <c r="I59" s="19">
        <f t="shared" si="57"/>
        <v>4130044.8430493278</v>
      </c>
      <c r="J59" s="18">
        <f t="shared" si="57"/>
        <v>3097533.6322869961</v>
      </c>
      <c r="K59" s="19">
        <f t="shared" si="57"/>
        <v>3097533.6322869961</v>
      </c>
      <c r="L59" s="18">
        <f t="shared" si="57"/>
        <v>2065022.4215246639</v>
      </c>
      <c r="M59" s="19">
        <f t="shared" si="57"/>
        <v>1032511.210762332</v>
      </c>
      <c r="N59" s="44">
        <f t="shared" si="57"/>
        <v>23747757.847533636</v>
      </c>
      <c r="O59" s="44">
        <f t="shared" ref="O59" si="58">+O28/O3</f>
        <v>8262.023121387283</v>
      </c>
      <c r="P59" s="44">
        <f t="shared" si="4"/>
        <v>23739495.824412249</v>
      </c>
      <c r="Q59" s="136">
        <f t="shared" si="2"/>
        <v>2873.3272075890936</v>
      </c>
      <c r="R59" s="141"/>
    </row>
    <row r="60" spans="1:18" x14ac:dyDescent="0.45">
      <c r="A60" s="17" t="s">
        <v>18</v>
      </c>
      <c r="B60" s="18">
        <f>+B29/B3</f>
        <v>34107.623318385646</v>
      </c>
      <c r="C60" s="19">
        <f t="shared" ref="C60:N60" si="59">+C29/C3</f>
        <v>1713.0044843049327</v>
      </c>
      <c r="D60" s="18">
        <f t="shared" si="59"/>
        <v>1713.0044843049327</v>
      </c>
      <c r="E60" s="19">
        <f t="shared" si="59"/>
        <v>1713.0044843049327</v>
      </c>
      <c r="F60" s="18">
        <f t="shared" si="59"/>
        <v>1713.0044843049327</v>
      </c>
      <c r="G60" s="19">
        <f t="shared" si="59"/>
        <v>1713.0044843049327</v>
      </c>
      <c r="H60" s="18">
        <f t="shared" si="59"/>
        <v>2466.3677130044839</v>
      </c>
      <c r="I60" s="19">
        <f t="shared" si="59"/>
        <v>1713.0044843049327</v>
      </c>
      <c r="J60" s="18">
        <f t="shared" si="59"/>
        <v>4403.5874439461886</v>
      </c>
      <c r="K60" s="19">
        <f t="shared" si="59"/>
        <v>1713.0044843049327</v>
      </c>
      <c r="L60" s="18">
        <f t="shared" si="59"/>
        <v>1713.0044843049327</v>
      </c>
      <c r="M60" s="19">
        <f t="shared" si="59"/>
        <v>1713.0044843049327</v>
      </c>
      <c r="N60" s="44">
        <f t="shared" si="59"/>
        <v>56394.618834080713</v>
      </c>
      <c r="O60" s="44">
        <f t="shared" ref="O60" si="60">+O29/O3</f>
        <v>11291.922005452716</v>
      </c>
      <c r="P60" s="44">
        <f t="shared" si="4"/>
        <v>45102.696828627995</v>
      </c>
      <c r="Q60" s="136">
        <f t="shared" si="2"/>
        <v>3.9942444525253111</v>
      </c>
      <c r="R60" s="141"/>
    </row>
    <row r="61" spans="1:18" x14ac:dyDescent="0.45">
      <c r="A61" s="17" t="s">
        <v>14</v>
      </c>
      <c r="B61" s="18">
        <f>+B32/B3</f>
        <v>43110.192842881057</v>
      </c>
      <c r="C61" s="50">
        <f t="shared" ref="C61:N61" si="61">+C32/C3</f>
        <v>43110.192842881057</v>
      </c>
      <c r="D61" s="49">
        <f t="shared" si="61"/>
        <v>43110.192842881057</v>
      </c>
      <c r="E61" s="19">
        <f t="shared" si="61"/>
        <v>43110.192842881057</v>
      </c>
      <c r="F61" s="18">
        <f t="shared" si="61"/>
        <v>43110.192842881057</v>
      </c>
      <c r="G61" s="19">
        <f t="shared" si="61"/>
        <v>43110.192842881057</v>
      </c>
      <c r="H61" s="18">
        <f t="shared" si="61"/>
        <v>43110.192842881057</v>
      </c>
      <c r="I61" s="19">
        <f t="shared" si="61"/>
        <v>43110.192842881057</v>
      </c>
      <c r="J61" s="18">
        <f t="shared" si="61"/>
        <v>43110.192842881057</v>
      </c>
      <c r="K61" s="19">
        <f t="shared" si="61"/>
        <v>43651.149494600038</v>
      </c>
      <c r="L61" s="18">
        <f t="shared" si="61"/>
        <v>43651.149494600038</v>
      </c>
      <c r="M61" s="19">
        <f t="shared" si="61"/>
        <v>43651.149494600038</v>
      </c>
      <c r="N61" s="44">
        <f t="shared" si="61"/>
        <v>518945.18406972964</v>
      </c>
      <c r="O61" s="44">
        <f t="shared" ref="O61" si="62">+O32/O3</f>
        <v>157471.74593205264</v>
      </c>
      <c r="P61" s="44">
        <f t="shared" si="4"/>
        <v>361473.43813767703</v>
      </c>
      <c r="Q61" s="136">
        <f t="shared" si="2"/>
        <v>2.295481236955669</v>
      </c>
      <c r="R61" s="141"/>
    </row>
    <row r="62" spans="1:18" x14ac:dyDescent="0.45">
      <c r="A62" s="131" t="s">
        <v>165</v>
      </c>
      <c r="B62" s="123"/>
      <c r="C62" s="124"/>
      <c r="D62" s="123"/>
      <c r="E62" s="124"/>
      <c r="F62" s="123"/>
      <c r="G62" s="124"/>
      <c r="H62" s="123"/>
      <c r="I62" s="124"/>
      <c r="J62" s="123"/>
      <c r="K62" s="124"/>
      <c r="L62" s="123"/>
      <c r="M62" s="124"/>
      <c r="N62" s="125"/>
      <c r="O62" s="125"/>
      <c r="P62" s="125"/>
      <c r="Q62" s="125"/>
      <c r="R62" s="141"/>
    </row>
    <row r="63" spans="1:18" x14ac:dyDescent="0.45">
      <c r="A63" s="17" t="s">
        <v>160</v>
      </c>
      <c r="B63" s="126"/>
      <c r="C63" s="127"/>
      <c r="D63" s="18" t="e">
        <f>+B10+C10+D10</f>
        <v>#DIV/0!</v>
      </c>
      <c r="E63" s="127"/>
      <c r="F63" s="126"/>
      <c r="G63" s="127"/>
      <c r="H63" s="126"/>
      <c r="I63" s="127"/>
      <c r="J63" s="126"/>
      <c r="K63" s="127"/>
      <c r="L63" s="126"/>
      <c r="M63" s="127"/>
      <c r="N63" s="128"/>
      <c r="O63" s="128"/>
      <c r="P63" s="128"/>
      <c r="Q63" s="128"/>
      <c r="R63" s="141"/>
    </row>
    <row r="64" spans="1:18" x14ac:dyDescent="0.45">
      <c r="A64" s="17" t="s">
        <v>161</v>
      </c>
      <c r="B64" s="126"/>
      <c r="C64" s="127"/>
      <c r="D64" s="129" t="e">
        <f>+D63/N5</f>
        <v>#DIV/0!</v>
      </c>
      <c r="E64" s="130" t="e">
        <f>+D64</f>
        <v>#DIV/0!</v>
      </c>
      <c r="F64" s="129" t="e">
        <f t="shared" ref="F64:M64" si="63">+E64</f>
        <v>#DIV/0!</v>
      </c>
      <c r="G64" s="130" t="e">
        <f t="shared" si="63"/>
        <v>#DIV/0!</v>
      </c>
      <c r="H64" s="129" t="e">
        <f t="shared" si="63"/>
        <v>#DIV/0!</v>
      </c>
      <c r="I64" s="130" t="e">
        <f t="shared" si="63"/>
        <v>#DIV/0!</v>
      </c>
      <c r="J64" s="129" t="e">
        <f t="shared" si="63"/>
        <v>#DIV/0!</v>
      </c>
      <c r="K64" s="130" t="e">
        <f t="shared" si="63"/>
        <v>#DIV/0!</v>
      </c>
      <c r="L64" s="129" t="e">
        <f t="shared" si="63"/>
        <v>#DIV/0!</v>
      </c>
      <c r="M64" s="130" t="e">
        <f t="shared" si="63"/>
        <v>#DIV/0!</v>
      </c>
      <c r="N64" s="128"/>
      <c r="O64" s="128"/>
      <c r="P64" s="128"/>
      <c r="Q64" s="128"/>
      <c r="R64" s="141"/>
    </row>
    <row r="65" spans="1:18" x14ac:dyDescent="0.45">
      <c r="A65" s="17" t="s">
        <v>162</v>
      </c>
      <c r="B65" s="126"/>
      <c r="C65" s="127"/>
      <c r="D65" s="126"/>
      <c r="E65" s="19" t="e">
        <f t="shared" ref="E65:M65" si="64">+E64*E5</f>
        <v>#DIV/0!</v>
      </c>
      <c r="F65" s="18" t="e">
        <f t="shared" si="64"/>
        <v>#DIV/0!</v>
      </c>
      <c r="G65" s="19" t="e">
        <f t="shared" si="64"/>
        <v>#DIV/0!</v>
      </c>
      <c r="H65" s="18" t="e">
        <f t="shared" si="64"/>
        <v>#DIV/0!</v>
      </c>
      <c r="I65" s="19" t="e">
        <f t="shared" si="64"/>
        <v>#DIV/0!</v>
      </c>
      <c r="J65" s="18" t="e">
        <f t="shared" si="64"/>
        <v>#DIV/0!</v>
      </c>
      <c r="K65" s="19" t="e">
        <f t="shared" si="64"/>
        <v>#DIV/0!</v>
      </c>
      <c r="L65" s="18" t="e">
        <f t="shared" si="64"/>
        <v>#DIV/0!</v>
      </c>
      <c r="M65" s="19" t="e">
        <f t="shared" si="64"/>
        <v>#DIV/0!</v>
      </c>
      <c r="N65" s="128"/>
      <c r="O65" s="128"/>
      <c r="P65" s="128"/>
      <c r="Q65" s="128"/>
      <c r="R65" s="141"/>
    </row>
    <row r="66" spans="1:18" x14ac:dyDescent="0.45">
      <c r="A66" s="17" t="s">
        <v>163</v>
      </c>
      <c r="B66" s="126"/>
      <c r="C66" s="127"/>
      <c r="D66" s="126"/>
      <c r="E66" s="19" t="e">
        <f>+D63-E65</f>
        <v>#DIV/0!</v>
      </c>
      <c r="F66" s="18" t="e">
        <f>+E66-F65</f>
        <v>#DIV/0!</v>
      </c>
      <c r="G66" s="19" t="e">
        <f t="shared" ref="G66:M66" si="65">+F66-G65</f>
        <v>#DIV/0!</v>
      </c>
      <c r="H66" s="18" t="e">
        <f t="shared" si="65"/>
        <v>#DIV/0!</v>
      </c>
      <c r="I66" s="19" t="e">
        <f t="shared" si="65"/>
        <v>#DIV/0!</v>
      </c>
      <c r="J66" s="18" t="e">
        <f t="shared" si="65"/>
        <v>#DIV/0!</v>
      </c>
      <c r="K66" s="19" t="e">
        <f t="shared" si="65"/>
        <v>#DIV/0!</v>
      </c>
      <c r="L66" s="18" t="e">
        <f t="shared" si="65"/>
        <v>#DIV/0!</v>
      </c>
      <c r="M66" s="19" t="e">
        <f t="shared" si="65"/>
        <v>#DIV/0!</v>
      </c>
      <c r="N66" s="128"/>
      <c r="O66" s="128"/>
      <c r="P66" s="128"/>
      <c r="Q66" s="128"/>
      <c r="R66" s="141"/>
    </row>
    <row r="67" spans="1:18" x14ac:dyDescent="0.45">
      <c r="A67" s="17" t="s">
        <v>164</v>
      </c>
      <c r="B67" s="126"/>
      <c r="C67" s="127"/>
      <c r="D67" s="126"/>
      <c r="E67" s="19" t="e">
        <f>+E66-D63</f>
        <v>#DIV/0!</v>
      </c>
      <c r="F67" s="18" t="e">
        <f>+F66-E66</f>
        <v>#DIV/0!</v>
      </c>
      <c r="G67" s="19" t="e">
        <f t="shared" ref="G67:M67" si="66">+G66-F66</f>
        <v>#DIV/0!</v>
      </c>
      <c r="H67" s="18" t="e">
        <f t="shared" si="66"/>
        <v>#DIV/0!</v>
      </c>
      <c r="I67" s="19" t="e">
        <f t="shared" si="66"/>
        <v>#DIV/0!</v>
      </c>
      <c r="J67" s="18" t="e">
        <f t="shared" si="66"/>
        <v>#DIV/0!</v>
      </c>
      <c r="K67" s="19" t="e">
        <f t="shared" si="66"/>
        <v>#DIV/0!</v>
      </c>
      <c r="L67" s="18" t="e">
        <f t="shared" si="66"/>
        <v>#DIV/0!</v>
      </c>
      <c r="M67" s="19" t="e">
        <f t="shared" si="66"/>
        <v>#DIV/0!</v>
      </c>
      <c r="N67" s="128"/>
      <c r="O67" s="128"/>
      <c r="P67" s="128"/>
      <c r="Q67" s="128"/>
      <c r="R67" s="141"/>
    </row>
    <row r="68" spans="1:18" x14ac:dyDescent="0.45">
      <c r="A68" s="4"/>
      <c r="B68" s="117"/>
      <c r="C68" s="118"/>
      <c r="D68" s="117"/>
      <c r="E68" s="118"/>
      <c r="F68" s="117"/>
      <c r="G68" s="118"/>
      <c r="H68" s="117"/>
      <c r="I68" s="118"/>
      <c r="J68" s="117"/>
      <c r="K68" s="118"/>
      <c r="L68" s="117"/>
      <c r="M68" s="118"/>
      <c r="N68" s="119"/>
      <c r="O68" s="119"/>
      <c r="P68" s="119"/>
      <c r="Q68" s="119"/>
      <c r="R68" s="141"/>
    </row>
    <row r="69" spans="1:18" x14ac:dyDescent="0.45">
      <c r="A69" s="4"/>
      <c r="B69" s="120"/>
      <c r="C69" s="121"/>
      <c r="D69" s="120"/>
      <c r="E69" s="121"/>
      <c r="F69" s="120"/>
      <c r="G69" s="121"/>
      <c r="H69" s="120"/>
      <c r="I69" s="121"/>
      <c r="J69" s="120"/>
      <c r="K69" s="121"/>
      <c r="L69" s="120"/>
      <c r="M69" s="121"/>
      <c r="N69" s="122"/>
      <c r="O69" s="122"/>
      <c r="P69" s="122"/>
      <c r="Q69" s="122"/>
      <c r="R69" s="141"/>
    </row>
    <row r="70" spans="1:18" x14ac:dyDescent="0.45">
      <c r="A70" s="52"/>
      <c r="B70" s="54"/>
      <c r="C70" s="55"/>
      <c r="D70" s="54"/>
      <c r="E70" s="55"/>
      <c r="F70" s="54"/>
      <c r="G70" s="55"/>
      <c r="H70" s="54"/>
      <c r="I70" s="55"/>
      <c r="J70" s="54"/>
      <c r="K70" s="55"/>
      <c r="L70" s="54"/>
      <c r="M70" s="55"/>
      <c r="N70" s="56"/>
      <c r="O70" s="56"/>
      <c r="P70" s="56"/>
      <c r="Q70" s="56"/>
      <c r="R70" s="141"/>
    </row>
    <row r="71" spans="1:18" x14ac:dyDescent="0.45">
      <c r="A71" s="52"/>
      <c r="B71" s="54"/>
      <c r="C71" s="55"/>
      <c r="D71" s="54"/>
      <c r="E71" s="55"/>
      <c r="F71" s="54"/>
      <c r="G71" s="55"/>
      <c r="H71" s="54"/>
      <c r="I71" s="55"/>
      <c r="J71" s="54"/>
      <c r="K71" s="55"/>
      <c r="L71" s="54"/>
      <c r="M71" s="55"/>
      <c r="N71" s="56"/>
      <c r="O71" s="56"/>
      <c r="P71" s="56"/>
      <c r="Q71" s="56"/>
      <c r="R71" s="141"/>
    </row>
    <row r="72" spans="1:18" x14ac:dyDescent="0.45">
      <c r="A72" s="52"/>
      <c r="B72" s="54"/>
      <c r="C72" s="55"/>
      <c r="D72" s="54"/>
      <c r="E72" s="55"/>
      <c r="F72" s="54"/>
      <c r="G72" s="55"/>
      <c r="H72" s="54"/>
      <c r="I72" s="55"/>
      <c r="J72" s="54"/>
      <c r="K72" s="55"/>
      <c r="L72" s="54"/>
      <c r="M72" s="55"/>
      <c r="N72" s="56"/>
      <c r="O72" s="56"/>
      <c r="P72" s="56"/>
      <c r="Q72" s="56"/>
      <c r="R72" s="141"/>
    </row>
    <row r="73" spans="1:18" x14ac:dyDescent="0.45">
      <c r="A73" s="53"/>
      <c r="B73" s="54"/>
      <c r="C73" s="55"/>
      <c r="D73" s="54"/>
      <c r="E73" s="55"/>
      <c r="F73" s="54"/>
      <c r="G73" s="55"/>
      <c r="H73" s="54"/>
      <c r="I73" s="55"/>
      <c r="J73" s="54"/>
      <c r="K73" s="55"/>
      <c r="L73" s="54"/>
      <c r="M73" s="55"/>
      <c r="N73" s="56"/>
      <c r="O73" s="56"/>
      <c r="P73" s="56"/>
      <c r="Q73" s="56"/>
      <c r="R73" s="141"/>
    </row>
    <row r="74" spans="1:18" x14ac:dyDescent="0.45">
      <c r="A74" s="53"/>
      <c r="B74" s="54"/>
      <c r="C74" s="55"/>
      <c r="D74" s="54"/>
      <c r="E74" s="55"/>
      <c r="F74" s="54"/>
      <c r="G74" s="55"/>
      <c r="H74" s="54"/>
      <c r="I74" s="55"/>
      <c r="J74" s="54"/>
      <c r="K74" s="55"/>
      <c r="L74" s="54"/>
      <c r="M74" s="55"/>
      <c r="N74" s="56"/>
      <c r="O74" s="56"/>
      <c r="P74" s="56"/>
      <c r="Q74" s="56"/>
      <c r="R74" s="141"/>
    </row>
    <row r="75" spans="1:18" x14ac:dyDescent="0.45">
      <c r="A75" s="53"/>
      <c r="B75" s="54"/>
      <c r="C75" s="55"/>
      <c r="D75" s="54"/>
      <c r="E75" s="55"/>
      <c r="F75" s="54"/>
      <c r="G75" s="55"/>
      <c r="H75" s="54"/>
      <c r="I75" s="55"/>
      <c r="J75" s="54"/>
      <c r="K75" s="55"/>
      <c r="L75" s="54"/>
      <c r="M75" s="55"/>
      <c r="N75" s="56"/>
      <c r="O75" s="56"/>
      <c r="P75" s="56"/>
      <c r="Q75" s="56"/>
      <c r="R75" s="141"/>
    </row>
    <row r="76" spans="1:18" x14ac:dyDescent="0.45">
      <c r="R76" s="141"/>
    </row>
    <row r="77" spans="1:18" x14ac:dyDescent="0.45">
      <c r="R77" s="141"/>
    </row>
    <row r="78" spans="1:18" x14ac:dyDescent="0.45">
      <c r="R78" s="141"/>
    </row>
    <row r="79" spans="1:18" x14ac:dyDescent="0.45">
      <c r="R79" s="141"/>
    </row>
    <row r="80" spans="1:18" x14ac:dyDescent="0.45">
      <c r="R80" s="141"/>
    </row>
    <row r="81" spans="18:18" x14ac:dyDescent="0.45">
      <c r="R81" s="141"/>
    </row>
    <row r="82" spans="18:18" x14ac:dyDescent="0.45">
      <c r="R82" s="141"/>
    </row>
    <row r="83" spans="18:18" x14ac:dyDescent="0.45">
      <c r="R83" s="141"/>
    </row>
    <row r="84" spans="18:18" x14ac:dyDescent="0.45">
      <c r="R84" s="141"/>
    </row>
    <row r="85" spans="18:18" x14ac:dyDescent="0.45">
      <c r="R85" s="141"/>
    </row>
    <row r="86" spans="18:18" x14ac:dyDescent="0.45">
      <c r="R86" s="141"/>
    </row>
    <row r="87" spans="18:18" x14ac:dyDescent="0.45">
      <c r="R87" s="14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B7C-3C9D-43F7-84E2-87C7B2848EB2}">
  <sheetPr>
    <tabColor rgb="FF92D050"/>
  </sheetPr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2">
    <tabColor rgb="FF92D050"/>
  </sheetPr>
  <dimension ref="A1:T86"/>
  <sheetViews>
    <sheetView tabSelected="1" topLeftCell="A55" zoomScaleNormal="100" workbookViewId="0">
      <pane xSplit="1" topLeftCell="B1" activePane="topRight" state="frozen"/>
      <selection activeCell="N31" sqref="N31"/>
      <selection pane="topRight" activeCell="E65" sqref="E65"/>
    </sheetView>
  </sheetViews>
  <sheetFormatPr baseColWidth="10" defaultColWidth="11.46484375" defaultRowHeight="14.25" x14ac:dyDescent="0.45"/>
  <cols>
    <col min="1" max="1" width="25.265625" style="1" bestFit="1" customWidth="1"/>
    <col min="2" max="2" width="9.59765625" style="2" customWidth="1"/>
    <col min="3" max="3" width="9.59765625" style="3" customWidth="1"/>
    <col min="4" max="4" width="9.59765625" style="2" customWidth="1"/>
    <col min="5" max="5" width="9.59765625" style="3" customWidth="1"/>
    <col min="6" max="6" width="9.59765625" style="2" customWidth="1"/>
    <col min="7" max="7" width="9.59765625" style="3" customWidth="1"/>
    <col min="8" max="8" width="9.59765625" style="2" customWidth="1"/>
    <col min="9" max="9" width="9.59765625" style="3" customWidth="1"/>
    <col min="10" max="10" width="9.59765625" style="2" customWidth="1"/>
    <col min="11" max="11" width="9.59765625" style="3" customWidth="1"/>
    <col min="12" max="12" width="9.59765625" style="2" customWidth="1"/>
    <col min="13" max="13" width="9.59765625" style="3" customWidth="1"/>
    <col min="14" max="17" width="9.59765625" style="22" customWidth="1"/>
    <col min="18" max="18" width="15.46484375" style="139" bestFit="1" customWidth="1"/>
    <col min="19" max="19" width="8.19921875" style="139" bestFit="1" customWidth="1"/>
    <col min="20" max="16384" width="11.46484375" style="1"/>
  </cols>
  <sheetData>
    <row r="1" spans="1:19" s="32" customFormat="1" ht="11.65" x14ac:dyDescent="0.35">
      <c r="B1" s="143" t="s">
        <v>78</v>
      </c>
      <c r="C1" s="144" t="s">
        <v>78</v>
      </c>
      <c r="D1" s="143" t="s">
        <v>78</v>
      </c>
      <c r="E1" s="144" t="s">
        <v>78</v>
      </c>
      <c r="F1" s="143" t="s">
        <v>78</v>
      </c>
      <c r="G1" s="144" t="s">
        <v>78</v>
      </c>
      <c r="H1" s="143" t="s">
        <v>78</v>
      </c>
      <c r="I1" s="144" t="s">
        <v>78</v>
      </c>
      <c r="J1" s="143" t="s">
        <v>78</v>
      </c>
      <c r="K1" s="144" t="s">
        <v>78</v>
      </c>
      <c r="L1" s="143" t="s">
        <v>78</v>
      </c>
      <c r="M1" s="144" t="s">
        <v>78</v>
      </c>
      <c r="N1" s="145" t="s">
        <v>78</v>
      </c>
      <c r="O1" s="145" t="s">
        <v>228</v>
      </c>
      <c r="P1" s="145" t="s">
        <v>177</v>
      </c>
      <c r="Q1" s="145" t="s">
        <v>177</v>
      </c>
      <c r="R1" s="137"/>
      <c r="S1" s="138"/>
    </row>
    <row r="2" spans="1:19" ht="14.65" thickBot="1" x14ac:dyDescent="0.5">
      <c r="A2" s="5" t="s">
        <v>329</v>
      </c>
      <c r="B2" s="23">
        <v>45839</v>
      </c>
      <c r="C2" s="24">
        <f>+B2+31</f>
        <v>45870</v>
      </c>
      <c r="D2" s="23">
        <f t="shared" ref="D2:M2" si="0">+C2+31</f>
        <v>45901</v>
      </c>
      <c r="E2" s="24">
        <f t="shared" si="0"/>
        <v>45932</v>
      </c>
      <c r="F2" s="23">
        <f t="shared" si="0"/>
        <v>45963</v>
      </c>
      <c r="G2" s="24">
        <f t="shared" si="0"/>
        <v>45994</v>
      </c>
      <c r="H2" s="23">
        <f t="shared" si="0"/>
        <v>46025</v>
      </c>
      <c r="I2" s="24">
        <f t="shared" si="0"/>
        <v>46056</v>
      </c>
      <c r="J2" s="23">
        <f t="shared" si="0"/>
        <v>46087</v>
      </c>
      <c r="K2" s="24">
        <f t="shared" si="0"/>
        <v>46118</v>
      </c>
      <c r="L2" s="23">
        <f t="shared" si="0"/>
        <v>46149</v>
      </c>
      <c r="M2" s="24">
        <f t="shared" si="0"/>
        <v>46180</v>
      </c>
      <c r="N2" s="25" t="s">
        <v>239</v>
      </c>
      <c r="O2" s="25" t="s">
        <v>230</v>
      </c>
      <c r="P2" s="25" t="s">
        <v>229</v>
      </c>
      <c r="Q2" s="25" t="s">
        <v>178</v>
      </c>
      <c r="R2" s="139" t="s">
        <v>155</v>
      </c>
      <c r="S2" s="139" t="s">
        <v>79</v>
      </c>
    </row>
    <row r="3" spans="1:19" x14ac:dyDescent="0.45">
      <c r="A3" s="26" t="s">
        <v>27</v>
      </c>
      <c r="B3" s="6">
        <f>+'Plan de culture 104 '!$B$3</f>
        <v>0</v>
      </c>
      <c r="C3" s="7">
        <f>+'Plan de culture 104 '!$B$3</f>
        <v>0</v>
      </c>
      <c r="D3" s="6">
        <f>+'Plan de culture 104 '!$B$3</f>
        <v>0</v>
      </c>
      <c r="E3" s="7">
        <f>+'Plan de culture 104 '!$B$3</f>
        <v>0</v>
      </c>
      <c r="F3" s="6">
        <f>+'Plan de culture 104 '!$B$3</f>
        <v>0</v>
      </c>
      <c r="G3" s="7">
        <f>+'Plan de culture 104 '!$B$3</f>
        <v>0</v>
      </c>
      <c r="H3" s="6">
        <f>+'Plan de culture 104 '!$B$3</f>
        <v>0</v>
      </c>
      <c r="I3" s="7">
        <f>+'Plan de culture 104 '!$B$3</f>
        <v>0</v>
      </c>
      <c r="J3" s="6">
        <f>+'Plan de culture 104 '!$B$3</f>
        <v>0</v>
      </c>
      <c r="K3" s="7">
        <f>+'Plan de culture 104 '!$B$3</f>
        <v>0</v>
      </c>
      <c r="L3" s="6">
        <f>+'Plan de culture 104 '!$B$3</f>
        <v>0</v>
      </c>
      <c r="M3" s="7">
        <f>+'Plan de culture 104 '!$B$3</f>
        <v>0</v>
      </c>
      <c r="N3" s="20">
        <f>+'Plan de culture 104 '!$B$3</f>
        <v>0</v>
      </c>
      <c r="O3" s="20">
        <v>6.8</v>
      </c>
      <c r="P3" s="20">
        <f>+N3-O3</f>
        <v>-6.8</v>
      </c>
      <c r="Q3" s="133">
        <f>+P3/O3</f>
        <v>-1</v>
      </c>
      <c r="R3" s="140">
        <f>+'Plan de culture 104 '!$B$3</f>
        <v>0</v>
      </c>
      <c r="S3" s="140">
        <f>+N3-R3</f>
        <v>0</v>
      </c>
    </row>
    <row r="4" spans="1:19" x14ac:dyDescent="0.45">
      <c r="A4" s="26" t="s">
        <v>23</v>
      </c>
      <c r="B4" s="6">
        <f>'Plan de culture 104 '!$C$3</f>
        <v>15.350000000000003</v>
      </c>
      <c r="C4" s="7">
        <f>'Plan de culture 104 '!$C$3</f>
        <v>15.350000000000003</v>
      </c>
      <c r="D4" s="6">
        <f>'Plan de culture 104 '!$C$3</f>
        <v>15.350000000000003</v>
      </c>
      <c r="E4" s="7">
        <f>'Plan de culture 104 '!$C$3</f>
        <v>15.350000000000003</v>
      </c>
      <c r="F4" s="6">
        <f>'Plan de culture 104 '!$C$3</f>
        <v>15.350000000000003</v>
      </c>
      <c r="G4" s="7">
        <f>'Plan de culture 104 '!$C$3</f>
        <v>15.350000000000003</v>
      </c>
      <c r="H4" s="6">
        <f>'Plan de culture 104 '!$C$3</f>
        <v>15.350000000000003</v>
      </c>
      <c r="I4" s="7">
        <f>'Plan de culture 104 '!$C$3</f>
        <v>15.350000000000003</v>
      </c>
      <c r="J4" s="6">
        <f>'Plan de culture 104 '!$C$3</f>
        <v>15.350000000000003</v>
      </c>
      <c r="K4" s="7">
        <f>'Plan de culture 104 '!$C$3</f>
        <v>15.350000000000003</v>
      </c>
      <c r="L4" s="6">
        <f>'Plan de culture 104 '!$C$3</f>
        <v>15.350000000000003</v>
      </c>
      <c r="M4" s="7">
        <f>'Plan de culture 104 '!$C$3</f>
        <v>15.350000000000003</v>
      </c>
      <c r="N4" s="20">
        <f>'Plan de culture 104 '!$C$3</f>
        <v>15.350000000000003</v>
      </c>
      <c r="O4" s="20">
        <v>6.8</v>
      </c>
      <c r="P4" s="20">
        <f>+N4-O4</f>
        <v>8.5500000000000043</v>
      </c>
      <c r="Q4" s="133">
        <f>+P4/O4</f>
        <v>1.2573529411764712</v>
      </c>
      <c r="R4" s="140">
        <f>+'Budget Volumes Export'!N8</f>
        <v>15.350000000000003</v>
      </c>
      <c r="S4" s="140">
        <f>+N4-R4</f>
        <v>0</v>
      </c>
    </row>
    <row r="5" spans="1:19" x14ac:dyDescent="0.45">
      <c r="A5" s="26" t="s">
        <v>0</v>
      </c>
      <c r="B5" s="8">
        <f>+'Budget Volumes Export'!B7+'Budget Volumes ML'!B7</f>
        <v>0</v>
      </c>
      <c r="C5" s="9">
        <f>+'Budget Volumes Export'!C7+'Budget Volumes ML'!C7</f>
        <v>0</v>
      </c>
      <c r="D5" s="8">
        <f>+'Budget Volumes Export'!D7+'Budget Volumes ML'!D7</f>
        <v>0</v>
      </c>
      <c r="E5" s="9">
        <f>+'Budget Volumes Export'!E7+'Budget Volumes ML'!E7</f>
        <v>30700.000000000007</v>
      </c>
      <c r="F5" s="8">
        <f>+'Budget Volumes Export'!F7+'Budget Volumes ML'!F7</f>
        <v>337700.00000000006</v>
      </c>
      <c r="G5" s="9">
        <f>+'Budget Volumes Export'!G7+'Budget Volumes ML'!G7</f>
        <v>253275.00000000006</v>
      </c>
      <c r="H5" s="8">
        <f>+'Budget Volumes Export'!H7+'Budget Volumes ML'!H7</f>
        <v>253275.00000000006</v>
      </c>
      <c r="I5" s="9">
        <f>+'Budget Volumes Export'!I7+'Budget Volumes ML'!I7</f>
        <v>337700.00000000006</v>
      </c>
      <c r="J5" s="8">
        <f>+'Budget Volumes Export'!J7+'Budget Volumes ML'!J7</f>
        <v>253275.00000000006</v>
      </c>
      <c r="K5" s="9">
        <f>+'Budget Volumes Export'!K7+'Budget Volumes ML'!K7</f>
        <v>253275.00000000006</v>
      </c>
      <c r="L5" s="8">
        <f>+'Budget Volumes Export'!L7+'Budget Volumes ML'!L7</f>
        <v>168850.00000000003</v>
      </c>
      <c r="M5" s="9">
        <f>+'Budget Volumes Export'!M7+'Budget Volumes ML'!M7</f>
        <v>84425.000000000015</v>
      </c>
      <c r="N5" s="31">
        <f>SUM(B5:M5)</f>
        <v>1972475.0000000002</v>
      </c>
      <c r="O5" s="31">
        <v>1108263.6814606742</v>
      </c>
      <c r="P5" s="31">
        <f>+N5-O5</f>
        <v>864211.31853932608</v>
      </c>
      <c r="Q5" s="134">
        <f t="shared" ref="Q5:Q60" si="1">+P5/O5</f>
        <v>0.77978854039528667</v>
      </c>
      <c r="R5" s="141">
        <f>+'Budget Volumes Export'!N7*1000</f>
        <v>1765250000.0000002</v>
      </c>
      <c r="S5" s="140">
        <f>+N5-R5</f>
        <v>-1763277525.0000002</v>
      </c>
    </row>
    <row r="6" spans="1:19" x14ac:dyDescent="0.45">
      <c r="A6" s="17" t="s">
        <v>1</v>
      </c>
      <c r="B6" s="10">
        <f>'Budget Volumes Export'!B9+'Budget Volumes ML'!B9</f>
        <v>0</v>
      </c>
      <c r="C6" s="11">
        <f>'Budget Volumes Export'!C9+'Budget Volumes ML'!C9</f>
        <v>0</v>
      </c>
      <c r="D6" s="10">
        <f>'Budget Volumes Export'!D9+'Budget Volumes ML'!D9</f>
        <v>0</v>
      </c>
      <c r="E6" s="11">
        <f>'Budget Volumes Export'!E9+'Budget Volumes ML'!E9</f>
        <v>2000</v>
      </c>
      <c r="F6" s="10">
        <f>'Budget Volumes Export'!F9+'Budget Volumes ML'!F9</f>
        <v>22000</v>
      </c>
      <c r="G6" s="11">
        <f>'Budget Volumes Export'!G9+'Budget Volumes ML'!G9</f>
        <v>16500</v>
      </c>
      <c r="H6" s="10">
        <f>'Budget Volumes Export'!H9+'Budget Volumes ML'!H9</f>
        <v>16500</v>
      </c>
      <c r="I6" s="11">
        <f>'Budget Volumes Export'!I9+'Budget Volumes ML'!I9</f>
        <v>22000</v>
      </c>
      <c r="J6" s="10">
        <f>'Budget Volumes Export'!J9+'Budget Volumes ML'!J9</f>
        <v>16500</v>
      </c>
      <c r="K6" s="11">
        <f>'Budget Volumes Export'!K9+'Budget Volumes ML'!K9</f>
        <v>16500</v>
      </c>
      <c r="L6" s="10">
        <f>'Budget Volumes Export'!L9+'Budget Volumes ML'!L9</f>
        <v>11000</v>
      </c>
      <c r="M6" s="11">
        <f>'Budget Volumes Export'!M9+'Budget Volumes ML'!M9</f>
        <v>5500</v>
      </c>
      <c r="N6" s="45">
        <f>'Budget Volumes Export'!N9+'Budget Volumes ML'!N9</f>
        <v>128500</v>
      </c>
      <c r="O6" s="45">
        <f t="shared" ref="O6" si="2">+O5/O4/1000</f>
        <v>162.97995315598149</v>
      </c>
      <c r="P6" s="45">
        <f t="shared" ref="P6:P60" si="3">+N6-O6</f>
        <v>128337.02004684402</v>
      </c>
      <c r="Q6" s="135">
        <f t="shared" si="1"/>
        <v>787.44052603830278</v>
      </c>
      <c r="R6" s="141">
        <f t="shared" ref="R6" si="4">+R5/R4/1000</f>
        <v>114999.99999999999</v>
      </c>
      <c r="S6" s="140">
        <f>+N6-R6</f>
        <v>13500.000000000015</v>
      </c>
    </row>
    <row r="7" spans="1:19" x14ac:dyDescent="0.45">
      <c r="A7" s="32" t="s">
        <v>477</v>
      </c>
      <c r="B7" s="12">
        <f>+'Budget Commercial Export'!B7</f>
        <v>0</v>
      </c>
      <c r="C7" s="13">
        <f>+'Budget Commercial Export'!C7</f>
        <v>0</v>
      </c>
      <c r="D7" s="12">
        <f>+'Budget Commercial Export'!D7</f>
        <v>0</v>
      </c>
      <c r="E7" s="13">
        <f>+'Budget Commercial Export'!E7</f>
        <v>0</v>
      </c>
      <c r="F7" s="12">
        <f>+'Budget Commercial Export'!F7</f>
        <v>3070000.0000000005</v>
      </c>
      <c r="G7" s="13">
        <f>+'Budget Commercial Export'!G7</f>
        <v>2302500.0000000005</v>
      </c>
      <c r="H7" s="12">
        <f>+'Budget Commercial Export'!H7</f>
        <v>2302500.0000000005</v>
      </c>
      <c r="I7" s="13">
        <f>+'Budget Commercial Export'!I7</f>
        <v>3070000.0000000005</v>
      </c>
      <c r="J7" s="12">
        <f>+'Budget Commercial Export'!J7</f>
        <v>2302500.0000000005</v>
      </c>
      <c r="K7" s="13">
        <f>+'Budget Commercial Export'!K7</f>
        <v>2302500.0000000005</v>
      </c>
      <c r="L7" s="12">
        <f>+'Budget Commercial Export'!L7</f>
        <v>1535000.0000000002</v>
      </c>
      <c r="M7" s="13">
        <f>+'Budget Commercial Export'!M7</f>
        <v>767500.00000000012</v>
      </c>
      <c r="N7" s="31">
        <f t="shared" ref="N7:N32" si="5">SUM(B7:M7)</f>
        <v>17652500.000000004</v>
      </c>
      <c r="O7" s="31">
        <v>2538893.701065952</v>
      </c>
      <c r="P7" s="31">
        <f t="shared" si="3"/>
        <v>15113606.298934052</v>
      </c>
      <c r="Q7" s="134">
        <f t="shared" si="1"/>
        <v>5.9528314606431216</v>
      </c>
      <c r="R7" s="141">
        <f>+'Budget Commercial Export'!N7</f>
        <v>17652500.000000004</v>
      </c>
      <c r="S7" s="140">
        <f>+N7-R7</f>
        <v>0</v>
      </c>
    </row>
    <row r="8" spans="1:19" x14ac:dyDescent="0.45">
      <c r="A8" s="32" t="s">
        <v>483</v>
      </c>
      <c r="B8" s="12">
        <f>+'Budget Commercial ML'!B7</f>
        <v>0</v>
      </c>
      <c r="C8" s="13">
        <f>+'Budget Commercial ML'!C7</f>
        <v>0</v>
      </c>
      <c r="D8" s="12">
        <f>+'Budget Commercial ML'!D7</f>
        <v>0</v>
      </c>
      <c r="E8" s="13">
        <f>+'Budget Commercial ML'!E7</f>
        <v>30700.000000000007</v>
      </c>
      <c r="F8" s="12">
        <f>+'Budget Commercial ML'!F7</f>
        <v>30700.000000000007</v>
      </c>
      <c r="G8" s="13">
        <f>+'Budget Commercial ML'!G7</f>
        <v>23025.000000000004</v>
      </c>
      <c r="H8" s="12">
        <f>+'Budget Commercial ML'!H7</f>
        <v>23025.000000000004</v>
      </c>
      <c r="I8" s="13">
        <f>+'Budget Commercial ML'!I7</f>
        <v>30700.000000000007</v>
      </c>
      <c r="J8" s="12">
        <f>+'Budget Commercial ML'!J7</f>
        <v>23025.000000000004</v>
      </c>
      <c r="K8" s="13">
        <f>+'Budget Commercial ML'!K7</f>
        <v>23025.000000000004</v>
      </c>
      <c r="L8" s="12">
        <f>+'Budget Commercial ML'!L7</f>
        <v>15350.000000000004</v>
      </c>
      <c r="M8" s="13">
        <f>+'Budget Commercial ML'!M7</f>
        <v>7675.0000000000018</v>
      </c>
      <c r="N8" s="31">
        <f t="shared" si="5"/>
        <v>207225.00000000003</v>
      </c>
      <c r="O8" s="31">
        <v>0</v>
      </c>
      <c r="P8" s="31">
        <f t="shared" si="3"/>
        <v>207225.00000000003</v>
      </c>
      <c r="Q8" s="134" t="e">
        <f t="shared" si="1"/>
        <v>#DIV/0!</v>
      </c>
      <c r="R8" s="141"/>
      <c r="S8" s="140"/>
    </row>
    <row r="9" spans="1:19" x14ac:dyDescent="0.45">
      <c r="A9" s="32" t="s">
        <v>57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31">
        <f t="shared" si="5"/>
        <v>0</v>
      </c>
      <c r="O9" s="31">
        <v>1023632.48</v>
      </c>
      <c r="P9" s="31">
        <f t="shared" si="3"/>
        <v>-1023632.48</v>
      </c>
      <c r="Q9" s="134">
        <f t="shared" si="1"/>
        <v>-1</v>
      </c>
      <c r="R9" s="141"/>
      <c r="S9" s="142"/>
    </row>
    <row r="10" spans="1:19" x14ac:dyDescent="0.45">
      <c r="A10" s="32" t="s">
        <v>24</v>
      </c>
      <c r="B10" s="12" t="e">
        <f>SUM(B68:B82)</f>
        <v>#DIV/0!</v>
      </c>
      <c r="C10" s="13" t="e">
        <f>SUM(C68:C82)</f>
        <v>#DIV/0!</v>
      </c>
      <c r="D10" s="12" t="e">
        <f>SUM(D68:D82)</f>
        <v>#DIV/0!</v>
      </c>
      <c r="E10" s="13" t="e">
        <f>+E66</f>
        <v>#DIV/0!</v>
      </c>
      <c r="F10" s="12" t="e">
        <f t="shared" ref="F10:M10" si="6">+F66</f>
        <v>#DIV/0!</v>
      </c>
      <c r="G10" s="13" t="e">
        <f t="shared" si="6"/>
        <v>#DIV/0!</v>
      </c>
      <c r="H10" s="12" t="e">
        <f t="shared" si="6"/>
        <v>#DIV/0!</v>
      </c>
      <c r="I10" s="13" t="e">
        <f t="shared" si="6"/>
        <v>#DIV/0!</v>
      </c>
      <c r="J10" s="12" t="e">
        <f t="shared" si="6"/>
        <v>#DIV/0!</v>
      </c>
      <c r="K10" s="13" t="e">
        <f t="shared" si="6"/>
        <v>#DIV/0!</v>
      </c>
      <c r="L10" s="12" t="e">
        <f t="shared" si="6"/>
        <v>#DIV/0!</v>
      </c>
      <c r="M10" s="13" t="e">
        <f t="shared" si="6"/>
        <v>#DIV/0!</v>
      </c>
      <c r="N10" s="31" t="e">
        <f t="shared" si="5"/>
        <v>#DIV/0!</v>
      </c>
      <c r="O10" s="31">
        <v>0</v>
      </c>
      <c r="P10" s="31" t="e">
        <f t="shared" si="3"/>
        <v>#DIV/0!</v>
      </c>
      <c r="Q10" s="134" t="e">
        <f t="shared" si="1"/>
        <v>#DIV/0!</v>
      </c>
      <c r="R10" s="141">
        <v>0</v>
      </c>
      <c r="S10" s="140" t="e">
        <f>+N10-R10</f>
        <v>#DIV/0!</v>
      </c>
    </row>
    <row r="11" spans="1:19" x14ac:dyDescent="0.45">
      <c r="A11" s="26" t="s">
        <v>25</v>
      </c>
      <c r="B11" s="8" t="e">
        <f>+B10+B7+B9</f>
        <v>#DIV/0!</v>
      </c>
      <c r="C11" s="9" t="e">
        <f t="shared" ref="C11:G11" si="7">+C10+C7+C9</f>
        <v>#DIV/0!</v>
      </c>
      <c r="D11" s="8" t="e">
        <f t="shared" si="7"/>
        <v>#DIV/0!</v>
      </c>
      <c r="E11" s="9" t="e">
        <f t="shared" si="7"/>
        <v>#DIV/0!</v>
      </c>
      <c r="F11" s="8" t="e">
        <f t="shared" si="7"/>
        <v>#DIV/0!</v>
      </c>
      <c r="G11" s="9" t="e">
        <f t="shared" si="7"/>
        <v>#DIV/0!</v>
      </c>
      <c r="H11" s="8" t="e">
        <f t="shared" ref="H11" si="8">+H10+H7+H9</f>
        <v>#DIV/0!</v>
      </c>
      <c r="I11" s="9" t="e">
        <f t="shared" ref="I11" si="9">+I10+I7+I9</f>
        <v>#DIV/0!</v>
      </c>
      <c r="J11" s="8" t="e">
        <f t="shared" ref="J11" si="10">+J10+J7+J9</f>
        <v>#DIV/0!</v>
      </c>
      <c r="K11" s="9" t="e">
        <f t="shared" ref="K11" si="11">+K10+K7+K9</f>
        <v>#DIV/0!</v>
      </c>
      <c r="L11" s="8" t="e">
        <f t="shared" ref="L11" si="12">+L10+L7+L9</f>
        <v>#DIV/0!</v>
      </c>
      <c r="M11" s="9" t="e">
        <f t="shared" ref="M11:O11" si="13">+M10+M7+M9</f>
        <v>#DIV/0!</v>
      </c>
      <c r="N11" s="31" t="e">
        <f t="shared" si="5"/>
        <v>#DIV/0!</v>
      </c>
      <c r="O11" s="31">
        <f t="shared" si="13"/>
        <v>3562526.1810659519</v>
      </c>
      <c r="P11" s="31" t="e">
        <f t="shared" si="3"/>
        <v>#DIV/0!</v>
      </c>
      <c r="Q11" s="134" t="e">
        <f t="shared" si="1"/>
        <v>#DIV/0!</v>
      </c>
      <c r="R11" s="141"/>
      <c r="S11" s="142"/>
    </row>
    <row r="12" spans="1:19" x14ac:dyDescent="0.45">
      <c r="A12" s="32" t="s">
        <v>2</v>
      </c>
      <c r="B12" s="12">
        <f>+'Budget Semences'!B7</f>
        <v>0</v>
      </c>
      <c r="C12" s="13">
        <f>+'Budget Semences'!C10</f>
        <v>1494600</v>
      </c>
      <c r="D12" s="12">
        <f>+'Budget Semences'!D10</f>
        <v>0</v>
      </c>
      <c r="E12" s="13">
        <f>+'Budget Semences'!E10</f>
        <v>0</v>
      </c>
      <c r="F12" s="12">
        <f>+'Budget Semences'!F10</f>
        <v>0</v>
      </c>
      <c r="G12" s="13">
        <f>+'Budget Semences'!G10</f>
        <v>0</v>
      </c>
      <c r="H12" s="12">
        <f>+'Budget Semences'!H10</f>
        <v>0</v>
      </c>
      <c r="I12" s="13">
        <f>+'Budget Semences'!I10</f>
        <v>0</v>
      </c>
      <c r="J12" s="12">
        <f>+'Budget Semences'!J10</f>
        <v>0</v>
      </c>
      <c r="K12" s="13">
        <f>+'Budget Semences'!K10</f>
        <v>0</v>
      </c>
      <c r="L12" s="12">
        <f>+'Budget Semences'!L10</f>
        <v>0</v>
      </c>
      <c r="M12" s="13">
        <f>+'Budget Semences'!M10</f>
        <v>0</v>
      </c>
      <c r="N12" s="31">
        <f t="shared" si="5"/>
        <v>1494600</v>
      </c>
      <c r="O12" s="31">
        <v>202400.00000000003</v>
      </c>
      <c r="P12" s="31">
        <f t="shared" si="3"/>
        <v>1292200</v>
      </c>
      <c r="Q12" s="134">
        <f t="shared" si="1"/>
        <v>6.3843873517786554</v>
      </c>
      <c r="R12" s="141">
        <f>+'Budget Semences'!N7</f>
        <v>1494600</v>
      </c>
      <c r="S12" s="140">
        <f>+N12-R12</f>
        <v>0</v>
      </c>
    </row>
    <row r="13" spans="1:19" x14ac:dyDescent="0.45">
      <c r="A13" s="32" t="s">
        <v>3</v>
      </c>
      <c r="B13" s="12">
        <f>+'Budget Engrais'!B7</f>
        <v>0</v>
      </c>
      <c r="C13" s="13">
        <f>+'Budget Engrais'!C7</f>
        <v>0</v>
      </c>
      <c r="D13" s="12">
        <f>+'Budget Engrais'!D7</f>
        <v>0</v>
      </c>
      <c r="E13" s="13">
        <f>+'Budget Engrais'!E7</f>
        <v>0</v>
      </c>
      <c r="F13" s="12">
        <f>+'Budget Engrais'!F7</f>
        <v>0</v>
      </c>
      <c r="G13" s="13">
        <f>+'Budget Engrais'!G7</f>
        <v>0</v>
      </c>
      <c r="H13" s="12">
        <f>+'Budget Engrais'!H7</f>
        <v>0</v>
      </c>
      <c r="I13" s="13">
        <f>+'Budget Engrais'!I7</f>
        <v>0</v>
      </c>
      <c r="J13" s="12">
        <f>+'Budget Engrais'!J7</f>
        <v>0</v>
      </c>
      <c r="K13" s="13">
        <f>+'Budget Engrais'!K7</f>
        <v>0</v>
      </c>
      <c r="L13" s="12">
        <f>+'Budget Engrais'!L7</f>
        <v>0</v>
      </c>
      <c r="M13" s="13">
        <f>+'Budget Engrais'!M7</f>
        <v>0</v>
      </c>
      <c r="N13" s="31">
        <f t="shared" si="5"/>
        <v>0</v>
      </c>
      <c r="O13" s="31">
        <v>537520.18455807853</v>
      </c>
      <c r="P13" s="31">
        <f t="shared" si="3"/>
        <v>-537520.18455807853</v>
      </c>
      <c r="Q13" s="134">
        <f t="shared" si="1"/>
        <v>-1</v>
      </c>
      <c r="R13" s="141">
        <f>+'Budget Engrais'!N7</f>
        <v>0</v>
      </c>
      <c r="S13" s="140">
        <f t="shared" ref="S13:S29" si="14">+N13-R13</f>
        <v>0</v>
      </c>
    </row>
    <row r="14" spans="1:19" x14ac:dyDescent="0.45">
      <c r="A14" s="32" t="s">
        <v>4</v>
      </c>
      <c r="B14" s="12">
        <f>+'Budget Plants'!B7</f>
        <v>0</v>
      </c>
      <c r="C14" s="13">
        <f>+'Budget Plants'!C7</f>
        <v>1113000</v>
      </c>
      <c r="D14" s="12">
        <f>+'Budget Plants'!D7</f>
        <v>0</v>
      </c>
      <c r="E14" s="13">
        <f>+'Budget Plants'!E7</f>
        <v>0</v>
      </c>
      <c r="F14" s="12">
        <f>+'Budget Plants'!F7</f>
        <v>0</v>
      </c>
      <c r="G14" s="13">
        <f>+'Budget Plants'!G7</f>
        <v>0</v>
      </c>
      <c r="H14" s="12">
        <f>+'Budget Plants'!H7</f>
        <v>0</v>
      </c>
      <c r="I14" s="13">
        <f>+'Budget Plants'!I7</f>
        <v>0</v>
      </c>
      <c r="J14" s="12">
        <f>+'Budget Plants'!J7</f>
        <v>0</v>
      </c>
      <c r="K14" s="13">
        <f>+'Budget Plants'!K7</f>
        <v>0</v>
      </c>
      <c r="L14" s="12">
        <f>+'Budget Plants'!L7</f>
        <v>0</v>
      </c>
      <c r="M14" s="13">
        <f>+'Budget Plants'!M7</f>
        <v>0</v>
      </c>
      <c r="N14" s="31">
        <f t="shared" si="5"/>
        <v>1113000</v>
      </c>
      <c r="O14" s="31">
        <v>254886.99999991001</v>
      </c>
      <c r="P14" s="31">
        <f t="shared" si="3"/>
        <v>858113.00000008999</v>
      </c>
      <c r="Q14" s="134">
        <f t="shared" si="1"/>
        <v>3.3666409036176539</v>
      </c>
      <c r="R14" s="141">
        <f>+'Budget Plants'!N7</f>
        <v>1113000</v>
      </c>
      <c r="S14" s="140">
        <f t="shared" si="14"/>
        <v>0</v>
      </c>
    </row>
    <row r="15" spans="1:19" x14ac:dyDescent="0.45">
      <c r="A15" s="32" t="s">
        <v>5</v>
      </c>
      <c r="B15" s="12">
        <f>+'Budget Phytos'!B7</f>
        <v>0</v>
      </c>
      <c r="C15" s="13">
        <f>+'Budget Phytos'!C7</f>
        <v>0</v>
      </c>
      <c r="D15" s="12">
        <f>+'Budget Phytos'!D7</f>
        <v>0</v>
      </c>
      <c r="E15" s="13">
        <f>+'Budget Phytos'!E7</f>
        <v>0</v>
      </c>
      <c r="F15" s="12">
        <f>+'Budget Phytos'!F7</f>
        <v>0</v>
      </c>
      <c r="G15" s="13">
        <f>+'Budget Phytos'!G7</f>
        <v>0</v>
      </c>
      <c r="H15" s="12">
        <f>+'Budget Phytos'!H7</f>
        <v>0</v>
      </c>
      <c r="I15" s="13">
        <f>+'Budget Phytos'!I7</f>
        <v>0</v>
      </c>
      <c r="J15" s="12">
        <f>+'Budget Phytos'!J7</f>
        <v>0</v>
      </c>
      <c r="K15" s="13">
        <f>+'Budget Phytos'!K7</f>
        <v>0</v>
      </c>
      <c r="L15" s="12">
        <f>+'Budget Phytos'!L7</f>
        <v>0</v>
      </c>
      <c r="M15" s="13">
        <f>+'Budget Phytos'!M7</f>
        <v>0</v>
      </c>
      <c r="N15" s="31">
        <f t="shared" si="5"/>
        <v>0</v>
      </c>
      <c r="O15" s="31">
        <v>582668.22068617889</v>
      </c>
      <c r="P15" s="31">
        <f t="shared" si="3"/>
        <v>-582668.22068617889</v>
      </c>
      <c r="Q15" s="134">
        <f t="shared" si="1"/>
        <v>-1</v>
      </c>
      <c r="R15" s="141">
        <f>+'Budget Phytos'!N7</f>
        <v>0</v>
      </c>
      <c r="S15" s="140">
        <f t="shared" si="14"/>
        <v>0</v>
      </c>
    </row>
    <row r="16" spans="1:19" x14ac:dyDescent="0.45">
      <c r="A16" s="32" t="s">
        <v>6</v>
      </c>
      <c r="B16" s="12">
        <f>+'Budget Ruches'!B7</f>
        <v>0</v>
      </c>
      <c r="C16" s="13">
        <f>+'Budget Ruches'!C7</f>
        <v>0</v>
      </c>
      <c r="D16" s="12">
        <f>+'Budget Ruches'!D7</f>
        <v>0</v>
      </c>
      <c r="E16" s="13">
        <f>+'Budget Ruches'!E7</f>
        <v>0</v>
      </c>
      <c r="F16" s="12">
        <f>+'Budget Ruches'!F7</f>
        <v>0</v>
      </c>
      <c r="G16" s="13">
        <f>+'Budget Ruches'!G7</f>
        <v>0</v>
      </c>
      <c r="H16" s="12">
        <f>+'Budget Ruches'!H7</f>
        <v>0</v>
      </c>
      <c r="I16" s="13">
        <f>+'Budget Ruches'!I7</f>
        <v>0</v>
      </c>
      <c r="J16" s="12">
        <f>+'Budget Ruches'!J7</f>
        <v>0</v>
      </c>
      <c r="K16" s="13">
        <f>+'Budget Ruches'!K7</f>
        <v>0</v>
      </c>
      <c r="L16" s="12">
        <f>+'Budget Ruches'!L7</f>
        <v>0</v>
      </c>
      <c r="M16" s="13">
        <f>+'Budget Ruches'!M7</f>
        <v>0</v>
      </c>
      <c r="N16" s="31">
        <f t="shared" si="5"/>
        <v>0</v>
      </c>
      <c r="O16" s="31">
        <v>107635.04599999251</v>
      </c>
      <c r="P16" s="31">
        <f t="shared" si="3"/>
        <v>-107635.04599999251</v>
      </c>
      <c r="Q16" s="134">
        <f t="shared" si="1"/>
        <v>-1</v>
      </c>
      <c r="R16" s="141">
        <f>+'Budget Ruches'!N7</f>
        <v>0</v>
      </c>
      <c r="S16" s="140">
        <f t="shared" si="14"/>
        <v>0</v>
      </c>
    </row>
    <row r="17" spans="1:20" x14ac:dyDescent="0.45">
      <c r="A17" s="32" t="s">
        <v>7</v>
      </c>
      <c r="B17" s="12">
        <f>+'Budget Fres Agri'!B7</f>
        <v>479534.00000000006</v>
      </c>
      <c r="C17" s="13">
        <f>+'Budget Fres Agri'!C7</f>
        <v>15350.000000000004</v>
      </c>
      <c r="D17" s="12">
        <f>+'Budget Fres Agri'!D7</f>
        <v>15350.000000000004</v>
      </c>
      <c r="E17" s="13">
        <f>+'Budget Fres Agri'!E7</f>
        <v>15350.000000000004</v>
      </c>
      <c r="F17" s="12">
        <f>+'Budget Fres Agri'!F7</f>
        <v>15350.000000000004</v>
      </c>
      <c r="G17" s="13">
        <f>+'Budget Fres Agri'!G7</f>
        <v>15350.000000000004</v>
      </c>
      <c r="H17" s="12">
        <f>+'Budget Fres Agri'!H7</f>
        <v>15350.000000000004</v>
      </c>
      <c r="I17" s="13">
        <f>+'Budget Fres Agri'!I7</f>
        <v>15350.000000000004</v>
      </c>
      <c r="J17" s="12">
        <f>+'Budget Fres Agri'!J7</f>
        <v>15350.000000000004</v>
      </c>
      <c r="K17" s="13">
        <f>+'Budget Fres Agri'!K7</f>
        <v>15350.000000000004</v>
      </c>
      <c r="L17" s="12">
        <f>+'Budget Fres Agri'!L7</f>
        <v>15350.000000000004</v>
      </c>
      <c r="M17" s="13">
        <f>+'Budget Fres Agri'!M7</f>
        <v>15350.000000000004</v>
      </c>
      <c r="N17" s="31">
        <f t="shared" si="5"/>
        <v>648384.00000000012</v>
      </c>
      <c r="O17" s="31">
        <v>73551.903999999995</v>
      </c>
      <c r="P17" s="31">
        <f t="shared" si="3"/>
        <v>574832.09600000014</v>
      </c>
      <c r="Q17" s="134">
        <f t="shared" si="1"/>
        <v>7.8153258411910072</v>
      </c>
      <c r="R17" s="141">
        <f>+'Budget Fres Agri'!N7</f>
        <v>648384.00000000012</v>
      </c>
      <c r="S17" s="140">
        <f t="shared" si="14"/>
        <v>0</v>
      </c>
    </row>
    <row r="18" spans="1:20" x14ac:dyDescent="0.45">
      <c r="A18" s="26" t="s">
        <v>15</v>
      </c>
      <c r="B18" s="8">
        <f>SUM(B12:B17)</f>
        <v>479534.00000000006</v>
      </c>
      <c r="C18" s="9">
        <f t="shared" ref="C18:O18" si="15">SUM(C12:C17)</f>
        <v>2622950</v>
      </c>
      <c r="D18" s="8">
        <f>SUM(D12:D17)</f>
        <v>15350.000000000004</v>
      </c>
      <c r="E18" s="9">
        <f t="shared" si="15"/>
        <v>15350.000000000004</v>
      </c>
      <c r="F18" s="8">
        <f>SUM(F12:F17)</f>
        <v>15350.000000000004</v>
      </c>
      <c r="G18" s="9">
        <f t="shared" si="15"/>
        <v>15350.000000000004</v>
      </c>
      <c r="H18" s="8">
        <f>SUM(H12:H17)</f>
        <v>15350.000000000004</v>
      </c>
      <c r="I18" s="9">
        <f t="shared" si="15"/>
        <v>15350.000000000004</v>
      </c>
      <c r="J18" s="8">
        <f>SUM(J12:J17)</f>
        <v>15350.000000000004</v>
      </c>
      <c r="K18" s="9">
        <f t="shared" si="15"/>
        <v>15350.000000000004</v>
      </c>
      <c r="L18" s="8">
        <f>SUM(L12:L17)</f>
        <v>15350.000000000004</v>
      </c>
      <c r="M18" s="9">
        <f t="shared" si="15"/>
        <v>15350.000000000004</v>
      </c>
      <c r="N18" s="31">
        <f t="shared" si="5"/>
        <v>3255984</v>
      </c>
      <c r="O18" s="31">
        <f t="shared" si="15"/>
        <v>1758662.3552441599</v>
      </c>
      <c r="P18" s="31">
        <f t="shared" si="3"/>
        <v>1497321.6447558401</v>
      </c>
      <c r="Q18" s="134">
        <f t="shared" si="1"/>
        <v>0.85139801866513642</v>
      </c>
      <c r="R18" s="141">
        <f>+'Budget Semences'!N7+'Budget Plants'!N7+'Budget Engrais'!N7+'Budget Phytos'!N7+'Budget Ruches'!N7+'Budget Fres Agri'!N7</f>
        <v>3255984</v>
      </c>
      <c r="S18" s="140">
        <f t="shared" si="14"/>
        <v>0</v>
      </c>
    </row>
    <row r="19" spans="1:20" x14ac:dyDescent="0.45">
      <c r="A19" s="32" t="s">
        <v>8</v>
      </c>
      <c r="B19" s="12">
        <f>+'Budget Energie'!B15+'Budget Energie'!B22</f>
        <v>0</v>
      </c>
      <c r="C19" s="13">
        <f>+'Budget Energie'!C15+'Budget Energie'!C22</f>
        <v>0</v>
      </c>
      <c r="D19" s="12">
        <f>+'Budget Energie'!D15+'Budget Energie'!D22</f>
        <v>0</v>
      </c>
      <c r="E19" s="13">
        <f>+'Budget Energie'!E15+'Budget Energie'!E22</f>
        <v>0</v>
      </c>
      <c r="F19" s="12">
        <f>+'Budget Energie'!F15+'Budget Energie'!F22</f>
        <v>0</v>
      </c>
      <c r="G19" s="13">
        <f>+'Budget Energie'!G15+'Budget Energie'!G22</f>
        <v>0</v>
      </c>
      <c r="H19" s="12">
        <f>+'Budget Energie'!H15+'Budget Energie'!H22</f>
        <v>0</v>
      </c>
      <c r="I19" s="13">
        <f>+'Budget Energie'!I15+'Budget Energie'!I22</f>
        <v>0</v>
      </c>
      <c r="J19" s="12">
        <f>+'Budget Energie'!J15+'Budget Energie'!J22</f>
        <v>0</v>
      </c>
      <c r="K19" s="13">
        <f>+'Budget Energie'!K15+'Budget Energie'!K22</f>
        <v>0</v>
      </c>
      <c r="L19" s="12">
        <f>+'Budget Energie'!L15+'Budget Energie'!L22</f>
        <v>0</v>
      </c>
      <c r="M19" s="13">
        <f>+'Budget Energie'!M15+'Budget Energie'!M22</f>
        <v>0</v>
      </c>
      <c r="N19" s="31">
        <f t="shared" si="5"/>
        <v>0</v>
      </c>
      <c r="O19" s="31">
        <v>91727.416534532706</v>
      </c>
      <c r="P19" s="31">
        <f t="shared" si="3"/>
        <v>-91727.416534532706</v>
      </c>
      <c r="Q19" s="134">
        <f t="shared" si="1"/>
        <v>-1</v>
      </c>
      <c r="R19" s="141">
        <f>+'Budget Energie'!N15+'Budget Energie'!N22</f>
        <v>0</v>
      </c>
      <c r="S19" s="140">
        <f t="shared" si="14"/>
        <v>0</v>
      </c>
    </row>
    <row r="20" spans="1:20" x14ac:dyDescent="0.45">
      <c r="A20" s="32" t="s">
        <v>9</v>
      </c>
      <c r="B20" s="12">
        <f>+'Budget Energie'!B13+'Budget Energie'!B20</f>
        <v>0</v>
      </c>
      <c r="C20" s="13">
        <f>+'Budget Energie'!C13+'Budget Energie'!C20</f>
        <v>0</v>
      </c>
      <c r="D20" s="12">
        <f>+'Budget Energie'!D13+'Budget Energie'!D20</f>
        <v>0</v>
      </c>
      <c r="E20" s="13">
        <f>+'Budget Energie'!E13+'Budget Energie'!E20</f>
        <v>0</v>
      </c>
      <c r="F20" s="12">
        <f>+'Budget Energie'!F13+'Budget Energie'!F20</f>
        <v>0</v>
      </c>
      <c r="G20" s="13">
        <f>+'Budget Energie'!G13+'Budget Energie'!G20</f>
        <v>0</v>
      </c>
      <c r="H20" s="12">
        <f>+'Budget Energie'!H13+'Budget Energie'!H20</f>
        <v>0</v>
      </c>
      <c r="I20" s="13">
        <f>+'Budget Energie'!I13+'Budget Energie'!I20</f>
        <v>0</v>
      </c>
      <c r="J20" s="12">
        <f>+'Budget Energie'!J13+'Budget Energie'!J20</f>
        <v>0</v>
      </c>
      <c r="K20" s="13">
        <f>+'Budget Energie'!K13+'Budget Energie'!K20</f>
        <v>0</v>
      </c>
      <c r="L20" s="12">
        <f>+'Budget Energie'!L13+'Budget Energie'!L20</f>
        <v>0</v>
      </c>
      <c r="M20" s="13">
        <f>+'Budget Energie'!M13+'Budget Energie'!M20</f>
        <v>0</v>
      </c>
      <c r="N20" s="31">
        <f t="shared" si="5"/>
        <v>0</v>
      </c>
      <c r="O20" s="31">
        <v>20637.641333267995</v>
      </c>
      <c r="P20" s="31">
        <f t="shared" si="3"/>
        <v>-20637.641333267995</v>
      </c>
      <c r="Q20" s="134">
        <f t="shared" si="1"/>
        <v>-1</v>
      </c>
      <c r="R20" s="141">
        <f>+'Budget Energie'!N13+'Budget Energie'!N20</f>
        <v>0</v>
      </c>
      <c r="S20" s="140">
        <f t="shared" si="14"/>
        <v>0</v>
      </c>
    </row>
    <row r="21" spans="1:20" x14ac:dyDescent="0.45">
      <c r="A21" s="26" t="s">
        <v>16</v>
      </c>
      <c r="B21" s="8">
        <f>SUM(B19:B20)</f>
        <v>0</v>
      </c>
      <c r="C21" s="9">
        <f t="shared" ref="C21:M21" si="16">SUM(C19:C20)</f>
        <v>0</v>
      </c>
      <c r="D21" s="8">
        <f t="shared" si="16"/>
        <v>0</v>
      </c>
      <c r="E21" s="9">
        <f t="shared" si="16"/>
        <v>0</v>
      </c>
      <c r="F21" s="8">
        <f t="shared" si="16"/>
        <v>0</v>
      </c>
      <c r="G21" s="9">
        <f t="shared" si="16"/>
        <v>0</v>
      </c>
      <c r="H21" s="8">
        <f t="shared" si="16"/>
        <v>0</v>
      </c>
      <c r="I21" s="9">
        <f t="shared" si="16"/>
        <v>0</v>
      </c>
      <c r="J21" s="8">
        <f t="shared" si="16"/>
        <v>0</v>
      </c>
      <c r="K21" s="9">
        <f t="shared" si="16"/>
        <v>0</v>
      </c>
      <c r="L21" s="8">
        <f t="shared" si="16"/>
        <v>0</v>
      </c>
      <c r="M21" s="9">
        <f t="shared" si="16"/>
        <v>0</v>
      </c>
      <c r="N21" s="31">
        <f t="shared" si="5"/>
        <v>0</v>
      </c>
      <c r="O21" s="31">
        <f>+O20+O19</f>
        <v>112365.0578678007</v>
      </c>
      <c r="P21" s="31">
        <f t="shared" si="3"/>
        <v>-112365.0578678007</v>
      </c>
      <c r="Q21" s="134">
        <f t="shared" si="1"/>
        <v>-1</v>
      </c>
      <c r="R21" s="141">
        <f>+'Budget Energie'!N7</f>
        <v>0</v>
      </c>
      <c r="S21" s="140">
        <f t="shared" si="14"/>
        <v>0</v>
      </c>
    </row>
    <row r="22" spans="1:20" x14ac:dyDescent="0.45">
      <c r="A22" s="32" t="s">
        <v>10</v>
      </c>
      <c r="B22" s="12">
        <f>+'Budget Ent &amp; Analyses'!B14+'Budget Commun'!B19+'Budget Ent &amp; Analyses'!B22</f>
        <v>0</v>
      </c>
      <c r="C22" s="13">
        <f>+'Budget Ent &amp; Analyses'!C14+'Budget Commun'!C19+'Budget Ent &amp; Analyses'!C22</f>
        <v>61400.000000000015</v>
      </c>
      <c r="D22" s="12">
        <f>+'Budget Ent &amp; Analyses'!D14+'Budget Commun'!D19+'Budget Ent &amp; Analyses'!D22</f>
        <v>0</v>
      </c>
      <c r="E22" s="13">
        <f>+'Budget Ent &amp; Analyses'!E14+'Budget Commun'!E19+'Budget Ent &amp; Analyses'!E22</f>
        <v>0</v>
      </c>
      <c r="F22" s="12">
        <f>+'Budget Ent &amp; Analyses'!F14+'Budget Commun'!F19+'Budget Ent &amp; Analyses'!F22</f>
        <v>0</v>
      </c>
      <c r="G22" s="13">
        <f>+'Budget Ent &amp; Analyses'!G14+'Budget Commun'!G19+'Budget Ent &amp; Analyses'!G22</f>
        <v>0</v>
      </c>
      <c r="H22" s="12">
        <f>+'Budget Ent &amp; Analyses'!H14+'Budget Commun'!H19+'Budget Ent &amp; Analyses'!H22</f>
        <v>0</v>
      </c>
      <c r="I22" s="13">
        <f>+'Budget Ent &amp; Analyses'!I14+'Budget Commun'!I19+'Budget Ent &amp; Analyses'!I22</f>
        <v>0</v>
      </c>
      <c r="J22" s="12">
        <f>+'Budget Ent &amp; Analyses'!J14+'Budget Commun'!J19+'Budget Ent &amp; Analyses'!J22</f>
        <v>0</v>
      </c>
      <c r="K22" s="13">
        <f>+'Budget Ent &amp; Analyses'!K14+'Budget Commun'!K19+'Budget Ent &amp; Analyses'!K22</f>
        <v>0</v>
      </c>
      <c r="L22" s="12">
        <f>+'Budget Ent &amp; Analyses'!L14+'Budget Commun'!L19+'Budget Ent &amp; Analyses'!L22</f>
        <v>0</v>
      </c>
      <c r="M22" s="13">
        <f>+'Budget Ent &amp; Analyses'!M14+'Budget Commun'!M19+'Budget Ent &amp; Analyses'!M22</f>
        <v>0</v>
      </c>
      <c r="N22" s="31">
        <f t="shared" si="5"/>
        <v>61400.000000000015</v>
      </c>
      <c r="O22" s="31">
        <v>43594.909302325585</v>
      </c>
      <c r="P22" s="31">
        <f t="shared" si="3"/>
        <v>17805.09069767443</v>
      </c>
      <c r="Q22" s="134">
        <f t="shared" si="1"/>
        <v>0.40842132677001836</v>
      </c>
      <c r="R22" s="141">
        <f>+'Budget Ent &amp; Analyses'!N14+'Budget Commun'!N19+'Budget Ent &amp; Analyses'!N22</f>
        <v>61400.000000000015</v>
      </c>
      <c r="S22" s="140">
        <f t="shared" si="14"/>
        <v>0</v>
      </c>
    </row>
    <row r="23" spans="1:20" x14ac:dyDescent="0.45">
      <c r="A23" s="32" t="s">
        <v>11</v>
      </c>
      <c r="B23" s="12">
        <f>+'Budget Loyers Fermes'!B7</f>
        <v>37622.549019607854</v>
      </c>
      <c r="C23" s="13">
        <f>+'Budget Loyers Fermes'!C7</f>
        <v>37622.549019607854</v>
      </c>
      <c r="D23" s="12">
        <f>+'Budget Loyers Fermes'!D7</f>
        <v>37622.549019607854</v>
      </c>
      <c r="E23" s="13">
        <f>+'Budget Loyers Fermes'!E7</f>
        <v>37622.549019607854</v>
      </c>
      <c r="F23" s="12">
        <f>+'Budget Loyers Fermes'!F7</f>
        <v>37622.549019607854</v>
      </c>
      <c r="G23" s="13">
        <f>+'Budget Loyers Fermes'!G7</f>
        <v>37622.549019607854</v>
      </c>
      <c r="H23" s="12">
        <f>+'Budget Loyers Fermes'!H7</f>
        <v>37622.549019607854</v>
      </c>
      <c r="I23" s="13">
        <f>+'Budget Loyers Fermes'!I7</f>
        <v>37622.549019607854</v>
      </c>
      <c r="J23" s="12">
        <f>+'Budget Loyers Fermes'!J7</f>
        <v>37622.549019607854</v>
      </c>
      <c r="K23" s="13">
        <f>+'Budget Loyers Fermes'!K7</f>
        <v>37622.549019607854</v>
      </c>
      <c r="L23" s="12">
        <f>+'Budget Loyers Fermes'!L7</f>
        <v>37622.549019607854</v>
      </c>
      <c r="M23" s="13">
        <f>+'Budget Loyers Fermes'!M7</f>
        <v>37622.549019607854</v>
      </c>
      <c r="N23" s="31">
        <f t="shared" si="5"/>
        <v>451470.58823529416</v>
      </c>
      <c r="O23" s="31">
        <v>191666.66666666666</v>
      </c>
      <c r="P23" s="31">
        <f t="shared" si="3"/>
        <v>259803.9215686275</v>
      </c>
      <c r="Q23" s="134">
        <f t="shared" si="1"/>
        <v>1.3554987212276217</v>
      </c>
      <c r="R23" s="141">
        <f>+'Budget Loyers Fermes'!N7</f>
        <v>451470.58823529416</v>
      </c>
      <c r="S23" s="140">
        <f t="shared" si="14"/>
        <v>0</v>
      </c>
    </row>
    <row r="24" spans="1:20" x14ac:dyDescent="0.45">
      <c r="A24" s="32" t="s">
        <v>12</v>
      </c>
      <c r="B24" s="12">
        <f>+'Budget Ent &amp; Analyses'!B7-'Budget Ent &amp; Analyses'!B14-'Budget Ent &amp; Analyses'!B22+'Budget Commun'!B27</f>
        <v>10295.303468208092</v>
      </c>
      <c r="C24" s="13">
        <f>+'Budget Ent &amp; Analyses'!C7-'Budget Ent &amp; Analyses'!C14-'Budget Ent &amp; Analyses'!C22+'Budget Commun'!C27</f>
        <v>14132.803468208092</v>
      </c>
      <c r="D24" s="12">
        <f>+'Budget Ent &amp; Analyses'!D7-'Budget Ent &amp; Analyses'!D14-'Budget Ent &amp; Analyses'!D22+'Budget Commun'!D27</f>
        <v>14132.803468208094</v>
      </c>
      <c r="E24" s="13">
        <f>+'Budget Ent &amp; Analyses'!E7-'Budget Ent &amp; Analyses'!E14-'Budget Ent &amp; Analyses'!E22+'Budget Commun'!E27</f>
        <v>10295.303468208092</v>
      </c>
      <c r="F24" s="12">
        <f>+'Budget Ent &amp; Analyses'!F7-'Budget Ent &amp; Analyses'!F14-'Budget Ent &amp; Analyses'!F22+'Budget Commun'!F27</f>
        <v>10295.303468208092</v>
      </c>
      <c r="G24" s="13">
        <f>+'Budget Ent &amp; Analyses'!G7-'Budget Ent &amp; Analyses'!G14-'Budget Ent &amp; Analyses'!G22+'Budget Commun'!G27</f>
        <v>14132.803468208094</v>
      </c>
      <c r="H24" s="12">
        <f>+'Budget Ent &amp; Analyses'!H7-'Budget Ent &amp; Analyses'!H14-'Budget Ent &amp; Analyses'!H22+'Budget Commun'!H27</f>
        <v>14132.803468208094</v>
      </c>
      <c r="I24" s="13">
        <f>+'Budget Ent &amp; Analyses'!I7-'Budget Ent &amp; Analyses'!I14-'Budget Ent &amp; Analyses'!I22+'Budget Commun'!I27</f>
        <v>10295.303468208092</v>
      </c>
      <c r="J24" s="12">
        <f>+'Budget Ent &amp; Analyses'!J7-'Budget Ent &amp; Analyses'!J14-'Budget Ent &amp; Analyses'!J22+'Budget Commun'!J27</f>
        <v>14132.803468208094</v>
      </c>
      <c r="K24" s="13">
        <f>+'Budget Ent &amp; Analyses'!K7-'Budget Ent &amp; Analyses'!K14-'Budget Ent &amp; Analyses'!K22+'Budget Commun'!K27</f>
        <v>6257.8034682080925</v>
      </c>
      <c r="L24" s="12">
        <f>+'Budget Ent &amp; Analyses'!L7-'Budget Ent &amp; Analyses'!L14-'Budget Ent &amp; Analyses'!L22+'Budget Commun'!L27</f>
        <v>6257.8034682080925</v>
      </c>
      <c r="M24" s="13">
        <f>+'Budget Ent &amp; Analyses'!M7-'Budget Ent &amp; Analyses'!M14-'Budget Ent &amp; Analyses'!M22+'Budget Commun'!M27</f>
        <v>1257.8034682080925</v>
      </c>
      <c r="N24" s="31">
        <f t="shared" si="5"/>
        <v>125618.6416184971</v>
      </c>
      <c r="O24" s="31">
        <v>105442.17530231757</v>
      </c>
      <c r="P24" s="31">
        <f t="shared" si="3"/>
        <v>20176.466316179532</v>
      </c>
      <c r="Q24" s="134">
        <f t="shared" si="1"/>
        <v>0.19135100597394508</v>
      </c>
      <c r="R24" s="141">
        <f>'Budget Ent &amp; Analyses'!N7-'Budget Ent &amp; Analyses'!N14-'Budget Ent &amp; Analyses'!N22+'Budget Commun'!N27</f>
        <v>125618.64161849712</v>
      </c>
      <c r="S24" s="140">
        <f t="shared" si="14"/>
        <v>0</v>
      </c>
    </row>
    <row r="25" spans="1:20" x14ac:dyDescent="0.45">
      <c r="A25" s="32" t="s">
        <v>156</v>
      </c>
      <c r="B25" s="12">
        <f>+'Budget MOD'!B7</f>
        <v>354391.6876892061</v>
      </c>
      <c r="C25" s="13">
        <f>+'Budget MOD'!C7</f>
        <v>309277.47388370597</v>
      </c>
      <c r="D25" s="12">
        <f>+'Budget MOD'!D7</f>
        <v>277874.45828561776</v>
      </c>
      <c r="E25" s="13">
        <f>+'Budget MOD'!E7</f>
        <v>277413.74556170596</v>
      </c>
      <c r="F25" s="12">
        <f>+'Budget MOD'!F7</f>
        <v>271051.41585470585</v>
      </c>
      <c r="G25" s="13">
        <f>+'Budget MOD'!G7</f>
        <v>261194.88119561778</v>
      </c>
      <c r="H25" s="12">
        <f>+'Budget MOD'!H7</f>
        <v>259638.91987670597</v>
      </c>
      <c r="I25" s="13">
        <f>+'Budget MOD'!I7</f>
        <v>259783.08032270591</v>
      </c>
      <c r="J25" s="12">
        <f>+'Budget MOD'!J7</f>
        <v>271267.20750911772</v>
      </c>
      <c r="K25" s="13">
        <f>+'Budget MOD'!K7</f>
        <v>0</v>
      </c>
      <c r="L25" s="12">
        <f>+'Budget MOD'!L7</f>
        <v>0</v>
      </c>
      <c r="M25" s="13">
        <f>+'Budget MOD'!M7</f>
        <v>6140.0000000000009</v>
      </c>
      <c r="N25" s="31">
        <f t="shared" si="5"/>
        <v>2548032.8701790893</v>
      </c>
      <c r="O25" s="31">
        <v>1390695.7619840954</v>
      </c>
      <c r="P25" s="31">
        <f t="shared" si="3"/>
        <v>1157337.1081949938</v>
      </c>
      <c r="Q25" s="134">
        <f t="shared" si="1"/>
        <v>0.83220006836278082</v>
      </c>
      <c r="R25" s="141">
        <f>+'Budget MOD'!N7</f>
        <v>2548032.8701790893</v>
      </c>
      <c r="S25" s="140">
        <f t="shared" si="14"/>
        <v>0</v>
      </c>
    </row>
    <row r="26" spans="1:20" x14ac:dyDescent="0.45">
      <c r="A26" s="32" t="s">
        <v>157</v>
      </c>
      <c r="B26" s="12">
        <f>+'Budget Commun'!B54</f>
        <v>30399.537572254336</v>
      </c>
      <c r="C26" s="13">
        <f>+'Budget Commun'!C54</f>
        <v>30399.537572254336</v>
      </c>
      <c r="D26" s="12">
        <f>+'Budget Commun'!D54</f>
        <v>30399.537572254336</v>
      </c>
      <c r="E26" s="13">
        <f>+'Budget Commun'!E54</f>
        <v>30399.537572254336</v>
      </c>
      <c r="F26" s="12">
        <f>+'Budget Commun'!F54</f>
        <v>30399.537572254336</v>
      </c>
      <c r="G26" s="13">
        <f>+'Budget Commun'!G54</f>
        <v>30399.537572254336</v>
      </c>
      <c r="H26" s="12">
        <f>+'Budget Commun'!H54</f>
        <v>30399.537572254336</v>
      </c>
      <c r="I26" s="13">
        <f>+'Budget Commun'!I54</f>
        <v>30399.537572254336</v>
      </c>
      <c r="J26" s="12">
        <f>+'Budget Commun'!J54</f>
        <v>30399.537572254336</v>
      </c>
      <c r="K26" s="13">
        <f>+'Budget Commun'!K54</f>
        <v>30399.537572254336</v>
      </c>
      <c r="L26" s="12">
        <f>+'Budget Commun'!L54</f>
        <v>30399.537572254336</v>
      </c>
      <c r="M26" s="13">
        <f>+'Budget Commun'!M54</f>
        <v>30399.537572254336</v>
      </c>
      <c r="N26" s="31">
        <f t="shared" si="5"/>
        <v>364794.45086705196</v>
      </c>
      <c r="O26" s="31">
        <v>319900.43175345636</v>
      </c>
      <c r="P26" s="31">
        <f t="shared" si="3"/>
        <v>44894.019113595597</v>
      </c>
      <c r="Q26" s="134">
        <f t="shared" si="1"/>
        <v>0.14033747584371786</v>
      </c>
      <c r="R26" s="141">
        <f>+'Budget Commun'!N54</f>
        <v>364794.45086705196</v>
      </c>
      <c r="S26" s="140">
        <f t="shared" si="14"/>
        <v>0</v>
      </c>
    </row>
    <row r="27" spans="1:20" x14ac:dyDescent="0.45">
      <c r="A27" s="32" t="s">
        <v>158</v>
      </c>
      <c r="B27" s="12">
        <f>+'Budget Commun'!B47</f>
        <v>0</v>
      </c>
      <c r="C27" s="13">
        <f>+'Budget Commun'!C47</f>
        <v>0</v>
      </c>
      <c r="D27" s="12">
        <f>+'Budget Commun'!D47</f>
        <v>0</v>
      </c>
      <c r="E27" s="13">
        <f>+'Budget Commun'!E47</f>
        <v>0</v>
      </c>
      <c r="F27" s="12">
        <f>+'Budget Commun'!F47</f>
        <v>0</v>
      </c>
      <c r="G27" s="13">
        <f>+'Budget Commun'!G47</f>
        <v>0</v>
      </c>
      <c r="H27" s="12">
        <f>+'Budget Commun'!H47</f>
        <v>0</v>
      </c>
      <c r="I27" s="13">
        <f>+'Budget Commun'!I47</f>
        <v>0</v>
      </c>
      <c r="J27" s="12">
        <f>+'Budget Commun'!J47</f>
        <v>0</v>
      </c>
      <c r="K27" s="13">
        <f>+'Budget Commun'!K47</f>
        <v>0</v>
      </c>
      <c r="L27" s="12">
        <f>+'Budget Commun'!L47</f>
        <v>0</v>
      </c>
      <c r="M27" s="13">
        <f>+'Budget Commun'!M47</f>
        <v>0</v>
      </c>
      <c r="N27" s="31">
        <f t="shared" si="5"/>
        <v>0</v>
      </c>
      <c r="O27" s="31">
        <v>156940.07023255809</v>
      </c>
      <c r="P27" s="31">
        <f t="shared" si="3"/>
        <v>-156940.07023255809</v>
      </c>
      <c r="Q27" s="134">
        <f t="shared" si="1"/>
        <v>-1</v>
      </c>
      <c r="R27" s="141">
        <f>+'Budget Commun'!N47</f>
        <v>0</v>
      </c>
      <c r="S27" s="140">
        <f t="shared" si="14"/>
        <v>0</v>
      </c>
    </row>
    <row r="28" spans="1:20" x14ac:dyDescent="0.45">
      <c r="A28" s="32" t="s">
        <v>13</v>
      </c>
      <c r="B28" s="12">
        <f>+'Budget Transp Ventes'!B7</f>
        <v>0</v>
      </c>
      <c r="C28" s="13">
        <f>+'Budget Transp Ventes'!C7</f>
        <v>0</v>
      </c>
      <c r="D28" s="12">
        <f>+'Budget Transp Ventes'!D7</f>
        <v>0</v>
      </c>
      <c r="E28" s="13">
        <f>+'Budget Transp Ventes'!E7</f>
        <v>0</v>
      </c>
      <c r="F28" s="12">
        <f>+'Budget Transp Ventes'!F7</f>
        <v>23025000.000000004</v>
      </c>
      <c r="G28" s="13">
        <f>+'Budget Transp Ventes'!G7</f>
        <v>17268750.000000004</v>
      </c>
      <c r="H28" s="12">
        <f>+'Budget Transp Ventes'!H7</f>
        <v>17268750.000000004</v>
      </c>
      <c r="I28" s="13">
        <f>+'Budget Transp Ventes'!I7</f>
        <v>23025000.000000004</v>
      </c>
      <c r="J28" s="12">
        <f>+'Budget Transp Ventes'!J7</f>
        <v>17268750.000000004</v>
      </c>
      <c r="K28" s="13">
        <f>+'Budget Transp Ventes'!K7</f>
        <v>17268750.000000004</v>
      </c>
      <c r="L28" s="12">
        <f>+'Budget Transp Ventes'!L7</f>
        <v>11512500.000000002</v>
      </c>
      <c r="M28" s="13">
        <f>+'Budget Transp Ventes'!M7</f>
        <v>5756250.0000000009</v>
      </c>
      <c r="N28" s="31">
        <f t="shared" si="5"/>
        <v>132393750.00000001</v>
      </c>
      <c r="O28" s="31">
        <v>70540.186046511633</v>
      </c>
      <c r="P28" s="31">
        <f t="shared" si="3"/>
        <v>132323209.8139535</v>
      </c>
      <c r="Q28" s="134">
        <f t="shared" si="1"/>
        <v>1875.855696307696</v>
      </c>
      <c r="R28" s="141">
        <f>+'Budget Transp Ventes'!N7</f>
        <v>132393750.00000001</v>
      </c>
      <c r="S28" s="140">
        <f t="shared" si="14"/>
        <v>0</v>
      </c>
    </row>
    <row r="29" spans="1:20" x14ac:dyDescent="0.45">
      <c r="A29" s="32" t="s">
        <v>18</v>
      </c>
      <c r="B29" s="12">
        <f>+'Budget Commun'!B43+'Budget Commun'!B34</f>
        <v>74741.040462427743</v>
      </c>
      <c r="C29" s="13">
        <f>+'Budget Commun'!C43+'Budget Commun'!C34</f>
        <v>3753.7572254335259</v>
      </c>
      <c r="D29" s="12">
        <f>+'Budget Commun'!D43+'Budget Commun'!D34</f>
        <v>3753.7572254335259</v>
      </c>
      <c r="E29" s="13">
        <f>+'Budget Commun'!E43+'Budget Commun'!E34</f>
        <v>3753.7572254335259</v>
      </c>
      <c r="F29" s="12">
        <f>+'Budget Commun'!F43+'Budget Commun'!F34</f>
        <v>3753.7572254335259</v>
      </c>
      <c r="G29" s="13">
        <f>+'Budget Commun'!G43+'Budget Commun'!G34</f>
        <v>3753.7572254335259</v>
      </c>
      <c r="H29" s="12">
        <f>+'Budget Commun'!H43+'Budget Commun'!H34</f>
        <v>5404.6242774566472</v>
      </c>
      <c r="I29" s="13">
        <f>+'Budget Commun'!I43+'Budget Commun'!I34</f>
        <v>3753.7572254335259</v>
      </c>
      <c r="J29" s="12">
        <f>+'Budget Commun'!J43+'Budget Commun'!J34</f>
        <v>9649.7109826589585</v>
      </c>
      <c r="K29" s="13">
        <f>+'Budget Commun'!K43+'Budget Commun'!K34</f>
        <v>3753.7572254335259</v>
      </c>
      <c r="L29" s="12">
        <f>+'Budget Commun'!L43+'Budget Commun'!L34</f>
        <v>3753.7572254335259</v>
      </c>
      <c r="M29" s="13">
        <f>+'Budget Commun'!M43+'Budget Commun'!M34</f>
        <v>3753.7572254335259</v>
      </c>
      <c r="N29" s="31">
        <f t="shared" si="5"/>
        <v>123579.19075144507</v>
      </c>
      <c r="O29" s="31">
        <v>79354.346510306466</v>
      </c>
      <c r="P29" s="31">
        <f t="shared" si="3"/>
        <v>44224.844241138606</v>
      </c>
      <c r="Q29" s="134">
        <f t="shared" si="1"/>
        <v>0.55730840446647401</v>
      </c>
      <c r="R29" s="141">
        <f>+'Budget Commun'!N34+'Budget Commun'!N43</f>
        <v>123579.19075144506</v>
      </c>
      <c r="S29" s="140">
        <f t="shared" si="14"/>
        <v>0</v>
      </c>
    </row>
    <row r="30" spans="1:20" x14ac:dyDescent="0.45">
      <c r="A30" s="26" t="s">
        <v>20</v>
      </c>
      <c r="B30" s="8">
        <f t="shared" ref="B30:M30" si="17">SUM(B22:B29)+B21+B18</f>
        <v>986984.11821170407</v>
      </c>
      <c r="C30" s="9">
        <f t="shared" si="17"/>
        <v>3079536.1211692099</v>
      </c>
      <c r="D30" s="8">
        <f t="shared" si="17"/>
        <v>379133.10557112156</v>
      </c>
      <c r="E30" s="9">
        <f t="shared" si="17"/>
        <v>374834.89284720976</v>
      </c>
      <c r="F30" s="8">
        <f t="shared" si="17"/>
        <v>23393472.563140213</v>
      </c>
      <c r="G30" s="9">
        <f t="shared" si="17"/>
        <v>17631203.528481126</v>
      </c>
      <c r="H30" s="8">
        <f t="shared" si="17"/>
        <v>17631298.434214238</v>
      </c>
      <c r="I30" s="9">
        <f t="shared" si="17"/>
        <v>23382204.227608215</v>
      </c>
      <c r="J30" s="8">
        <f t="shared" si="17"/>
        <v>17647171.808551848</v>
      </c>
      <c r="K30" s="9">
        <f t="shared" si="17"/>
        <v>17362133.64728551</v>
      </c>
      <c r="L30" s="8">
        <f t="shared" si="17"/>
        <v>11605883.647285506</v>
      </c>
      <c r="M30" s="9">
        <f t="shared" si="17"/>
        <v>5850773.6472855043</v>
      </c>
      <c r="N30" s="31">
        <f t="shared" si="5"/>
        <v>139324629.74165139</v>
      </c>
      <c r="O30" s="31">
        <f t="shared" ref="O30" si="18">SUM(O22:O29)+O21+O18</f>
        <v>4229161.9609101992</v>
      </c>
      <c r="P30" s="31">
        <f t="shared" si="3"/>
        <v>135095467.78074118</v>
      </c>
      <c r="Q30" s="134">
        <f t="shared" si="1"/>
        <v>31.943791472026284</v>
      </c>
      <c r="R30" s="141"/>
      <c r="S30" s="142"/>
      <c r="T30" s="48"/>
    </row>
    <row r="31" spans="1:20" x14ac:dyDescent="0.45">
      <c r="A31" s="26" t="s">
        <v>17</v>
      </c>
      <c r="B31" s="8" t="e">
        <f t="shared" ref="B31:N31" si="19">B11-B30</f>
        <v>#DIV/0!</v>
      </c>
      <c r="C31" s="9" t="e">
        <f t="shared" si="19"/>
        <v>#DIV/0!</v>
      </c>
      <c r="D31" s="8" t="e">
        <f t="shared" si="19"/>
        <v>#DIV/0!</v>
      </c>
      <c r="E31" s="9" t="e">
        <f t="shared" si="19"/>
        <v>#DIV/0!</v>
      </c>
      <c r="F31" s="8" t="e">
        <f t="shared" si="19"/>
        <v>#DIV/0!</v>
      </c>
      <c r="G31" s="9" t="e">
        <f t="shared" si="19"/>
        <v>#DIV/0!</v>
      </c>
      <c r="H31" s="8" t="e">
        <f t="shared" si="19"/>
        <v>#DIV/0!</v>
      </c>
      <c r="I31" s="9" t="e">
        <f t="shared" si="19"/>
        <v>#DIV/0!</v>
      </c>
      <c r="J31" s="8" t="e">
        <f t="shared" si="19"/>
        <v>#DIV/0!</v>
      </c>
      <c r="K31" s="9" t="e">
        <f t="shared" si="19"/>
        <v>#DIV/0!</v>
      </c>
      <c r="L31" s="8" t="e">
        <f t="shared" si="19"/>
        <v>#DIV/0!</v>
      </c>
      <c r="M31" s="9" t="e">
        <f t="shared" si="19"/>
        <v>#DIV/0!</v>
      </c>
      <c r="N31" s="21" t="e">
        <f t="shared" si="19"/>
        <v>#DIV/0!</v>
      </c>
      <c r="O31" s="21">
        <f t="shared" ref="O31" si="20">O11-O30</f>
        <v>-666635.77984424727</v>
      </c>
      <c r="P31" s="21" t="e">
        <f t="shared" si="3"/>
        <v>#DIV/0!</v>
      </c>
      <c r="Q31" s="133" t="e">
        <f t="shared" si="1"/>
        <v>#DIV/0!</v>
      </c>
      <c r="R31" s="141"/>
      <c r="S31" s="142"/>
      <c r="T31" s="37"/>
    </row>
    <row r="32" spans="1:20" x14ac:dyDescent="0.45">
      <c r="A32" s="32" t="s">
        <v>14</v>
      </c>
      <c r="B32" s="12">
        <f>+'Budget Commun'!B14+'Budget Invest&amp; Amort'!B9</f>
        <v>84231.685623696525</v>
      </c>
      <c r="C32" s="13">
        <f>+'Budget Commun'!C14+'Budget Invest&amp; Amort'!C9</f>
        <v>84231.685623696525</v>
      </c>
      <c r="D32" s="12">
        <f>+'Budget Commun'!D14+'Budget Invest&amp; Amort'!D9</f>
        <v>84231.685623696525</v>
      </c>
      <c r="E32" s="13">
        <f>+'Budget Commun'!E14+'Budget Invest&amp; Amort'!E9</f>
        <v>84231.685623696525</v>
      </c>
      <c r="F32" s="12">
        <f>+'Budget Commun'!F14+'Budget Invest&amp; Amort'!F9</f>
        <v>84231.685623696525</v>
      </c>
      <c r="G32" s="13">
        <f>+'Budget Commun'!G14+'Budget Invest&amp; Amort'!G9</f>
        <v>84231.685623696525</v>
      </c>
      <c r="H32" s="12">
        <f>+'Budget Commun'!H14+'Budget Invest&amp; Amort'!H9</f>
        <v>84231.685623696525</v>
      </c>
      <c r="I32" s="13">
        <f>+'Budget Commun'!I14+'Budget Invest&amp; Amort'!I9</f>
        <v>84231.685623696525</v>
      </c>
      <c r="J32" s="12">
        <f>+'Budget Commun'!J14+'Budget Invest&amp; Amort'!J9</f>
        <v>84231.685623696525</v>
      </c>
      <c r="K32" s="13">
        <f>+'Budget Commun'!K14+'Budget Invest&amp; Amort'!K9</f>
        <v>87247.518957029853</v>
      </c>
      <c r="L32" s="12">
        <f>+'Budget Commun'!L14+'Budget Invest&amp; Amort'!L9</f>
        <v>87247.518957029853</v>
      </c>
      <c r="M32" s="13">
        <f>+'Budget Commun'!M14+'Budget Invest&amp; Amort'!M9</f>
        <v>87247.518957029853</v>
      </c>
      <c r="N32" s="31">
        <f t="shared" si="5"/>
        <v>1019827.7274843582</v>
      </c>
      <c r="O32" s="31">
        <v>823053.01487612631</v>
      </c>
      <c r="P32" s="31">
        <f t="shared" si="3"/>
        <v>196774.71260823193</v>
      </c>
      <c r="Q32" s="134">
        <f t="shared" si="1"/>
        <v>0.23907902535032635</v>
      </c>
      <c r="R32" s="141">
        <f>+'Budget Commun'!N14+'Budget Invest&amp; Amort'!N9</f>
        <v>1019827.7274843582</v>
      </c>
      <c r="S32" s="140">
        <f>+N32-R32</f>
        <v>0</v>
      </c>
    </row>
    <row r="33" spans="1:19" x14ac:dyDescent="0.45">
      <c r="A33" s="26" t="s">
        <v>19</v>
      </c>
      <c r="B33" s="8" t="e">
        <f>B31-B32</f>
        <v>#DIV/0!</v>
      </c>
      <c r="C33" s="9" t="e">
        <f t="shared" ref="C33:O33" si="21">C31-C32</f>
        <v>#DIV/0!</v>
      </c>
      <c r="D33" s="8" t="e">
        <f t="shared" si="21"/>
        <v>#DIV/0!</v>
      </c>
      <c r="E33" s="9" t="e">
        <f t="shared" si="21"/>
        <v>#DIV/0!</v>
      </c>
      <c r="F33" s="8" t="e">
        <f t="shared" si="21"/>
        <v>#DIV/0!</v>
      </c>
      <c r="G33" s="9" t="e">
        <f t="shared" si="21"/>
        <v>#DIV/0!</v>
      </c>
      <c r="H33" s="8" t="e">
        <f t="shared" si="21"/>
        <v>#DIV/0!</v>
      </c>
      <c r="I33" s="9" t="e">
        <f t="shared" si="21"/>
        <v>#DIV/0!</v>
      </c>
      <c r="J33" s="8" t="e">
        <f t="shared" si="21"/>
        <v>#DIV/0!</v>
      </c>
      <c r="K33" s="9" t="e">
        <f t="shared" si="21"/>
        <v>#DIV/0!</v>
      </c>
      <c r="L33" s="8" t="e">
        <f t="shared" si="21"/>
        <v>#DIV/0!</v>
      </c>
      <c r="M33" s="9" t="e">
        <f t="shared" si="21"/>
        <v>#DIV/0!</v>
      </c>
      <c r="N33" s="21" t="e">
        <f t="shared" si="21"/>
        <v>#DIV/0!</v>
      </c>
      <c r="O33" s="21">
        <f t="shared" si="21"/>
        <v>-1489688.7947203736</v>
      </c>
      <c r="P33" s="21" t="e">
        <f t="shared" si="3"/>
        <v>#DIV/0!</v>
      </c>
      <c r="Q33" s="133" t="e">
        <f t="shared" si="1"/>
        <v>#DIV/0!</v>
      </c>
      <c r="R33" s="141"/>
      <c r="S33" s="142"/>
    </row>
    <row r="34" spans="1:19" x14ac:dyDescent="0.45">
      <c r="A34" s="17" t="s">
        <v>225</v>
      </c>
      <c r="B34" s="165"/>
      <c r="C34" s="166"/>
      <c r="D34" s="165"/>
      <c r="E34" s="166"/>
      <c r="F34" s="165"/>
      <c r="G34" s="166"/>
      <c r="H34" s="165"/>
      <c r="I34" s="166"/>
      <c r="J34" s="165"/>
      <c r="K34" s="166"/>
      <c r="L34" s="165"/>
      <c r="M34" s="166"/>
      <c r="N34" s="135" t="e">
        <f>+N31/N7</f>
        <v>#DIV/0!</v>
      </c>
      <c r="O34" s="135">
        <f>+O31/O7</f>
        <v>-0.26256939373411375</v>
      </c>
      <c r="P34" s="167" t="e">
        <f t="shared" si="3"/>
        <v>#DIV/0!</v>
      </c>
      <c r="Q34" s="167"/>
      <c r="R34" s="141"/>
    </row>
    <row r="35" spans="1:19" x14ac:dyDescent="0.45">
      <c r="A35" s="17" t="s">
        <v>75</v>
      </c>
      <c r="B35" s="49" t="e">
        <f t="shared" ref="B35:D35" si="22">+(B7)/B5</f>
        <v>#DIV/0!</v>
      </c>
      <c r="C35" s="50" t="e">
        <f t="shared" si="22"/>
        <v>#DIV/0!</v>
      </c>
      <c r="D35" s="49" t="e">
        <f t="shared" si="22"/>
        <v>#DIV/0!</v>
      </c>
      <c r="E35" s="50">
        <f>+(E7)/E5</f>
        <v>0</v>
      </c>
      <c r="F35" s="49">
        <f t="shared" ref="F35:N35" si="23">+(F7)/F5</f>
        <v>9.0909090909090899</v>
      </c>
      <c r="G35" s="50">
        <f t="shared" si="23"/>
        <v>9.0909090909090899</v>
      </c>
      <c r="H35" s="49">
        <f t="shared" si="23"/>
        <v>9.0909090909090899</v>
      </c>
      <c r="I35" s="50">
        <f t="shared" si="23"/>
        <v>9.0909090909090899</v>
      </c>
      <c r="J35" s="49">
        <f t="shared" si="23"/>
        <v>9.0909090909090899</v>
      </c>
      <c r="K35" s="50">
        <f t="shared" ref="K35" si="24">+(K7)/K5</f>
        <v>9.0909090909090899</v>
      </c>
      <c r="L35" s="49">
        <f t="shared" si="23"/>
        <v>9.0909090909090899</v>
      </c>
      <c r="M35" s="50">
        <f t="shared" si="23"/>
        <v>9.0909090909090899</v>
      </c>
      <c r="N35" s="51">
        <f t="shared" si="23"/>
        <v>8.9494163424124515</v>
      </c>
      <c r="O35" s="51">
        <f t="shared" ref="O35" si="25">+(O7)/O5</f>
        <v>2.290875126143022</v>
      </c>
      <c r="P35" s="51">
        <f t="shared" si="3"/>
        <v>6.6585412162694295</v>
      </c>
      <c r="Q35" s="136">
        <f t="shared" si="1"/>
        <v>2.9065491786450735</v>
      </c>
      <c r="R35" s="141"/>
    </row>
    <row r="36" spans="1:19" x14ac:dyDescent="0.45">
      <c r="A36" s="17" t="s">
        <v>176</v>
      </c>
      <c r="B36" s="18">
        <f t="shared" ref="B36:D36" si="26">+B7/B4</f>
        <v>0</v>
      </c>
      <c r="C36" s="19">
        <f t="shared" si="26"/>
        <v>0</v>
      </c>
      <c r="D36" s="18">
        <f t="shared" si="26"/>
        <v>0</v>
      </c>
      <c r="E36" s="19">
        <f t="shared" ref="E36" si="27">+E7/E4</f>
        <v>0</v>
      </c>
      <c r="F36" s="18">
        <f t="shared" ref="F36:G36" si="28">+F7/F4</f>
        <v>200000</v>
      </c>
      <c r="G36" s="19">
        <f t="shared" si="28"/>
        <v>150000</v>
      </c>
      <c r="H36" s="18">
        <f t="shared" ref="H36:I36" si="29">+H7/H4</f>
        <v>150000</v>
      </c>
      <c r="I36" s="19">
        <f t="shared" si="29"/>
        <v>200000</v>
      </c>
      <c r="J36" s="18">
        <f t="shared" ref="J36" si="30">+J7/J4</f>
        <v>150000</v>
      </c>
      <c r="K36" s="19">
        <f t="shared" ref="K36" si="31">+K7/K4</f>
        <v>150000</v>
      </c>
      <c r="L36" s="18">
        <f t="shared" ref="L36:M36" si="32">+L7/L4</f>
        <v>100000</v>
      </c>
      <c r="M36" s="19">
        <f t="shared" si="32"/>
        <v>50000</v>
      </c>
      <c r="N36" s="44">
        <f t="shared" ref="N36:O36" si="33">+N7/N4</f>
        <v>1150000</v>
      </c>
      <c r="O36" s="44">
        <f t="shared" si="33"/>
        <v>373366.72074499296</v>
      </c>
      <c r="P36" s="44">
        <f t="shared" si="3"/>
        <v>776633.27925500704</v>
      </c>
      <c r="Q36" s="136">
        <f t="shared" si="1"/>
        <v>2.080081689405421</v>
      </c>
      <c r="R36" s="141"/>
    </row>
    <row r="37" spans="1:19" x14ac:dyDescent="0.45">
      <c r="A37" s="17" t="s">
        <v>174</v>
      </c>
      <c r="B37" s="18" t="e">
        <f t="shared" ref="B37:D37" si="34">+(B30-B10)/B4</f>
        <v>#DIV/0!</v>
      </c>
      <c r="C37" s="19" t="e">
        <f t="shared" si="34"/>
        <v>#DIV/0!</v>
      </c>
      <c r="D37" s="18" t="e">
        <f t="shared" si="34"/>
        <v>#DIV/0!</v>
      </c>
      <c r="E37" s="19" t="e">
        <f t="shared" ref="E37" si="35">+(E30-E10)/E4</f>
        <v>#DIV/0!</v>
      </c>
      <c r="F37" s="18" t="e">
        <f t="shared" ref="F37:G37" si="36">+(F30-F10)/F4</f>
        <v>#DIV/0!</v>
      </c>
      <c r="G37" s="19" t="e">
        <f t="shared" si="36"/>
        <v>#DIV/0!</v>
      </c>
      <c r="H37" s="18" t="e">
        <f t="shared" ref="H37:I37" si="37">+(H30-H10)/H4</f>
        <v>#DIV/0!</v>
      </c>
      <c r="I37" s="19" t="e">
        <f t="shared" si="37"/>
        <v>#DIV/0!</v>
      </c>
      <c r="J37" s="18" t="e">
        <f t="shared" ref="J37" si="38">+(J30-J10)/J4</f>
        <v>#DIV/0!</v>
      </c>
      <c r="K37" s="19" t="e">
        <f t="shared" ref="K37" si="39">+(K30-K10)/K4</f>
        <v>#DIV/0!</v>
      </c>
      <c r="L37" s="18" t="e">
        <f t="shared" ref="L37:M37" si="40">+(L30-L10)/L4</f>
        <v>#DIV/0!</v>
      </c>
      <c r="M37" s="19" t="e">
        <f t="shared" si="40"/>
        <v>#DIV/0!</v>
      </c>
      <c r="N37" s="44" t="e">
        <f t="shared" ref="N37:O37" si="41">+(N30-N10)/N4</f>
        <v>#DIV/0!</v>
      </c>
      <c r="O37" s="44">
        <f t="shared" si="41"/>
        <v>621935.58248679398</v>
      </c>
      <c r="P37" s="44" t="e">
        <f t="shared" si="3"/>
        <v>#DIV/0!</v>
      </c>
      <c r="Q37" s="136" t="e">
        <f t="shared" si="1"/>
        <v>#DIV/0!</v>
      </c>
      <c r="R37" s="172"/>
    </row>
    <row r="38" spans="1:19" x14ac:dyDescent="0.45">
      <c r="A38" s="17" t="s">
        <v>172</v>
      </c>
      <c r="B38" s="18" t="e">
        <f t="shared" ref="B38:D38" si="42">+B31/B4</f>
        <v>#DIV/0!</v>
      </c>
      <c r="C38" s="19" t="e">
        <f t="shared" si="42"/>
        <v>#DIV/0!</v>
      </c>
      <c r="D38" s="18" t="e">
        <f t="shared" si="42"/>
        <v>#DIV/0!</v>
      </c>
      <c r="E38" s="19" t="e">
        <f t="shared" ref="E38" si="43">+E31/E4</f>
        <v>#DIV/0!</v>
      </c>
      <c r="F38" s="18" t="e">
        <f t="shared" ref="F38:G38" si="44">+F31/F4</f>
        <v>#DIV/0!</v>
      </c>
      <c r="G38" s="19" t="e">
        <f t="shared" si="44"/>
        <v>#DIV/0!</v>
      </c>
      <c r="H38" s="18" t="e">
        <f t="shared" ref="H38:I38" si="45">+H31/H4</f>
        <v>#DIV/0!</v>
      </c>
      <c r="I38" s="19" t="e">
        <f t="shared" si="45"/>
        <v>#DIV/0!</v>
      </c>
      <c r="J38" s="18" t="e">
        <f t="shared" ref="J38" si="46">+J31/J4</f>
        <v>#DIV/0!</v>
      </c>
      <c r="K38" s="19" t="e">
        <f t="shared" ref="K38" si="47">+K31/K4</f>
        <v>#DIV/0!</v>
      </c>
      <c r="L38" s="18" t="e">
        <f t="shared" ref="L38:M38" si="48">+L31/L4</f>
        <v>#DIV/0!</v>
      </c>
      <c r="M38" s="19" t="e">
        <f t="shared" si="48"/>
        <v>#DIV/0!</v>
      </c>
      <c r="N38" s="44" t="e">
        <f t="shared" ref="N38:O38" si="49">+N31/N4</f>
        <v>#DIV/0!</v>
      </c>
      <c r="O38" s="44">
        <f t="shared" si="49"/>
        <v>-98034.673506506952</v>
      </c>
      <c r="P38" s="44" t="e">
        <f t="shared" si="3"/>
        <v>#DIV/0!</v>
      </c>
      <c r="Q38" s="136" t="e">
        <f t="shared" si="1"/>
        <v>#DIV/0!</v>
      </c>
      <c r="R38" s="141"/>
    </row>
    <row r="39" spans="1:19" x14ac:dyDescent="0.45">
      <c r="A39" s="17" t="s">
        <v>173</v>
      </c>
      <c r="B39" s="18" t="e">
        <f t="shared" ref="B39:D39" si="50">+(B30+B32-B10)/B4</f>
        <v>#DIV/0!</v>
      </c>
      <c r="C39" s="19" t="e">
        <f t="shared" si="50"/>
        <v>#DIV/0!</v>
      </c>
      <c r="D39" s="18" t="e">
        <f t="shared" si="50"/>
        <v>#DIV/0!</v>
      </c>
      <c r="E39" s="19" t="e">
        <f t="shared" ref="E39" si="51">+(E30+E32-E10)/E4</f>
        <v>#DIV/0!</v>
      </c>
      <c r="F39" s="18" t="e">
        <f t="shared" ref="F39:G39" si="52">+(F30+F32-F10)/F4</f>
        <v>#DIV/0!</v>
      </c>
      <c r="G39" s="19" t="e">
        <f t="shared" si="52"/>
        <v>#DIV/0!</v>
      </c>
      <c r="H39" s="18" t="e">
        <f t="shared" ref="H39:I39" si="53">+(H30+H32-H10)/H4</f>
        <v>#DIV/0!</v>
      </c>
      <c r="I39" s="19" t="e">
        <f t="shared" si="53"/>
        <v>#DIV/0!</v>
      </c>
      <c r="J39" s="18" t="e">
        <f t="shared" ref="J39" si="54">+(J30+J32-J10)/J4</f>
        <v>#DIV/0!</v>
      </c>
      <c r="K39" s="19" t="e">
        <f t="shared" ref="K39" si="55">+(K30+K32-K10)/K4</f>
        <v>#DIV/0!</v>
      </c>
      <c r="L39" s="18" t="e">
        <f t="shared" ref="L39:M39" si="56">+(L30+L32-L10)/L4</f>
        <v>#DIV/0!</v>
      </c>
      <c r="M39" s="19" t="e">
        <f t="shared" si="56"/>
        <v>#DIV/0!</v>
      </c>
      <c r="N39" s="44" t="e">
        <f t="shared" ref="N39:O39" si="57">+(N30+N32-N10)/N4</f>
        <v>#DIV/0!</v>
      </c>
      <c r="O39" s="44">
        <f t="shared" si="57"/>
        <v>742972.79055681254</v>
      </c>
      <c r="P39" s="44" t="e">
        <f t="shared" si="3"/>
        <v>#DIV/0!</v>
      </c>
      <c r="Q39" s="136" t="e">
        <f t="shared" si="1"/>
        <v>#DIV/0!</v>
      </c>
      <c r="R39" s="141"/>
    </row>
    <row r="40" spans="1:19" x14ac:dyDescent="0.45">
      <c r="A40" s="17" t="s">
        <v>175</v>
      </c>
      <c r="B40" s="18" t="e">
        <f t="shared" ref="B40:D40" si="58">B33/B4</f>
        <v>#DIV/0!</v>
      </c>
      <c r="C40" s="19" t="e">
        <f t="shared" si="58"/>
        <v>#DIV/0!</v>
      </c>
      <c r="D40" s="18" t="e">
        <f t="shared" si="58"/>
        <v>#DIV/0!</v>
      </c>
      <c r="E40" s="19" t="e">
        <f t="shared" ref="E40" si="59">E33/E4</f>
        <v>#DIV/0!</v>
      </c>
      <c r="F40" s="18" t="e">
        <f t="shared" ref="F40:G40" si="60">F33/F4</f>
        <v>#DIV/0!</v>
      </c>
      <c r="G40" s="19" t="e">
        <f t="shared" si="60"/>
        <v>#DIV/0!</v>
      </c>
      <c r="H40" s="18" t="e">
        <f t="shared" ref="H40:I40" si="61">H33/H4</f>
        <v>#DIV/0!</v>
      </c>
      <c r="I40" s="19" t="e">
        <f t="shared" si="61"/>
        <v>#DIV/0!</v>
      </c>
      <c r="J40" s="18" t="e">
        <f t="shared" ref="J40" si="62">J33/J4</f>
        <v>#DIV/0!</v>
      </c>
      <c r="K40" s="19" t="e">
        <f t="shared" ref="K40" si="63">K33/K4</f>
        <v>#DIV/0!</v>
      </c>
      <c r="L40" s="18" t="e">
        <f t="shared" ref="L40:M40" si="64">L33/L4</f>
        <v>#DIV/0!</v>
      </c>
      <c r="M40" s="19" t="e">
        <f t="shared" si="64"/>
        <v>#DIV/0!</v>
      </c>
      <c r="N40" s="44" t="e">
        <f t="shared" ref="N40:O40" si="65">N33/N4</f>
        <v>#DIV/0!</v>
      </c>
      <c r="O40" s="44">
        <f t="shared" si="65"/>
        <v>-219071.88157652554</v>
      </c>
      <c r="P40" s="44" t="e">
        <f t="shared" si="3"/>
        <v>#DIV/0!</v>
      </c>
      <c r="Q40" s="136" t="e">
        <f t="shared" si="1"/>
        <v>#DIV/0!</v>
      </c>
      <c r="R40" s="141"/>
    </row>
    <row r="41" spans="1:19" x14ac:dyDescent="0.45">
      <c r="A41" s="132" t="s">
        <v>166</v>
      </c>
      <c r="B41" s="49"/>
      <c r="C41" s="50"/>
      <c r="D41" s="49"/>
      <c r="E41" s="19"/>
      <c r="F41" s="18"/>
      <c r="G41" s="19"/>
      <c r="H41" s="18"/>
      <c r="I41" s="19"/>
      <c r="J41" s="18"/>
      <c r="K41" s="19"/>
      <c r="L41" s="18"/>
      <c r="M41" s="19"/>
      <c r="N41" s="44"/>
      <c r="O41" s="44"/>
      <c r="P41" s="44"/>
      <c r="Q41" s="136"/>
      <c r="R41" s="141"/>
    </row>
    <row r="42" spans="1:19" x14ac:dyDescent="0.45">
      <c r="A42" s="17" t="s">
        <v>77</v>
      </c>
      <c r="B42" s="18" t="e">
        <f>+(B30+B32)/B3</f>
        <v>#DIV/0!</v>
      </c>
      <c r="C42" s="19" t="e">
        <f t="shared" ref="C42:M42" si="66">+(C30+C32)/C3</f>
        <v>#DIV/0!</v>
      </c>
      <c r="D42" s="18" t="e">
        <f t="shared" si="66"/>
        <v>#DIV/0!</v>
      </c>
      <c r="E42" s="19" t="e">
        <f t="shared" si="66"/>
        <v>#DIV/0!</v>
      </c>
      <c r="F42" s="18" t="e">
        <f t="shared" si="66"/>
        <v>#DIV/0!</v>
      </c>
      <c r="G42" s="19" t="e">
        <f t="shared" si="66"/>
        <v>#DIV/0!</v>
      </c>
      <c r="H42" s="18" t="e">
        <f t="shared" si="66"/>
        <v>#DIV/0!</v>
      </c>
      <c r="I42" s="19" t="e">
        <f t="shared" si="66"/>
        <v>#DIV/0!</v>
      </c>
      <c r="J42" s="18" t="e">
        <f t="shared" si="66"/>
        <v>#DIV/0!</v>
      </c>
      <c r="K42" s="19" t="e">
        <f t="shared" si="66"/>
        <v>#DIV/0!</v>
      </c>
      <c r="L42" s="18" t="e">
        <f t="shared" si="66"/>
        <v>#DIV/0!</v>
      </c>
      <c r="M42" s="19" t="e">
        <f t="shared" si="66"/>
        <v>#DIV/0!</v>
      </c>
      <c r="N42" s="44" t="e">
        <f>+(N30+N32-N10)/N3</f>
        <v>#DIV/0!</v>
      </c>
      <c r="O42" s="44">
        <f>+(O30+O32-O10)/O3</f>
        <v>742972.79055681254</v>
      </c>
      <c r="P42" s="44" t="e">
        <f t="shared" si="3"/>
        <v>#DIV/0!</v>
      </c>
      <c r="Q42" s="136" t="e">
        <f t="shared" si="1"/>
        <v>#DIV/0!</v>
      </c>
      <c r="R42" s="141"/>
    </row>
    <row r="43" spans="1:19" x14ac:dyDescent="0.45">
      <c r="A43" s="17" t="s">
        <v>76</v>
      </c>
      <c r="B43" s="18" t="e">
        <f>+B30/B3</f>
        <v>#DIV/0!</v>
      </c>
      <c r="C43" s="19" t="e">
        <f t="shared" ref="C43:M43" si="67">+C30/C3</f>
        <v>#DIV/0!</v>
      </c>
      <c r="D43" s="18" t="e">
        <f t="shared" si="67"/>
        <v>#DIV/0!</v>
      </c>
      <c r="E43" s="19" t="e">
        <f t="shared" si="67"/>
        <v>#DIV/0!</v>
      </c>
      <c r="F43" s="18" t="e">
        <f t="shared" si="67"/>
        <v>#DIV/0!</v>
      </c>
      <c r="G43" s="19" t="e">
        <f t="shared" si="67"/>
        <v>#DIV/0!</v>
      </c>
      <c r="H43" s="18" t="e">
        <f t="shared" si="67"/>
        <v>#DIV/0!</v>
      </c>
      <c r="I43" s="19" t="e">
        <f t="shared" si="67"/>
        <v>#DIV/0!</v>
      </c>
      <c r="J43" s="18" t="e">
        <f t="shared" si="67"/>
        <v>#DIV/0!</v>
      </c>
      <c r="K43" s="19" t="e">
        <f t="shared" si="67"/>
        <v>#DIV/0!</v>
      </c>
      <c r="L43" s="18" t="e">
        <f t="shared" si="67"/>
        <v>#DIV/0!</v>
      </c>
      <c r="M43" s="19" t="e">
        <f t="shared" si="67"/>
        <v>#DIV/0!</v>
      </c>
      <c r="N43" s="44" t="e">
        <f>+(N30-N10)/N3</f>
        <v>#DIV/0!</v>
      </c>
      <c r="O43" s="44">
        <f>+(O30-O10)/O3</f>
        <v>621935.58248679398</v>
      </c>
      <c r="P43" s="44" t="e">
        <f t="shared" si="3"/>
        <v>#DIV/0!</v>
      </c>
      <c r="Q43" s="136" t="e">
        <f t="shared" si="1"/>
        <v>#DIV/0!</v>
      </c>
      <c r="R43" s="141"/>
    </row>
    <row r="44" spans="1:19" x14ac:dyDescent="0.45">
      <c r="A44" s="17" t="s">
        <v>167</v>
      </c>
      <c r="B44" s="18" t="e">
        <f>+B12/B3</f>
        <v>#DIV/0!</v>
      </c>
      <c r="C44" s="19" t="e">
        <f t="shared" ref="C44:N44" si="68">+C12/C3</f>
        <v>#DIV/0!</v>
      </c>
      <c r="D44" s="18" t="e">
        <f t="shared" si="68"/>
        <v>#DIV/0!</v>
      </c>
      <c r="E44" s="19" t="e">
        <f t="shared" si="68"/>
        <v>#DIV/0!</v>
      </c>
      <c r="F44" s="18" t="e">
        <f t="shared" si="68"/>
        <v>#DIV/0!</v>
      </c>
      <c r="G44" s="19" t="e">
        <f t="shared" si="68"/>
        <v>#DIV/0!</v>
      </c>
      <c r="H44" s="18" t="e">
        <f t="shared" si="68"/>
        <v>#DIV/0!</v>
      </c>
      <c r="I44" s="19" t="e">
        <f t="shared" si="68"/>
        <v>#DIV/0!</v>
      </c>
      <c r="J44" s="18" t="e">
        <f t="shared" si="68"/>
        <v>#DIV/0!</v>
      </c>
      <c r="K44" s="19" t="e">
        <f t="shared" si="68"/>
        <v>#DIV/0!</v>
      </c>
      <c r="L44" s="18" t="e">
        <f t="shared" si="68"/>
        <v>#DIV/0!</v>
      </c>
      <c r="M44" s="19" t="e">
        <f t="shared" si="68"/>
        <v>#DIV/0!</v>
      </c>
      <c r="N44" s="44" t="e">
        <f t="shared" si="68"/>
        <v>#DIV/0!</v>
      </c>
      <c r="O44" s="44">
        <f t="shared" ref="O44" si="69">+O12/O3</f>
        <v>29764.705882352948</v>
      </c>
      <c r="P44" s="44" t="e">
        <f t="shared" si="3"/>
        <v>#DIV/0!</v>
      </c>
      <c r="Q44" s="136" t="e">
        <f t="shared" si="1"/>
        <v>#DIV/0!</v>
      </c>
    </row>
    <row r="45" spans="1:19" x14ac:dyDescent="0.45">
      <c r="A45" s="17" t="s">
        <v>168</v>
      </c>
      <c r="B45" s="18" t="e">
        <f>+B13/B3</f>
        <v>#DIV/0!</v>
      </c>
      <c r="C45" s="19" t="e">
        <f t="shared" ref="C45:N45" si="70">+C13/C3</f>
        <v>#DIV/0!</v>
      </c>
      <c r="D45" s="18" t="e">
        <f t="shared" si="70"/>
        <v>#DIV/0!</v>
      </c>
      <c r="E45" s="19" t="e">
        <f t="shared" si="70"/>
        <v>#DIV/0!</v>
      </c>
      <c r="F45" s="18" t="e">
        <f t="shared" si="70"/>
        <v>#DIV/0!</v>
      </c>
      <c r="G45" s="19" t="e">
        <f t="shared" si="70"/>
        <v>#DIV/0!</v>
      </c>
      <c r="H45" s="18" t="e">
        <f t="shared" si="70"/>
        <v>#DIV/0!</v>
      </c>
      <c r="I45" s="19" t="e">
        <f t="shared" si="70"/>
        <v>#DIV/0!</v>
      </c>
      <c r="J45" s="18" t="e">
        <f t="shared" si="70"/>
        <v>#DIV/0!</v>
      </c>
      <c r="K45" s="19" t="e">
        <f t="shared" si="70"/>
        <v>#DIV/0!</v>
      </c>
      <c r="L45" s="18" t="e">
        <f t="shared" si="70"/>
        <v>#DIV/0!</v>
      </c>
      <c r="M45" s="19" t="e">
        <f t="shared" si="70"/>
        <v>#DIV/0!</v>
      </c>
      <c r="N45" s="44" t="e">
        <f t="shared" si="70"/>
        <v>#DIV/0!</v>
      </c>
      <c r="O45" s="44">
        <f t="shared" ref="O45" si="71">+O13/O3</f>
        <v>79047.085964423313</v>
      </c>
      <c r="P45" s="44" t="e">
        <f t="shared" si="3"/>
        <v>#DIV/0!</v>
      </c>
      <c r="Q45" s="136" t="e">
        <f t="shared" si="1"/>
        <v>#DIV/0!</v>
      </c>
    </row>
    <row r="46" spans="1:19" x14ac:dyDescent="0.45">
      <c r="A46" s="17" t="s">
        <v>169</v>
      </c>
      <c r="B46" s="18" t="e">
        <f>+B14/B3</f>
        <v>#DIV/0!</v>
      </c>
      <c r="C46" s="19" t="e">
        <f t="shared" ref="C46:N46" si="72">+C14/C3</f>
        <v>#DIV/0!</v>
      </c>
      <c r="D46" s="18" t="e">
        <f t="shared" si="72"/>
        <v>#DIV/0!</v>
      </c>
      <c r="E46" s="19" t="e">
        <f t="shared" si="72"/>
        <v>#DIV/0!</v>
      </c>
      <c r="F46" s="18" t="e">
        <f t="shared" si="72"/>
        <v>#DIV/0!</v>
      </c>
      <c r="G46" s="19" t="e">
        <f t="shared" si="72"/>
        <v>#DIV/0!</v>
      </c>
      <c r="H46" s="18" t="e">
        <f t="shared" si="72"/>
        <v>#DIV/0!</v>
      </c>
      <c r="I46" s="19" t="e">
        <f t="shared" si="72"/>
        <v>#DIV/0!</v>
      </c>
      <c r="J46" s="18" t="e">
        <f t="shared" si="72"/>
        <v>#DIV/0!</v>
      </c>
      <c r="K46" s="19" t="e">
        <f t="shared" si="72"/>
        <v>#DIV/0!</v>
      </c>
      <c r="L46" s="18" t="e">
        <f t="shared" si="72"/>
        <v>#DIV/0!</v>
      </c>
      <c r="M46" s="19" t="e">
        <f t="shared" si="72"/>
        <v>#DIV/0!</v>
      </c>
      <c r="N46" s="44" t="e">
        <f t="shared" si="72"/>
        <v>#DIV/0!</v>
      </c>
      <c r="O46" s="44">
        <f t="shared" ref="O46" si="73">+O14/O3</f>
        <v>37483.382352927947</v>
      </c>
      <c r="P46" s="44" t="e">
        <f t="shared" si="3"/>
        <v>#DIV/0!</v>
      </c>
      <c r="Q46" s="136" t="e">
        <f t="shared" si="1"/>
        <v>#DIV/0!</v>
      </c>
    </row>
    <row r="47" spans="1:19" x14ac:dyDescent="0.45">
      <c r="A47" s="17" t="s">
        <v>170</v>
      </c>
      <c r="B47" s="18" t="e">
        <f>+B15/B3</f>
        <v>#DIV/0!</v>
      </c>
      <c r="C47" s="19" t="e">
        <f t="shared" ref="C47:N47" si="74">+C15/C3</f>
        <v>#DIV/0!</v>
      </c>
      <c r="D47" s="18" t="e">
        <f t="shared" si="74"/>
        <v>#DIV/0!</v>
      </c>
      <c r="E47" s="19" t="e">
        <f t="shared" si="74"/>
        <v>#DIV/0!</v>
      </c>
      <c r="F47" s="18" t="e">
        <f t="shared" si="74"/>
        <v>#DIV/0!</v>
      </c>
      <c r="G47" s="19" t="e">
        <f t="shared" si="74"/>
        <v>#DIV/0!</v>
      </c>
      <c r="H47" s="18" t="e">
        <f t="shared" si="74"/>
        <v>#DIV/0!</v>
      </c>
      <c r="I47" s="19" t="e">
        <f t="shared" si="74"/>
        <v>#DIV/0!</v>
      </c>
      <c r="J47" s="18" t="e">
        <f t="shared" si="74"/>
        <v>#DIV/0!</v>
      </c>
      <c r="K47" s="19" t="e">
        <f t="shared" si="74"/>
        <v>#DIV/0!</v>
      </c>
      <c r="L47" s="18" t="e">
        <f t="shared" si="74"/>
        <v>#DIV/0!</v>
      </c>
      <c r="M47" s="19" t="e">
        <f t="shared" si="74"/>
        <v>#DIV/0!</v>
      </c>
      <c r="N47" s="44" t="e">
        <f t="shared" si="74"/>
        <v>#DIV/0!</v>
      </c>
      <c r="O47" s="44">
        <f t="shared" ref="O47" si="75">+O15/O3</f>
        <v>85686.50304208514</v>
      </c>
      <c r="P47" s="44" t="e">
        <f t="shared" si="3"/>
        <v>#DIV/0!</v>
      </c>
      <c r="Q47" s="136" t="e">
        <f t="shared" si="1"/>
        <v>#DIV/0!</v>
      </c>
    </row>
    <row r="48" spans="1:19" x14ac:dyDescent="0.45">
      <c r="A48" s="17" t="s">
        <v>171</v>
      </c>
      <c r="B48" s="18" t="e">
        <f>+B16/B3</f>
        <v>#DIV/0!</v>
      </c>
      <c r="C48" s="19" t="e">
        <f t="shared" ref="C48:N48" si="76">+C16/C3</f>
        <v>#DIV/0!</v>
      </c>
      <c r="D48" s="18" t="e">
        <f t="shared" si="76"/>
        <v>#DIV/0!</v>
      </c>
      <c r="E48" s="19" t="e">
        <f t="shared" si="76"/>
        <v>#DIV/0!</v>
      </c>
      <c r="F48" s="18" t="e">
        <f t="shared" si="76"/>
        <v>#DIV/0!</v>
      </c>
      <c r="G48" s="19" t="e">
        <f t="shared" si="76"/>
        <v>#DIV/0!</v>
      </c>
      <c r="H48" s="18" t="e">
        <f t="shared" si="76"/>
        <v>#DIV/0!</v>
      </c>
      <c r="I48" s="19" t="e">
        <f t="shared" si="76"/>
        <v>#DIV/0!</v>
      </c>
      <c r="J48" s="18" t="e">
        <f t="shared" si="76"/>
        <v>#DIV/0!</v>
      </c>
      <c r="K48" s="19" t="e">
        <f t="shared" si="76"/>
        <v>#DIV/0!</v>
      </c>
      <c r="L48" s="18" t="e">
        <f t="shared" si="76"/>
        <v>#DIV/0!</v>
      </c>
      <c r="M48" s="19" t="e">
        <f t="shared" si="76"/>
        <v>#DIV/0!</v>
      </c>
      <c r="N48" s="44" t="e">
        <f t="shared" si="76"/>
        <v>#DIV/0!</v>
      </c>
      <c r="O48" s="44">
        <f t="shared" ref="O48" si="77">+O16/O3</f>
        <v>15828.683235293016</v>
      </c>
      <c r="P48" s="44" t="e">
        <f t="shared" si="3"/>
        <v>#DIV/0!</v>
      </c>
      <c r="Q48" s="136" t="e">
        <f t="shared" si="1"/>
        <v>#DIV/0!</v>
      </c>
    </row>
    <row r="49" spans="1:18" x14ac:dyDescent="0.45">
      <c r="A49" s="17" t="s">
        <v>7</v>
      </c>
      <c r="B49" s="18" t="e">
        <f>+B17/B3</f>
        <v>#DIV/0!</v>
      </c>
      <c r="C49" s="19" t="e">
        <f t="shared" ref="C49:N49" si="78">+C17/C3</f>
        <v>#DIV/0!</v>
      </c>
      <c r="D49" s="18" t="e">
        <f t="shared" si="78"/>
        <v>#DIV/0!</v>
      </c>
      <c r="E49" s="19" t="e">
        <f t="shared" si="78"/>
        <v>#DIV/0!</v>
      </c>
      <c r="F49" s="18" t="e">
        <f t="shared" si="78"/>
        <v>#DIV/0!</v>
      </c>
      <c r="G49" s="19" t="e">
        <f t="shared" si="78"/>
        <v>#DIV/0!</v>
      </c>
      <c r="H49" s="18" t="e">
        <f t="shared" si="78"/>
        <v>#DIV/0!</v>
      </c>
      <c r="I49" s="19" t="e">
        <f t="shared" si="78"/>
        <v>#DIV/0!</v>
      </c>
      <c r="J49" s="18" t="e">
        <f t="shared" si="78"/>
        <v>#DIV/0!</v>
      </c>
      <c r="K49" s="19" t="e">
        <f t="shared" si="78"/>
        <v>#DIV/0!</v>
      </c>
      <c r="L49" s="18" t="e">
        <f t="shared" si="78"/>
        <v>#DIV/0!</v>
      </c>
      <c r="M49" s="19" t="e">
        <f t="shared" si="78"/>
        <v>#DIV/0!</v>
      </c>
      <c r="N49" s="44" t="e">
        <f t="shared" si="78"/>
        <v>#DIV/0!</v>
      </c>
      <c r="O49" s="44">
        <f t="shared" ref="O49" si="79">+O17/O3</f>
        <v>10816.456470588235</v>
      </c>
      <c r="P49" s="44" t="e">
        <f t="shared" si="3"/>
        <v>#DIV/0!</v>
      </c>
      <c r="Q49" s="136" t="e">
        <f t="shared" si="1"/>
        <v>#DIV/0!</v>
      </c>
    </row>
    <row r="50" spans="1:18" x14ac:dyDescent="0.45">
      <c r="A50" s="17" t="s">
        <v>8</v>
      </c>
      <c r="B50" s="18" t="e">
        <f>+B19/B3</f>
        <v>#DIV/0!</v>
      </c>
      <c r="C50" s="19" t="e">
        <f t="shared" ref="C50:N50" si="80">+C19/C3</f>
        <v>#DIV/0!</v>
      </c>
      <c r="D50" s="18" t="e">
        <f t="shared" si="80"/>
        <v>#DIV/0!</v>
      </c>
      <c r="E50" s="19" t="e">
        <f t="shared" si="80"/>
        <v>#DIV/0!</v>
      </c>
      <c r="F50" s="18" t="e">
        <f t="shared" si="80"/>
        <v>#DIV/0!</v>
      </c>
      <c r="G50" s="19" t="e">
        <f t="shared" si="80"/>
        <v>#DIV/0!</v>
      </c>
      <c r="H50" s="18" t="e">
        <f t="shared" si="80"/>
        <v>#DIV/0!</v>
      </c>
      <c r="I50" s="19" t="e">
        <f t="shared" si="80"/>
        <v>#DIV/0!</v>
      </c>
      <c r="J50" s="18" t="e">
        <f t="shared" si="80"/>
        <v>#DIV/0!</v>
      </c>
      <c r="K50" s="19" t="e">
        <f t="shared" si="80"/>
        <v>#DIV/0!</v>
      </c>
      <c r="L50" s="18" t="e">
        <f t="shared" si="80"/>
        <v>#DIV/0!</v>
      </c>
      <c r="M50" s="19" t="e">
        <f t="shared" si="80"/>
        <v>#DIV/0!</v>
      </c>
      <c r="N50" s="44" t="e">
        <f t="shared" si="80"/>
        <v>#DIV/0!</v>
      </c>
      <c r="O50" s="44">
        <f t="shared" ref="O50" si="81">+O19/O3</f>
        <v>13489.325960960692</v>
      </c>
      <c r="P50" s="44" t="e">
        <f t="shared" si="3"/>
        <v>#DIV/0!</v>
      </c>
      <c r="Q50" s="136" t="e">
        <f t="shared" si="1"/>
        <v>#DIV/0!</v>
      </c>
    </row>
    <row r="51" spans="1:18" x14ac:dyDescent="0.45">
      <c r="A51" s="17" t="s">
        <v>9</v>
      </c>
      <c r="B51" s="18" t="e">
        <f>+B20/B3</f>
        <v>#DIV/0!</v>
      </c>
      <c r="C51" s="19" t="e">
        <f t="shared" ref="C51:N51" si="82">+C20/C3</f>
        <v>#DIV/0!</v>
      </c>
      <c r="D51" s="18" t="e">
        <f t="shared" si="82"/>
        <v>#DIV/0!</v>
      </c>
      <c r="E51" s="19" t="e">
        <f t="shared" si="82"/>
        <v>#DIV/0!</v>
      </c>
      <c r="F51" s="18" t="e">
        <f t="shared" si="82"/>
        <v>#DIV/0!</v>
      </c>
      <c r="G51" s="19" t="e">
        <f t="shared" si="82"/>
        <v>#DIV/0!</v>
      </c>
      <c r="H51" s="18" t="e">
        <f t="shared" si="82"/>
        <v>#DIV/0!</v>
      </c>
      <c r="I51" s="19" t="e">
        <f t="shared" si="82"/>
        <v>#DIV/0!</v>
      </c>
      <c r="J51" s="18" t="e">
        <f t="shared" si="82"/>
        <v>#DIV/0!</v>
      </c>
      <c r="K51" s="19" t="e">
        <f t="shared" si="82"/>
        <v>#DIV/0!</v>
      </c>
      <c r="L51" s="18" t="e">
        <f t="shared" si="82"/>
        <v>#DIV/0!</v>
      </c>
      <c r="M51" s="19" t="e">
        <f t="shared" si="82"/>
        <v>#DIV/0!</v>
      </c>
      <c r="N51" s="44" t="e">
        <f t="shared" si="82"/>
        <v>#DIV/0!</v>
      </c>
      <c r="O51" s="44">
        <f t="shared" ref="O51" si="83">+O20/O3</f>
        <v>3034.9472548923522</v>
      </c>
      <c r="P51" s="44" t="e">
        <f t="shared" si="3"/>
        <v>#DIV/0!</v>
      </c>
      <c r="Q51" s="136" t="e">
        <f t="shared" si="1"/>
        <v>#DIV/0!</v>
      </c>
    </row>
    <row r="52" spans="1:18" x14ac:dyDescent="0.45">
      <c r="A52" s="17" t="s">
        <v>10</v>
      </c>
      <c r="B52" s="18" t="e">
        <f>+B22/B3</f>
        <v>#DIV/0!</v>
      </c>
      <c r="C52" s="19" t="e">
        <f t="shared" ref="C52:N52" si="84">+C22/C3</f>
        <v>#DIV/0!</v>
      </c>
      <c r="D52" s="18" t="e">
        <f t="shared" si="84"/>
        <v>#DIV/0!</v>
      </c>
      <c r="E52" s="19" t="e">
        <f t="shared" si="84"/>
        <v>#DIV/0!</v>
      </c>
      <c r="F52" s="18" t="e">
        <f t="shared" si="84"/>
        <v>#DIV/0!</v>
      </c>
      <c r="G52" s="19" t="e">
        <f t="shared" si="84"/>
        <v>#DIV/0!</v>
      </c>
      <c r="H52" s="18" t="e">
        <f t="shared" si="84"/>
        <v>#DIV/0!</v>
      </c>
      <c r="I52" s="19" t="e">
        <f t="shared" si="84"/>
        <v>#DIV/0!</v>
      </c>
      <c r="J52" s="18" t="e">
        <f t="shared" si="84"/>
        <v>#DIV/0!</v>
      </c>
      <c r="K52" s="19" t="e">
        <f t="shared" si="84"/>
        <v>#DIV/0!</v>
      </c>
      <c r="L52" s="18" t="e">
        <f t="shared" si="84"/>
        <v>#DIV/0!</v>
      </c>
      <c r="M52" s="19" t="e">
        <f t="shared" si="84"/>
        <v>#DIV/0!</v>
      </c>
      <c r="N52" s="44" t="e">
        <f t="shared" si="84"/>
        <v>#DIV/0!</v>
      </c>
      <c r="O52" s="44">
        <f t="shared" ref="O52" si="85">+O22/O3</f>
        <v>6411.0160738714094</v>
      </c>
      <c r="P52" s="44" t="e">
        <f t="shared" si="3"/>
        <v>#DIV/0!</v>
      </c>
      <c r="Q52" s="136" t="e">
        <f t="shared" si="1"/>
        <v>#DIV/0!</v>
      </c>
    </row>
    <row r="53" spans="1:18" x14ac:dyDescent="0.45">
      <c r="A53" s="17" t="s">
        <v>11</v>
      </c>
      <c r="B53" s="18" t="e">
        <f>+B23/B3</f>
        <v>#DIV/0!</v>
      </c>
      <c r="C53" s="19" t="e">
        <f t="shared" ref="C53:N53" si="86">+C23/C3</f>
        <v>#DIV/0!</v>
      </c>
      <c r="D53" s="18" t="e">
        <f t="shared" si="86"/>
        <v>#DIV/0!</v>
      </c>
      <c r="E53" s="19" t="e">
        <f t="shared" si="86"/>
        <v>#DIV/0!</v>
      </c>
      <c r="F53" s="18" t="e">
        <f t="shared" si="86"/>
        <v>#DIV/0!</v>
      </c>
      <c r="G53" s="19" t="e">
        <f t="shared" si="86"/>
        <v>#DIV/0!</v>
      </c>
      <c r="H53" s="18" t="e">
        <f t="shared" si="86"/>
        <v>#DIV/0!</v>
      </c>
      <c r="I53" s="19" t="e">
        <f t="shared" si="86"/>
        <v>#DIV/0!</v>
      </c>
      <c r="J53" s="18" t="e">
        <f t="shared" si="86"/>
        <v>#DIV/0!</v>
      </c>
      <c r="K53" s="19" t="e">
        <f t="shared" si="86"/>
        <v>#DIV/0!</v>
      </c>
      <c r="L53" s="18" t="e">
        <f t="shared" si="86"/>
        <v>#DIV/0!</v>
      </c>
      <c r="M53" s="19" t="e">
        <f t="shared" si="86"/>
        <v>#DIV/0!</v>
      </c>
      <c r="N53" s="44" t="e">
        <f t="shared" si="86"/>
        <v>#DIV/0!</v>
      </c>
      <c r="O53" s="44">
        <f t="shared" ref="O53" si="87">+O23/O3</f>
        <v>28186.274509803919</v>
      </c>
      <c r="P53" s="44" t="e">
        <f t="shared" si="3"/>
        <v>#DIV/0!</v>
      </c>
      <c r="Q53" s="136" t="e">
        <f t="shared" si="1"/>
        <v>#DIV/0!</v>
      </c>
    </row>
    <row r="54" spans="1:18" x14ac:dyDescent="0.45">
      <c r="A54" s="17" t="s">
        <v>12</v>
      </c>
      <c r="B54" s="18" t="e">
        <f>+B24/B3</f>
        <v>#DIV/0!</v>
      </c>
      <c r="C54" s="19" t="e">
        <f t="shared" ref="C54:N54" si="88">+C24/C3</f>
        <v>#DIV/0!</v>
      </c>
      <c r="D54" s="18" t="e">
        <f t="shared" si="88"/>
        <v>#DIV/0!</v>
      </c>
      <c r="E54" s="19" t="e">
        <f t="shared" si="88"/>
        <v>#DIV/0!</v>
      </c>
      <c r="F54" s="18" t="e">
        <f t="shared" si="88"/>
        <v>#DIV/0!</v>
      </c>
      <c r="G54" s="19" t="e">
        <f t="shared" si="88"/>
        <v>#DIV/0!</v>
      </c>
      <c r="H54" s="18" t="e">
        <f t="shared" si="88"/>
        <v>#DIV/0!</v>
      </c>
      <c r="I54" s="19" t="e">
        <f t="shared" si="88"/>
        <v>#DIV/0!</v>
      </c>
      <c r="J54" s="18" t="e">
        <f t="shared" si="88"/>
        <v>#DIV/0!</v>
      </c>
      <c r="K54" s="19" t="e">
        <f t="shared" si="88"/>
        <v>#DIV/0!</v>
      </c>
      <c r="L54" s="18" t="e">
        <f t="shared" si="88"/>
        <v>#DIV/0!</v>
      </c>
      <c r="M54" s="19" t="e">
        <f t="shared" si="88"/>
        <v>#DIV/0!</v>
      </c>
      <c r="N54" s="44" t="e">
        <f t="shared" si="88"/>
        <v>#DIV/0!</v>
      </c>
      <c r="O54" s="44">
        <f t="shared" ref="O54" si="89">+O24/O3</f>
        <v>15506.202250340819</v>
      </c>
      <c r="P54" s="44" t="e">
        <f t="shared" si="3"/>
        <v>#DIV/0!</v>
      </c>
      <c r="Q54" s="136" t="e">
        <f t="shared" si="1"/>
        <v>#DIV/0!</v>
      </c>
    </row>
    <row r="55" spans="1:18" x14ac:dyDescent="0.45">
      <c r="A55" s="17" t="s">
        <v>156</v>
      </c>
      <c r="B55" s="18" t="e">
        <f>+B25/B3</f>
        <v>#DIV/0!</v>
      </c>
      <c r="C55" s="19" t="e">
        <f t="shared" ref="C55:N55" si="90">+C25/C3</f>
        <v>#DIV/0!</v>
      </c>
      <c r="D55" s="18" t="e">
        <f t="shared" si="90"/>
        <v>#DIV/0!</v>
      </c>
      <c r="E55" s="19" t="e">
        <f t="shared" si="90"/>
        <v>#DIV/0!</v>
      </c>
      <c r="F55" s="18" t="e">
        <f t="shared" si="90"/>
        <v>#DIV/0!</v>
      </c>
      <c r="G55" s="19" t="e">
        <f t="shared" si="90"/>
        <v>#DIV/0!</v>
      </c>
      <c r="H55" s="18" t="e">
        <f t="shared" si="90"/>
        <v>#DIV/0!</v>
      </c>
      <c r="I55" s="19" t="e">
        <f t="shared" si="90"/>
        <v>#DIV/0!</v>
      </c>
      <c r="J55" s="18" t="e">
        <f t="shared" si="90"/>
        <v>#DIV/0!</v>
      </c>
      <c r="K55" s="19" t="e">
        <f t="shared" si="90"/>
        <v>#DIV/0!</v>
      </c>
      <c r="L55" s="18" t="e">
        <f t="shared" si="90"/>
        <v>#DIV/0!</v>
      </c>
      <c r="M55" s="19" t="e">
        <f t="shared" si="90"/>
        <v>#DIV/0!</v>
      </c>
      <c r="N55" s="44" t="e">
        <f t="shared" si="90"/>
        <v>#DIV/0!</v>
      </c>
      <c r="O55" s="44">
        <f t="shared" ref="O55" si="91">+O25/O3</f>
        <v>204514.08264471992</v>
      </c>
      <c r="P55" s="44" t="e">
        <f t="shared" si="3"/>
        <v>#DIV/0!</v>
      </c>
      <c r="Q55" s="136" t="e">
        <f t="shared" si="1"/>
        <v>#DIV/0!</v>
      </c>
    </row>
    <row r="56" spans="1:18" x14ac:dyDescent="0.45">
      <c r="A56" s="17" t="s">
        <v>157</v>
      </c>
      <c r="B56" s="18" t="e">
        <f>+B26/B3</f>
        <v>#DIV/0!</v>
      </c>
      <c r="C56" s="19" t="e">
        <f t="shared" ref="C56:N56" si="92">+C26/C3</f>
        <v>#DIV/0!</v>
      </c>
      <c r="D56" s="18" t="e">
        <f t="shared" si="92"/>
        <v>#DIV/0!</v>
      </c>
      <c r="E56" s="19" t="e">
        <f t="shared" si="92"/>
        <v>#DIV/0!</v>
      </c>
      <c r="F56" s="18" t="e">
        <f t="shared" si="92"/>
        <v>#DIV/0!</v>
      </c>
      <c r="G56" s="19" t="e">
        <f t="shared" si="92"/>
        <v>#DIV/0!</v>
      </c>
      <c r="H56" s="18" t="e">
        <f t="shared" si="92"/>
        <v>#DIV/0!</v>
      </c>
      <c r="I56" s="19" t="e">
        <f t="shared" si="92"/>
        <v>#DIV/0!</v>
      </c>
      <c r="J56" s="18" t="e">
        <f t="shared" si="92"/>
        <v>#DIV/0!</v>
      </c>
      <c r="K56" s="19" t="e">
        <f t="shared" si="92"/>
        <v>#DIV/0!</v>
      </c>
      <c r="L56" s="18" t="e">
        <f t="shared" si="92"/>
        <v>#DIV/0!</v>
      </c>
      <c r="M56" s="19" t="e">
        <f t="shared" si="92"/>
        <v>#DIV/0!</v>
      </c>
      <c r="N56" s="44" t="e">
        <f t="shared" si="92"/>
        <v>#DIV/0!</v>
      </c>
      <c r="O56" s="44">
        <f t="shared" ref="O56" si="93">+O26/O3</f>
        <v>47044.181140214168</v>
      </c>
      <c r="P56" s="44" t="e">
        <f t="shared" si="3"/>
        <v>#DIV/0!</v>
      </c>
      <c r="Q56" s="136" t="e">
        <f t="shared" si="1"/>
        <v>#DIV/0!</v>
      </c>
    </row>
    <row r="57" spans="1:18" x14ac:dyDescent="0.45">
      <c r="A57" s="17" t="s">
        <v>158</v>
      </c>
      <c r="B57" s="18" t="e">
        <f>+B27/B3</f>
        <v>#DIV/0!</v>
      </c>
      <c r="C57" s="19" t="e">
        <f t="shared" ref="C57:N57" si="94">+C27/C3</f>
        <v>#DIV/0!</v>
      </c>
      <c r="D57" s="18" t="e">
        <f t="shared" si="94"/>
        <v>#DIV/0!</v>
      </c>
      <c r="E57" s="19" t="e">
        <f t="shared" si="94"/>
        <v>#DIV/0!</v>
      </c>
      <c r="F57" s="18" t="e">
        <f t="shared" si="94"/>
        <v>#DIV/0!</v>
      </c>
      <c r="G57" s="19" t="e">
        <f t="shared" si="94"/>
        <v>#DIV/0!</v>
      </c>
      <c r="H57" s="18" t="e">
        <f t="shared" si="94"/>
        <v>#DIV/0!</v>
      </c>
      <c r="I57" s="19" t="e">
        <f t="shared" si="94"/>
        <v>#DIV/0!</v>
      </c>
      <c r="J57" s="18" t="e">
        <f t="shared" si="94"/>
        <v>#DIV/0!</v>
      </c>
      <c r="K57" s="19" t="e">
        <f t="shared" si="94"/>
        <v>#DIV/0!</v>
      </c>
      <c r="L57" s="18" t="e">
        <f t="shared" si="94"/>
        <v>#DIV/0!</v>
      </c>
      <c r="M57" s="19" t="e">
        <f t="shared" si="94"/>
        <v>#DIV/0!</v>
      </c>
      <c r="N57" s="44" t="e">
        <f t="shared" si="94"/>
        <v>#DIV/0!</v>
      </c>
      <c r="O57" s="44">
        <f t="shared" ref="O57" si="95">+O27/O3</f>
        <v>23079.422093023251</v>
      </c>
      <c r="P57" s="44" t="e">
        <f t="shared" si="3"/>
        <v>#DIV/0!</v>
      </c>
      <c r="Q57" s="136" t="e">
        <f t="shared" si="1"/>
        <v>#DIV/0!</v>
      </c>
    </row>
    <row r="58" spans="1:18" x14ac:dyDescent="0.45">
      <c r="A58" s="17" t="s">
        <v>13</v>
      </c>
      <c r="B58" s="18" t="e">
        <f>+B28/B3</f>
        <v>#DIV/0!</v>
      </c>
      <c r="C58" s="19" t="e">
        <f t="shared" ref="C58:N58" si="96">+C28/C3</f>
        <v>#DIV/0!</v>
      </c>
      <c r="D58" s="18" t="e">
        <f t="shared" si="96"/>
        <v>#DIV/0!</v>
      </c>
      <c r="E58" s="19" t="e">
        <f t="shared" si="96"/>
        <v>#DIV/0!</v>
      </c>
      <c r="F58" s="18" t="e">
        <f t="shared" si="96"/>
        <v>#DIV/0!</v>
      </c>
      <c r="G58" s="19" t="e">
        <f t="shared" si="96"/>
        <v>#DIV/0!</v>
      </c>
      <c r="H58" s="18" t="e">
        <f t="shared" si="96"/>
        <v>#DIV/0!</v>
      </c>
      <c r="I58" s="19" t="e">
        <f t="shared" si="96"/>
        <v>#DIV/0!</v>
      </c>
      <c r="J58" s="18" t="e">
        <f t="shared" si="96"/>
        <v>#DIV/0!</v>
      </c>
      <c r="K58" s="19" t="e">
        <f t="shared" si="96"/>
        <v>#DIV/0!</v>
      </c>
      <c r="L58" s="18" t="e">
        <f t="shared" si="96"/>
        <v>#DIV/0!</v>
      </c>
      <c r="M58" s="19" t="e">
        <f t="shared" si="96"/>
        <v>#DIV/0!</v>
      </c>
      <c r="N58" s="44" t="e">
        <f t="shared" si="96"/>
        <v>#DIV/0!</v>
      </c>
      <c r="O58" s="44">
        <f t="shared" ref="O58" si="97">+O28/O3</f>
        <v>10373.556771545829</v>
      </c>
      <c r="P58" s="44" t="e">
        <f t="shared" si="3"/>
        <v>#DIV/0!</v>
      </c>
      <c r="Q58" s="136" t="e">
        <f t="shared" si="1"/>
        <v>#DIV/0!</v>
      </c>
    </row>
    <row r="59" spans="1:18" x14ac:dyDescent="0.45">
      <c r="A59" s="17" t="s">
        <v>18</v>
      </c>
      <c r="B59" s="18" t="e">
        <f>+B29/B3</f>
        <v>#DIV/0!</v>
      </c>
      <c r="C59" s="19" t="e">
        <f t="shared" ref="C59:N59" si="98">+C29/C3</f>
        <v>#DIV/0!</v>
      </c>
      <c r="D59" s="18" t="e">
        <f t="shared" si="98"/>
        <v>#DIV/0!</v>
      </c>
      <c r="E59" s="19" t="e">
        <f t="shared" si="98"/>
        <v>#DIV/0!</v>
      </c>
      <c r="F59" s="18" t="e">
        <f t="shared" si="98"/>
        <v>#DIV/0!</v>
      </c>
      <c r="G59" s="19" t="e">
        <f t="shared" si="98"/>
        <v>#DIV/0!</v>
      </c>
      <c r="H59" s="18" t="e">
        <f t="shared" si="98"/>
        <v>#DIV/0!</v>
      </c>
      <c r="I59" s="19" t="e">
        <f t="shared" si="98"/>
        <v>#DIV/0!</v>
      </c>
      <c r="J59" s="18" t="e">
        <f t="shared" si="98"/>
        <v>#DIV/0!</v>
      </c>
      <c r="K59" s="19" t="e">
        <f t="shared" si="98"/>
        <v>#DIV/0!</v>
      </c>
      <c r="L59" s="18" t="e">
        <f t="shared" si="98"/>
        <v>#DIV/0!</v>
      </c>
      <c r="M59" s="19" t="e">
        <f t="shared" si="98"/>
        <v>#DIV/0!</v>
      </c>
      <c r="N59" s="44" t="e">
        <f t="shared" si="98"/>
        <v>#DIV/0!</v>
      </c>
      <c r="O59" s="44">
        <f t="shared" ref="O59" si="99">+O29/O3</f>
        <v>11669.756839750951</v>
      </c>
      <c r="P59" s="44" t="e">
        <f t="shared" si="3"/>
        <v>#DIV/0!</v>
      </c>
      <c r="Q59" s="136" t="e">
        <f t="shared" si="1"/>
        <v>#DIV/0!</v>
      </c>
      <c r="R59" s="141"/>
    </row>
    <row r="60" spans="1:18" x14ac:dyDescent="0.45">
      <c r="A60" s="17" t="s">
        <v>14</v>
      </c>
      <c r="B60" s="18" t="e">
        <f>+B32/B3</f>
        <v>#DIV/0!</v>
      </c>
      <c r="C60" s="19" t="e">
        <f t="shared" ref="C60:N60" si="100">+C32/C3</f>
        <v>#DIV/0!</v>
      </c>
      <c r="D60" s="18" t="e">
        <f t="shared" si="100"/>
        <v>#DIV/0!</v>
      </c>
      <c r="E60" s="19" t="e">
        <f t="shared" si="100"/>
        <v>#DIV/0!</v>
      </c>
      <c r="F60" s="18" t="e">
        <f t="shared" si="100"/>
        <v>#DIV/0!</v>
      </c>
      <c r="G60" s="19" t="e">
        <f t="shared" si="100"/>
        <v>#DIV/0!</v>
      </c>
      <c r="H60" s="18" t="e">
        <f t="shared" si="100"/>
        <v>#DIV/0!</v>
      </c>
      <c r="I60" s="19" t="e">
        <f t="shared" si="100"/>
        <v>#DIV/0!</v>
      </c>
      <c r="J60" s="18" t="e">
        <f t="shared" si="100"/>
        <v>#DIV/0!</v>
      </c>
      <c r="K60" s="19" t="e">
        <f t="shared" si="100"/>
        <v>#DIV/0!</v>
      </c>
      <c r="L60" s="18" t="e">
        <f t="shared" si="100"/>
        <v>#DIV/0!</v>
      </c>
      <c r="M60" s="19" t="e">
        <f t="shared" si="100"/>
        <v>#DIV/0!</v>
      </c>
      <c r="N60" s="44" t="e">
        <f t="shared" si="100"/>
        <v>#DIV/0!</v>
      </c>
      <c r="O60" s="44">
        <f t="shared" ref="O60" si="101">+O32/O3</f>
        <v>121037.20807001858</v>
      </c>
      <c r="P60" s="44" t="e">
        <f t="shared" si="3"/>
        <v>#DIV/0!</v>
      </c>
      <c r="Q60" s="136" t="e">
        <f t="shared" si="1"/>
        <v>#DIV/0!</v>
      </c>
      <c r="R60" s="141"/>
    </row>
    <row r="61" spans="1:18" x14ac:dyDescent="0.45">
      <c r="A61" s="131" t="s">
        <v>165</v>
      </c>
      <c r="B61" s="123"/>
      <c r="C61" s="124"/>
      <c r="D61" s="123"/>
      <c r="E61" s="124"/>
      <c r="F61" s="123"/>
      <c r="G61" s="124"/>
      <c r="H61" s="123"/>
      <c r="I61" s="124"/>
      <c r="J61" s="123"/>
      <c r="K61" s="124"/>
      <c r="L61" s="123"/>
      <c r="M61" s="124"/>
      <c r="N61" s="125"/>
      <c r="O61" s="125"/>
      <c r="P61" s="125"/>
      <c r="Q61" s="125"/>
      <c r="R61" s="141"/>
    </row>
    <row r="62" spans="1:18" x14ac:dyDescent="0.45">
      <c r="A62" s="17" t="s">
        <v>160</v>
      </c>
      <c r="B62" s="126"/>
      <c r="C62" s="127"/>
      <c r="D62" s="18" t="e">
        <f>SUM(B68:D84)</f>
        <v>#DIV/0!</v>
      </c>
      <c r="E62" s="127"/>
      <c r="F62" s="126"/>
      <c r="G62" s="127"/>
      <c r="H62" s="126"/>
      <c r="I62" s="127"/>
      <c r="J62" s="126"/>
      <c r="K62" s="127"/>
      <c r="L62" s="126"/>
      <c r="M62" s="127"/>
      <c r="N62" s="128"/>
      <c r="O62" s="128"/>
      <c r="P62" s="128"/>
      <c r="Q62" s="128"/>
      <c r="R62" s="141"/>
    </row>
    <row r="63" spans="1:18" x14ac:dyDescent="0.45">
      <c r="A63" s="17" t="s">
        <v>161</v>
      </c>
      <c r="B63" s="126"/>
      <c r="C63" s="127"/>
      <c r="D63" s="129" t="e">
        <f>+D62/('Budget Volumes Export'!N16)</f>
        <v>#DIV/0!</v>
      </c>
      <c r="E63" s="130" t="e">
        <f>+D63</f>
        <v>#DIV/0!</v>
      </c>
      <c r="F63" s="129" t="e">
        <f t="shared" ref="F63:M63" si="102">+E63</f>
        <v>#DIV/0!</v>
      </c>
      <c r="G63" s="130" t="e">
        <f t="shared" si="102"/>
        <v>#DIV/0!</v>
      </c>
      <c r="H63" s="129" t="e">
        <f t="shared" si="102"/>
        <v>#DIV/0!</v>
      </c>
      <c r="I63" s="130" t="e">
        <f t="shared" si="102"/>
        <v>#DIV/0!</v>
      </c>
      <c r="J63" s="129" t="e">
        <f t="shared" si="102"/>
        <v>#DIV/0!</v>
      </c>
      <c r="K63" s="130" t="e">
        <f t="shared" si="102"/>
        <v>#DIV/0!</v>
      </c>
      <c r="L63" s="129" t="e">
        <f t="shared" si="102"/>
        <v>#DIV/0!</v>
      </c>
      <c r="M63" s="130" t="e">
        <f t="shared" si="102"/>
        <v>#DIV/0!</v>
      </c>
      <c r="N63" s="128"/>
      <c r="O63" s="128"/>
      <c r="P63" s="128"/>
      <c r="Q63" s="128"/>
      <c r="R63" s="141"/>
    </row>
    <row r="64" spans="1:18" x14ac:dyDescent="0.45">
      <c r="A64" s="17" t="s">
        <v>162</v>
      </c>
      <c r="B64" s="126"/>
      <c r="C64" s="127"/>
      <c r="D64" s="126"/>
      <c r="E64" s="19" t="e">
        <f>+E63*'Budget Volumes Export'!E16</f>
        <v>#DIV/0!</v>
      </c>
      <c r="F64" s="18" t="e">
        <f>+F63*'Budget Volumes Export'!F16</f>
        <v>#DIV/0!</v>
      </c>
      <c r="G64" s="19" t="e">
        <f>+G63*'Budget Volumes Export'!G16</f>
        <v>#DIV/0!</v>
      </c>
      <c r="H64" s="18" t="e">
        <f>+H63*'Budget Volumes Export'!H16</f>
        <v>#DIV/0!</v>
      </c>
      <c r="I64" s="19" t="e">
        <f>+I63*'Budget Volumes Export'!I16</f>
        <v>#DIV/0!</v>
      </c>
      <c r="J64" s="18" t="e">
        <f>+J63*'Budget Volumes Export'!J16</f>
        <v>#DIV/0!</v>
      </c>
      <c r="K64" s="19" t="e">
        <f>+K63*'Budget Volumes Export'!K16</f>
        <v>#DIV/0!</v>
      </c>
      <c r="L64" s="18" t="e">
        <f>+L63*'Budget Volumes Export'!L16</f>
        <v>#DIV/0!</v>
      </c>
      <c r="M64" s="19" t="e">
        <f>+M63*'Budget Volumes Export'!M16</f>
        <v>#DIV/0!</v>
      </c>
      <c r="N64" s="128"/>
      <c r="O64" s="128"/>
      <c r="P64" s="128"/>
      <c r="Q64" s="128"/>
      <c r="R64" s="141"/>
    </row>
    <row r="65" spans="1:18" x14ac:dyDescent="0.45">
      <c r="A65" s="17" t="s">
        <v>163</v>
      </c>
      <c r="B65" s="126"/>
      <c r="C65" s="127"/>
      <c r="D65" s="126"/>
      <c r="E65" s="19" t="e">
        <f>+D62-E64</f>
        <v>#DIV/0!</v>
      </c>
      <c r="F65" s="18" t="e">
        <f>+E65-F64</f>
        <v>#DIV/0!</v>
      </c>
      <c r="G65" s="19" t="e">
        <f t="shared" ref="G65:M65" si="103">+F65-G64</f>
        <v>#DIV/0!</v>
      </c>
      <c r="H65" s="18" t="e">
        <f t="shared" si="103"/>
        <v>#DIV/0!</v>
      </c>
      <c r="I65" s="19" t="e">
        <f t="shared" si="103"/>
        <v>#DIV/0!</v>
      </c>
      <c r="J65" s="18" t="e">
        <f t="shared" si="103"/>
        <v>#DIV/0!</v>
      </c>
      <c r="K65" s="19" t="e">
        <f t="shared" si="103"/>
        <v>#DIV/0!</v>
      </c>
      <c r="L65" s="18" t="e">
        <f t="shared" si="103"/>
        <v>#DIV/0!</v>
      </c>
      <c r="M65" s="19" t="e">
        <f t="shared" si="103"/>
        <v>#DIV/0!</v>
      </c>
      <c r="N65" s="128"/>
      <c r="O65" s="128"/>
      <c r="P65" s="128"/>
      <c r="Q65" s="128"/>
      <c r="R65" s="141"/>
    </row>
    <row r="66" spans="1:18" x14ac:dyDescent="0.45">
      <c r="A66" s="17" t="s">
        <v>164</v>
      </c>
      <c r="B66" s="126"/>
      <c r="C66" s="127"/>
      <c r="D66" s="126"/>
      <c r="E66" s="19" t="e">
        <f>+E65-D62</f>
        <v>#DIV/0!</v>
      </c>
      <c r="F66" s="18" t="e">
        <f>+F65-E65</f>
        <v>#DIV/0!</v>
      </c>
      <c r="G66" s="19" t="e">
        <f t="shared" ref="G66:M66" si="104">+G65-F65</f>
        <v>#DIV/0!</v>
      </c>
      <c r="H66" s="18" t="e">
        <f t="shared" si="104"/>
        <v>#DIV/0!</v>
      </c>
      <c r="I66" s="19" t="e">
        <f t="shared" si="104"/>
        <v>#DIV/0!</v>
      </c>
      <c r="J66" s="18" t="e">
        <f t="shared" si="104"/>
        <v>#DIV/0!</v>
      </c>
      <c r="K66" s="19" t="e">
        <f t="shared" si="104"/>
        <v>#DIV/0!</v>
      </c>
      <c r="L66" s="18" t="e">
        <f t="shared" si="104"/>
        <v>#DIV/0!</v>
      </c>
      <c r="M66" s="19" t="e">
        <f t="shared" si="104"/>
        <v>#DIV/0!</v>
      </c>
      <c r="N66" s="128"/>
      <c r="O66" s="128"/>
      <c r="P66" s="128"/>
      <c r="Q66" s="128"/>
      <c r="R66" s="141"/>
    </row>
    <row r="67" spans="1:18" x14ac:dyDescent="0.45">
      <c r="A67" s="4" t="s">
        <v>247</v>
      </c>
      <c r="B67" s="117"/>
      <c r="C67" s="118"/>
      <c r="D67" s="117"/>
      <c r="E67" s="118"/>
      <c r="F67" s="117"/>
      <c r="G67" s="118"/>
      <c r="H67" s="117"/>
      <c r="I67" s="118"/>
      <c r="J67" s="117"/>
      <c r="K67" s="118"/>
      <c r="L67" s="117"/>
      <c r="M67" s="118"/>
      <c r="N67" s="119"/>
      <c r="O67" s="119"/>
      <c r="P67" s="119"/>
      <c r="Q67" s="119"/>
      <c r="R67" s="141"/>
    </row>
    <row r="68" spans="1:18" x14ac:dyDescent="0.45">
      <c r="A68" s="4" t="s">
        <v>167</v>
      </c>
      <c r="B68" s="176">
        <f>B12</f>
        <v>0</v>
      </c>
      <c r="C68" s="178">
        <f>C12</f>
        <v>1494600</v>
      </c>
      <c r="D68" s="176">
        <f>D12</f>
        <v>0</v>
      </c>
      <c r="E68" s="121"/>
      <c r="F68" s="120"/>
      <c r="G68" s="121"/>
      <c r="H68" s="120"/>
      <c r="I68" s="121"/>
      <c r="J68" s="120"/>
      <c r="K68" s="121"/>
      <c r="L68" s="120"/>
      <c r="M68" s="121"/>
      <c r="N68" s="122"/>
      <c r="O68" s="122"/>
      <c r="P68" s="122"/>
      <c r="Q68" s="122"/>
      <c r="R68" s="141"/>
    </row>
    <row r="69" spans="1:18" x14ac:dyDescent="0.45">
      <c r="A69" s="52" t="s">
        <v>169</v>
      </c>
      <c r="B69" s="177">
        <f>B14</f>
        <v>0</v>
      </c>
      <c r="C69" s="179">
        <f>C14</f>
        <v>1113000</v>
      </c>
      <c r="D69" s="177">
        <f>D14</f>
        <v>0</v>
      </c>
      <c r="E69" s="55"/>
      <c r="F69" s="54"/>
      <c r="G69" s="55"/>
      <c r="H69" s="54"/>
      <c r="I69" s="55"/>
      <c r="J69" s="54"/>
      <c r="K69" s="55"/>
      <c r="L69" s="54"/>
      <c r="M69" s="55"/>
      <c r="N69" s="56"/>
      <c r="O69" s="56"/>
      <c r="P69" s="56"/>
      <c r="Q69" s="56"/>
      <c r="R69" s="141"/>
    </row>
    <row r="70" spans="1:18" x14ac:dyDescent="0.45">
      <c r="A70" s="52" t="s">
        <v>246</v>
      </c>
      <c r="B70" s="177">
        <f>B17</f>
        <v>479534.00000000006</v>
      </c>
      <c r="C70" s="179">
        <f>C17</f>
        <v>15350.000000000004</v>
      </c>
      <c r="D70" s="177">
        <f>D17</f>
        <v>15350.000000000004</v>
      </c>
      <c r="E70" s="55"/>
      <c r="F70" s="54"/>
      <c r="G70" s="55"/>
      <c r="H70" s="54"/>
      <c r="I70" s="55"/>
      <c r="J70" s="54"/>
      <c r="K70" s="55"/>
      <c r="L70" s="54"/>
      <c r="M70" s="55"/>
      <c r="N70" s="56"/>
      <c r="O70" s="56"/>
      <c r="P70" s="56"/>
      <c r="Q70" s="56"/>
      <c r="R70" s="141"/>
    </row>
    <row r="71" spans="1:18" x14ac:dyDescent="0.45">
      <c r="A71" s="52" t="s">
        <v>168</v>
      </c>
      <c r="B71" s="177" t="e">
        <f>B13*('Plan de culture 104 '!$X$13/'Plan de culture 104 '!$B$3)</f>
        <v>#DIV/0!</v>
      </c>
      <c r="C71" s="179" t="e">
        <f>C13*('Plan de culture 104 '!$X$13/'Plan de culture 104 '!$B$3)</f>
        <v>#DIV/0!</v>
      </c>
      <c r="D71" s="177" t="e">
        <f>D13*('Plan de culture 104 '!$X$13/'Plan de culture 104 '!$B$3)</f>
        <v>#DIV/0!</v>
      </c>
      <c r="E71" s="55"/>
      <c r="F71" s="54"/>
      <c r="G71" s="55"/>
      <c r="H71" s="54"/>
      <c r="I71" s="55"/>
      <c r="J71" s="54"/>
      <c r="K71" s="55"/>
      <c r="L71" s="54"/>
      <c r="M71" s="55"/>
      <c r="N71" s="56"/>
      <c r="O71" s="56"/>
      <c r="P71" s="56"/>
      <c r="Q71" s="56"/>
      <c r="R71" s="141"/>
    </row>
    <row r="72" spans="1:18" x14ac:dyDescent="0.45">
      <c r="A72" s="52" t="s">
        <v>170</v>
      </c>
      <c r="B72" s="177" t="e">
        <f>B15*('Plan de culture 104 '!$X$13/'Plan de culture 104 '!$B$3)</f>
        <v>#DIV/0!</v>
      </c>
      <c r="C72" s="179" t="e">
        <f>C15*('Plan de culture 104 '!$X$13/'Plan de culture 104 '!$B$3)</f>
        <v>#DIV/0!</v>
      </c>
      <c r="D72" s="177" t="e">
        <f>D15*('Plan de culture 104 '!$X$13/'Plan de culture 104 '!$B$3)</f>
        <v>#DIV/0!</v>
      </c>
      <c r="E72" s="55"/>
      <c r="F72" s="54"/>
      <c r="G72" s="55"/>
      <c r="H72" s="54"/>
      <c r="I72" s="55"/>
      <c r="J72" s="54"/>
      <c r="K72" s="55"/>
      <c r="L72" s="54"/>
      <c r="M72" s="55"/>
      <c r="N72" s="56"/>
      <c r="O72" s="56"/>
      <c r="P72" s="56"/>
      <c r="Q72" s="56"/>
      <c r="R72" s="141"/>
    </row>
    <row r="73" spans="1:18" x14ac:dyDescent="0.45">
      <c r="A73" s="52" t="s">
        <v>171</v>
      </c>
      <c r="B73" s="177" t="e">
        <f>B16*('Plan de culture 104 '!$X$13/'Plan de culture 104 '!$B$3)</f>
        <v>#DIV/0!</v>
      </c>
      <c r="C73" s="179" t="e">
        <f>C16*('Plan de culture 104 '!$X$13/'Plan de culture 104 '!$B$3)</f>
        <v>#DIV/0!</v>
      </c>
      <c r="D73" s="177" t="e">
        <f>D16*('Plan de culture 104 '!$X$13/'Plan de culture 104 '!$B$3)</f>
        <v>#DIV/0!</v>
      </c>
      <c r="E73" s="55"/>
      <c r="F73" s="54"/>
      <c r="G73" s="55"/>
      <c r="H73" s="54"/>
      <c r="I73" s="55"/>
      <c r="J73" s="54"/>
      <c r="K73" s="55"/>
      <c r="L73" s="54"/>
      <c r="M73" s="55"/>
      <c r="N73" s="56"/>
      <c r="O73" s="56"/>
      <c r="P73" s="56"/>
      <c r="Q73" s="56"/>
      <c r="R73" s="141"/>
    </row>
    <row r="74" spans="1:18" x14ac:dyDescent="0.45">
      <c r="A74" s="52" t="s">
        <v>248</v>
      </c>
      <c r="B74" s="177" t="e">
        <f>B21*('Plan de culture 104 '!$X$13/'Plan de culture 104 '!$B$3)</f>
        <v>#DIV/0!</v>
      </c>
      <c r="C74" s="179" t="e">
        <f>C21*('Plan de culture 104 '!$X$13/'Plan de culture 104 '!$B$3)</f>
        <v>#DIV/0!</v>
      </c>
      <c r="D74" s="177" t="e">
        <f>D21*('Plan de culture 104 '!$X$13/'Plan de culture 104 '!$B$3)</f>
        <v>#DIV/0!</v>
      </c>
      <c r="E74" s="55"/>
      <c r="F74" s="54"/>
      <c r="G74" s="55"/>
      <c r="H74" s="54"/>
      <c r="I74" s="55"/>
      <c r="J74" s="54"/>
      <c r="K74" s="55"/>
      <c r="L74" s="54"/>
      <c r="M74" s="55"/>
      <c r="N74" s="56"/>
      <c r="O74" s="56"/>
      <c r="P74" s="56"/>
      <c r="Q74" s="56"/>
      <c r="R74" s="141"/>
    </row>
    <row r="75" spans="1:18" x14ac:dyDescent="0.45">
      <c r="A75" s="52" t="s">
        <v>10</v>
      </c>
      <c r="B75" s="177" t="e">
        <f>B22*('Plan de culture 104 '!$X$13/'Plan de culture 104 '!$B$3)</f>
        <v>#DIV/0!</v>
      </c>
      <c r="C75" s="179" t="e">
        <f>C22*('Plan de culture 104 '!$X$13/'Plan de culture 104 '!$B$3)</f>
        <v>#DIV/0!</v>
      </c>
      <c r="D75" s="177" t="e">
        <f>D22*('Plan de culture 104 '!$X$13/'Plan de culture 104 '!$B$3)</f>
        <v>#DIV/0!</v>
      </c>
      <c r="R75" s="141"/>
    </row>
    <row r="76" spans="1:18" x14ac:dyDescent="0.45">
      <c r="A76" s="52" t="s">
        <v>11</v>
      </c>
      <c r="B76" s="177" t="e">
        <f>B23*('Plan de culture 104 '!$X$13/'Plan de culture 104 '!$B$3)</f>
        <v>#DIV/0!</v>
      </c>
      <c r="C76" s="179" t="e">
        <f>C23*('Plan de culture 104 '!$X$13/'Plan de culture 104 '!$B$3)</f>
        <v>#DIV/0!</v>
      </c>
      <c r="D76" s="177" t="e">
        <f>D23*('Plan de culture 104 '!$X$13/'Plan de culture 104 '!$B$3)</f>
        <v>#DIV/0!</v>
      </c>
      <c r="R76" s="141"/>
    </row>
    <row r="77" spans="1:18" x14ac:dyDescent="0.45">
      <c r="A77" s="52" t="s">
        <v>12</v>
      </c>
      <c r="B77" s="177" t="e">
        <f>B24*('Plan de culture 104 '!$X$13/'Plan de culture 104 '!$B$3)</f>
        <v>#DIV/0!</v>
      </c>
      <c r="C77" s="179" t="e">
        <f>C24*('Plan de culture 104 '!$X$13/'Plan de culture 104 '!$B$3)</f>
        <v>#DIV/0!</v>
      </c>
      <c r="D77" s="177" t="e">
        <f>D24*('Plan de culture 104 '!$X$13/'Plan de culture 104 '!$B$3)</f>
        <v>#DIV/0!</v>
      </c>
      <c r="R77" s="141"/>
    </row>
    <row r="78" spans="1:18" x14ac:dyDescent="0.45">
      <c r="A78" s="52" t="s">
        <v>156</v>
      </c>
      <c r="B78" s="177" t="e">
        <f>B25*('Plan de culture 104 '!$X$13/'Plan de culture 104 '!$B$3)</f>
        <v>#DIV/0!</v>
      </c>
      <c r="C78" s="179" t="e">
        <f>C25*('Plan de culture 104 '!$X$13/'Plan de culture 104 '!$B$3)</f>
        <v>#DIV/0!</v>
      </c>
      <c r="D78" s="177" t="e">
        <f>D25*('Plan de culture 104 '!$X$13/'Plan de culture 104 '!$B$3)</f>
        <v>#DIV/0!</v>
      </c>
      <c r="R78" s="141"/>
    </row>
    <row r="79" spans="1:18" x14ac:dyDescent="0.45">
      <c r="A79" s="52" t="s">
        <v>157</v>
      </c>
      <c r="B79" s="177" t="e">
        <f>B26*('Plan de culture 104 '!$X$13/'Plan de culture 104 '!$B$3)</f>
        <v>#DIV/0!</v>
      </c>
      <c r="C79" s="179" t="e">
        <f>C26*('Plan de culture 104 '!$X$13/'Plan de culture 104 '!$B$3)</f>
        <v>#DIV/0!</v>
      </c>
      <c r="D79" s="177" t="e">
        <f>D26*('Plan de culture 104 '!$X$13/'Plan de culture 104 '!$B$3)</f>
        <v>#DIV/0!</v>
      </c>
      <c r="R79" s="141"/>
    </row>
    <row r="80" spans="1:18" x14ac:dyDescent="0.45">
      <c r="A80" s="52" t="s">
        <v>158</v>
      </c>
      <c r="B80" s="177" t="e">
        <f>B27*('Plan de culture 104 '!$X$13/'Plan de culture 104 '!$B$3)</f>
        <v>#DIV/0!</v>
      </c>
      <c r="C80" s="179" t="e">
        <f>C27*('Plan de culture 104 '!$X$13/'Plan de culture 104 '!$B$3)</f>
        <v>#DIV/0!</v>
      </c>
      <c r="D80" s="177" t="e">
        <f>D27*('Plan de culture 104 '!$X$13/'Plan de culture 104 '!$B$3)</f>
        <v>#DIV/0!</v>
      </c>
      <c r="R80" s="141"/>
    </row>
    <row r="81" spans="1:18" x14ac:dyDescent="0.45">
      <c r="A81" s="52" t="s">
        <v>18</v>
      </c>
      <c r="B81" s="177" t="e">
        <f>B29*('Plan de culture 104 '!$X$13/'Plan de culture 104 '!$B$3)</f>
        <v>#DIV/0!</v>
      </c>
      <c r="C81" s="179" t="e">
        <f>C29*('Plan de culture 104 '!$X$13/'Plan de culture 104 '!$B$3)</f>
        <v>#DIV/0!</v>
      </c>
      <c r="D81" s="177" t="e">
        <f>D29*('Plan de culture 104 '!$X$13/'Plan de culture 104 '!$B$3)</f>
        <v>#DIV/0!</v>
      </c>
      <c r="R81" s="141"/>
    </row>
    <row r="82" spans="1:18" x14ac:dyDescent="0.45">
      <c r="A82" s="52" t="s">
        <v>14</v>
      </c>
      <c r="B82" s="177" t="e">
        <f>B32*('Plan de culture 104 '!$X$13/'Plan de culture 104 '!$B$3)</f>
        <v>#DIV/0!</v>
      </c>
      <c r="C82" s="179" t="e">
        <f>C32*('Plan de culture 104 '!$X$13/'Plan de culture 104 '!$B$3)</f>
        <v>#DIV/0!</v>
      </c>
      <c r="D82" s="177" t="e">
        <f>D32*('Plan de culture 104 '!$X$13/'Plan de culture 104 '!$B$3)</f>
        <v>#DIV/0!</v>
      </c>
      <c r="R82" s="141"/>
    </row>
    <row r="83" spans="1:18" x14ac:dyDescent="0.45">
      <c r="B83" s="177"/>
      <c r="C83" s="179"/>
      <c r="D83" s="177"/>
      <c r="R83" s="141"/>
    </row>
    <row r="84" spans="1:18" x14ac:dyDescent="0.45">
      <c r="B84" s="177"/>
      <c r="C84" s="179"/>
      <c r="D84" s="177"/>
      <c r="R84" s="141"/>
    </row>
    <row r="85" spans="1:18" x14ac:dyDescent="0.45">
      <c r="B85" s="177"/>
      <c r="C85" s="179"/>
      <c r="D85" s="177"/>
      <c r="R85" s="141"/>
    </row>
    <row r="86" spans="1:18" x14ac:dyDescent="0.45">
      <c r="B86" s="177"/>
      <c r="C86" s="179"/>
      <c r="R86" s="14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U86"/>
  <sheetViews>
    <sheetView zoomScaleNormal="100" workbookViewId="0">
      <pane xSplit="1" topLeftCell="B1" activePane="topRight" state="frozen"/>
      <selection activeCell="N31" sqref="N31"/>
      <selection pane="topRight" activeCell="R9" sqref="R9"/>
    </sheetView>
  </sheetViews>
  <sheetFormatPr baseColWidth="10" defaultColWidth="11.46484375" defaultRowHeight="14.25" x14ac:dyDescent="0.45"/>
  <cols>
    <col min="1" max="1" width="25.265625" style="1" bestFit="1" customWidth="1"/>
    <col min="2" max="2" width="8.796875" style="2" bestFit="1" customWidth="1"/>
    <col min="3" max="3" width="8.796875" style="3" bestFit="1" customWidth="1"/>
    <col min="4" max="4" width="7.796875" style="2" bestFit="1" customWidth="1"/>
    <col min="5" max="5" width="8" style="3" bestFit="1" customWidth="1"/>
    <col min="6" max="6" width="8.796875" style="2" bestFit="1" customWidth="1"/>
    <col min="7" max="7" width="8.796875" style="3" bestFit="1" customWidth="1"/>
    <col min="8" max="8" width="8.796875" style="2" bestFit="1" customWidth="1"/>
    <col min="9" max="9" width="8.796875" style="3" bestFit="1" customWidth="1"/>
    <col min="10" max="10" width="8.796875" style="2" bestFit="1" customWidth="1"/>
    <col min="11" max="11" width="8.796875" style="3" bestFit="1" customWidth="1"/>
    <col min="12" max="12" width="8.796875" style="2" bestFit="1" customWidth="1"/>
    <col min="13" max="13" width="8.796875" style="3" bestFit="1" customWidth="1"/>
    <col min="14" max="15" width="8.796875" style="22" bestFit="1" customWidth="1"/>
    <col min="16" max="16" width="9.265625" style="22" bestFit="1" customWidth="1"/>
    <col min="17" max="17" width="9" style="22" bestFit="1" customWidth="1"/>
    <col min="18" max="18" width="15.46484375" style="139" bestFit="1" customWidth="1"/>
    <col min="19" max="19" width="9.265625" style="139" bestFit="1" customWidth="1"/>
    <col min="20" max="16384" width="11.46484375" style="1"/>
  </cols>
  <sheetData>
    <row r="1" spans="1:21" s="32" customFormat="1" ht="11.65" x14ac:dyDescent="0.35">
      <c r="B1" s="143" t="s">
        <v>78</v>
      </c>
      <c r="C1" s="144" t="s">
        <v>78</v>
      </c>
      <c r="D1" s="143" t="s">
        <v>78</v>
      </c>
      <c r="E1" s="144" t="s">
        <v>78</v>
      </c>
      <c r="F1" s="143" t="s">
        <v>78</v>
      </c>
      <c r="G1" s="144" t="s">
        <v>78</v>
      </c>
      <c r="H1" s="143" t="s">
        <v>78</v>
      </c>
      <c r="I1" s="144" t="s">
        <v>78</v>
      </c>
      <c r="J1" s="143" t="s">
        <v>78</v>
      </c>
      <c r="K1" s="144" t="s">
        <v>78</v>
      </c>
      <c r="L1" s="143" t="s">
        <v>78</v>
      </c>
      <c r="M1" s="144" t="s">
        <v>78</v>
      </c>
      <c r="N1" s="145" t="s">
        <v>78</v>
      </c>
      <c r="O1" s="145" t="s">
        <v>228</v>
      </c>
      <c r="P1" s="145" t="s">
        <v>177</v>
      </c>
      <c r="Q1" s="145" t="s">
        <v>177</v>
      </c>
      <c r="R1" s="137"/>
      <c r="S1" s="138"/>
    </row>
    <row r="2" spans="1:21" ht="14.65" thickBot="1" x14ac:dyDescent="0.5">
      <c r="A2" s="5" t="s">
        <v>330</v>
      </c>
      <c r="B2" s="23">
        <v>45839</v>
      </c>
      <c r="C2" s="24">
        <f>+B2+31</f>
        <v>45870</v>
      </c>
      <c r="D2" s="23">
        <f t="shared" ref="D2:M2" si="0">+C2+31</f>
        <v>45901</v>
      </c>
      <c r="E2" s="24">
        <f t="shared" si="0"/>
        <v>45932</v>
      </c>
      <c r="F2" s="23">
        <f t="shared" si="0"/>
        <v>45963</v>
      </c>
      <c r="G2" s="24">
        <f t="shared" si="0"/>
        <v>45994</v>
      </c>
      <c r="H2" s="23">
        <f t="shared" si="0"/>
        <v>46025</v>
      </c>
      <c r="I2" s="24">
        <f t="shared" si="0"/>
        <v>46056</v>
      </c>
      <c r="J2" s="23">
        <f t="shared" si="0"/>
        <v>46087</v>
      </c>
      <c r="K2" s="24">
        <f t="shared" si="0"/>
        <v>46118</v>
      </c>
      <c r="L2" s="23">
        <f t="shared" si="0"/>
        <v>46149</v>
      </c>
      <c r="M2" s="24">
        <f t="shared" si="0"/>
        <v>46180</v>
      </c>
      <c r="N2" s="25" t="s">
        <v>432</v>
      </c>
      <c r="O2" s="25" t="s">
        <v>432</v>
      </c>
      <c r="P2" s="25" t="s">
        <v>229</v>
      </c>
      <c r="Q2" s="25" t="s">
        <v>178</v>
      </c>
      <c r="R2" s="139" t="s">
        <v>155</v>
      </c>
      <c r="S2" s="139" t="s">
        <v>79</v>
      </c>
    </row>
    <row r="3" spans="1:21" x14ac:dyDescent="0.45">
      <c r="A3" s="26" t="s">
        <v>27</v>
      </c>
      <c r="B3" s="6">
        <f>+'Plan de culture 105'!$B$3</f>
        <v>0</v>
      </c>
      <c r="C3" s="7">
        <f>+'Plan de culture 105'!$B$3</f>
        <v>0</v>
      </c>
      <c r="D3" s="6">
        <f>+'Plan de culture 105'!$B$3</f>
        <v>0</v>
      </c>
      <c r="E3" s="7">
        <f>+'Plan de culture 105'!$B$3</f>
        <v>0</v>
      </c>
      <c r="F3" s="6">
        <f>+'Plan de culture 105'!$B$3</f>
        <v>0</v>
      </c>
      <c r="G3" s="7">
        <f>+'Plan de culture 105'!$B$3</f>
        <v>0</v>
      </c>
      <c r="H3" s="6">
        <f>+'Plan de culture 105'!$B$3</f>
        <v>0</v>
      </c>
      <c r="I3" s="7">
        <f>+'Plan de culture 105'!$B$3</f>
        <v>0</v>
      </c>
      <c r="J3" s="6">
        <f>+'Plan de culture 105'!$B$3</f>
        <v>0</v>
      </c>
      <c r="K3" s="7">
        <f>+'Plan de culture 105'!$B$3</f>
        <v>0</v>
      </c>
      <c r="L3" s="6">
        <f>+'Plan de culture 105'!$B$3</f>
        <v>0</v>
      </c>
      <c r="M3" s="7">
        <f>+'Plan de culture 105'!$B$3</f>
        <v>0</v>
      </c>
      <c r="N3" s="20">
        <f>+'Plan de culture 105'!$B$3</f>
        <v>0</v>
      </c>
      <c r="O3" s="20">
        <v>7.9</v>
      </c>
      <c r="P3" s="20">
        <f>+N3-O3</f>
        <v>-7.9</v>
      </c>
      <c r="Q3" s="133">
        <f>+P3/O3</f>
        <v>-1</v>
      </c>
      <c r="R3" s="140">
        <f>+'Plan de culture 105'!B3</f>
        <v>0</v>
      </c>
      <c r="S3" s="140">
        <f>+N3-R3</f>
        <v>0</v>
      </c>
    </row>
    <row r="4" spans="1:21" x14ac:dyDescent="0.45">
      <c r="A4" s="26" t="s">
        <v>23</v>
      </c>
      <c r="B4" s="6">
        <f>+'Budget Volumes Export'!B29</f>
        <v>5.3950000000000005</v>
      </c>
      <c r="C4" s="7">
        <f>+'Budget Volumes Export'!C29</f>
        <v>5.3950000000000005</v>
      </c>
      <c r="D4" s="6">
        <f>+'Budget Volumes Export'!D29</f>
        <v>5.3950000000000005</v>
      </c>
      <c r="E4" s="7">
        <f>+'Budget Volumes Export'!E29</f>
        <v>5.3950000000000005</v>
      </c>
      <c r="F4" s="6">
        <f>+'Budget Volumes Export'!F29</f>
        <v>5.3950000000000005</v>
      </c>
      <c r="G4" s="7">
        <f>+'Budget Volumes Export'!G29</f>
        <v>5.3950000000000005</v>
      </c>
      <c r="H4" s="6">
        <f>+'Budget Volumes Export'!H29</f>
        <v>5.3950000000000005</v>
      </c>
      <c r="I4" s="7">
        <f>+'Budget Volumes Export'!I29</f>
        <v>5.3950000000000005</v>
      </c>
      <c r="J4" s="6">
        <f>+'Budget Volumes Export'!J29</f>
        <v>5.3950000000000005</v>
      </c>
      <c r="K4" s="7">
        <f>+'Budget Volumes Export'!K29</f>
        <v>5.3950000000000005</v>
      </c>
      <c r="L4" s="6">
        <f>+'Budget Volumes Export'!L29</f>
        <v>5.3950000000000005</v>
      </c>
      <c r="M4" s="7">
        <f>+'Budget Volumes Export'!M29</f>
        <v>5.3950000000000005</v>
      </c>
      <c r="N4" s="20">
        <f>+'Budget Volumes Export'!N29</f>
        <v>5.3950000000000005</v>
      </c>
      <c r="O4" s="20">
        <v>7.9</v>
      </c>
      <c r="P4" s="20">
        <f>+N4-O4</f>
        <v>-2.5049999999999999</v>
      </c>
      <c r="Q4" s="133">
        <f>+P4/O4</f>
        <v>-0.31708860759493668</v>
      </c>
      <c r="R4" s="140">
        <f>+'Budget Volumes Export'!N32</f>
        <v>0</v>
      </c>
      <c r="S4" s="140">
        <f>+N4-R4</f>
        <v>5.3950000000000005</v>
      </c>
    </row>
    <row r="5" spans="1:21" x14ac:dyDescent="0.45">
      <c r="A5" s="26" t="s">
        <v>0</v>
      </c>
      <c r="B5" s="8">
        <f>+'Budget Volumes Export'!B28</f>
        <v>0</v>
      </c>
      <c r="C5" s="9">
        <f>+'Budget Volumes Export'!C28</f>
        <v>0</v>
      </c>
      <c r="D5" s="8">
        <f>+'Budget Volumes Export'!D28</f>
        <v>0</v>
      </c>
      <c r="E5" s="9">
        <f>+'Budget Volumes Export'!E28</f>
        <v>107900.00000000001</v>
      </c>
      <c r="F5" s="8">
        <f>+'Budget Volumes Export'!F28</f>
        <v>107900.00000000001</v>
      </c>
      <c r="G5" s="9">
        <f>+'Budget Volumes Export'!G28</f>
        <v>80925</v>
      </c>
      <c r="H5" s="8">
        <f>+'Budget Volumes Export'!H28</f>
        <v>80925</v>
      </c>
      <c r="I5" s="9">
        <f>+'Budget Volumes Export'!I28</f>
        <v>107900.00000000001</v>
      </c>
      <c r="J5" s="8">
        <f>+'Budget Volumes Export'!J28</f>
        <v>80925</v>
      </c>
      <c r="K5" s="9">
        <f>+'Budget Volumes Export'!K28</f>
        <v>80925</v>
      </c>
      <c r="L5" s="8">
        <f>+'Budget Volumes Export'!L28</f>
        <v>53950.000000000007</v>
      </c>
      <c r="M5" s="9">
        <f>+'Budget Volumes Export'!M28</f>
        <v>26975.000000000004</v>
      </c>
      <c r="N5" s="31">
        <f>SUM(B5:M5)</f>
        <v>728325</v>
      </c>
      <c r="O5" s="31">
        <v>744107.81</v>
      </c>
      <c r="P5" s="31">
        <f>+N5-O5</f>
        <v>-15782.810000000056</v>
      </c>
      <c r="Q5" s="134">
        <f t="shared" ref="Q5:Q60" si="1">+P5/O5</f>
        <v>-2.1210380791460925E-2</v>
      </c>
      <c r="R5" s="141">
        <f>+'Budget Volumes Export'!N28*1000</f>
        <v>728325000</v>
      </c>
      <c r="S5" s="140">
        <f>+N5-R5</f>
        <v>-727596675</v>
      </c>
      <c r="T5" s="37"/>
    </row>
    <row r="6" spans="1:21" x14ac:dyDescent="0.45">
      <c r="A6" s="17" t="s">
        <v>1</v>
      </c>
      <c r="B6" s="10">
        <f>+B5/B4/1000</f>
        <v>0</v>
      </c>
      <c r="C6" s="11">
        <f t="shared" ref="C6:O6" si="2">+C5/C4/1000</f>
        <v>0</v>
      </c>
      <c r="D6" s="10">
        <f t="shared" si="2"/>
        <v>0</v>
      </c>
      <c r="E6" s="11">
        <f t="shared" si="2"/>
        <v>20</v>
      </c>
      <c r="F6" s="10">
        <f t="shared" si="2"/>
        <v>20</v>
      </c>
      <c r="G6" s="11">
        <f t="shared" si="2"/>
        <v>14.999999999999998</v>
      </c>
      <c r="H6" s="10">
        <f t="shared" si="2"/>
        <v>14.999999999999998</v>
      </c>
      <c r="I6" s="11">
        <f t="shared" si="2"/>
        <v>20</v>
      </c>
      <c r="J6" s="10">
        <f t="shared" si="2"/>
        <v>14.999999999999998</v>
      </c>
      <c r="K6" s="11">
        <f t="shared" si="2"/>
        <v>14.999999999999998</v>
      </c>
      <c r="L6" s="10">
        <f t="shared" si="2"/>
        <v>10</v>
      </c>
      <c r="M6" s="11">
        <f t="shared" si="2"/>
        <v>5</v>
      </c>
      <c r="N6" s="45">
        <f t="shared" si="2"/>
        <v>135</v>
      </c>
      <c r="O6" s="45">
        <f t="shared" si="2"/>
        <v>94.190862025316449</v>
      </c>
      <c r="P6" s="45">
        <f t="shared" ref="P6:P60" si="3">+N6-O6</f>
        <v>40.809137974683551</v>
      </c>
      <c r="Q6" s="135">
        <f t="shared" si="1"/>
        <v>0.43326005407737905</v>
      </c>
      <c r="R6" s="141">
        <f>+'Budget Volumes Export'!N30</f>
        <v>135</v>
      </c>
      <c r="S6" s="140">
        <f>+N6-R6</f>
        <v>0</v>
      </c>
      <c r="T6" s="48"/>
    </row>
    <row r="7" spans="1:21" x14ac:dyDescent="0.45">
      <c r="A7" s="32" t="s">
        <v>477</v>
      </c>
      <c r="B7" s="12">
        <f>+'Budget Commercial Export'!B16</f>
        <v>0</v>
      </c>
      <c r="C7" s="13">
        <f>+'Budget Commercial Export'!C16</f>
        <v>0</v>
      </c>
      <c r="D7" s="12">
        <f>+'Budget Commercial Export'!D16</f>
        <v>0</v>
      </c>
      <c r="E7" s="13">
        <f>+'Budget Commercial Export'!E16</f>
        <v>0</v>
      </c>
      <c r="F7" s="12">
        <f>+'Budget Commercial Export'!F16</f>
        <v>0</v>
      </c>
      <c r="G7" s="13">
        <f>+'Budget Commercial Export'!G16</f>
        <v>0</v>
      </c>
      <c r="H7" s="12">
        <f>+'Budget Commercial Export'!H16</f>
        <v>0</v>
      </c>
      <c r="I7" s="13">
        <f>+'Budget Commercial Export'!I16</f>
        <v>0</v>
      </c>
      <c r="J7" s="12">
        <f>+'Budget Commercial Export'!J16</f>
        <v>0</v>
      </c>
      <c r="K7" s="13">
        <f>+'Budget Commercial Export'!K16</f>
        <v>0</v>
      </c>
      <c r="L7" s="12">
        <f>+'Budget Commercial Export'!L16</f>
        <v>0</v>
      </c>
      <c r="M7" s="13">
        <f>+'Budget Commercial Export'!M16</f>
        <v>0</v>
      </c>
      <c r="N7" s="31">
        <f t="shared" ref="N7:N32" si="4">SUM(B7:M7)</f>
        <v>0</v>
      </c>
      <c r="O7" s="31">
        <v>7792907.0892913332</v>
      </c>
      <c r="P7" s="31">
        <f t="shared" si="3"/>
        <v>-7792907.0892913332</v>
      </c>
      <c r="Q7" s="134">
        <f t="shared" si="1"/>
        <v>-1</v>
      </c>
      <c r="R7" s="141">
        <f>+'Budget Commercial Export'!N16</f>
        <v>0</v>
      </c>
      <c r="S7" s="140">
        <f>+N7-R7</f>
        <v>0</v>
      </c>
      <c r="T7" s="37"/>
    </row>
    <row r="8" spans="1:21" x14ac:dyDescent="0.45">
      <c r="A8" s="32" t="s">
        <v>478</v>
      </c>
      <c r="B8" s="12">
        <f>+'Budget Commercial ML'!B16</f>
        <v>0</v>
      </c>
      <c r="C8" s="13">
        <f>+'Budget Commercial ML'!C16</f>
        <v>0</v>
      </c>
      <c r="D8" s="12">
        <f>+'Budget Commercial ML'!D16</f>
        <v>0</v>
      </c>
      <c r="E8" s="13">
        <f>+'Budget Commercial ML'!E16</f>
        <v>0</v>
      </c>
      <c r="F8" s="12">
        <f>+'Budget Commercial ML'!F16</f>
        <v>0</v>
      </c>
      <c r="G8" s="13">
        <f>+'Budget Commercial ML'!G16</f>
        <v>0</v>
      </c>
      <c r="H8" s="12">
        <f>+'Budget Commercial ML'!H16</f>
        <v>0</v>
      </c>
      <c r="I8" s="13">
        <f>+'Budget Commercial ML'!I16</f>
        <v>0</v>
      </c>
      <c r="J8" s="12">
        <f>+'Budget Commercial ML'!J16</f>
        <v>0</v>
      </c>
      <c r="K8" s="13">
        <f>+'Budget Commercial ML'!K16</f>
        <v>0</v>
      </c>
      <c r="L8" s="12">
        <f>+'Budget Commercial ML'!L16</f>
        <v>0</v>
      </c>
      <c r="M8" s="13">
        <f>+'Budget Commercial ML'!M16</f>
        <v>0</v>
      </c>
      <c r="N8" s="31">
        <f t="shared" si="4"/>
        <v>0</v>
      </c>
      <c r="O8" s="31"/>
      <c r="P8" s="31">
        <f t="shared" si="3"/>
        <v>0</v>
      </c>
      <c r="Q8" s="134" t="e">
        <f t="shared" si="1"/>
        <v>#DIV/0!</v>
      </c>
      <c r="R8" s="141"/>
      <c r="S8" s="140"/>
      <c r="T8" s="37"/>
    </row>
    <row r="9" spans="1:21" x14ac:dyDescent="0.45">
      <c r="A9" s="32" t="s">
        <v>57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31">
        <f t="shared" si="4"/>
        <v>0</v>
      </c>
      <c r="O9" s="31">
        <v>476521.56</v>
      </c>
      <c r="P9" s="31">
        <f t="shared" si="3"/>
        <v>-476521.56</v>
      </c>
      <c r="Q9" s="134">
        <f t="shared" si="1"/>
        <v>-1</v>
      </c>
      <c r="R9" s="141"/>
      <c r="S9" s="142"/>
    </row>
    <row r="10" spans="1:21" x14ac:dyDescent="0.45">
      <c r="A10" s="32" t="s">
        <v>24</v>
      </c>
      <c r="B10" s="12" t="e">
        <f>+B30+B32</f>
        <v>#DIV/0!</v>
      </c>
      <c r="C10" s="13" t="e">
        <f t="shared" ref="C10:D10" si="5">+C30+C32</f>
        <v>#DIV/0!</v>
      </c>
      <c r="D10" s="12" t="e">
        <f t="shared" si="5"/>
        <v>#DIV/0!</v>
      </c>
      <c r="E10" s="13" t="e">
        <f>+E66</f>
        <v>#DIV/0!</v>
      </c>
      <c r="F10" s="12" t="e">
        <f t="shared" ref="F10:M10" si="6">+F66</f>
        <v>#DIV/0!</v>
      </c>
      <c r="G10" s="13" t="e">
        <f t="shared" si="6"/>
        <v>#DIV/0!</v>
      </c>
      <c r="H10" s="12" t="e">
        <f t="shared" si="6"/>
        <v>#DIV/0!</v>
      </c>
      <c r="I10" s="13" t="e">
        <f t="shared" si="6"/>
        <v>#DIV/0!</v>
      </c>
      <c r="J10" s="12" t="e">
        <f t="shared" si="6"/>
        <v>#DIV/0!</v>
      </c>
      <c r="K10" s="13" t="e">
        <f t="shared" si="6"/>
        <v>#DIV/0!</v>
      </c>
      <c r="L10" s="12" t="e">
        <f t="shared" si="6"/>
        <v>#DIV/0!</v>
      </c>
      <c r="M10" s="13" t="e">
        <f t="shared" si="6"/>
        <v>#DIV/0!</v>
      </c>
      <c r="N10" s="31" t="e">
        <f t="shared" si="4"/>
        <v>#DIV/0!</v>
      </c>
      <c r="O10" s="31">
        <v>0</v>
      </c>
      <c r="P10" s="31" t="e">
        <f t="shared" si="3"/>
        <v>#DIV/0!</v>
      </c>
      <c r="Q10" s="134" t="e">
        <f t="shared" si="1"/>
        <v>#DIV/0!</v>
      </c>
      <c r="R10" s="141">
        <v>0</v>
      </c>
      <c r="S10" s="140" t="e">
        <f>+N10-R10</f>
        <v>#DIV/0!</v>
      </c>
    </row>
    <row r="11" spans="1:21" x14ac:dyDescent="0.45">
      <c r="A11" s="26" t="s">
        <v>25</v>
      </c>
      <c r="B11" s="8" t="e">
        <f>+B10+B7+B9</f>
        <v>#DIV/0!</v>
      </c>
      <c r="C11" s="9" t="e">
        <f t="shared" ref="C11:O11" si="7">+C10+C7+C9</f>
        <v>#DIV/0!</v>
      </c>
      <c r="D11" s="8" t="e">
        <f t="shared" si="7"/>
        <v>#DIV/0!</v>
      </c>
      <c r="E11" s="9" t="e">
        <f t="shared" si="7"/>
        <v>#DIV/0!</v>
      </c>
      <c r="F11" s="8" t="e">
        <f t="shared" si="7"/>
        <v>#DIV/0!</v>
      </c>
      <c r="G11" s="9" t="e">
        <f t="shared" si="7"/>
        <v>#DIV/0!</v>
      </c>
      <c r="H11" s="8" t="e">
        <f t="shared" si="7"/>
        <v>#DIV/0!</v>
      </c>
      <c r="I11" s="9" t="e">
        <f t="shared" si="7"/>
        <v>#DIV/0!</v>
      </c>
      <c r="J11" s="8" t="e">
        <f t="shared" si="7"/>
        <v>#DIV/0!</v>
      </c>
      <c r="K11" s="9" t="e">
        <f t="shared" si="7"/>
        <v>#DIV/0!</v>
      </c>
      <c r="L11" s="8" t="e">
        <f t="shared" si="7"/>
        <v>#DIV/0!</v>
      </c>
      <c r="M11" s="9" t="e">
        <f t="shared" si="7"/>
        <v>#DIV/0!</v>
      </c>
      <c r="N11" s="31" t="e">
        <f t="shared" si="4"/>
        <v>#DIV/0!</v>
      </c>
      <c r="O11" s="31">
        <f t="shared" si="7"/>
        <v>8269428.6492913328</v>
      </c>
      <c r="P11" s="31" t="e">
        <f t="shared" si="3"/>
        <v>#DIV/0!</v>
      </c>
      <c r="Q11" s="134" t="e">
        <f t="shared" si="1"/>
        <v>#DIV/0!</v>
      </c>
      <c r="R11" s="141"/>
      <c r="S11" s="142"/>
      <c r="U11" s="48">
        <f>+O11-O18-O21-O22-O27</f>
        <v>4250370.6612382745</v>
      </c>
    </row>
    <row r="12" spans="1:21" x14ac:dyDescent="0.45">
      <c r="A12" s="32" t="s">
        <v>2</v>
      </c>
      <c r="B12" s="12">
        <f>+'Budget Semences'!B20</f>
        <v>0</v>
      </c>
      <c r="C12" s="13">
        <f>+'Budget Semences'!C20</f>
        <v>0</v>
      </c>
      <c r="D12" s="12">
        <f>+'Budget Semences'!D20</f>
        <v>0</v>
      </c>
      <c r="E12" s="13">
        <f>+'Budget Semences'!E20</f>
        <v>0</v>
      </c>
      <c r="F12" s="12">
        <f>+'Budget Semences'!F20</f>
        <v>0</v>
      </c>
      <c r="G12" s="13">
        <f>+'Budget Semences'!G20</f>
        <v>0</v>
      </c>
      <c r="H12" s="12">
        <f>+'Budget Semences'!H20</f>
        <v>0</v>
      </c>
      <c r="I12" s="13">
        <f>+'Budget Semences'!I20</f>
        <v>0</v>
      </c>
      <c r="J12" s="12">
        <f>+'Budget Semences'!J20</f>
        <v>0</v>
      </c>
      <c r="K12" s="13">
        <f>+'Budget Semences'!K20</f>
        <v>0</v>
      </c>
      <c r="L12" s="12">
        <f>+'Budget Semences'!L20</f>
        <v>0</v>
      </c>
      <c r="M12" s="13">
        <f>+'Budget Semences'!M20</f>
        <v>0</v>
      </c>
      <c r="N12" s="31">
        <f t="shared" si="4"/>
        <v>0</v>
      </c>
      <c r="O12" s="31">
        <v>1236358.24999998</v>
      </c>
      <c r="P12" s="31">
        <f t="shared" si="3"/>
        <v>-1236358.24999998</v>
      </c>
      <c r="Q12" s="134">
        <f t="shared" si="1"/>
        <v>-1</v>
      </c>
      <c r="R12" s="141">
        <f>+'Budget Semences'!N20</f>
        <v>0</v>
      </c>
      <c r="S12" s="140">
        <f t="shared" ref="S12:S29" si="8">+N12-R12</f>
        <v>0</v>
      </c>
      <c r="U12" s="48">
        <v>166967.1578973663</v>
      </c>
    </row>
    <row r="13" spans="1:21" x14ac:dyDescent="0.45">
      <c r="A13" s="32" t="s">
        <v>3</v>
      </c>
      <c r="B13" s="12">
        <f>+'Budget Engrais'!B16</f>
        <v>0</v>
      </c>
      <c r="C13" s="13">
        <f>+'Budget Engrais'!C16</f>
        <v>0</v>
      </c>
      <c r="D13" s="12">
        <f>+'Budget Engrais'!D16</f>
        <v>0</v>
      </c>
      <c r="E13" s="13">
        <f>+'Budget Engrais'!E16</f>
        <v>0</v>
      </c>
      <c r="F13" s="12">
        <f>+'Budget Engrais'!F16</f>
        <v>0</v>
      </c>
      <c r="G13" s="13">
        <f>+'Budget Engrais'!G16</f>
        <v>0</v>
      </c>
      <c r="H13" s="12">
        <f>+'Budget Engrais'!H16</f>
        <v>0</v>
      </c>
      <c r="I13" s="13">
        <f>+'Budget Engrais'!I16</f>
        <v>0</v>
      </c>
      <c r="J13" s="12">
        <f>+'Budget Engrais'!J16</f>
        <v>0</v>
      </c>
      <c r="K13" s="13">
        <f>+'Budget Engrais'!K16</f>
        <v>0</v>
      </c>
      <c r="L13" s="12">
        <f>+'Budget Engrais'!L16</f>
        <v>0</v>
      </c>
      <c r="M13" s="13">
        <f>+'Budget Engrais'!M16</f>
        <v>0</v>
      </c>
      <c r="N13" s="31">
        <f t="shared" si="4"/>
        <v>0</v>
      </c>
      <c r="O13" s="31">
        <v>1186252.2290824736</v>
      </c>
      <c r="P13" s="31">
        <f t="shared" si="3"/>
        <v>-1186252.2290824736</v>
      </c>
      <c r="Q13" s="134">
        <f t="shared" si="1"/>
        <v>-1</v>
      </c>
      <c r="R13" s="141">
        <f>+'Budget Engrais'!N16</f>
        <v>0</v>
      </c>
      <c r="S13" s="140">
        <f t="shared" si="8"/>
        <v>0</v>
      </c>
      <c r="U13" s="48">
        <f>+U11-U12</f>
        <v>4083403.5033409083</v>
      </c>
    </row>
    <row r="14" spans="1:21" x14ac:dyDescent="0.45">
      <c r="A14" s="32" t="s">
        <v>4</v>
      </c>
      <c r="B14" s="12">
        <f>+'Budget Plants'!B21</f>
        <v>0</v>
      </c>
      <c r="C14" s="13">
        <f>+'Budget Plants'!C21</f>
        <v>0</v>
      </c>
      <c r="D14" s="12">
        <f>+'Budget Plants'!D21</f>
        <v>0</v>
      </c>
      <c r="E14" s="13">
        <f>+'Budget Plants'!E21</f>
        <v>0</v>
      </c>
      <c r="F14" s="12">
        <f>+'Budget Plants'!F21</f>
        <v>0</v>
      </c>
      <c r="G14" s="13">
        <f>+'Budget Plants'!G21</f>
        <v>0</v>
      </c>
      <c r="H14" s="12">
        <f>+'Budget Plants'!H21</f>
        <v>0</v>
      </c>
      <c r="I14" s="13">
        <f>+'Budget Plants'!I21</f>
        <v>0</v>
      </c>
      <c r="J14" s="12">
        <f>+'Budget Plants'!J21</f>
        <v>0</v>
      </c>
      <c r="K14" s="13">
        <f>+'Budget Plants'!K21</f>
        <v>0</v>
      </c>
      <c r="L14" s="12">
        <f>+'Budget Plants'!L21</f>
        <v>0</v>
      </c>
      <c r="M14" s="13">
        <f>+'Budget Plants'!M21</f>
        <v>0</v>
      </c>
      <c r="N14" s="31">
        <f t="shared" si="4"/>
        <v>0</v>
      </c>
      <c r="O14" s="31">
        <v>399668.59999996261</v>
      </c>
      <c r="P14" s="31">
        <f t="shared" si="3"/>
        <v>-399668.59999996261</v>
      </c>
      <c r="Q14" s="134">
        <f t="shared" si="1"/>
        <v>-1</v>
      </c>
      <c r="R14" s="141">
        <f>+'Budget Plants'!N21</f>
        <v>0</v>
      </c>
      <c r="S14" s="140">
        <f t="shared" si="8"/>
        <v>0</v>
      </c>
    </row>
    <row r="15" spans="1:21" x14ac:dyDescent="0.45">
      <c r="A15" s="32" t="s">
        <v>5</v>
      </c>
      <c r="B15" s="12">
        <f>+'Budget Phytos'!B16</f>
        <v>0</v>
      </c>
      <c r="C15" s="13">
        <f>+'Budget Phytos'!C16</f>
        <v>0</v>
      </c>
      <c r="D15" s="12">
        <f>+'Budget Phytos'!D16</f>
        <v>0</v>
      </c>
      <c r="E15" s="13">
        <f>+'Budget Phytos'!E16</f>
        <v>0</v>
      </c>
      <c r="F15" s="12">
        <f>+'Budget Phytos'!F16</f>
        <v>0</v>
      </c>
      <c r="G15" s="13">
        <f>+'Budget Phytos'!G16</f>
        <v>0</v>
      </c>
      <c r="H15" s="12">
        <f>+'Budget Phytos'!H16</f>
        <v>0</v>
      </c>
      <c r="I15" s="13">
        <f>+'Budget Phytos'!I16</f>
        <v>0</v>
      </c>
      <c r="J15" s="12">
        <f>+'Budget Phytos'!J16</f>
        <v>0</v>
      </c>
      <c r="K15" s="13">
        <f>+'Budget Phytos'!K16</f>
        <v>0</v>
      </c>
      <c r="L15" s="12">
        <f>+'Budget Phytos'!L16</f>
        <v>0</v>
      </c>
      <c r="M15" s="13">
        <f>+'Budget Phytos'!M16</f>
        <v>0</v>
      </c>
      <c r="N15" s="31">
        <f t="shared" si="4"/>
        <v>0</v>
      </c>
      <c r="O15" s="31">
        <v>622415.64876163728</v>
      </c>
      <c r="P15" s="31">
        <f t="shared" si="3"/>
        <v>-622415.64876163728</v>
      </c>
      <c r="Q15" s="134">
        <f t="shared" si="1"/>
        <v>-1</v>
      </c>
      <c r="R15" s="141">
        <f>+'Budget Phytos'!N16</f>
        <v>0</v>
      </c>
      <c r="S15" s="140">
        <f t="shared" si="8"/>
        <v>0</v>
      </c>
    </row>
    <row r="16" spans="1:21" x14ac:dyDescent="0.45">
      <c r="A16" s="32" t="s">
        <v>6</v>
      </c>
      <c r="B16" s="12">
        <f>+'Budget Ruches'!B20</f>
        <v>0</v>
      </c>
      <c r="C16" s="13">
        <f>+'Budget Ruches'!C20</f>
        <v>0</v>
      </c>
      <c r="D16" s="12">
        <f>+'Budget Ruches'!D20</f>
        <v>0</v>
      </c>
      <c r="E16" s="13">
        <f>+'Budget Ruches'!E20</f>
        <v>0</v>
      </c>
      <c r="F16" s="12">
        <f>+'Budget Ruches'!F20</f>
        <v>0</v>
      </c>
      <c r="G16" s="13">
        <f>+'Budget Ruches'!G20</f>
        <v>0</v>
      </c>
      <c r="H16" s="12">
        <f>+'Budget Ruches'!H20</f>
        <v>0</v>
      </c>
      <c r="I16" s="13">
        <f>+'Budget Ruches'!I20</f>
        <v>0</v>
      </c>
      <c r="J16" s="12">
        <f>+'Budget Ruches'!J20</f>
        <v>0</v>
      </c>
      <c r="K16" s="13">
        <f>+'Budget Ruches'!K20</f>
        <v>0</v>
      </c>
      <c r="L16" s="12">
        <f>+'Budget Ruches'!L20</f>
        <v>0</v>
      </c>
      <c r="M16" s="13">
        <f>+'Budget Ruches'!M20</f>
        <v>0</v>
      </c>
      <c r="N16" s="31">
        <f t="shared" si="4"/>
        <v>0</v>
      </c>
      <c r="O16" s="31">
        <v>200129.965</v>
      </c>
      <c r="P16" s="31">
        <f t="shared" si="3"/>
        <v>-200129.965</v>
      </c>
      <c r="Q16" s="134">
        <f t="shared" si="1"/>
        <v>-1</v>
      </c>
      <c r="R16" s="141">
        <f>+'Budget Ruches'!N20</f>
        <v>0</v>
      </c>
      <c r="S16" s="140">
        <f t="shared" si="8"/>
        <v>0</v>
      </c>
      <c r="U16" s="37">
        <f>+O16/220</f>
        <v>909.68165909090908</v>
      </c>
    </row>
    <row r="17" spans="1:21" x14ac:dyDescent="0.45">
      <c r="A17" s="32" t="s">
        <v>7</v>
      </c>
      <c r="B17" s="12">
        <f>+'Budget Fres Agri'!B24</f>
        <v>0</v>
      </c>
      <c r="C17" s="13">
        <f>+'Budget Fres Agri'!C24</f>
        <v>0</v>
      </c>
      <c r="D17" s="12">
        <f>+'Budget Fres Agri'!D24</f>
        <v>0</v>
      </c>
      <c r="E17" s="13">
        <f>+'Budget Fres Agri'!E24</f>
        <v>0</v>
      </c>
      <c r="F17" s="12">
        <f>+'Budget Fres Agri'!F24</f>
        <v>0</v>
      </c>
      <c r="G17" s="13">
        <f>+'Budget Fres Agri'!G24</f>
        <v>0</v>
      </c>
      <c r="H17" s="12">
        <f>+'Budget Fres Agri'!H24</f>
        <v>0</v>
      </c>
      <c r="I17" s="13">
        <f>+'Budget Fres Agri'!I24</f>
        <v>0</v>
      </c>
      <c r="J17" s="12">
        <f>+'Budget Fres Agri'!J24</f>
        <v>0</v>
      </c>
      <c r="K17" s="13">
        <f>+'Budget Fres Agri'!K24</f>
        <v>0</v>
      </c>
      <c r="L17" s="12">
        <f>+'Budget Fres Agri'!L24</f>
        <v>0</v>
      </c>
      <c r="M17" s="13">
        <f>+'Budget Fres Agri'!M24</f>
        <v>0</v>
      </c>
      <c r="N17" s="31">
        <f t="shared" si="4"/>
        <v>0</v>
      </c>
      <c r="O17" s="31">
        <v>31340</v>
      </c>
      <c r="P17" s="31">
        <f t="shared" si="3"/>
        <v>-31340</v>
      </c>
      <c r="Q17" s="134">
        <f t="shared" si="1"/>
        <v>-1</v>
      </c>
      <c r="R17" s="141">
        <f>+'Budget Fres Agri'!N24</f>
        <v>0</v>
      </c>
      <c r="S17" s="140">
        <f t="shared" si="8"/>
        <v>0</v>
      </c>
      <c r="U17" s="1">
        <f>+U16/7.9</f>
        <v>115.14957710011507</v>
      </c>
    </row>
    <row r="18" spans="1:21" x14ac:dyDescent="0.45">
      <c r="A18" s="26" t="s">
        <v>15</v>
      </c>
      <c r="B18" s="8">
        <f>SUM(B12:B17)</f>
        <v>0</v>
      </c>
      <c r="C18" s="9">
        <f t="shared" ref="C18:O18" si="9">SUM(C12:C17)</f>
        <v>0</v>
      </c>
      <c r="D18" s="8">
        <f>SUM(D12:D17)</f>
        <v>0</v>
      </c>
      <c r="E18" s="9">
        <f t="shared" si="9"/>
        <v>0</v>
      </c>
      <c r="F18" s="8">
        <f>SUM(F12:F17)</f>
        <v>0</v>
      </c>
      <c r="G18" s="9">
        <f t="shared" si="9"/>
        <v>0</v>
      </c>
      <c r="H18" s="8">
        <f>SUM(H12:H17)</f>
        <v>0</v>
      </c>
      <c r="I18" s="9">
        <f t="shared" si="9"/>
        <v>0</v>
      </c>
      <c r="J18" s="8">
        <f>SUM(J12:J17)</f>
        <v>0</v>
      </c>
      <c r="K18" s="9">
        <f t="shared" si="9"/>
        <v>0</v>
      </c>
      <c r="L18" s="8">
        <f>SUM(L12:L17)</f>
        <v>0</v>
      </c>
      <c r="M18" s="9">
        <f t="shared" si="9"/>
        <v>0</v>
      </c>
      <c r="N18" s="31">
        <f t="shared" si="4"/>
        <v>0</v>
      </c>
      <c r="O18" s="31">
        <f t="shared" si="9"/>
        <v>3676164.6928440537</v>
      </c>
      <c r="P18" s="31">
        <f t="shared" si="3"/>
        <v>-3676164.6928440537</v>
      </c>
      <c r="Q18" s="134">
        <f t="shared" si="1"/>
        <v>-1</v>
      </c>
      <c r="R18" s="141">
        <f>+'Budget Semences'!N20+'Budget Plants'!N21+'Budget Engrais'!N16+'Budget Phytos'!N16+'Budget Ruches'!N20+'Budget Fres Agri'!N24</f>
        <v>0</v>
      </c>
      <c r="S18" s="140">
        <f t="shared" si="8"/>
        <v>0</v>
      </c>
    </row>
    <row r="19" spans="1:21" x14ac:dyDescent="0.45">
      <c r="A19" s="32" t="s">
        <v>8</v>
      </c>
      <c r="B19" s="12">
        <f>+'Budget Energie'!B32</f>
        <v>0</v>
      </c>
      <c r="C19" s="13">
        <f>+'Budget Energie'!C32</f>
        <v>0</v>
      </c>
      <c r="D19" s="12">
        <f>+'Budget Energie'!D32</f>
        <v>0</v>
      </c>
      <c r="E19" s="13">
        <f>+'Budget Energie'!E32</f>
        <v>0</v>
      </c>
      <c r="F19" s="12">
        <f>+'Budget Energie'!F32</f>
        <v>0</v>
      </c>
      <c r="G19" s="13">
        <f>+'Budget Energie'!G32</f>
        <v>0</v>
      </c>
      <c r="H19" s="12">
        <f>+'Budget Energie'!H32</f>
        <v>0</v>
      </c>
      <c r="I19" s="13">
        <f>+'Budget Energie'!I32</f>
        <v>0</v>
      </c>
      <c r="J19" s="12">
        <f>+'Budget Energie'!J32</f>
        <v>0</v>
      </c>
      <c r="K19" s="13">
        <f>+'Budget Energie'!K32</f>
        <v>0</v>
      </c>
      <c r="L19" s="12">
        <f>+'Budget Energie'!L32</f>
        <v>0</v>
      </c>
      <c r="M19" s="13">
        <f>+'Budget Energie'!M32</f>
        <v>0</v>
      </c>
      <c r="N19" s="31">
        <f t="shared" si="4"/>
        <v>0</v>
      </c>
      <c r="O19" s="31">
        <v>129328.36860435334</v>
      </c>
      <c r="P19" s="31">
        <f t="shared" si="3"/>
        <v>-129328.36860435334</v>
      </c>
      <c r="Q19" s="134">
        <f t="shared" si="1"/>
        <v>-1</v>
      </c>
      <c r="R19" s="141">
        <f>+'Budget Energie'!N32</f>
        <v>0</v>
      </c>
      <c r="S19" s="140">
        <f t="shared" si="8"/>
        <v>0</v>
      </c>
    </row>
    <row r="20" spans="1:21" x14ac:dyDescent="0.45">
      <c r="A20" s="32" t="s">
        <v>9</v>
      </c>
      <c r="B20" s="12" t="e">
        <f>+'Budget Energie'!B30</f>
        <v>#DIV/0!</v>
      </c>
      <c r="C20" s="13" t="e">
        <f>+'Budget Energie'!C30</f>
        <v>#DIV/0!</v>
      </c>
      <c r="D20" s="12" t="e">
        <f>+'Budget Energie'!D30</f>
        <v>#DIV/0!</v>
      </c>
      <c r="E20" s="13" t="e">
        <f>+'Budget Energie'!E30</f>
        <v>#DIV/0!</v>
      </c>
      <c r="F20" s="12" t="e">
        <f>+'Budget Energie'!F30</f>
        <v>#DIV/0!</v>
      </c>
      <c r="G20" s="13" t="e">
        <f>+'Budget Energie'!G30</f>
        <v>#DIV/0!</v>
      </c>
      <c r="H20" s="12" t="e">
        <f>+'Budget Energie'!H30</f>
        <v>#DIV/0!</v>
      </c>
      <c r="I20" s="13" t="e">
        <f>+'Budget Energie'!I30</f>
        <v>#DIV/0!</v>
      </c>
      <c r="J20" s="12" t="e">
        <f>+'Budget Energie'!J30</f>
        <v>#DIV/0!</v>
      </c>
      <c r="K20" s="13" t="e">
        <f>+'Budget Energie'!K30</f>
        <v>#DIV/0!</v>
      </c>
      <c r="L20" s="12" t="e">
        <f>+'Budget Energie'!L30</f>
        <v>#DIV/0!</v>
      </c>
      <c r="M20" s="13" t="e">
        <f>+'Budget Energie'!M30</f>
        <v>#DIV/0!</v>
      </c>
      <c r="N20" s="31" t="e">
        <f t="shared" si="4"/>
        <v>#DIV/0!</v>
      </c>
      <c r="O20" s="31">
        <v>21786.117999999999</v>
      </c>
      <c r="P20" s="31" t="e">
        <f t="shared" si="3"/>
        <v>#DIV/0!</v>
      </c>
      <c r="Q20" s="134" t="e">
        <f t="shared" si="1"/>
        <v>#DIV/0!</v>
      </c>
      <c r="R20" s="141" t="e">
        <f>+'Budget Energie'!N30</f>
        <v>#DIV/0!</v>
      </c>
      <c r="S20" s="140" t="e">
        <f t="shared" si="8"/>
        <v>#DIV/0!</v>
      </c>
    </row>
    <row r="21" spans="1:21" x14ac:dyDescent="0.45">
      <c r="A21" s="26" t="s">
        <v>16</v>
      </c>
      <c r="B21" s="8" t="e">
        <f>SUM(B19:B20)</f>
        <v>#DIV/0!</v>
      </c>
      <c r="C21" s="9" t="e">
        <f t="shared" ref="C21:M21" si="10">SUM(C19:C20)</f>
        <v>#DIV/0!</v>
      </c>
      <c r="D21" s="8" t="e">
        <f t="shared" si="10"/>
        <v>#DIV/0!</v>
      </c>
      <c r="E21" s="9" t="e">
        <f t="shared" si="10"/>
        <v>#DIV/0!</v>
      </c>
      <c r="F21" s="8" t="e">
        <f t="shared" si="10"/>
        <v>#DIV/0!</v>
      </c>
      <c r="G21" s="9" t="e">
        <f t="shared" si="10"/>
        <v>#DIV/0!</v>
      </c>
      <c r="H21" s="8" t="e">
        <f t="shared" si="10"/>
        <v>#DIV/0!</v>
      </c>
      <c r="I21" s="9" t="e">
        <f t="shared" si="10"/>
        <v>#DIV/0!</v>
      </c>
      <c r="J21" s="8" t="e">
        <f t="shared" si="10"/>
        <v>#DIV/0!</v>
      </c>
      <c r="K21" s="9" t="e">
        <f t="shared" si="10"/>
        <v>#DIV/0!</v>
      </c>
      <c r="L21" s="8" t="e">
        <f t="shared" si="10"/>
        <v>#DIV/0!</v>
      </c>
      <c r="M21" s="9" t="e">
        <f t="shared" si="10"/>
        <v>#DIV/0!</v>
      </c>
      <c r="N21" s="31" t="e">
        <f t="shared" si="4"/>
        <v>#DIV/0!</v>
      </c>
      <c r="O21" s="31">
        <f>+O20+O19</f>
        <v>151114.48660435333</v>
      </c>
      <c r="P21" s="31" t="e">
        <f t="shared" si="3"/>
        <v>#DIV/0!</v>
      </c>
      <c r="Q21" s="134" t="e">
        <f t="shared" si="1"/>
        <v>#DIV/0!</v>
      </c>
      <c r="R21" s="141">
        <f>+'Budget Energie'!N24</f>
        <v>0</v>
      </c>
      <c r="S21" s="140" t="e">
        <f t="shared" si="8"/>
        <v>#DIV/0!</v>
      </c>
    </row>
    <row r="22" spans="1:21" x14ac:dyDescent="0.45">
      <c r="A22" s="32" t="s">
        <v>10</v>
      </c>
      <c r="B22" s="12">
        <f>+'Budget Ent &amp; Analyses'!B33+'Budget Commun'!B20</f>
        <v>0</v>
      </c>
      <c r="C22" s="13">
        <f>+'Budget Ent &amp; Analyses'!C33+'Budget Commun'!C20</f>
        <v>0</v>
      </c>
      <c r="D22" s="12">
        <f>+'Budget Ent &amp; Analyses'!D33+'Budget Commun'!D20</f>
        <v>0</v>
      </c>
      <c r="E22" s="13">
        <f>+'Budget Ent &amp; Analyses'!E33+'Budget Commun'!E20</f>
        <v>0</v>
      </c>
      <c r="F22" s="12">
        <f>+'Budget Ent &amp; Analyses'!F33+'Budget Commun'!F20</f>
        <v>0</v>
      </c>
      <c r="G22" s="13">
        <f>+'Budget Ent &amp; Analyses'!G33+'Budget Commun'!G20</f>
        <v>0</v>
      </c>
      <c r="H22" s="12">
        <f>+'Budget Ent &amp; Analyses'!H33+'Budget Commun'!H20</f>
        <v>0</v>
      </c>
      <c r="I22" s="13">
        <f>+'Budget Ent &amp; Analyses'!I33+'Budget Commun'!I20</f>
        <v>0</v>
      </c>
      <c r="J22" s="12">
        <f>+'Budget Ent &amp; Analyses'!J33+'Budget Commun'!J20</f>
        <v>0</v>
      </c>
      <c r="K22" s="13">
        <f>+'Budget Ent &amp; Analyses'!K33+'Budget Commun'!K20</f>
        <v>0</v>
      </c>
      <c r="L22" s="12">
        <f>+'Budget Ent &amp; Analyses'!L33+'Budget Commun'!L20</f>
        <v>0</v>
      </c>
      <c r="M22" s="13">
        <f>+'Budget Ent &amp; Analyses'!M33+'Budget Commun'!M20</f>
        <v>0</v>
      </c>
      <c r="N22" s="31">
        <f t="shared" si="4"/>
        <v>0</v>
      </c>
      <c r="O22" s="31">
        <v>11759.316279069768</v>
      </c>
      <c r="P22" s="31">
        <f t="shared" si="3"/>
        <v>-11759.316279069768</v>
      </c>
      <c r="Q22" s="134">
        <f t="shared" si="1"/>
        <v>-1</v>
      </c>
      <c r="R22" s="141" t="e">
        <f>+'Budget Ent &amp; Analyses'!N33+'Budget Commun'!N20</f>
        <v>#DIV/0!</v>
      </c>
      <c r="S22" s="140" t="e">
        <f t="shared" si="8"/>
        <v>#DIV/0!</v>
      </c>
    </row>
    <row r="23" spans="1:21" x14ac:dyDescent="0.45">
      <c r="A23" s="32" t="s">
        <v>11</v>
      </c>
      <c r="B23" s="12">
        <f>+'Budget Loyers Fermes'!B16</f>
        <v>0</v>
      </c>
      <c r="C23" s="13">
        <f>+'Budget Loyers Fermes'!C16</f>
        <v>0</v>
      </c>
      <c r="D23" s="12">
        <f>+'Budget Loyers Fermes'!D16</f>
        <v>0</v>
      </c>
      <c r="E23" s="13">
        <f>+'Budget Loyers Fermes'!E16</f>
        <v>0</v>
      </c>
      <c r="F23" s="12">
        <f>+'Budget Loyers Fermes'!F16</f>
        <v>0</v>
      </c>
      <c r="G23" s="13">
        <f>+'Budget Loyers Fermes'!G16</f>
        <v>0</v>
      </c>
      <c r="H23" s="12">
        <f>+'Budget Loyers Fermes'!H16</f>
        <v>0</v>
      </c>
      <c r="I23" s="13">
        <f>+'Budget Loyers Fermes'!I16</f>
        <v>0</v>
      </c>
      <c r="J23" s="12">
        <f>+'Budget Loyers Fermes'!J16</f>
        <v>0</v>
      </c>
      <c r="K23" s="13">
        <f>+'Budget Loyers Fermes'!K16</f>
        <v>0</v>
      </c>
      <c r="L23" s="12">
        <f>+'Budget Loyers Fermes'!L16</f>
        <v>0</v>
      </c>
      <c r="M23" s="13">
        <f>+'Budget Loyers Fermes'!M16</f>
        <v>0</v>
      </c>
      <c r="N23" s="31">
        <f t="shared" si="4"/>
        <v>0</v>
      </c>
      <c r="O23" s="31">
        <v>250000.00000000003</v>
      </c>
      <c r="P23" s="31">
        <f t="shared" si="3"/>
        <v>-250000.00000000003</v>
      </c>
      <c r="Q23" s="134">
        <f t="shared" si="1"/>
        <v>-1</v>
      </c>
      <c r="R23" s="141">
        <f>+'Budget Loyers Fermes'!N16</f>
        <v>0</v>
      </c>
      <c r="S23" s="140">
        <f t="shared" si="8"/>
        <v>0</v>
      </c>
    </row>
    <row r="24" spans="1:21" x14ac:dyDescent="0.45">
      <c r="A24" s="32" t="s">
        <v>12</v>
      </c>
      <c r="B24" s="12">
        <f>+'Budget Ent &amp; Analyses'!B35-'Budget Ent &amp; Analyses'!B33+'Budget Commun'!B28</f>
        <v>1461.2716763005781</v>
      </c>
      <c r="C24" s="13">
        <f>+'Budget Ent &amp; Analyses'!C35-'Budget Ent &amp; Analyses'!C33+'Budget Commun'!C28</f>
        <v>1461.2716763005781</v>
      </c>
      <c r="D24" s="12">
        <f>+'Budget Ent &amp; Analyses'!D35-'Budget Ent &amp; Analyses'!D33+'Budget Commun'!D28</f>
        <v>1461.2716763005781</v>
      </c>
      <c r="E24" s="13">
        <f>+'Budget Ent &amp; Analyses'!E35-'Budget Ent &amp; Analyses'!E33+'Budget Commun'!E28</f>
        <v>1461.2716763005781</v>
      </c>
      <c r="F24" s="12">
        <f>+'Budget Ent &amp; Analyses'!F35-'Budget Ent &amp; Analyses'!F33+'Budget Commun'!F28</f>
        <v>1461.2716763005781</v>
      </c>
      <c r="G24" s="13">
        <f>+'Budget Ent &amp; Analyses'!G35-'Budget Ent &amp; Analyses'!G33+'Budget Commun'!G28</f>
        <v>1461.2716763005781</v>
      </c>
      <c r="H24" s="12">
        <f>+'Budget Ent &amp; Analyses'!H35-'Budget Ent &amp; Analyses'!H33+'Budget Commun'!H28</f>
        <v>1461.2716763005781</v>
      </c>
      <c r="I24" s="13">
        <f>+'Budget Ent &amp; Analyses'!I35-'Budget Ent &amp; Analyses'!I33+'Budget Commun'!I28</f>
        <v>1461.2716763005781</v>
      </c>
      <c r="J24" s="12">
        <f>+'Budget Ent &amp; Analyses'!J35-'Budget Ent &amp; Analyses'!J33+'Budget Commun'!J28</f>
        <v>1461.2716763005781</v>
      </c>
      <c r="K24" s="13">
        <f>+'Budget Ent &amp; Analyses'!K35-'Budget Ent &amp; Analyses'!K33+'Budget Commun'!K28</f>
        <v>1461.2716763005781</v>
      </c>
      <c r="L24" s="12">
        <f>+'Budget Ent &amp; Analyses'!L35-'Budget Ent &amp; Analyses'!L33+'Budget Commun'!L28</f>
        <v>1461.2716763005781</v>
      </c>
      <c r="M24" s="13">
        <f>+'Budget Ent &amp; Analyses'!M35-'Budget Ent &amp; Analyses'!M33+'Budget Commun'!M28</f>
        <v>1461.2716763005781</v>
      </c>
      <c r="N24" s="31">
        <f t="shared" si="4"/>
        <v>17535.260115606932</v>
      </c>
      <c r="O24" s="31">
        <v>171610.25799999206</v>
      </c>
      <c r="P24" s="31">
        <f t="shared" si="3"/>
        <v>-154074.99788438511</v>
      </c>
      <c r="Q24" s="134">
        <f t="shared" si="1"/>
        <v>-0.89781927770537029</v>
      </c>
      <c r="R24" s="141" t="e">
        <f>+'Budget Ent &amp; Analyses'!N35-'Budget Ent &amp; Analyses'!N33+'Budget Commun'!N28</f>
        <v>#DIV/0!</v>
      </c>
      <c r="S24" s="140" t="e">
        <f t="shared" si="8"/>
        <v>#DIV/0!</v>
      </c>
    </row>
    <row r="25" spans="1:21" x14ac:dyDescent="0.45">
      <c r="A25" s="32" t="s">
        <v>156</v>
      </c>
      <c r="B25" s="12">
        <f>+'Budget MOD'!B26</f>
        <v>0</v>
      </c>
      <c r="C25" s="13">
        <f>+'Budget MOD'!C26</f>
        <v>0</v>
      </c>
      <c r="D25" s="12">
        <f>+'Budget MOD'!D26</f>
        <v>0</v>
      </c>
      <c r="E25" s="13">
        <f>+'Budget MOD'!E26</f>
        <v>0</v>
      </c>
      <c r="F25" s="12">
        <f>+'Budget MOD'!F26</f>
        <v>0</v>
      </c>
      <c r="G25" s="13">
        <f>+'Budget MOD'!G26</f>
        <v>0</v>
      </c>
      <c r="H25" s="12">
        <f>+'Budget MOD'!H26</f>
        <v>0</v>
      </c>
      <c r="I25" s="13">
        <f>+'Budget MOD'!I26</f>
        <v>0</v>
      </c>
      <c r="J25" s="12">
        <f>+'Budget MOD'!J26</f>
        <v>0</v>
      </c>
      <c r="K25" s="13">
        <f>+'Budget MOD'!K26</f>
        <v>0</v>
      </c>
      <c r="L25" s="12">
        <f>+'Budget MOD'!L26</f>
        <v>0</v>
      </c>
      <c r="M25" s="13">
        <f>+'Budget MOD'!M26</f>
        <v>0</v>
      </c>
      <c r="N25" s="31">
        <f t="shared" si="4"/>
        <v>0</v>
      </c>
      <c r="O25" s="31">
        <v>2116946.006204736</v>
      </c>
      <c r="P25" s="31">
        <f t="shared" si="3"/>
        <v>-2116946.006204736</v>
      </c>
      <c r="Q25" s="134">
        <f t="shared" si="1"/>
        <v>-1</v>
      </c>
      <c r="R25" s="141">
        <f>+'Budget MOD'!N26</f>
        <v>0</v>
      </c>
      <c r="S25" s="140">
        <f t="shared" si="8"/>
        <v>0</v>
      </c>
    </row>
    <row r="26" spans="1:21" x14ac:dyDescent="0.45">
      <c r="A26" s="32" t="s">
        <v>157</v>
      </c>
      <c r="B26" s="12">
        <f>+'Budget Commun'!B55</f>
        <v>35317.109826589593</v>
      </c>
      <c r="C26" s="13">
        <f>+'Budget Commun'!C55</f>
        <v>35317.109826589593</v>
      </c>
      <c r="D26" s="12">
        <f>+'Budget Commun'!D55</f>
        <v>35317.109826589593</v>
      </c>
      <c r="E26" s="13">
        <f>+'Budget Commun'!E55</f>
        <v>35317.109826589593</v>
      </c>
      <c r="F26" s="12">
        <f>+'Budget Commun'!F55</f>
        <v>35317.109826589593</v>
      </c>
      <c r="G26" s="13">
        <f>+'Budget Commun'!G55</f>
        <v>35317.109826589593</v>
      </c>
      <c r="H26" s="12">
        <f>+'Budget Commun'!H55</f>
        <v>35317.109826589593</v>
      </c>
      <c r="I26" s="13">
        <f>+'Budget Commun'!I55</f>
        <v>35317.109826589593</v>
      </c>
      <c r="J26" s="12">
        <f>+'Budget Commun'!J55</f>
        <v>35317.109826589593</v>
      </c>
      <c r="K26" s="13">
        <f>+'Budget Commun'!K55</f>
        <v>35317.109826589593</v>
      </c>
      <c r="L26" s="12">
        <f>+'Budget Commun'!L55</f>
        <v>35317.109826589593</v>
      </c>
      <c r="M26" s="13">
        <f>+'Budget Commun'!M55</f>
        <v>35317.109826589593</v>
      </c>
      <c r="N26" s="31">
        <f t="shared" si="4"/>
        <v>423805.31791907508</v>
      </c>
      <c r="O26" s="31">
        <v>377216.52789733041</v>
      </c>
      <c r="P26" s="31">
        <f t="shared" si="3"/>
        <v>46588.790021744673</v>
      </c>
      <c r="Q26" s="134">
        <f t="shared" si="1"/>
        <v>0.12350675693198963</v>
      </c>
      <c r="R26" s="141">
        <f>+'Budget Commun'!N55</f>
        <v>423805.31791907508</v>
      </c>
      <c r="S26" s="140">
        <f t="shared" si="8"/>
        <v>0</v>
      </c>
    </row>
    <row r="27" spans="1:21" x14ac:dyDescent="0.45">
      <c r="A27" s="32" t="s">
        <v>158</v>
      </c>
      <c r="B27" s="12">
        <f>+'Budget Commun'!B48</f>
        <v>0</v>
      </c>
      <c r="C27" s="13">
        <f>+'Budget Commun'!C48</f>
        <v>0</v>
      </c>
      <c r="D27" s="12">
        <f>+'Budget Commun'!D48</f>
        <v>0</v>
      </c>
      <c r="E27" s="13">
        <f>+'Budget Commun'!E48</f>
        <v>0</v>
      </c>
      <c r="F27" s="12">
        <f>+'Budget Commun'!F48</f>
        <v>0</v>
      </c>
      <c r="G27" s="13">
        <f>+'Budget Commun'!G48</f>
        <v>0</v>
      </c>
      <c r="H27" s="12">
        <f>+'Budget Commun'!H48</f>
        <v>0</v>
      </c>
      <c r="I27" s="13">
        <f>+'Budget Commun'!I48</f>
        <v>0</v>
      </c>
      <c r="J27" s="12">
        <f>+'Budget Commun'!J48</f>
        <v>0</v>
      </c>
      <c r="K27" s="13">
        <f>+'Budget Commun'!K48</f>
        <v>0</v>
      </c>
      <c r="L27" s="12">
        <f>+'Budget Commun'!L48</f>
        <v>0</v>
      </c>
      <c r="M27" s="13">
        <f>+'Budget Commun'!M48</f>
        <v>0</v>
      </c>
      <c r="N27" s="31">
        <f t="shared" si="4"/>
        <v>0</v>
      </c>
      <c r="O27" s="31">
        <v>180019.49232558141</v>
      </c>
      <c r="P27" s="31">
        <f t="shared" si="3"/>
        <v>-180019.49232558141</v>
      </c>
      <c r="Q27" s="134">
        <f t="shared" si="1"/>
        <v>-1</v>
      </c>
      <c r="R27" s="141">
        <f>+'Budget Commun'!N48</f>
        <v>0</v>
      </c>
      <c r="S27" s="140">
        <f t="shared" si="8"/>
        <v>0</v>
      </c>
    </row>
    <row r="28" spans="1:21" x14ac:dyDescent="0.45">
      <c r="A28" s="32" t="s">
        <v>13</v>
      </c>
      <c r="B28" s="12">
        <f>+'Budget Transp Ventes'!B16</f>
        <v>0</v>
      </c>
      <c r="C28" s="13">
        <f>+'Budget Transp Ventes'!C16</f>
        <v>0</v>
      </c>
      <c r="D28" s="12">
        <f>+'Budget Transp Ventes'!D16</f>
        <v>0</v>
      </c>
      <c r="E28" s="13">
        <f>+'Budget Transp Ventes'!E16</f>
        <v>0</v>
      </c>
      <c r="F28" s="12">
        <f>+'Budget Transp Ventes'!F16</f>
        <v>0</v>
      </c>
      <c r="G28" s="13">
        <f>+'Budget Transp Ventes'!G16</f>
        <v>0</v>
      </c>
      <c r="H28" s="12">
        <f>+'Budget Transp Ventes'!H16</f>
        <v>0</v>
      </c>
      <c r="I28" s="13">
        <f>+'Budget Transp Ventes'!I16</f>
        <v>0</v>
      </c>
      <c r="J28" s="12">
        <f>+'Budget Transp Ventes'!J16</f>
        <v>0</v>
      </c>
      <c r="K28" s="13">
        <f>+'Budget Transp Ventes'!K16</f>
        <v>0</v>
      </c>
      <c r="L28" s="12">
        <f>+'Budget Transp Ventes'!L16</f>
        <v>0</v>
      </c>
      <c r="M28" s="13">
        <f>+'Budget Transp Ventes'!M16</f>
        <v>0</v>
      </c>
      <c r="N28" s="31">
        <f t="shared" si="4"/>
        <v>0</v>
      </c>
      <c r="O28" s="31">
        <v>51283.860465116282</v>
      </c>
      <c r="P28" s="31">
        <f t="shared" si="3"/>
        <v>-51283.860465116282</v>
      </c>
      <c r="Q28" s="134">
        <f t="shared" si="1"/>
        <v>-1</v>
      </c>
      <c r="R28" s="141">
        <f>+'Budget Transp Ventes'!N16</f>
        <v>0</v>
      </c>
      <c r="S28" s="140">
        <f t="shared" si="8"/>
        <v>0</v>
      </c>
    </row>
    <row r="29" spans="1:21" x14ac:dyDescent="0.45">
      <c r="A29" s="32" t="s">
        <v>18</v>
      </c>
      <c r="B29" s="12">
        <f>+'Budget Commun'!B44+'Budget Commun'!B35</f>
        <v>86831.502890173404</v>
      </c>
      <c r="C29" s="13">
        <f>+'Budget Commun'!C44+'Budget Commun'!C35</f>
        <v>4360.9826589595377</v>
      </c>
      <c r="D29" s="12">
        <f>+'Budget Commun'!D44+'Budget Commun'!D35</f>
        <v>4360.9826589595377</v>
      </c>
      <c r="E29" s="13">
        <f>+'Budget Commun'!E44+'Budget Commun'!E35</f>
        <v>4360.9826589595377</v>
      </c>
      <c r="F29" s="12">
        <f>+'Budget Commun'!F44+'Budget Commun'!F35</f>
        <v>4360.9826589595377</v>
      </c>
      <c r="G29" s="13">
        <f>+'Budget Commun'!G44+'Budget Commun'!G35</f>
        <v>4360.9826589595377</v>
      </c>
      <c r="H29" s="12">
        <f>+'Budget Commun'!H44+'Budget Commun'!H35</f>
        <v>6278.9017341040453</v>
      </c>
      <c r="I29" s="13">
        <f>+'Budget Commun'!I44+'Budget Commun'!I35</f>
        <v>4360.9826589595377</v>
      </c>
      <c r="J29" s="12">
        <f>+'Budget Commun'!J44+'Budget Commun'!J35</f>
        <v>11210.693641618496</v>
      </c>
      <c r="K29" s="13">
        <f>+'Budget Commun'!K44+'Budget Commun'!K35</f>
        <v>4360.9826589595377</v>
      </c>
      <c r="L29" s="12">
        <f>+'Budget Commun'!L44+'Budget Commun'!L35</f>
        <v>4360.9826589595377</v>
      </c>
      <c r="M29" s="13">
        <f>+'Budget Commun'!M44+'Budget Commun'!M35</f>
        <v>4360.9826589595377</v>
      </c>
      <c r="N29" s="31">
        <f t="shared" si="4"/>
        <v>143569.94219653177</v>
      </c>
      <c r="O29" s="31">
        <v>90077.583486856354</v>
      </c>
      <c r="P29" s="31">
        <f t="shared" si="3"/>
        <v>53492.35870967542</v>
      </c>
      <c r="Q29" s="134">
        <f t="shared" si="1"/>
        <v>0.59384762156148141</v>
      </c>
      <c r="R29" s="141">
        <f>+'Budget Commun'!N44+'Budget Commun'!N35</f>
        <v>143569.94219653175</v>
      </c>
      <c r="S29" s="140">
        <f t="shared" si="8"/>
        <v>0</v>
      </c>
    </row>
    <row r="30" spans="1:21" x14ac:dyDescent="0.45">
      <c r="A30" s="26" t="s">
        <v>20</v>
      </c>
      <c r="B30" s="8" t="e">
        <f t="shared" ref="B30:M30" si="11">SUM(B22:B29)+B21+B18</f>
        <v>#DIV/0!</v>
      </c>
      <c r="C30" s="9" t="e">
        <f t="shared" si="11"/>
        <v>#DIV/0!</v>
      </c>
      <c r="D30" s="8" t="e">
        <f t="shared" si="11"/>
        <v>#DIV/0!</v>
      </c>
      <c r="E30" s="9" t="e">
        <f t="shared" si="11"/>
        <v>#DIV/0!</v>
      </c>
      <c r="F30" s="8" t="e">
        <f t="shared" si="11"/>
        <v>#DIV/0!</v>
      </c>
      <c r="G30" s="9" t="e">
        <f t="shared" si="11"/>
        <v>#DIV/0!</v>
      </c>
      <c r="H30" s="8" t="e">
        <f t="shared" si="11"/>
        <v>#DIV/0!</v>
      </c>
      <c r="I30" s="9" t="e">
        <f t="shared" si="11"/>
        <v>#DIV/0!</v>
      </c>
      <c r="J30" s="8" t="e">
        <f t="shared" si="11"/>
        <v>#DIV/0!</v>
      </c>
      <c r="K30" s="9" t="e">
        <f t="shared" si="11"/>
        <v>#DIV/0!</v>
      </c>
      <c r="L30" s="8" t="e">
        <f t="shared" si="11"/>
        <v>#DIV/0!</v>
      </c>
      <c r="M30" s="9" t="e">
        <f t="shared" si="11"/>
        <v>#DIV/0!</v>
      </c>
      <c r="N30" s="31" t="e">
        <f t="shared" si="4"/>
        <v>#DIV/0!</v>
      </c>
      <c r="O30" s="31">
        <f t="shared" ref="O30" si="12">SUM(O22:O29)+O21+O18</f>
        <v>7076192.2241070904</v>
      </c>
      <c r="P30" s="31" t="e">
        <f t="shared" si="3"/>
        <v>#DIV/0!</v>
      </c>
      <c r="Q30" s="134" t="e">
        <f t="shared" si="1"/>
        <v>#DIV/0!</v>
      </c>
      <c r="R30" s="141"/>
      <c r="S30" s="142"/>
      <c r="U30" s="48"/>
    </row>
    <row r="31" spans="1:21" x14ac:dyDescent="0.45">
      <c r="A31" s="26" t="s">
        <v>17</v>
      </c>
      <c r="B31" s="8" t="e">
        <f t="shared" ref="B31:O31" si="13">B11-B30</f>
        <v>#DIV/0!</v>
      </c>
      <c r="C31" s="9" t="e">
        <f t="shared" si="13"/>
        <v>#DIV/0!</v>
      </c>
      <c r="D31" s="8" t="e">
        <f t="shared" si="13"/>
        <v>#DIV/0!</v>
      </c>
      <c r="E31" s="9" t="e">
        <f t="shared" si="13"/>
        <v>#DIV/0!</v>
      </c>
      <c r="F31" s="8" t="e">
        <f t="shared" si="13"/>
        <v>#DIV/0!</v>
      </c>
      <c r="G31" s="9" t="e">
        <f t="shared" si="13"/>
        <v>#DIV/0!</v>
      </c>
      <c r="H31" s="8" t="e">
        <f t="shared" si="13"/>
        <v>#DIV/0!</v>
      </c>
      <c r="I31" s="9" t="e">
        <f t="shared" si="13"/>
        <v>#DIV/0!</v>
      </c>
      <c r="J31" s="8" t="e">
        <f t="shared" si="13"/>
        <v>#DIV/0!</v>
      </c>
      <c r="K31" s="9" t="e">
        <f t="shared" si="13"/>
        <v>#DIV/0!</v>
      </c>
      <c r="L31" s="8" t="e">
        <f t="shared" si="13"/>
        <v>#DIV/0!</v>
      </c>
      <c r="M31" s="9" t="e">
        <f t="shared" si="13"/>
        <v>#DIV/0!</v>
      </c>
      <c r="N31" s="21" t="e">
        <f t="shared" si="13"/>
        <v>#DIV/0!</v>
      </c>
      <c r="O31" s="21">
        <f t="shared" si="13"/>
        <v>1193236.4251842424</v>
      </c>
      <c r="P31" s="21" t="e">
        <f t="shared" si="3"/>
        <v>#DIV/0!</v>
      </c>
      <c r="Q31" s="133" t="e">
        <f t="shared" si="1"/>
        <v>#DIV/0!</v>
      </c>
      <c r="R31" s="141"/>
      <c r="S31" s="142"/>
      <c r="T31" s="48"/>
      <c r="U31" s="37"/>
    </row>
    <row r="32" spans="1:21" x14ac:dyDescent="0.45">
      <c r="A32" s="32" t="s">
        <v>14</v>
      </c>
      <c r="B32" s="12">
        <f>+'Budget Commun'!B15+'Budget Invest&amp; Amort'!B10</f>
        <v>131703.28660687417</v>
      </c>
      <c r="C32" s="13">
        <f>+'Budget Commun'!C15+'Budget Invest&amp; Amort'!C10</f>
        <v>131703.28660687417</v>
      </c>
      <c r="D32" s="12">
        <f>+'Budget Commun'!D15+'Budget Invest&amp; Amort'!D10</f>
        <v>131703.28660687417</v>
      </c>
      <c r="E32" s="13">
        <f>+'Budget Commun'!E15+'Budget Invest&amp; Amort'!E10</f>
        <v>131703.28660687417</v>
      </c>
      <c r="F32" s="12">
        <f>+'Budget Commun'!F15+'Budget Invest&amp; Amort'!F10</f>
        <v>131703.28660687417</v>
      </c>
      <c r="G32" s="13">
        <f>+'Budget Commun'!G15+'Budget Invest&amp; Amort'!G10</f>
        <v>131703.28660687417</v>
      </c>
      <c r="H32" s="12">
        <f>+'Budget Commun'!H15+'Budget Invest&amp; Amort'!H10</f>
        <v>131703.28660687417</v>
      </c>
      <c r="I32" s="13">
        <f>+'Budget Commun'!I15+'Budget Invest&amp; Amort'!I10</f>
        <v>131703.28660687417</v>
      </c>
      <c r="J32" s="12">
        <f>+'Budget Commun'!J15+'Budget Invest&amp; Amort'!J10</f>
        <v>131703.28660687417</v>
      </c>
      <c r="K32" s="13">
        <f>+'Budget Commun'!K15+'Budget Invest&amp; Amort'!K10</f>
        <v>131703.28660687417</v>
      </c>
      <c r="L32" s="12">
        <f>+'Budget Commun'!L15+'Budget Invest&amp; Amort'!L10</f>
        <v>131703.28660687417</v>
      </c>
      <c r="M32" s="13">
        <f>+'Budget Commun'!M15+'Budget Invest&amp; Amort'!M10</f>
        <v>131703.28660687417</v>
      </c>
      <c r="N32" s="31">
        <f t="shared" si="4"/>
        <v>1580439.4392824897</v>
      </c>
      <c r="O32" s="31">
        <v>1727123.20301131</v>
      </c>
      <c r="P32" s="31">
        <f t="shared" si="3"/>
        <v>-146683.76372882025</v>
      </c>
      <c r="Q32" s="134">
        <f t="shared" si="1"/>
        <v>-8.4929531068235961E-2</v>
      </c>
      <c r="R32" s="141">
        <f>+'Budget Commun'!N15+'Budget Invest&amp; Amort'!N10</f>
        <v>1580439.4392824902</v>
      </c>
      <c r="S32" s="140">
        <f>+N32-R32</f>
        <v>0</v>
      </c>
    </row>
    <row r="33" spans="1:20" x14ac:dyDescent="0.45">
      <c r="A33" s="26" t="s">
        <v>19</v>
      </c>
      <c r="B33" s="8" t="e">
        <f>B31-B32</f>
        <v>#DIV/0!</v>
      </c>
      <c r="C33" s="9" t="e">
        <f t="shared" ref="C33:O33" si="14">C31-C32</f>
        <v>#DIV/0!</v>
      </c>
      <c r="D33" s="8" t="e">
        <f t="shared" si="14"/>
        <v>#DIV/0!</v>
      </c>
      <c r="E33" s="9" t="e">
        <f t="shared" si="14"/>
        <v>#DIV/0!</v>
      </c>
      <c r="F33" s="8" t="e">
        <f t="shared" si="14"/>
        <v>#DIV/0!</v>
      </c>
      <c r="G33" s="9" t="e">
        <f t="shared" si="14"/>
        <v>#DIV/0!</v>
      </c>
      <c r="H33" s="8" t="e">
        <f t="shared" si="14"/>
        <v>#DIV/0!</v>
      </c>
      <c r="I33" s="9" t="e">
        <f t="shared" si="14"/>
        <v>#DIV/0!</v>
      </c>
      <c r="J33" s="8" t="e">
        <f t="shared" si="14"/>
        <v>#DIV/0!</v>
      </c>
      <c r="K33" s="9" t="e">
        <f t="shared" si="14"/>
        <v>#DIV/0!</v>
      </c>
      <c r="L33" s="8" t="e">
        <f t="shared" si="14"/>
        <v>#DIV/0!</v>
      </c>
      <c r="M33" s="9" t="e">
        <f t="shared" si="14"/>
        <v>#DIV/0!</v>
      </c>
      <c r="N33" s="21" t="e">
        <f t="shared" si="14"/>
        <v>#DIV/0!</v>
      </c>
      <c r="O33" s="21">
        <f t="shared" si="14"/>
        <v>-533886.77782706753</v>
      </c>
      <c r="P33" s="21" t="e">
        <f t="shared" si="3"/>
        <v>#DIV/0!</v>
      </c>
      <c r="Q33" s="133" t="e">
        <f t="shared" si="1"/>
        <v>#DIV/0!</v>
      </c>
      <c r="R33" s="141"/>
      <c r="S33" s="142"/>
    </row>
    <row r="34" spans="1:20" x14ac:dyDescent="0.45">
      <c r="A34" s="17" t="s">
        <v>225</v>
      </c>
      <c r="B34" s="165"/>
      <c r="C34" s="166"/>
      <c r="D34" s="165"/>
      <c r="E34" s="166"/>
      <c r="F34" s="165"/>
      <c r="G34" s="166"/>
      <c r="H34" s="165"/>
      <c r="I34" s="166"/>
      <c r="J34" s="165"/>
      <c r="K34" s="166"/>
      <c r="L34" s="165"/>
      <c r="M34" s="166"/>
      <c r="N34" s="135" t="e">
        <f>+N31/N7</f>
        <v>#DIV/0!</v>
      </c>
      <c r="O34" s="135">
        <f>+O31/O7</f>
        <v>0.15311826658679595</v>
      </c>
      <c r="P34" s="167" t="e">
        <f t="shared" si="3"/>
        <v>#DIV/0!</v>
      </c>
      <c r="Q34" s="167"/>
      <c r="R34" s="141"/>
    </row>
    <row r="35" spans="1:20" x14ac:dyDescent="0.45">
      <c r="A35" s="17" t="s">
        <v>75</v>
      </c>
      <c r="B35" s="49" t="e">
        <f t="shared" ref="B35:D35" si="15">+(B7)/B5</f>
        <v>#DIV/0!</v>
      </c>
      <c r="C35" s="50" t="e">
        <f t="shared" si="15"/>
        <v>#DIV/0!</v>
      </c>
      <c r="D35" s="49" t="e">
        <f t="shared" si="15"/>
        <v>#DIV/0!</v>
      </c>
      <c r="E35" s="50">
        <f>+(E7)/E5</f>
        <v>0</v>
      </c>
      <c r="F35" s="49">
        <f t="shared" ref="F35:O35" si="16">+(F7)/F5</f>
        <v>0</v>
      </c>
      <c r="G35" s="50">
        <f t="shared" si="16"/>
        <v>0</v>
      </c>
      <c r="H35" s="49">
        <f t="shared" si="16"/>
        <v>0</v>
      </c>
      <c r="I35" s="50">
        <f t="shared" si="16"/>
        <v>0</v>
      </c>
      <c r="J35" s="49">
        <f t="shared" si="16"/>
        <v>0</v>
      </c>
      <c r="K35" s="50">
        <f t="shared" si="16"/>
        <v>0</v>
      </c>
      <c r="L35" s="49">
        <f t="shared" si="16"/>
        <v>0</v>
      </c>
      <c r="M35" s="50">
        <f t="shared" si="16"/>
        <v>0</v>
      </c>
      <c r="N35" s="51">
        <f t="shared" si="16"/>
        <v>0</v>
      </c>
      <c r="O35" s="51">
        <f t="shared" si="16"/>
        <v>10.47281991206534</v>
      </c>
      <c r="P35" s="51">
        <f t="shared" si="3"/>
        <v>-10.47281991206534</v>
      </c>
      <c r="Q35" s="136">
        <f t="shared" si="1"/>
        <v>-1</v>
      </c>
      <c r="R35" s="141"/>
    </row>
    <row r="36" spans="1:20" x14ac:dyDescent="0.45">
      <c r="A36" s="17" t="s">
        <v>176</v>
      </c>
      <c r="B36" s="18">
        <f t="shared" ref="B36:D36" si="17">+B7/B4</f>
        <v>0</v>
      </c>
      <c r="C36" s="19">
        <f t="shared" si="17"/>
        <v>0</v>
      </c>
      <c r="D36" s="18">
        <f t="shared" si="17"/>
        <v>0</v>
      </c>
      <c r="E36" s="19">
        <f t="shared" ref="E36:O36" si="18">+E7/E4</f>
        <v>0</v>
      </c>
      <c r="F36" s="18">
        <f t="shared" si="18"/>
        <v>0</v>
      </c>
      <c r="G36" s="19">
        <f t="shared" si="18"/>
        <v>0</v>
      </c>
      <c r="H36" s="18">
        <f t="shared" si="18"/>
        <v>0</v>
      </c>
      <c r="I36" s="19">
        <f t="shared" si="18"/>
        <v>0</v>
      </c>
      <c r="J36" s="18">
        <f t="shared" si="18"/>
        <v>0</v>
      </c>
      <c r="K36" s="19">
        <f t="shared" si="18"/>
        <v>0</v>
      </c>
      <c r="L36" s="18">
        <f t="shared" si="18"/>
        <v>0</v>
      </c>
      <c r="M36" s="19">
        <f t="shared" si="18"/>
        <v>0</v>
      </c>
      <c r="N36" s="44">
        <f t="shared" si="18"/>
        <v>0</v>
      </c>
      <c r="O36" s="44">
        <f t="shared" si="18"/>
        <v>986443.93535333325</v>
      </c>
      <c r="P36" s="44">
        <f t="shared" si="3"/>
        <v>-986443.93535333325</v>
      </c>
      <c r="Q36" s="136">
        <f t="shared" si="1"/>
        <v>-1</v>
      </c>
      <c r="R36" s="141"/>
    </row>
    <row r="37" spans="1:20" x14ac:dyDescent="0.45">
      <c r="A37" s="17" t="s">
        <v>174</v>
      </c>
      <c r="B37" s="18" t="e">
        <f t="shared" ref="B37:D37" si="19">+(B30-B10)/B4</f>
        <v>#DIV/0!</v>
      </c>
      <c r="C37" s="19" t="e">
        <f t="shared" si="19"/>
        <v>#DIV/0!</v>
      </c>
      <c r="D37" s="18" t="e">
        <f t="shared" si="19"/>
        <v>#DIV/0!</v>
      </c>
      <c r="E37" s="19" t="e">
        <f t="shared" ref="E37:O37" si="20">+(E30-E10)/E4</f>
        <v>#DIV/0!</v>
      </c>
      <c r="F37" s="18" t="e">
        <f t="shared" si="20"/>
        <v>#DIV/0!</v>
      </c>
      <c r="G37" s="19" t="e">
        <f t="shared" si="20"/>
        <v>#DIV/0!</v>
      </c>
      <c r="H37" s="18" t="e">
        <f t="shared" si="20"/>
        <v>#DIV/0!</v>
      </c>
      <c r="I37" s="19" t="e">
        <f t="shared" si="20"/>
        <v>#DIV/0!</v>
      </c>
      <c r="J37" s="18" t="e">
        <f t="shared" si="20"/>
        <v>#DIV/0!</v>
      </c>
      <c r="K37" s="19" t="e">
        <f t="shared" si="20"/>
        <v>#DIV/0!</v>
      </c>
      <c r="L37" s="18" t="e">
        <f t="shared" si="20"/>
        <v>#DIV/0!</v>
      </c>
      <c r="M37" s="19" t="e">
        <f t="shared" si="20"/>
        <v>#DIV/0!</v>
      </c>
      <c r="N37" s="44" t="e">
        <f t="shared" si="20"/>
        <v>#DIV/0!</v>
      </c>
      <c r="O37" s="44">
        <f t="shared" si="20"/>
        <v>895720.53469710005</v>
      </c>
      <c r="P37" s="44" t="e">
        <f t="shared" si="3"/>
        <v>#DIV/0!</v>
      </c>
      <c r="Q37" s="136" t="e">
        <f t="shared" si="1"/>
        <v>#DIV/0!</v>
      </c>
      <c r="R37" s="141"/>
      <c r="S37" s="141"/>
    </row>
    <row r="38" spans="1:20" x14ac:dyDescent="0.45">
      <c r="A38" s="17" t="s">
        <v>172</v>
      </c>
      <c r="B38" s="18" t="e">
        <f t="shared" ref="B38:D38" si="21">+B31/B4</f>
        <v>#DIV/0!</v>
      </c>
      <c r="C38" s="19" t="e">
        <f t="shared" si="21"/>
        <v>#DIV/0!</v>
      </c>
      <c r="D38" s="18" t="e">
        <f t="shared" si="21"/>
        <v>#DIV/0!</v>
      </c>
      <c r="E38" s="19" t="e">
        <f t="shared" ref="E38:O38" si="22">+E31/E4</f>
        <v>#DIV/0!</v>
      </c>
      <c r="F38" s="18" t="e">
        <f t="shared" si="22"/>
        <v>#DIV/0!</v>
      </c>
      <c r="G38" s="19" t="e">
        <f t="shared" si="22"/>
        <v>#DIV/0!</v>
      </c>
      <c r="H38" s="18" t="e">
        <f t="shared" si="22"/>
        <v>#DIV/0!</v>
      </c>
      <c r="I38" s="19" t="e">
        <f t="shared" si="22"/>
        <v>#DIV/0!</v>
      </c>
      <c r="J38" s="18" t="e">
        <f t="shared" si="22"/>
        <v>#DIV/0!</v>
      </c>
      <c r="K38" s="19" t="e">
        <f t="shared" si="22"/>
        <v>#DIV/0!</v>
      </c>
      <c r="L38" s="18" t="e">
        <f t="shared" si="22"/>
        <v>#DIV/0!</v>
      </c>
      <c r="M38" s="19" t="e">
        <f t="shared" si="22"/>
        <v>#DIV/0!</v>
      </c>
      <c r="N38" s="44" t="e">
        <f t="shared" si="22"/>
        <v>#DIV/0!</v>
      </c>
      <c r="O38" s="44">
        <f t="shared" si="22"/>
        <v>151042.5854663598</v>
      </c>
      <c r="P38" s="44" t="e">
        <f t="shared" si="3"/>
        <v>#DIV/0!</v>
      </c>
      <c r="Q38" s="136" t="e">
        <f t="shared" si="1"/>
        <v>#DIV/0!</v>
      </c>
      <c r="R38" s="172"/>
    </row>
    <row r="39" spans="1:20" x14ac:dyDescent="0.45">
      <c r="A39" s="17" t="s">
        <v>173</v>
      </c>
      <c r="B39" s="18" t="e">
        <f t="shared" ref="B39:D39" si="23">+(B30+B32-B10)/B4</f>
        <v>#DIV/0!</v>
      </c>
      <c r="C39" s="19" t="e">
        <f t="shared" si="23"/>
        <v>#DIV/0!</v>
      </c>
      <c r="D39" s="18" t="e">
        <f t="shared" si="23"/>
        <v>#DIV/0!</v>
      </c>
      <c r="E39" s="19" t="e">
        <f t="shared" ref="E39:O39" si="24">+(E30+E32-E10)/E4</f>
        <v>#DIV/0!</v>
      </c>
      <c r="F39" s="18" t="e">
        <f t="shared" si="24"/>
        <v>#DIV/0!</v>
      </c>
      <c r="G39" s="19" t="e">
        <f t="shared" si="24"/>
        <v>#DIV/0!</v>
      </c>
      <c r="H39" s="18" t="e">
        <f t="shared" si="24"/>
        <v>#DIV/0!</v>
      </c>
      <c r="I39" s="19" t="e">
        <f t="shared" si="24"/>
        <v>#DIV/0!</v>
      </c>
      <c r="J39" s="18" t="e">
        <f t="shared" si="24"/>
        <v>#DIV/0!</v>
      </c>
      <c r="K39" s="19" t="e">
        <f t="shared" si="24"/>
        <v>#DIV/0!</v>
      </c>
      <c r="L39" s="18" t="e">
        <f t="shared" si="24"/>
        <v>#DIV/0!</v>
      </c>
      <c r="M39" s="19" t="e">
        <f t="shared" si="24"/>
        <v>#DIV/0!</v>
      </c>
      <c r="N39" s="44" t="e">
        <f t="shared" si="24"/>
        <v>#DIV/0!</v>
      </c>
      <c r="O39" s="44">
        <f t="shared" si="24"/>
        <v>1114343.7249516961</v>
      </c>
      <c r="P39" s="44" t="e">
        <f t="shared" si="3"/>
        <v>#DIV/0!</v>
      </c>
      <c r="Q39" s="136" t="e">
        <f t="shared" si="1"/>
        <v>#DIV/0!</v>
      </c>
      <c r="R39" s="141"/>
    </row>
    <row r="40" spans="1:20" x14ac:dyDescent="0.45">
      <c r="A40" s="17" t="s">
        <v>175</v>
      </c>
      <c r="B40" s="18" t="e">
        <f t="shared" ref="B40:D40" si="25">B33/B4</f>
        <v>#DIV/0!</v>
      </c>
      <c r="C40" s="19" t="e">
        <f t="shared" si="25"/>
        <v>#DIV/0!</v>
      </c>
      <c r="D40" s="18" t="e">
        <f t="shared" si="25"/>
        <v>#DIV/0!</v>
      </c>
      <c r="E40" s="19" t="e">
        <f t="shared" ref="E40:O40" si="26">E33/E4</f>
        <v>#DIV/0!</v>
      </c>
      <c r="F40" s="18" t="e">
        <f t="shared" si="26"/>
        <v>#DIV/0!</v>
      </c>
      <c r="G40" s="19" t="e">
        <f t="shared" si="26"/>
        <v>#DIV/0!</v>
      </c>
      <c r="H40" s="18" t="e">
        <f t="shared" si="26"/>
        <v>#DIV/0!</v>
      </c>
      <c r="I40" s="19" t="e">
        <f t="shared" si="26"/>
        <v>#DIV/0!</v>
      </c>
      <c r="J40" s="18" t="e">
        <f t="shared" si="26"/>
        <v>#DIV/0!</v>
      </c>
      <c r="K40" s="19" t="e">
        <f t="shared" si="26"/>
        <v>#DIV/0!</v>
      </c>
      <c r="L40" s="18" t="e">
        <f t="shared" si="26"/>
        <v>#DIV/0!</v>
      </c>
      <c r="M40" s="19" t="e">
        <f t="shared" si="26"/>
        <v>#DIV/0!</v>
      </c>
      <c r="N40" s="44" t="e">
        <f t="shared" si="26"/>
        <v>#DIV/0!</v>
      </c>
      <c r="O40" s="44">
        <f t="shared" si="26"/>
        <v>-67580.604788236393</v>
      </c>
      <c r="P40" s="44" t="e">
        <f t="shared" si="3"/>
        <v>#DIV/0!</v>
      </c>
      <c r="Q40" s="136" t="e">
        <f t="shared" si="1"/>
        <v>#DIV/0!</v>
      </c>
      <c r="R40" s="141"/>
      <c r="T40" s="48"/>
    </row>
    <row r="41" spans="1:20" x14ac:dyDescent="0.45">
      <c r="A41" s="132" t="s">
        <v>166</v>
      </c>
      <c r="B41" s="49"/>
      <c r="C41" s="50"/>
      <c r="D41" s="49"/>
      <c r="E41" s="19"/>
      <c r="F41" s="18"/>
      <c r="G41" s="19"/>
      <c r="H41" s="18"/>
      <c r="I41" s="19"/>
      <c r="J41" s="18"/>
      <c r="K41" s="19"/>
      <c r="L41" s="18"/>
      <c r="M41" s="19"/>
      <c r="N41" s="44"/>
      <c r="O41" s="44"/>
      <c r="P41" s="44"/>
      <c r="Q41" s="136"/>
      <c r="R41" s="141"/>
    </row>
    <row r="42" spans="1:20" x14ac:dyDescent="0.45">
      <c r="A42" s="17" t="s">
        <v>77</v>
      </c>
      <c r="B42" s="18" t="e">
        <f>+(B30+B32)/B3</f>
        <v>#DIV/0!</v>
      </c>
      <c r="C42" s="19" t="e">
        <f t="shared" ref="C42:M42" si="27">+(C30+C32)/C3</f>
        <v>#DIV/0!</v>
      </c>
      <c r="D42" s="18" t="e">
        <f t="shared" si="27"/>
        <v>#DIV/0!</v>
      </c>
      <c r="E42" s="19" t="e">
        <f t="shared" si="27"/>
        <v>#DIV/0!</v>
      </c>
      <c r="F42" s="18" t="e">
        <f t="shared" si="27"/>
        <v>#DIV/0!</v>
      </c>
      <c r="G42" s="19" t="e">
        <f t="shared" si="27"/>
        <v>#DIV/0!</v>
      </c>
      <c r="H42" s="18" t="e">
        <f t="shared" si="27"/>
        <v>#DIV/0!</v>
      </c>
      <c r="I42" s="19" t="e">
        <f t="shared" si="27"/>
        <v>#DIV/0!</v>
      </c>
      <c r="J42" s="18" t="e">
        <f t="shared" si="27"/>
        <v>#DIV/0!</v>
      </c>
      <c r="K42" s="19" t="e">
        <f t="shared" si="27"/>
        <v>#DIV/0!</v>
      </c>
      <c r="L42" s="18" t="e">
        <f t="shared" si="27"/>
        <v>#DIV/0!</v>
      </c>
      <c r="M42" s="19" t="e">
        <f t="shared" si="27"/>
        <v>#DIV/0!</v>
      </c>
      <c r="N42" s="44" t="e">
        <f>+(N30+N32-N10)/N3</f>
        <v>#DIV/0!</v>
      </c>
      <c r="O42" s="44">
        <f>+(O30+O32-O10)/O3</f>
        <v>1114343.7249516961</v>
      </c>
      <c r="P42" s="44" t="e">
        <f t="shared" si="3"/>
        <v>#DIV/0!</v>
      </c>
      <c r="Q42" s="136" t="e">
        <f t="shared" si="1"/>
        <v>#DIV/0!</v>
      </c>
      <c r="R42" s="141"/>
    </row>
    <row r="43" spans="1:20" x14ac:dyDescent="0.45">
      <c r="A43" s="17" t="s">
        <v>76</v>
      </c>
      <c r="B43" s="18" t="e">
        <f>+B30/B3</f>
        <v>#DIV/0!</v>
      </c>
      <c r="C43" s="19" t="e">
        <f t="shared" ref="C43:M43" si="28">+C30/C3</f>
        <v>#DIV/0!</v>
      </c>
      <c r="D43" s="18" t="e">
        <f t="shared" si="28"/>
        <v>#DIV/0!</v>
      </c>
      <c r="E43" s="19" t="e">
        <f t="shared" si="28"/>
        <v>#DIV/0!</v>
      </c>
      <c r="F43" s="18" t="e">
        <f t="shared" si="28"/>
        <v>#DIV/0!</v>
      </c>
      <c r="G43" s="19" t="e">
        <f t="shared" si="28"/>
        <v>#DIV/0!</v>
      </c>
      <c r="H43" s="18" t="e">
        <f t="shared" si="28"/>
        <v>#DIV/0!</v>
      </c>
      <c r="I43" s="19" t="e">
        <f t="shared" si="28"/>
        <v>#DIV/0!</v>
      </c>
      <c r="J43" s="18" t="e">
        <f t="shared" si="28"/>
        <v>#DIV/0!</v>
      </c>
      <c r="K43" s="19" t="e">
        <f t="shared" si="28"/>
        <v>#DIV/0!</v>
      </c>
      <c r="L43" s="18" t="e">
        <f t="shared" si="28"/>
        <v>#DIV/0!</v>
      </c>
      <c r="M43" s="19" t="e">
        <f t="shared" si="28"/>
        <v>#DIV/0!</v>
      </c>
      <c r="N43" s="44" t="e">
        <f>+(N30-N10)/N3</f>
        <v>#DIV/0!</v>
      </c>
      <c r="O43" s="44">
        <f>+(O30-O10)/O3</f>
        <v>895720.53469710005</v>
      </c>
      <c r="P43" s="44" t="e">
        <f t="shared" si="3"/>
        <v>#DIV/0!</v>
      </c>
      <c r="Q43" s="136" t="e">
        <f t="shared" si="1"/>
        <v>#DIV/0!</v>
      </c>
      <c r="R43" s="141"/>
    </row>
    <row r="44" spans="1:20" x14ac:dyDescent="0.45">
      <c r="A44" s="17" t="s">
        <v>167</v>
      </c>
      <c r="B44" s="18" t="e">
        <f>+B12/B3</f>
        <v>#DIV/0!</v>
      </c>
      <c r="C44" s="19" t="e">
        <f t="shared" ref="C44:O44" si="29">+C12/C3</f>
        <v>#DIV/0!</v>
      </c>
      <c r="D44" s="18" t="e">
        <f t="shared" si="29"/>
        <v>#DIV/0!</v>
      </c>
      <c r="E44" s="19" t="e">
        <f t="shared" si="29"/>
        <v>#DIV/0!</v>
      </c>
      <c r="F44" s="18" t="e">
        <f t="shared" si="29"/>
        <v>#DIV/0!</v>
      </c>
      <c r="G44" s="19" t="e">
        <f t="shared" si="29"/>
        <v>#DIV/0!</v>
      </c>
      <c r="H44" s="18" t="e">
        <f t="shared" si="29"/>
        <v>#DIV/0!</v>
      </c>
      <c r="I44" s="19" t="e">
        <f t="shared" si="29"/>
        <v>#DIV/0!</v>
      </c>
      <c r="J44" s="18" t="e">
        <f t="shared" si="29"/>
        <v>#DIV/0!</v>
      </c>
      <c r="K44" s="19" t="e">
        <f t="shared" si="29"/>
        <v>#DIV/0!</v>
      </c>
      <c r="L44" s="18" t="e">
        <f t="shared" si="29"/>
        <v>#DIV/0!</v>
      </c>
      <c r="M44" s="19" t="e">
        <f t="shared" si="29"/>
        <v>#DIV/0!</v>
      </c>
      <c r="N44" s="44" t="e">
        <f t="shared" si="29"/>
        <v>#DIV/0!</v>
      </c>
      <c r="O44" s="44">
        <f t="shared" si="29"/>
        <v>156501.04430379492</v>
      </c>
      <c r="P44" s="44" t="e">
        <f t="shared" si="3"/>
        <v>#DIV/0!</v>
      </c>
      <c r="Q44" s="136" t="e">
        <f t="shared" si="1"/>
        <v>#DIV/0!</v>
      </c>
      <c r="R44" s="139" t="s">
        <v>219</v>
      </c>
    </row>
    <row r="45" spans="1:20" x14ac:dyDescent="0.45">
      <c r="A45" s="17" t="s">
        <v>168</v>
      </c>
      <c r="B45" s="18" t="e">
        <f>+B13/B3</f>
        <v>#DIV/0!</v>
      </c>
      <c r="C45" s="19" t="e">
        <f t="shared" ref="C45:O45" si="30">+C13/C3</f>
        <v>#DIV/0!</v>
      </c>
      <c r="D45" s="18" t="e">
        <f t="shared" si="30"/>
        <v>#DIV/0!</v>
      </c>
      <c r="E45" s="19" t="e">
        <f t="shared" si="30"/>
        <v>#DIV/0!</v>
      </c>
      <c r="F45" s="18" t="e">
        <f t="shared" si="30"/>
        <v>#DIV/0!</v>
      </c>
      <c r="G45" s="19" t="e">
        <f t="shared" si="30"/>
        <v>#DIV/0!</v>
      </c>
      <c r="H45" s="18" t="e">
        <f t="shared" si="30"/>
        <v>#DIV/0!</v>
      </c>
      <c r="I45" s="19" t="e">
        <f t="shared" si="30"/>
        <v>#DIV/0!</v>
      </c>
      <c r="J45" s="18" t="e">
        <f t="shared" si="30"/>
        <v>#DIV/0!</v>
      </c>
      <c r="K45" s="19" t="e">
        <f t="shared" si="30"/>
        <v>#DIV/0!</v>
      </c>
      <c r="L45" s="18" t="e">
        <f t="shared" si="30"/>
        <v>#DIV/0!</v>
      </c>
      <c r="M45" s="19" t="e">
        <f t="shared" si="30"/>
        <v>#DIV/0!</v>
      </c>
      <c r="N45" s="44" t="e">
        <f t="shared" si="30"/>
        <v>#DIV/0!</v>
      </c>
      <c r="O45" s="44">
        <f t="shared" si="30"/>
        <v>150158.51001043967</v>
      </c>
      <c r="P45" s="44" t="e">
        <f t="shared" si="3"/>
        <v>#DIV/0!</v>
      </c>
      <c r="Q45" s="136" t="e">
        <f t="shared" si="1"/>
        <v>#DIV/0!</v>
      </c>
      <c r="R45" s="139" t="s">
        <v>222</v>
      </c>
    </row>
    <row r="46" spans="1:20" x14ac:dyDescent="0.45">
      <c r="A46" s="17" t="s">
        <v>169</v>
      </c>
      <c r="B46" s="18" t="e">
        <f>+B14/B3</f>
        <v>#DIV/0!</v>
      </c>
      <c r="C46" s="19" t="e">
        <f t="shared" ref="C46:O46" si="31">+C14/C3</f>
        <v>#DIV/0!</v>
      </c>
      <c r="D46" s="18" t="e">
        <f t="shared" si="31"/>
        <v>#DIV/0!</v>
      </c>
      <c r="E46" s="19" t="e">
        <f t="shared" si="31"/>
        <v>#DIV/0!</v>
      </c>
      <c r="F46" s="18" t="e">
        <f t="shared" si="31"/>
        <v>#DIV/0!</v>
      </c>
      <c r="G46" s="19" t="e">
        <f t="shared" si="31"/>
        <v>#DIV/0!</v>
      </c>
      <c r="H46" s="18" t="e">
        <f t="shared" si="31"/>
        <v>#DIV/0!</v>
      </c>
      <c r="I46" s="19" t="e">
        <f t="shared" si="31"/>
        <v>#DIV/0!</v>
      </c>
      <c r="J46" s="18" t="e">
        <f t="shared" si="31"/>
        <v>#DIV/0!</v>
      </c>
      <c r="K46" s="19" t="e">
        <f t="shared" si="31"/>
        <v>#DIV/0!</v>
      </c>
      <c r="L46" s="18" t="e">
        <f t="shared" si="31"/>
        <v>#DIV/0!</v>
      </c>
      <c r="M46" s="19" t="e">
        <f t="shared" si="31"/>
        <v>#DIV/0!</v>
      </c>
      <c r="N46" s="44" t="e">
        <f t="shared" si="31"/>
        <v>#DIV/0!</v>
      </c>
      <c r="O46" s="44">
        <f t="shared" si="31"/>
        <v>50590.962025311717</v>
      </c>
      <c r="P46" s="44" t="e">
        <f t="shared" si="3"/>
        <v>#DIV/0!</v>
      </c>
      <c r="Q46" s="136" t="e">
        <f t="shared" si="1"/>
        <v>#DIV/0!</v>
      </c>
      <c r="R46" s="139" t="s">
        <v>219</v>
      </c>
      <c r="T46" s="37" t="e">
        <f>+N44+N46</f>
        <v>#DIV/0!</v>
      </c>
    </row>
    <row r="47" spans="1:20" x14ac:dyDescent="0.45">
      <c r="A47" s="17" t="s">
        <v>170</v>
      </c>
      <c r="B47" s="18" t="e">
        <f>+B15/B3</f>
        <v>#DIV/0!</v>
      </c>
      <c r="C47" s="19" t="e">
        <f t="shared" ref="C47:O47" si="32">+C15/C3</f>
        <v>#DIV/0!</v>
      </c>
      <c r="D47" s="18" t="e">
        <f t="shared" si="32"/>
        <v>#DIV/0!</v>
      </c>
      <c r="E47" s="19" t="e">
        <f t="shared" si="32"/>
        <v>#DIV/0!</v>
      </c>
      <c r="F47" s="18" t="e">
        <f t="shared" si="32"/>
        <v>#DIV/0!</v>
      </c>
      <c r="G47" s="19" t="e">
        <f t="shared" si="32"/>
        <v>#DIV/0!</v>
      </c>
      <c r="H47" s="18" t="e">
        <f t="shared" si="32"/>
        <v>#DIV/0!</v>
      </c>
      <c r="I47" s="19" t="e">
        <f t="shared" si="32"/>
        <v>#DIV/0!</v>
      </c>
      <c r="J47" s="18" t="e">
        <f t="shared" si="32"/>
        <v>#DIV/0!</v>
      </c>
      <c r="K47" s="19" t="e">
        <f t="shared" si="32"/>
        <v>#DIV/0!</v>
      </c>
      <c r="L47" s="18" t="e">
        <f t="shared" si="32"/>
        <v>#DIV/0!</v>
      </c>
      <c r="M47" s="19" t="e">
        <f t="shared" si="32"/>
        <v>#DIV/0!</v>
      </c>
      <c r="N47" s="44" t="e">
        <f t="shared" si="32"/>
        <v>#DIV/0!</v>
      </c>
      <c r="O47" s="44">
        <f t="shared" si="32"/>
        <v>78786.790982485734</v>
      </c>
      <c r="P47" s="44" t="e">
        <f t="shared" si="3"/>
        <v>#DIV/0!</v>
      </c>
      <c r="Q47" s="136" t="e">
        <f t="shared" si="1"/>
        <v>#DIV/0!</v>
      </c>
      <c r="R47" s="141" t="s">
        <v>220</v>
      </c>
    </row>
    <row r="48" spans="1:20" x14ac:dyDescent="0.45">
      <c r="A48" s="17" t="s">
        <v>171</v>
      </c>
      <c r="B48" s="18" t="e">
        <f>+B16/B3</f>
        <v>#DIV/0!</v>
      </c>
      <c r="C48" s="19" t="e">
        <f t="shared" ref="C48:O48" si="33">+C16/C3</f>
        <v>#DIV/0!</v>
      </c>
      <c r="D48" s="18" t="e">
        <f t="shared" si="33"/>
        <v>#DIV/0!</v>
      </c>
      <c r="E48" s="19" t="e">
        <f t="shared" si="33"/>
        <v>#DIV/0!</v>
      </c>
      <c r="F48" s="18" t="e">
        <f t="shared" si="33"/>
        <v>#DIV/0!</v>
      </c>
      <c r="G48" s="19" t="e">
        <f t="shared" si="33"/>
        <v>#DIV/0!</v>
      </c>
      <c r="H48" s="18" t="e">
        <f t="shared" si="33"/>
        <v>#DIV/0!</v>
      </c>
      <c r="I48" s="19" t="e">
        <f t="shared" si="33"/>
        <v>#DIV/0!</v>
      </c>
      <c r="J48" s="18" t="e">
        <f t="shared" si="33"/>
        <v>#DIV/0!</v>
      </c>
      <c r="K48" s="19" t="e">
        <f t="shared" si="33"/>
        <v>#DIV/0!</v>
      </c>
      <c r="L48" s="18" t="e">
        <f t="shared" si="33"/>
        <v>#DIV/0!</v>
      </c>
      <c r="M48" s="19" t="e">
        <f t="shared" si="33"/>
        <v>#DIV/0!</v>
      </c>
      <c r="N48" s="44" t="e">
        <f t="shared" si="33"/>
        <v>#DIV/0!</v>
      </c>
      <c r="O48" s="44">
        <f t="shared" si="33"/>
        <v>25332.906962025314</v>
      </c>
      <c r="P48" s="44" t="e">
        <f t="shared" si="3"/>
        <v>#DIV/0!</v>
      </c>
      <c r="Q48" s="136" t="e">
        <f t="shared" si="1"/>
        <v>#DIV/0!</v>
      </c>
      <c r="R48" s="139" t="s">
        <v>219</v>
      </c>
    </row>
    <row r="49" spans="1:18" x14ac:dyDescent="0.45">
      <c r="A49" s="17" t="s">
        <v>7</v>
      </c>
      <c r="B49" s="18" t="e">
        <f>+B17/B3</f>
        <v>#DIV/0!</v>
      </c>
      <c r="C49" s="19" t="e">
        <f t="shared" ref="C49:O49" si="34">+C17/C3</f>
        <v>#DIV/0!</v>
      </c>
      <c r="D49" s="18" t="e">
        <f t="shared" si="34"/>
        <v>#DIV/0!</v>
      </c>
      <c r="E49" s="19" t="e">
        <f t="shared" si="34"/>
        <v>#DIV/0!</v>
      </c>
      <c r="F49" s="18" t="e">
        <f t="shared" si="34"/>
        <v>#DIV/0!</v>
      </c>
      <c r="G49" s="19" t="e">
        <f t="shared" si="34"/>
        <v>#DIV/0!</v>
      </c>
      <c r="H49" s="18" t="e">
        <f t="shared" si="34"/>
        <v>#DIV/0!</v>
      </c>
      <c r="I49" s="19" t="e">
        <f t="shared" si="34"/>
        <v>#DIV/0!</v>
      </c>
      <c r="J49" s="18" t="e">
        <f t="shared" si="34"/>
        <v>#DIV/0!</v>
      </c>
      <c r="K49" s="19" t="e">
        <f t="shared" si="34"/>
        <v>#DIV/0!</v>
      </c>
      <c r="L49" s="18" t="e">
        <f t="shared" si="34"/>
        <v>#DIV/0!</v>
      </c>
      <c r="M49" s="19" t="e">
        <f t="shared" si="34"/>
        <v>#DIV/0!</v>
      </c>
      <c r="N49" s="44" t="e">
        <f t="shared" si="34"/>
        <v>#DIV/0!</v>
      </c>
      <c r="O49" s="44">
        <f t="shared" si="34"/>
        <v>3967.0886075949365</v>
      </c>
      <c r="P49" s="44" t="e">
        <f t="shared" si="3"/>
        <v>#DIV/0!</v>
      </c>
      <c r="Q49" s="136" t="e">
        <f t="shared" si="1"/>
        <v>#DIV/0!</v>
      </c>
      <c r="R49" s="139" t="s">
        <v>219</v>
      </c>
    </row>
    <row r="50" spans="1:18" x14ac:dyDescent="0.45">
      <c r="A50" s="17" t="s">
        <v>8</v>
      </c>
      <c r="B50" s="18" t="e">
        <f>+B19/B3</f>
        <v>#DIV/0!</v>
      </c>
      <c r="C50" s="19" t="e">
        <f t="shared" ref="C50:O50" si="35">+C19/C3</f>
        <v>#DIV/0!</v>
      </c>
      <c r="D50" s="18" t="e">
        <f t="shared" si="35"/>
        <v>#DIV/0!</v>
      </c>
      <c r="E50" s="19" t="e">
        <f t="shared" si="35"/>
        <v>#DIV/0!</v>
      </c>
      <c r="F50" s="18" t="e">
        <f t="shared" si="35"/>
        <v>#DIV/0!</v>
      </c>
      <c r="G50" s="19" t="e">
        <f t="shared" si="35"/>
        <v>#DIV/0!</v>
      </c>
      <c r="H50" s="18" t="e">
        <f t="shared" si="35"/>
        <v>#DIV/0!</v>
      </c>
      <c r="I50" s="19" t="e">
        <f t="shared" si="35"/>
        <v>#DIV/0!</v>
      </c>
      <c r="J50" s="18" t="e">
        <f t="shared" si="35"/>
        <v>#DIV/0!</v>
      </c>
      <c r="K50" s="19" t="e">
        <f t="shared" si="35"/>
        <v>#DIV/0!</v>
      </c>
      <c r="L50" s="18" t="e">
        <f t="shared" si="35"/>
        <v>#DIV/0!</v>
      </c>
      <c r="M50" s="19" t="e">
        <f t="shared" si="35"/>
        <v>#DIV/0!</v>
      </c>
      <c r="N50" s="44" t="e">
        <f t="shared" si="35"/>
        <v>#DIV/0!</v>
      </c>
      <c r="O50" s="44">
        <f t="shared" si="35"/>
        <v>16370.679570171307</v>
      </c>
      <c r="P50" s="44" t="e">
        <f t="shared" si="3"/>
        <v>#DIV/0!</v>
      </c>
      <c r="Q50" s="136" t="e">
        <f t="shared" si="1"/>
        <v>#DIV/0!</v>
      </c>
      <c r="R50" s="139" t="s">
        <v>219</v>
      </c>
    </row>
    <row r="51" spans="1:18" x14ac:dyDescent="0.45">
      <c r="A51" s="17" t="s">
        <v>9</v>
      </c>
      <c r="B51" s="18" t="e">
        <f>+B20/B3</f>
        <v>#DIV/0!</v>
      </c>
      <c r="C51" s="19" t="e">
        <f t="shared" ref="C51:O51" si="36">+C20/C3</f>
        <v>#DIV/0!</v>
      </c>
      <c r="D51" s="18" t="e">
        <f t="shared" si="36"/>
        <v>#DIV/0!</v>
      </c>
      <c r="E51" s="19" t="e">
        <f t="shared" si="36"/>
        <v>#DIV/0!</v>
      </c>
      <c r="F51" s="18" t="e">
        <f t="shared" si="36"/>
        <v>#DIV/0!</v>
      </c>
      <c r="G51" s="19" t="e">
        <f t="shared" si="36"/>
        <v>#DIV/0!</v>
      </c>
      <c r="H51" s="18" t="e">
        <f t="shared" si="36"/>
        <v>#DIV/0!</v>
      </c>
      <c r="I51" s="19" t="e">
        <f t="shared" si="36"/>
        <v>#DIV/0!</v>
      </c>
      <c r="J51" s="18" t="e">
        <f t="shared" si="36"/>
        <v>#DIV/0!</v>
      </c>
      <c r="K51" s="19" t="e">
        <f t="shared" si="36"/>
        <v>#DIV/0!</v>
      </c>
      <c r="L51" s="18" t="e">
        <f t="shared" si="36"/>
        <v>#DIV/0!</v>
      </c>
      <c r="M51" s="19" t="e">
        <f t="shared" si="36"/>
        <v>#DIV/0!</v>
      </c>
      <c r="N51" s="44" t="e">
        <f t="shared" si="36"/>
        <v>#DIV/0!</v>
      </c>
      <c r="O51" s="44">
        <f t="shared" si="36"/>
        <v>2757.736455696202</v>
      </c>
      <c r="P51" s="44" t="e">
        <f t="shared" si="3"/>
        <v>#DIV/0!</v>
      </c>
      <c r="Q51" s="136" t="e">
        <f t="shared" si="1"/>
        <v>#DIV/0!</v>
      </c>
      <c r="R51" s="141" t="s">
        <v>220</v>
      </c>
    </row>
    <row r="52" spans="1:18" x14ac:dyDescent="0.45">
      <c r="A52" s="17" t="s">
        <v>10</v>
      </c>
      <c r="B52" s="18" t="e">
        <f>+B22/B3</f>
        <v>#DIV/0!</v>
      </c>
      <c r="C52" s="19" t="e">
        <f t="shared" ref="C52:O52" si="37">+C22/C3</f>
        <v>#DIV/0!</v>
      </c>
      <c r="D52" s="18" t="e">
        <f t="shared" si="37"/>
        <v>#DIV/0!</v>
      </c>
      <c r="E52" s="19" t="e">
        <f t="shared" si="37"/>
        <v>#DIV/0!</v>
      </c>
      <c r="F52" s="18" t="e">
        <f t="shared" si="37"/>
        <v>#DIV/0!</v>
      </c>
      <c r="G52" s="19" t="e">
        <f t="shared" si="37"/>
        <v>#DIV/0!</v>
      </c>
      <c r="H52" s="18" t="e">
        <f t="shared" si="37"/>
        <v>#DIV/0!</v>
      </c>
      <c r="I52" s="19" t="e">
        <f t="shared" si="37"/>
        <v>#DIV/0!</v>
      </c>
      <c r="J52" s="18" t="e">
        <f t="shared" si="37"/>
        <v>#DIV/0!</v>
      </c>
      <c r="K52" s="19" t="e">
        <f t="shared" si="37"/>
        <v>#DIV/0!</v>
      </c>
      <c r="L52" s="18" t="e">
        <f t="shared" si="37"/>
        <v>#DIV/0!</v>
      </c>
      <c r="M52" s="19" t="e">
        <f t="shared" si="37"/>
        <v>#DIV/0!</v>
      </c>
      <c r="N52" s="44" t="e">
        <f t="shared" si="37"/>
        <v>#DIV/0!</v>
      </c>
      <c r="O52" s="44">
        <f t="shared" si="37"/>
        <v>1488.5210479835148</v>
      </c>
      <c r="P52" s="44" t="e">
        <f t="shared" si="3"/>
        <v>#DIV/0!</v>
      </c>
      <c r="Q52" s="136" t="e">
        <f t="shared" si="1"/>
        <v>#DIV/0!</v>
      </c>
      <c r="R52" s="141" t="s">
        <v>220</v>
      </c>
    </row>
    <row r="53" spans="1:18" x14ac:dyDescent="0.45">
      <c r="A53" s="17" t="s">
        <v>11</v>
      </c>
      <c r="B53" s="18" t="e">
        <f>+B23/B3</f>
        <v>#DIV/0!</v>
      </c>
      <c r="C53" s="19" t="e">
        <f t="shared" ref="C53:O53" si="38">+C23/C3</f>
        <v>#DIV/0!</v>
      </c>
      <c r="D53" s="18" t="e">
        <f t="shared" si="38"/>
        <v>#DIV/0!</v>
      </c>
      <c r="E53" s="19" t="e">
        <f t="shared" si="38"/>
        <v>#DIV/0!</v>
      </c>
      <c r="F53" s="18" t="e">
        <f t="shared" si="38"/>
        <v>#DIV/0!</v>
      </c>
      <c r="G53" s="19" t="e">
        <f t="shared" si="38"/>
        <v>#DIV/0!</v>
      </c>
      <c r="H53" s="18" t="e">
        <f t="shared" si="38"/>
        <v>#DIV/0!</v>
      </c>
      <c r="I53" s="19" t="e">
        <f t="shared" si="38"/>
        <v>#DIV/0!</v>
      </c>
      <c r="J53" s="18" t="e">
        <f t="shared" si="38"/>
        <v>#DIV/0!</v>
      </c>
      <c r="K53" s="19" t="e">
        <f t="shared" si="38"/>
        <v>#DIV/0!</v>
      </c>
      <c r="L53" s="18" t="e">
        <f t="shared" si="38"/>
        <v>#DIV/0!</v>
      </c>
      <c r="M53" s="19" t="e">
        <f t="shared" si="38"/>
        <v>#DIV/0!</v>
      </c>
      <c r="N53" s="44" t="e">
        <f t="shared" si="38"/>
        <v>#DIV/0!</v>
      </c>
      <c r="O53" s="44">
        <f t="shared" si="38"/>
        <v>31645.569620253165</v>
      </c>
      <c r="P53" s="44" t="e">
        <f t="shared" si="3"/>
        <v>#DIV/0!</v>
      </c>
      <c r="Q53" s="136" t="e">
        <f t="shared" si="1"/>
        <v>#DIV/0!</v>
      </c>
      <c r="R53" s="141" t="s">
        <v>191</v>
      </c>
    </row>
    <row r="54" spans="1:18" x14ac:dyDescent="0.45">
      <c r="A54" s="17" t="s">
        <v>12</v>
      </c>
      <c r="B54" s="18" t="e">
        <f>+B24/B3</f>
        <v>#DIV/0!</v>
      </c>
      <c r="C54" s="19" t="e">
        <f t="shared" ref="C54:O54" si="39">+C24/C3</f>
        <v>#DIV/0!</v>
      </c>
      <c r="D54" s="18" t="e">
        <f t="shared" si="39"/>
        <v>#DIV/0!</v>
      </c>
      <c r="E54" s="19" t="e">
        <f t="shared" si="39"/>
        <v>#DIV/0!</v>
      </c>
      <c r="F54" s="18" t="e">
        <f t="shared" si="39"/>
        <v>#DIV/0!</v>
      </c>
      <c r="G54" s="19" t="e">
        <f t="shared" si="39"/>
        <v>#DIV/0!</v>
      </c>
      <c r="H54" s="18" t="e">
        <f t="shared" si="39"/>
        <v>#DIV/0!</v>
      </c>
      <c r="I54" s="19" t="e">
        <f t="shared" si="39"/>
        <v>#DIV/0!</v>
      </c>
      <c r="J54" s="18" t="e">
        <f t="shared" si="39"/>
        <v>#DIV/0!</v>
      </c>
      <c r="K54" s="19" t="e">
        <f t="shared" si="39"/>
        <v>#DIV/0!</v>
      </c>
      <c r="L54" s="18" t="e">
        <f t="shared" si="39"/>
        <v>#DIV/0!</v>
      </c>
      <c r="M54" s="19" t="e">
        <f t="shared" si="39"/>
        <v>#DIV/0!</v>
      </c>
      <c r="N54" s="44" t="e">
        <f t="shared" si="39"/>
        <v>#DIV/0!</v>
      </c>
      <c r="O54" s="44">
        <f t="shared" si="39"/>
        <v>21722.817468353423</v>
      </c>
      <c r="P54" s="44" t="e">
        <f t="shared" si="3"/>
        <v>#DIV/0!</v>
      </c>
      <c r="Q54" s="136" t="e">
        <f t="shared" si="1"/>
        <v>#DIV/0!</v>
      </c>
      <c r="R54" s="141" t="s">
        <v>220</v>
      </c>
    </row>
    <row r="55" spans="1:18" x14ac:dyDescent="0.45">
      <c r="A55" s="17" t="s">
        <v>156</v>
      </c>
      <c r="B55" s="18" t="e">
        <f>+B25/B3</f>
        <v>#DIV/0!</v>
      </c>
      <c r="C55" s="19" t="e">
        <f t="shared" ref="C55:O55" si="40">+C25/C3</f>
        <v>#DIV/0!</v>
      </c>
      <c r="D55" s="18" t="e">
        <f t="shared" si="40"/>
        <v>#DIV/0!</v>
      </c>
      <c r="E55" s="19" t="e">
        <f t="shared" si="40"/>
        <v>#DIV/0!</v>
      </c>
      <c r="F55" s="18" t="e">
        <f t="shared" si="40"/>
        <v>#DIV/0!</v>
      </c>
      <c r="G55" s="19" t="e">
        <f t="shared" si="40"/>
        <v>#DIV/0!</v>
      </c>
      <c r="H55" s="18" t="e">
        <f t="shared" si="40"/>
        <v>#DIV/0!</v>
      </c>
      <c r="I55" s="19" t="e">
        <f t="shared" si="40"/>
        <v>#DIV/0!</v>
      </c>
      <c r="J55" s="18" t="e">
        <f t="shared" si="40"/>
        <v>#DIV/0!</v>
      </c>
      <c r="K55" s="19" t="e">
        <f t="shared" si="40"/>
        <v>#DIV/0!</v>
      </c>
      <c r="L55" s="18" t="e">
        <f t="shared" si="40"/>
        <v>#DIV/0!</v>
      </c>
      <c r="M55" s="19" t="e">
        <f t="shared" si="40"/>
        <v>#DIV/0!</v>
      </c>
      <c r="N55" s="44" t="e">
        <f t="shared" si="40"/>
        <v>#DIV/0!</v>
      </c>
      <c r="O55" s="44">
        <f t="shared" si="40"/>
        <v>267967.84888667543</v>
      </c>
      <c r="P55" s="44" t="e">
        <f t="shared" si="3"/>
        <v>#DIV/0!</v>
      </c>
      <c r="Q55" s="136" t="e">
        <f t="shared" si="1"/>
        <v>#DIV/0!</v>
      </c>
      <c r="R55" s="139" t="s">
        <v>223</v>
      </c>
    </row>
    <row r="56" spans="1:18" x14ac:dyDescent="0.45">
      <c r="A56" s="17" t="s">
        <v>157</v>
      </c>
      <c r="B56" s="18" t="e">
        <f>+B26/B3</f>
        <v>#DIV/0!</v>
      </c>
      <c r="C56" s="19" t="e">
        <f t="shared" ref="C56:O56" si="41">+C26/C3</f>
        <v>#DIV/0!</v>
      </c>
      <c r="D56" s="18" t="e">
        <f t="shared" si="41"/>
        <v>#DIV/0!</v>
      </c>
      <c r="E56" s="19" t="e">
        <f t="shared" si="41"/>
        <v>#DIV/0!</v>
      </c>
      <c r="F56" s="18" t="e">
        <f t="shared" si="41"/>
        <v>#DIV/0!</v>
      </c>
      <c r="G56" s="19" t="e">
        <f t="shared" si="41"/>
        <v>#DIV/0!</v>
      </c>
      <c r="H56" s="18" t="e">
        <f t="shared" si="41"/>
        <v>#DIV/0!</v>
      </c>
      <c r="I56" s="19" t="e">
        <f t="shared" si="41"/>
        <v>#DIV/0!</v>
      </c>
      <c r="J56" s="18" t="e">
        <f t="shared" si="41"/>
        <v>#DIV/0!</v>
      </c>
      <c r="K56" s="19" t="e">
        <f t="shared" si="41"/>
        <v>#DIV/0!</v>
      </c>
      <c r="L56" s="18" t="e">
        <f t="shared" si="41"/>
        <v>#DIV/0!</v>
      </c>
      <c r="M56" s="19" t="e">
        <f t="shared" si="41"/>
        <v>#DIV/0!</v>
      </c>
      <c r="N56" s="44" t="e">
        <f t="shared" si="41"/>
        <v>#DIV/0!</v>
      </c>
      <c r="O56" s="44">
        <f t="shared" si="41"/>
        <v>47748.927581940559</v>
      </c>
      <c r="P56" s="44" t="e">
        <f t="shared" si="3"/>
        <v>#DIV/0!</v>
      </c>
      <c r="Q56" s="136" t="e">
        <f t="shared" si="1"/>
        <v>#DIV/0!</v>
      </c>
      <c r="R56" s="141" t="s">
        <v>191</v>
      </c>
    </row>
    <row r="57" spans="1:18" x14ac:dyDescent="0.45">
      <c r="A57" s="17" t="s">
        <v>158</v>
      </c>
      <c r="B57" s="18" t="e">
        <f>+B27/B3</f>
        <v>#DIV/0!</v>
      </c>
      <c r="C57" s="19" t="e">
        <f t="shared" ref="C57:O57" si="42">+C27/C3</f>
        <v>#DIV/0!</v>
      </c>
      <c r="D57" s="18" t="e">
        <f t="shared" si="42"/>
        <v>#DIV/0!</v>
      </c>
      <c r="E57" s="19" t="e">
        <f t="shared" si="42"/>
        <v>#DIV/0!</v>
      </c>
      <c r="F57" s="18" t="e">
        <f t="shared" si="42"/>
        <v>#DIV/0!</v>
      </c>
      <c r="G57" s="19" t="e">
        <f t="shared" si="42"/>
        <v>#DIV/0!</v>
      </c>
      <c r="H57" s="18" t="e">
        <f t="shared" si="42"/>
        <v>#DIV/0!</v>
      </c>
      <c r="I57" s="19" t="e">
        <f t="shared" si="42"/>
        <v>#DIV/0!</v>
      </c>
      <c r="J57" s="18" t="e">
        <f t="shared" si="42"/>
        <v>#DIV/0!</v>
      </c>
      <c r="K57" s="19" t="e">
        <f t="shared" si="42"/>
        <v>#DIV/0!</v>
      </c>
      <c r="L57" s="18" t="e">
        <f t="shared" si="42"/>
        <v>#DIV/0!</v>
      </c>
      <c r="M57" s="19" t="e">
        <f t="shared" si="42"/>
        <v>#DIV/0!</v>
      </c>
      <c r="N57" s="44" t="e">
        <f t="shared" si="42"/>
        <v>#DIV/0!</v>
      </c>
      <c r="O57" s="44">
        <f t="shared" si="42"/>
        <v>22787.277509567266</v>
      </c>
      <c r="P57" s="44" t="e">
        <f t="shared" si="3"/>
        <v>#DIV/0!</v>
      </c>
      <c r="Q57" s="136" t="e">
        <f t="shared" si="1"/>
        <v>#DIV/0!</v>
      </c>
      <c r="R57" s="141" t="s">
        <v>191</v>
      </c>
    </row>
    <row r="58" spans="1:18" x14ac:dyDescent="0.45">
      <c r="A58" s="17" t="s">
        <v>13</v>
      </c>
      <c r="B58" s="18" t="e">
        <f>+B28/B3</f>
        <v>#DIV/0!</v>
      </c>
      <c r="C58" s="19" t="e">
        <f t="shared" ref="C58:O58" si="43">+C28/C3</f>
        <v>#DIV/0!</v>
      </c>
      <c r="D58" s="18" t="e">
        <f t="shared" si="43"/>
        <v>#DIV/0!</v>
      </c>
      <c r="E58" s="19" t="e">
        <f t="shared" si="43"/>
        <v>#DIV/0!</v>
      </c>
      <c r="F58" s="18" t="e">
        <f t="shared" si="43"/>
        <v>#DIV/0!</v>
      </c>
      <c r="G58" s="19" t="e">
        <f t="shared" si="43"/>
        <v>#DIV/0!</v>
      </c>
      <c r="H58" s="18" t="e">
        <f t="shared" si="43"/>
        <v>#DIV/0!</v>
      </c>
      <c r="I58" s="19" t="e">
        <f t="shared" si="43"/>
        <v>#DIV/0!</v>
      </c>
      <c r="J58" s="18" t="e">
        <f t="shared" si="43"/>
        <v>#DIV/0!</v>
      </c>
      <c r="K58" s="19" t="e">
        <f t="shared" si="43"/>
        <v>#DIV/0!</v>
      </c>
      <c r="L58" s="18" t="e">
        <f t="shared" si="43"/>
        <v>#DIV/0!</v>
      </c>
      <c r="M58" s="19" t="e">
        <f t="shared" si="43"/>
        <v>#DIV/0!</v>
      </c>
      <c r="N58" s="44" t="e">
        <f t="shared" si="43"/>
        <v>#DIV/0!</v>
      </c>
      <c r="O58" s="44">
        <f t="shared" si="43"/>
        <v>6491.6279069767443</v>
      </c>
      <c r="P58" s="44" t="e">
        <f t="shared" si="3"/>
        <v>#DIV/0!</v>
      </c>
      <c r="Q58" s="136" t="e">
        <f t="shared" si="1"/>
        <v>#DIV/0!</v>
      </c>
      <c r="R58" s="141" t="s">
        <v>191</v>
      </c>
    </row>
    <row r="59" spans="1:18" x14ac:dyDescent="0.45">
      <c r="A59" s="17" t="s">
        <v>18</v>
      </c>
      <c r="B59" s="18" t="e">
        <f>+B29/B3</f>
        <v>#DIV/0!</v>
      </c>
      <c r="C59" s="19" t="e">
        <f t="shared" ref="C59:O59" si="44">+C29/C3</f>
        <v>#DIV/0!</v>
      </c>
      <c r="D59" s="18" t="e">
        <f t="shared" si="44"/>
        <v>#DIV/0!</v>
      </c>
      <c r="E59" s="19" t="e">
        <f t="shared" si="44"/>
        <v>#DIV/0!</v>
      </c>
      <c r="F59" s="18" t="e">
        <f t="shared" si="44"/>
        <v>#DIV/0!</v>
      </c>
      <c r="G59" s="19" t="e">
        <f t="shared" si="44"/>
        <v>#DIV/0!</v>
      </c>
      <c r="H59" s="18" t="e">
        <f t="shared" si="44"/>
        <v>#DIV/0!</v>
      </c>
      <c r="I59" s="19" t="e">
        <f t="shared" si="44"/>
        <v>#DIV/0!</v>
      </c>
      <c r="J59" s="18" t="e">
        <f t="shared" si="44"/>
        <v>#DIV/0!</v>
      </c>
      <c r="K59" s="19" t="e">
        <f t="shared" si="44"/>
        <v>#DIV/0!</v>
      </c>
      <c r="L59" s="18" t="e">
        <f t="shared" si="44"/>
        <v>#DIV/0!</v>
      </c>
      <c r="M59" s="19" t="e">
        <f t="shared" si="44"/>
        <v>#DIV/0!</v>
      </c>
      <c r="N59" s="44" t="e">
        <f t="shared" si="44"/>
        <v>#DIV/0!</v>
      </c>
      <c r="O59" s="44">
        <f t="shared" si="44"/>
        <v>11402.225757829918</v>
      </c>
      <c r="P59" s="44" t="e">
        <f t="shared" si="3"/>
        <v>#DIV/0!</v>
      </c>
      <c r="Q59" s="136" t="e">
        <f t="shared" si="1"/>
        <v>#DIV/0!</v>
      </c>
      <c r="R59" s="141" t="s">
        <v>221</v>
      </c>
    </row>
    <row r="60" spans="1:18" x14ac:dyDescent="0.45">
      <c r="A60" s="17" t="s">
        <v>14</v>
      </c>
      <c r="B60" s="18" t="e">
        <f>+B32/B3</f>
        <v>#DIV/0!</v>
      </c>
      <c r="C60" s="50" t="e">
        <f t="shared" ref="C60:O60" si="45">+C32/C3</f>
        <v>#DIV/0!</v>
      </c>
      <c r="D60" s="49" t="e">
        <f t="shared" si="45"/>
        <v>#DIV/0!</v>
      </c>
      <c r="E60" s="19" t="e">
        <f t="shared" si="45"/>
        <v>#DIV/0!</v>
      </c>
      <c r="F60" s="18" t="e">
        <f t="shared" si="45"/>
        <v>#DIV/0!</v>
      </c>
      <c r="G60" s="19" t="e">
        <f t="shared" si="45"/>
        <v>#DIV/0!</v>
      </c>
      <c r="H60" s="18" t="e">
        <f t="shared" si="45"/>
        <v>#DIV/0!</v>
      </c>
      <c r="I60" s="19" t="e">
        <f t="shared" si="45"/>
        <v>#DIV/0!</v>
      </c>
      <c r="J60" s="18" t="e">
        <f t="shared" si="45"/>
        <v>#DIV/0!</v>
      </c>
      <c r="K60" s="19" t="e">
        <f t="shared" si="45"/>
        <v>#DIV/0!</v>
      </c>
      <c r="L60" s="18" t="e">
        <f t="shared" si="45"/>
        <v>#DIV/0!</v>
      </c>
      <c r="M60" s="19" t="e">
        <f t="shared" si="45"/>
        <v>#DIV/0!</v>
      </c>
      <c r="N60" s="44" t="e">
        <f t="shared" si="45"/>
        <v>#DIV/0!</v>
      </c>
      <c r="O60" s="44">
        <f t="shared" si="45"/>
        <v>218623.19025459618</v>
      </c>
      <c r="P60" s="44" t="e">
        <f t="shared" si="3"/>
        <v>#DIV/0!</v>
      </c>
      <c r="Q60" s="136" t="e">
        <f t="shared" si="1"/>
        <v>#DIV/0!</v>
      </c>
      <c r="R60" s="141" t="s">
        <v>227</v>
      </c>
    </row>
    <row r="61" spans="1:18" x14ac:dyDescent="0.45">
      <c r="A61" s="131" t="s">
        <v>165</v>
      </c>
      <c r="B61" s="123"/>
      <c r="C61" s="124"/>
      <c r="D61" s="123"/>
      <c r="E61" s="124"/>
      <c r="F61" s="123"/>
      <c r="G61" s="124"/>
      <c r="H61" s="123"/>
      <c r="I61" s="124"/>
      <c r="J61" s="123"/>
      <c r="K61" s="124"/>
      <c r="L61" s="123"/>
      <c r="M61" s="124"/>
      <c r="N61" s="125"/>
      <c r="O61" s="125"/>
      <c r="P61" s="125"/>
      <c r="Q61" s="125"/>
      <c r="R61" s="141"/>
    </row>
    <row r="62" spans="1:18" x14ac:dyDescent="0.45">
      <c r="A62" s="17" t="s">
        <v>160</v>
      </c>
      <c r="B62" s="126"/>
      <c r="C62" s="127"/>
      <c r="D62" s="18" t="e">
        <f>+B10+C10+D10</f>
        <v>#DIV/0!</v>
      </c>
      <c r="E62" s="127"/>
      <c r="F62" s="126"/>
      <c r="G62" s="127"/>
      <c r="H62" s="126"/>
      <c r="I62" s="127"/>
      <c r="J62" s="126"/>
      <c r="K62" s="127"/>
      <c r="L62" s="126"/>
      <c r="M62" s="127"/>
      <c r="N62" s="128"/>
      <c r="O62" s="128"/>
      <c r="P62" s="128"/>
      <c r="Q62" s="128"/>
      <c r="R62" s="141"/>
    </row>
    <row r="63" spans="1:18" x14ac:dyDescent="0.45">
      <c r="A63" s="17" t="s">
        <v>161</v>
      </c>
      <c r="B63" s="126"/>
      <c r="C63" s="127"/>
      <c r="D63" s="129" t="e">
        <f>+D62/N5</f>
        <v>#DIV/0!</v>
      </c>
      <c r="E63" s="130" t="e">
        <f>+D63</f>
        <v>#DIV/0!</v>
      </c>
      <c r="F63" s="129" t="e">
        <f t="shared" ref="F63:M63" si="46">+E63</f>
        <v>#DIV/0!</v>
      </c>
      <c r="G63" s="130" t="e">
        <f t="shared" si="46"/>
        <v>#DIV/0!</v>
      </c>
      <c r="H63" s="129" t="e">
        <f t="shared" si="46"/>
        <v>#DIV/0!</v>
      </c>
      <c r="I63" s="130" t="e">
        <f t="shared" si="46"/>
        <v>#DIV/0!</v>
      </c>
      <c r="J63" s="129" t="e">
        <f t="shared" si="46"/>
        <v>#DIV/0!</v>
      </c>
      <c r="K63" s="130" t="e">
        <f t="shared" si="46"/>
        <v>#DIV/0!</v>
      </c>
      <c r="L63" s="129" t="e">
        <f t="shared" si="46"/>
        <v>#DIV/0!</v>
      </c>
      <c r="M63" s="130" t="e">
        <f t="shared" si="46"/>
        <v>#DIV/0!</v>
      </c>
      <c r="N63" s="128"/>
      <c r="O63" s="128"/>
      <c r="P63" s="128"/>
      <c r="Q63" s="128"/>
      <c r="R63" s="141"/>
    </row>
    <row r="64" spans="1:18" x14ac:dyDescent="0.45">
      <c r="A64" s="17" t="s">
        <v>162</v>
      </c>
      <c r="B64" s="126"/>
      <c r="C64" s="127"/>
      <c r="D64" s="126"/>
      <c r="E64" s="19" t="e">
        <f t="shared" ref="E64:M64" si="47">+E63*E5</f>
        <v>#DIV/0!</v>
      </c>
      <c r="F64" s="18" t="e">
        <f t="shared" si="47"/>
        <v>#DIV/0!</v>
      </c>
      <c r="G64" s="19" t="e">
        <f t="shared" si="47"/>
        <v>#DIV/0!</v>
      </c>
      <c r="H64" s="18" t="e">
        <f t="shared" si="47"/>
        <v>#DIV/0!</v>
      </c>
      <c r="I64" s="19" t="e">
        <f t="shared" si="47"/>
        <v>#DIV/0!</v>
      </c>
      <c r="J64" s="18" t="e">
        <f t="shared" si="47"/>
        <v>#DIV/0!</v>
      </c>
      <c r="K64" s="19" t="e">
        <f t="shared" si="47"/>
        <v>#DIV/0!</v>
      </c>
      <c r="L64" s="18" t="e">
        <f t="shared" si="47"/>
        <v>#DIV/0!</v>
      </c>
      <c r="M64" s="19" t="e">
        <f t="shared" si="47"/>
        <v>#DIV/0!</v>
      </c>
      <c r="N64" s="128"/>
      <c r="O64" s="128"/>
      <c r="P64" s="128"/>
      <c r="Q64" s="128"/>
      <c r="R64" s="141"/>
    </row>
    <row r="65" spans="1:18" x14ac:dyDescent="0.45">
      <c r="A65" s="17" t="s">
        <v>163</v>
      </c>
      <c r="B65" s="126"/>
      <c r="C65" s="127"/>
      <c r="D65" s="126"/>
      <c r="E65" s="19" t="e">
        <f>+D62-E64</f>
        <v>#DIV/0!</v>
      </c>
      <c r="F65" s="18" t="e">
        <f>+E65-F64</f>
        <v>#DIV/0!</v>
      </c>
      <c r="G65" s="19" t="e">
        <f t="shared" ref="G65:M65" si="48">+F65-G64</f>
        <v>#DIV/0!</v>
      </c>
      <c r="H65" s="18" t="e">
        <f t="shared" si="48"/>
        <v>#DIV/0!</v>
      </c>
      <c r="I65" s="19" t="e">
        <f t="shared" si="48"/>
        <v>#DIV/0!</v>
      </c>
      <c r="J65" s="18" t="e">
        <f t="shared" si="48"/>
        <v>#DIV/0!</v>
      </c>
      <c r="K65" s="19" t="e">
        <f t="shared" si="48"/>
        <v>#DIV/0!</v>
      </c>
      <c r="L65" s="18" t="e">
        <f t="shared" si="48"/>
        <v>#DIV/0!</v>
      </c>
      <c r="M65" s="19" t="e">
        <f t="shared" si="48"/>
        <v>#DIV/0!</v>
      </c>
      <c r="N65" s="128"/>
      <c r="O65" s="128"/>
      <c r="P65" s="128"/>
      <c r="Q65" s="128"/>
      <c r="R65" s="141"/>
    </row>
    <row r="66" spans="1:18" x14ac:dyDescent="0.45">
      <c r="A66" s="17" t="s">
        <v>164</v>
      </c>
      <c r="B66" s="126"/>
      <c r="C66" s="127"/>
      <c r="D66" s="126"/>
      <c r="E66" s="19" t="e">
        <f>+E65-D62</f>
        <v>#DIV/0!</v>
      </c>
      <c r="F66" s="18" t="e">
        <f>+F65-E65</f>
        <v>#DIV/0!</v>
      </c>
      <c r="G66" s="19" t="e">
        <f t="shared" ref="G66:M66" si="49">+G65-F65</f>
        <v>#DIV/0!</v>
      </c>
      <c r="H66" s="18" t="e">
        <f t="shared" si="49"/>
        <v>#DIV/0!</v>
      </c>
      <c r="I66" s="19" t="e">
        <f t="shared" si="49"/>
        <v>#DIV/0!</v>
      </c>
      <c r="J66" s="18" t="e">
        <f t="shared" si="49"/>
        <v>#DIV/0!</v>
      </c>
      <c r="K66" s="19" t="e">
        <f t="shared" si="49"/>
        <v>#DIV/0!</v>
      </c>
      <c r="L66" s="18" t="e">
        <f t="shared" si="49"/>
        <v>#DIV/0!</v>
      </c>
      <c r="M66" s="19" t="e">
        <f t="shared" si="49"/>
        <v>#DIV/0!</v>
      </c>
      <c r="N66" s="128"/>
      <c r="O66" s="128"/>
      <c r="P66" s="128"/>
      <c r="Q66" s="128"/>
      <c r="R66" s="141"/>
    </row>
    <row r="67" spans="1:18" x14ac:dyDescent="0.45">
      <c r="A67" s="4"/>
      <c r="B67" s="117"/>
      <c r="C67" s="118"/>
      <c r="D67" s="117"/>
      <c r="E67" s="118"/>
      <c r="F67" s="117"/>
      <c r="G67" s="118"/>
      <c r="H67" s="117"/>
      <c r="I67" s="118"/>
      <c r="J67" s="117"/>
      <c r="K67" s="118"/>
      <c r="L67" s="117"/>
      <c r="M67" s="118"/>
      <c r="N67" s="119"/>
      <c r="O67" s="119"/>
      <c r="P67" s="119"/>
      <c r="Q67" s="119"/>
      <c r="R67" s="141"/>
    </row>
    <row r="68" spans="1:18" x14ac:dyDescent="0.45">
      <c r="A68" s="4"/>
      <c r="B68" s="120"/>
      <c r="C68" s="121"/>
      <c r="D68" s="120"/>
      <c r="E68" s="121"/>
      <c r="F68" s="120"/>
      <c r="G68" s="121"/>
      <c r="H68" s="120"/>
      <c r="I68" s="121"/>
      <c r="J68" s="120"/>
      <c r="K68" s="121"/>
      <c r="L68" s="120"/>
      <c r="M68" s="121"/>
      <c r="N68" s="122"/>
      <c r="O68" s="122"/>
      <c r="P68" s="122"/>
      <c r="Q68" s="122"/>
      <c r="R68" s="141"/>
    </row>
    <row r="69" spans="1:18" x14ac:dyDescent="0.45">
      <c r="A69" s="52"/>
      <c r="B69" s="54"/>
      <c r="C69" s="55"/>
      <c r="D69" s="54"/>
      <c r="E69" s="55"/>
      <c r="F69" s="54"/>
      <c r="G69" s="55"/>
      <c r="H69" s="54"/>
      <c r="I69" s="55"/>
      <c r="J69" s="54"/>
      <c r="K69" s="55"/>
      <c r="L69" s="54"/>
      <c r="M69" s="55"/>
      <c r="N69" s="56"/>
      <c r="O69" s="56"/>
      <c r="P69" s="56"/>
      <c r="Q69" s="56"/>
      <c r="R69" s="141"/>
    </row>
    <row r="70" spans="1:18" x14ac:dyDescent="0.45">
      <c r="A70" s="52"/>
      <c r="B70" s="54"/>
      <c r="C70" s="55"/>
      <c r="D70" s="54"/>
      <c r="E70" s="55"/>
      <c r="F70" s="54"/>
      <c r="G70" s="55"/>
      <c r="H70" s="54"/>
      <c r="I70" s="55"/>
      <c r="J70" s="54"/>
      <c r="K70" s="55"/>
      <c r="L70" s="54"/>
      <c r="M70" s="55"/>
      <c r="N70" s="56"/>
      <c r="O70" s="56"/>
      <c r="P70" s="56"/>
      <c r="Q70" s="56"/>
      <c r="R70" s="141"/>
    </row>
    <row r="71" spans="1:18" x14ac:dyDescent="0.45">
      <c r="A71" s="52"/>
      <c r="B71" s="54"/>
      <c r="C71" s="55"/>
      <c r="D71" s="54"/>
      <c r="E71" s="55"/>
      <c r="F71" s="54"/>
      <c r="G71" s="55"/>
      <c r="H71" s="54"/>
      <c r="I71" s="55"/>
      <c r="J71" s="54"/>
      <c r="K71" s="55"/>
      <c r="L71" s="54"/>
      <c r="M71" s="55"/>
      <c r="N71" s="56"/>
      <c r="O71" s="56"/>
      <c r="P71" s="56"/>
      <c r="Q71" s="56"/>
      <c r="R71" s="141"/>
    </row>
    <row r="72" spans="1:18" x14ac:dyDescent="0.45">
      <c r="A72" s="53"/>
      <c r="B72" s="54"/>
      <c r="C72" s="55"/>
      <c r="D72" s="54"/>
      <c r="E72" s="55"/>
      <c r="F72" s="54"/>
      <c r="G72" s="55"/>
      <c r="H72" s="54"/>
      <c r="I72" s="55"/>
      <c r="J72" s="54"/>
      <c r="K72" s="55"/>
      <c r="L72" s="54"/>
      <c r="M72" s="55"/>
      <c r="N72" s="56"/>
      <c r="O72" s="56"/>
      <c r="P72" s="56"/>
      <c r="Q72" s="56"/>
      <c r="R72" s="141"/>
    </row>
    <row r="73" spans="1:18" x14ac:dyDescent="0.45">
      <c r="A73" s="53"/>
      <c r="B73" s="54"/>
      <c r="C73" s="55"/>
      <c r="D73" s="54"/>
      <c r="E73" s="55"/>
      <c r="F73" s="54"/>
      <c r="G73" s="55"/>
      <c r="H73" s="54"/>
      <c r="I73" s="55"/>
      <c r="J73" s="54"/>
      <c r="K73" s="55"/>
      <c r="L73" s="54"/>
      <c r="M73" s="55"/>
      <c r="N73" s="56"/>
      <c r="O73" s="56"/>
      <c r="P73" s="56"/>
      <c r="Q73" s="56"/>
      <c r="R73" s="141"/>
    </row>
    <row r="74" spans="1:18" x14ac:dyDescent="0.45">
      <c r="A74" s="53"/>
      <c r="B74" s="54"/>
      <c r="C74" s="55"/>
      <c r="D74" s="54"/>
      <c r="E74" s="55"/>
      <c r="F74" s="54"/>
      <c r="G74" s="55"/>
      <c r="H74" s="54"/>
      <c r="I74" s="55"/>
      <c r="J74" s="54"/>
      <c r="K74" s="55"/>
      <c r="L74" s="54"/>
      <c r="M74" s="55"/>
      <c r="N74" s="56"/>
      <c r="O74" s="56"/>
      <c r="P74" s="56"/>
      <c r="Q74" s="56"/>
      <c r="R74" s="141"/>
    </row>
    <row r="75" spans="1:18" x14ac:dyDescent="0.45">
      <c r="R75" s="141"/>
    </row>
    <row r="76" spans="1:18" x14ac:dyDescent="0.45">
      <c r="R76" s="141"/>
    </row>
    <row r="77" spans="1:18" x14ac:dyDescent="0.45">
      <c r="R77" s="141"/>
    </row>
    <row r="78" spans="1:18" x14ac:dyDescent="0.45">
      <c r="R78" s="141"/>
    </row>
    <row r="79" spans="1:18" x14ac:dyDescent="0.45">
      <c r="R79" s="141"/>
    </row>
    <row r="80" spans="1:18" x14ac:dyDescent="0.45">
      <c r="R80" s="141"/>
    </row>
    <row r="81" spans="18:18" x14ac:dyDescent="0.45">
      <c r="R81" s="141"/>
    </row>
    <row r="82" spans="18:18" x14ac:dyDescent="0.45">
      <c r="R82" s="141"/>
    </row>
    <row r="83" spans="18:18" x14ac:dyDescent="0.45">
      <c r="R83" s="141"/>
    </row>
    <row r="84" spans="18:18" x14ac:dyDescent="0.45">
      <c r="R84" s="141"/>
    </row>
    <row r="85" spans="18:18" x14ac:dyDescent="0.45">
      <c r="R85" s="141"/>
    </row>
    <row r="86" spans="18:18" x14ac:dyDescent="0.45">
      <c r="R86" s="14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U86"/>
  <sheetViews>
    <sheetView topLeftCell="A2" zoomScaleNormal="100" workbookViewId="0">
      <pane xSplit="1" topLeftCell="B1" activePane="topRight" state="frozen"/>
      <selection activeCell="N31" sqref="N31"/>
      <selection pane="topRight" activeCell="G7" sqref="G7"/>
    </sheetView>
  </sheetViews>
  <sheetFormatPr baseColWidth="10" defaultColWidth="11.46484375" defaultRowHeight="14.25" x14ac:dyDescent="0.45"/>
  <cols>
    <col min="1" max="1" width="25.265625" style="1" bestFit="1" customWidth="1"/>
    <col min="2" max="2" width="8.796875" style="2" bestFit="1" customWidth="1"/>
    <col min="3" max="3" width="7.46484375" style="3" customWidth="1"/>
    <col min="4" max="4" width="7.796875" style="2" bestFit="1" customWidth="1"/>
    <col min="5" max="5" width="8" style="3" bestFit="1" customWidth="1"/>
    <col min="6" max="6" width="8.796875" style="2" bestFit="1" customWidth="1"/>
    <col min="7" max="7" width="8.796875" style="3" bestFit="1" customWidth="1"/>
    <col min="8" max="8" width="8.796875" style="2" bestFit="1" customWidth="1"/>
    <col min="9" max="9" width="8.796875" style="3" bestFit="1" customWidth="1"/>
    <col min="10" max="10" width="8.796875" style="2" bestFit="1" customWidth="1"/>
    <col min="11" max="11" width="8.796875" style="3" bestFit="1" customWidth="1"/>
    <col min="12" max="12" width="8" style="2" bestFit="1" customWidth="1"/>
    <col min="13" max="13" width="8" style="3" bestFit="1" customWidth="1"/>
    <col min="14" max="15" width="8.796875" style="22" bestFit="1" customWidth="1"/>
    <col min="16" max="16" width="9.265625" style="22" bestFit="1" customWidth="1"/>
    <col min="17" max="17" width="9" style="22" bestFit="1" customWidth="1"/>
    <col min="18" max="18" width="10.19921875" style="139" customWidth="1"/>
    <col min="19" max="19" width="6.9296875" style="139" customWidth="1"/>
    <col min="20" max="16384" width="11.46484375" style="1"/>
  </cols>
  <sheetData>
    <row r="1" spans="1:21" s="32" customFormat="1" ht="11.65" x14ac:dyDescent="0.35">
      <c r="B1" s="143" t="s">
        <v>78</v>
      </c>
      <c r="C1" s="144" t="s">
        <v>78</v>
      </c>
      <c r="D1" s="143" t="s">
        <v>78</v>
      </c>
      <c r="E1" s="144" t="s">
        <v>78</v>
      </c>
      <c r="F1" s="143" t="s">
        <v>78</v>
      </c>
      <c r="G1" s="144" t="s">
        <v>78</v>
      </c>
      <c r="H1" s="143" t="s">
        <v>78</v>
      </c>
      <c r="I1" s="144" t="s">
        <v>78</v>
      </c>
      <c r="J1" s="143" t="s">
        <v>78</v>
      </c>
      <c r="K1" s="144" t="s">
        <v>78</v>
      </c>
      <c r="L1" s="143" t="s">
        <v>78</v>
      </c>
      <c r="M1" s="144" t="s">
        <v>78</v>
      </c>
      <c r="N1" s="145" t="s">
        <v>78</v>
      </c>
      <c r="O1" s="145" t="s">
        <v>228</v>
      </c>
      <c r="P1" s="145" t="s">
        <v>177</v>
      </c>
      <c r="Q1" s="145" t="s">
        <v>177</v>
      </c>
      <c r="R1" s="137"/>
      <c r="S1" s="138"/>
    </row>
    <row r="2" spans="1:21" ht="14.65" thickBot="1" x14ac:dyDescent="0.5">
      <c r="A2" s="5" t="s">
        <v>331</v>
      </c>
      <c r="B2" s="23">
        <v>43647</v>
      </c>
      <c r="C2" s="24">
        <f>+B2+31</f>
        <v>43678</v>
      </c>
      <c r="D2" s="23">
        <f t="shared" ref="D2:M2" si="0">+C2+31</f>
        <v>43709</v>
      </c>
      <c r="E2" s="24">
        <f t="shared" si="0"/>
        <v>43740</v>
      </c>
      <c r="F2" s="23">
        <f t="shared" si="0"/>
        <v>43771</v>
      </c>
      <c r="G2" s="24">
        <f t="shared" si="0"/>
        <v>43802</v>
      </c>
      <c r="H2" s="23">
        <f t="shared" si="0"/>
        <v>43833</v>
      </c>
      <c r="I2" s="24">
        <f t="shared" si="0"/>
        <v>43864</v>
      </c>
      <c r="J2" s="23">
        <f t="shared" si="0"/>
        <v>43895</v>
      </c>
      <c r="K2" s="24">
        <f t="shared" si="0"/>
        <v>43926</v>
      </c>
      <c r="L2" s="23">
        <f t="shared" si="0"/>
        <v>43957</v>
      </c>
      <c r="M2" s="24">
        <f t="shared" si="0"/>
        <v>43988</v>
      </c>
      <c r="N2" s="25" t="s">
        <v>239</v>
      </c>
      <c r="O2" s="25" t="s">
        <v>230</v>
      </c>
      <c r="P2" s="25" t="s">
        <v>229</v>
      </c>
      <c r="Q2" s="25" t="s">
        <v>178</v>
      </c>
      <c r="R2" s="139" t="s">
        <v>155</v>
      </c>
      <c r="S2" s="139" t="s">
        <v>79</v>
      </c>
    </row>
    <row r="3" spans="1:21" x14ac:dyDescent="0.45">
      <c r="A3" s="26" t="s">
        <v>27</v>
      </c>
      <c r="B3" s="6">
        <f>+'Plan de culture 106'!$C$3</f>
        <v>5.5750000000000002</v>
      </c>
      <c r="C3" s="7">
        <f>+'Plan de culture 106'!$C$3</f>
        <v>5.5750000000000002</v>
      </c>
      <c r="D3" s="6">
        <f>+'Plan de culture 106'!$C$3</f>
        <v>5.5750000000000002</v>
      </c>
      <c r="E3" s="7">
        <f>+'Plan de culture 106'!$C$3</f>
        <v>5.5750000000000002</v>
      </c>
      <c r="F3" s="6">
        <f>+'Plan de culture 106'!$C$3</f>
        <v>5.5750000000000002</v>
      </c>
      <c r="G3" s="7">
        <f>+'Plan de culture 106'!$C$3</f>
        <v>5.5750000000000002</v>
      </c>
      <c r="H3" s="6">
        <f>+'Plan de culture 106'!$C$3</f>
        <v>5.5750000000000002</v>
      </c>
      <c r="I3" s="7">
        <f>+'Plan de culture 106'!$C$3</f>
        <v>5.5750000000000002</v>
      </c>
      <c r="J3" s="6">
        <f>+'Plan de culture 106'!$C$3</f>
        <v>5.5750000000000002</v>
      </c>
      <c r="K3" s="7">
        <f>+'Plan de culture 106'!$C$3</f>
        <v>5.5750000000000002</v>
      </c>
      <c r="L3" s="6">
        <f>+'Plan de culture 106'!$C$3</f>
        <v>5.5750000000000002</v>
      </c>
      <c r="M3" s="7">
        <f>+'Plan de culture 106'!$C$3</f>
        <v>5.5750000000000002</v>
      </c>
      <c r="N3" s="20">
        <f>+'Plan de culture 106'!$C$3</f>
        <v>5.5750000000000002</v>
      </c>
      <c r="O3" s="20">
        <v>2.6</v>
      </c>
      <c r="P3" s="20">
        <f>+N3-O3</f>
        <v>2.9750000000000001</v>
      </c>
      <c r="Q3" s="133">
        <f>+P3/O3</f>
        <v>1.1442307692307692</v>
      </c>
      <c r="R3" s="140">
        <f>+'Plan de culture 106'!C3</f>
        <v>5.5750000000000002</v>
      </c>
      <c r="S3" s="140">
        <f>+N3-R3</f>
        <v>0</v>
      </c>
    </row>
    <row r="4" spans="1:21" x14ac:dyDescent="0.45">
      <c r="A4" s="26" t="s">
        <v>23</v>
      </c>
      <c r="B4" s="6">
        <f>+'Budget Volumes Export'!B35</f>
        <v>5.3950000000000005</v>
      </c>
      <c r="C4" s="7">
        <f>+'Budget Volumes Export'!C35</f>
        <v>5.3950000000000005</v>
      </c>
      <c r="D4" s="6">
        <f>+'Budget Volumes Export'!D35</f>
        <v>5.3950000000000005</v>
      </c>
      <c r="E4" s="7">
        <f>+'Budget Volumes Export'!E35</f>
        <v>5.3950000000000005</v>
      </c>
      <c r="F4" s="6">
        <f>+'Budget Volumes Export'!F35</f>
        <v>5.3950000000000005</v>
      </c>
      <c r="G4" s="7">
        <f>+'Budget Volumes Export'!G35</f>
        <v>5.3950000000000005</v>
      </c>
      <c r="H4" s="6">
        <f>+'Budget Volumes Export'!H35</f>
        <v>5.3950000000000005</v>
      </c>
      <c r="I4" s="7">
        <f>+'Budget Volumes Export'!I35</f>
        <v>5.3950000000000005</v>
      </c>
      <c r="J4" s="6">
        <f>+'Budget Volumes Export'!J35</f>
        <v>5.3950000000000005</v>
      </c>
      <c r="K4" s="7">
        <f>+'Budget Volumes Export'!K35</f>
        <v>5.3950000000000005</v>
      </c>
      <c r="L4" s="6">
        <f>+'Budget Volumes Export'!L35</f>
        <v>5.3950000000000005</v>
      </c>
      <c r="M4" s="7">
        <f>+'Budget Volumes Export'!M35</f>
        <v>5.3950000000000005</v>
      </c>
      <c r="N4" s="20">
        <f>+'Budget Volumes Export'!N35</f>
        <v>5.3950000000000005</v>
      </c>
      <c r="O4" s="20">
        <v>2.6</v>
      </c>
      <c r="P4" s="20">
        <f>+N4-O4</f>
        <v>2.7950000000000004</v>
      </c>
      <c r="Q4" s="133">
        <f>+P4/O4</f>
        <v>1.0750000000000002</v>
      </c>
      <c r="R4" s="140">
        <f>+'Budget Volumes Export'!N35</f>
        <v>5.3950000000000005</v>
      </c>
      <c r="S4" s="140">
        <f>+N4-R4</f>
        <v>0</v>
      </c>
    </row>
    <row r="5" spans="1:21" x14ac:dyDescent="0.45">
      <c r="A5" s="26" t="s">
        <v>0</v>
      </c>
      <c r="B5" s="8">
        <f>+'Budget Volumes Export'!B34*1000</f>
        <v>0</v>
      </c>
      <c r="C5" s="9">
        <f>+'Budget Volumes Export'!C34*1000</f>
        <v>0</v>
      </c>
      <c r="D5" s="8">
        <f>+'Budget Volumes Export'!D34*1000</f>
        <v>0</v>
      </c>
      <c r="E5" s="9">
        <f>+'Budget Volumes Export'!E34*1000</f>
        <v>107900000.00000001</v>
      </c>
      <c r="F5" s="8">
        <f>+'Budget Volumes Export'!F34*1000</f>
        <v>107900000.00000001</v>
      </c>
      <c r="G5" s="9">
        <f>+'Budget Volumes Export'!G34*1000</f>
        <v>80925000</v>
      </c>
      <c r="H5" s="8">
        <f>+'Budget Volumes Export'!H34*1000</f>
        <v>80925000</v>
      </c>
      <c r="I5" s="9">
        <f>+'Budget Volumes Export'!I34*1000</f>
        <v>107900000.00000001</v>
      </c>
      <c r="J5" s="8">
        <f>+'Budget Volumes Export'!J34*1000</f>
        <v>80925000</v>
      </c>
      <c r="K5" s="9">
        <f>+'Budget Volumes Export'!K34*1000</f>
        <v>80925000</v>
      </c>
      <c r="L5" s="8">
        <f>+'Budget Volumes Export'!L34*1000</f>
        <v>53950000.000000007</v>
      </c>
      <c r="M5" s="9">
        <f>+'Budget Volumes Export'!M34*1000</f>
        <v>26975000.000000004</v>
      </c>
      <c r="N5" s="31">
        <f>SUM(B5:M5)</f>
        <v>728325000</v>
      </c>
      <c r="O5" s="31">
        <v>130622.01000000001</v>
      </c>
      <c r="P5" s="31">
        <f>+N5-O5</f>
        <v>728194377.99000001</v>
      </c>
      <c r="Q5" s="134">
        <f t="shared" ref="Q5:Q60" si="1">+P5/O5</f>
        <v>5574.8214101895992</v>
      </c>
      <c r="R5" s="141">
        <f>+'Budget Volumes Export'!N34*1000</f>
        <v>728325000</v>
      </c>
      <c r="S5" s="140">
        <f>+N5-R5</f>
        <v>0</v>
      </c>
      <c r="T5" s="37"/>
    </row>
    <row r="6" spans="1:21" x14ac:dyDescent="0.45">
      <c r="A6" s="17" t="s">
        <v>1</v>
      </c>
      <c r="B6" s="10">
        <f>+B5/B4/1000</f>
        <v>0</v>
      </c>
      <c r="C6" s="11">
        <f t="shared" ref="C6:O6" si="2">+C5/C4/1000</f>
        <v>0</v>
      </c>
      <c r="D6" s="10">
        <f t="shared" si="2"/>
        <v>0</v>
      </c>
      <c r="E6" s="11">
        <f t="shared" si="2"/>
        <v>20000</v>
      </c>
      <c r="F6" s="10">
        <f t="shared" si="2"/>
        <v>20000</v>
      </c>
      <c r="G6" s="11">
        <f t="shared" si="2"/>
        <v>14999.999999999998</v>
      </c>
      <c r="H6" s="10">
        <f t="shared" si="2"/>
        <v>14999.999999999998</v>
      </c>
      <c r="I6" s="11">
        <f t="shared" si="2"/>
        <v>20000</v>
      </c>
      <c r="J6" s="10">
        <f t="shared" si="2"/>
        <v>14999.999999999998</v>
      </c>
      <c r="K6" s="11">
        <f t="shared" si="2"/>
        <v>14999.999999999998</v>
      </c>
      <c r="L6" s="10">
        <f t="shared" si="2"/>
        <v>10000</v>
      </c>
      <c r="M6" s="11">
        <f t="shared" si="2"/>
        <v>5000</v>
      </c>
      <c r="N6" s="45">
        <f t="shared" si="2"/>
        <v>135000</v>
      </c>
      <c r="O6" s="45">
        <f t="shared" si="2"/>
        <v>50.239234615384618</v>
      </c>
      <c r="P6" s="45">
        <f t="shared" ref="P6:P60" si="3">+N6-O6</f>
        <v>134949.76076538462</v>
      </c>
      <c r="Q6" s="135">
        <f t="shared" si="1"/>
        <v>2686.1428482841443</v>
      </c>
      <c r="R6" s="141">
        <f>+'Budget Volumes Export'!N36</f>
        <v>135000</v>
      </c>
      <c r="S6" s="140">
        <f>+N6-R6</f>
        <v>0</v>
      </c>
      <c r="T6" s="48"/>
    </row>
    <row r="7" spans="1:21" x14ac:dyDescent="0.45">
      <c r="A7" s="32" t="s">
        <v>477</v>
      </c>
      <c r="B7" s="12">
        <f>+'Budget Commercial Export'!B22</f>
        <v>0</v>
      </c>
      <c r="C7" s="13">
        <f>+'Budget Commercial Export'!C22</f>
        <v>0</v>
      </c>
      <c r="D7" s="12">
        <f>+'Budget Commercial Export'!D22</f>
        <v>0</v>
      </c>
      <c r="E7" s="13">
        <f>+'Budget Commercial Export'!E22</f>
        <v>0</v>
      </c>
      <c r="F7" s="12">
        <f>+'Budget Commercial Export'!F22</f>
        <v>0</v>
      </c>
      <c r="G7" s="13">
        <f>+'Budget Commercial Export'!G22</f>
        <v>0</v>
      </c>
      <c r="H7" s="12">
        <f>+'Budget Commercial Export'!H22</f>
        <v>0</v>
      </c>
      <c r="I7" s="13">
        <f>+'Budget Commercial Export'!I22</f>
        <v>0</v>
      </c>
      <c r="J7" s="12">
        <f>+'Budget Commercial Export'!J22</f>
        <v>0</v>
      </c>
      <c r="K7" s="13">
        <f>+'Budget Commercial Export'!K22</f>
        <v>0</v>
      </c>
      <c r="L7" s="12">
        <f>+'Budget Commercial Export'!L22</f>
        <v>0</v>
      </c>
      <c r="M7" s="13">
        <f>+'Budget Commercial Export'!M22</f>
        <v>0</v>
      </c>
      <c r="N7" s="31">
        <f t="shared" ref="N7:N32" si="4">SUM(B7:M7)</f>
        <v>0</v>
      </c>
      <c r="O7" s="31">
        <v>932510.13133309805</v>
      </c>
      <c r="P7" s="31">
        <f t="shared" si="3"/>
        <v>-932510.13133309805</v>
      </c>
      <c r="Q7" s="134">
        <f t="shared" si="1"/>
        <v>-1</v>
      </c>
      <c r="R7" s="141">
        <f>+'Budget Commercial Export'!N22</f>
        <v>0</v>
      </c>
      <c r="S7" s="140">
        <f>+N7-R7</f>
        <v>0</v>
      </c>
      <c r="T7" s="37"/>
    </row>
    <row r="8" spans="1:21" x14ac:dyDescent="0.45">
      <c r="A8" s="32" t="s">
        <v>478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31"/>
      <c r="O8" s="31"/>
      <c r="P8" s="31"/>
      <c r="Q8" s="134"/>
      <c r="R8" s="141"/>
      <c r="S8" s="140"/>
      <c r="T8" s="37"/>
    </row>
    <row r="9" spans="1:21" x14ac:dyDescent="0.45">
      <c r="A9" s="32" t="s">
        <v>57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31">
        <f t="shared" si="4"/>
        <v>0</v>
      </c>
      <c r="O9" s="31">
        <v>39491.96</v>
      </c>
      <c r="P9" s="31">
        <f t="shared" si="3"/>
        <v>-39491.96</v>
      </c>
      <c r="Q9" s="134">
        <f t="shared" si="1"/>
        <v>-1</v>
      </c>
      <c r="R9" s="141"/>
      <c r="S9" s="142"/>
    </row>
    <row r="10" spans="1:21" x14ac:dyDescent="0.45">
      <c r="A10" s="32" t="s">
        <v>24</v>
      </c>
      <c r="B10" s="12">
        <f>+B30+B32</f>
        <v>65093.986972537459</v>
      </c>
      <c r="C10" s="13">
        <f>+C30+C32</f>
        <v>37951.790440745543</v>
      </c>
      <c r="D10" s="12">
        <f>+D30+D32</f>
        <v>38128.261028980836</v>
      </c>
      <c r="E10" s="13">
        <f t="shared" ref="E10:M10" si="5">+E66</f>
        <v>-20914.672361816862</v>
      </c>
      <c r="F10" s="12">
        <f t="shared" si="5"/>
        <v>-20914.672361816862</v>
      </c>
      <c r="G10" s="13">
        <f t="shared" si="5"/>
        <v>-15686.004271362646</v>
      </c>
      <c r="H10" s="12">
        <f t="shared" si="5"/>
        <v>-15686.004271362646</v>
      </c>
      <c r="I10" s="13">
        <f t="shared" si="5"/>
        <v>-20914.672361816869</v>
      </c>
      <c r="J10" s="12">
        <f t="shared" si="5"/>
        <v>-15686.004271362646</v>
      </c>
      <c r="K10" s="13">
        <f t="shared" si="5"/>
        <v>-15686.004271362648</v>
      </c>
      <c r="L10" s="12">
        <f t="shared" si="5"/>
        <v>-10457.336180908434</v>
      </c>
      <c r="M10" s="13">
        <f t="shared" si="5"/>
        <v>-5228.6680904542172</v>
      </c>
      <c r="N10" s="31">
        <f t="shared" si="4"/>
        <v>1.4551915228366852E-11</v>
      </c>
      <c r="O10" s="31">
        <v>0</v>
      </c>
      <c r="P10" s="31">
        <f t="shared" si="3"/>
        <v>1.4551915228366852E-11</v>
      </c>
      <c r="Q10" s="134" t="e">
        <f t="shared" si="1"/>
        <v>#DIV/0!</v>
      </c>
      <c r="R10" s="141">
        <v>0</v>
      </c>
      <c r="S10" s="140">
        <f>+N10-R10</f>
        <v>1.4551915228366852E-11</v>
      </c>
    </row>
    <row r="11" spans="1:21" x14ac:dyDescent="0.45">
      <c r="A11" s="26" t="s">
        <v>25</v>
      </c>
      <c r="B11" s="8">
        <f>+B10+B7+B9</f>
        <v>65093.986972537459</v>
      </c>
      <c r="C11" s="9">
        <f t="shared" ref="C11:O11" si="6">+C10+C7+C9</f>
        <v>37951.790440745543</v>
      </c>
      <c r="D11" s="8">
        <f t="shared" si="6"/>
        <v>38128.261028980836</v>
      </c>
      <c r="E11" s="9">
        <f t="shared" si="6"/>
        <v>-20914.672361816862</v>
      </c>
      <c r="F11" s="8">
        <f t="shared" si="6"/>
        <v>-20914.672361816862</v>
      </c>
      <c r="G11" s="9">
        <f t="shared" si="6"/>
        <v>-15686.004271362646</v>
      </c>
      <c r="H11" s="8">
        <f t="shared" si="6"/>
        <v>-15686.004271362646</v>
      </c>
      <c r="I11" s="9">
        <f t="shared" si="6"/>
        <v>-20914.672361816869</v>
      </c>
      <c r="J11" s="8">
        <f t="shared" si="6"/>
        <v>-15686.004271362646</v>
      </c>
      <c r="K11" s="9">
        <f t="shared" si="6"/>
        <v>-15686.004271362648</v>
      </c>
      <c r="L11" s="8">
        <f t="shared" si="6"/>
        <v>-10457.336180908434</v>
      </c>
      <c r="M11" s="9">
        <f t="shared" si="6"/>
        <v>-5228.6680904542172</v>
      </c>
      <c r="N11" s="31">
        <f t="shared" si="4"/>
        <v>1.4551915228366852E-11</v>
      </c>
      <c r="O11" s="31">
        <f t="shared" si="6"/>
        <v>972002.09133309801</v>
      </c>
      <c r="P11" s="31">
        <f t="shared" si="3"/>
        <v>-972002.09133309801</v>
      </c>
      <c r="Q11" s="134">
        <f t="shared" si="1"/>
        <v>-1</v>
      </c>
      <c r="R11" s="141"/>
      <c r="S11" s="142"/>
      <c r="T11" s="48"/>
      <c r="U11" s="48">
        <f>+O11-O18-O21-O22-O27</f>
        <v>535341.69359875494</v>
      </c>
    </row>
    <row r="12" spans="1:21" x14ac:dyDescent="0.45">
      <c r="A12" s="32" t="s">
        <v>2</v>
      </c>
      <c r="B12" s="12">
        <f>+'Budget Semences'!B28</f>
        <v>3.2</v>
      </c>
      <c r="C12" s="13">
        <f>+'Budget Semences'!C28</f>
        <v>3.2</v>
      </c>
      <c r="D12" s="12">
        <f>+'Budget Semences'!D28</f>
        <v>3.2</v>
      </c>
      <c r="E12" s="13">
        <f>+'Budget Semences'!E28</f>
        <v>3.2</v>
      </c>
      <c r="F12" s="12">
        <f>+'Budget Semences'!F28</f>
        <v>3.2</v>
      </c>
      <c r="G12" s="13">
        <f>+'Budget Semences'!G28</f>
        <v>3.2</v>
      </c>
      <c r="H12" s="12">
        <f>+'Budget Semences'!H28</f>
        <v>3.2</v>
      </c>
      <c r="I12" s="13">
        <f>+'Budget Semences'!I28</f>
        <v>3.2</v>
      </c>
      <c r="J12" s="12">
        <f>+'Budget Semences'!J28</f>
        <v>3.2</v>
      </c>
      <c r="K12" s="13">
        <f>+'Budget Semences'!K28</f>
        <v>3.2</v>
      </c>
      <c r="L12" s="12">
        <f>+'Budget Semences'!L28</f>
        <v>3.2</v>
      </c>
      <c r="M12" s="13">
        <f>+'Budget Semences'!M28</f>
        <v>3.2</v>
      </c>
      <c r="N12" s="31">
        <f t="shared" si="4"/>
        <v>38.4</v>
      </c>
      <c r="O12" s="31">
        <v>48450</v>
      </c>
      <c r="P12" s="31">
        <f t="shared" si="3"/>
        <v>-48411.6</v>
      </c>
      <c r="Q12" s="134">
        <f t="shared" si="1"/>
        <v>-0.99920743034055726</v>
      </c>
      <c r="R12" s="141">
        <f>+'Budget Semences'!N28</f>
        <v>0</v>
      </c>
      <c r="S12" s="140">
        <f t="shared" ref="S12:S29" si="7">+N12-R12</f>
        <v>38.4</v>
      </c>
    </row>
    <row r="13" spans="1:21" x14ac:dyDescent="0.45">
      <c r="A13" s="32" t="s">
        <v>3</v>
      </c>
      <c r="B13" s="12">
        <f>+'Budget Engrais'!B22</f>
        <v>0</v>
      </c>
      <c r="C13" s="13">
        <f>+'Budget Engrais'!C22</f>
        <v>0</v>
      </c>
      <c r="D13" s="12">
        <f>+'Budget Engrais'!D22</f>
        <v>0</v>
      </c>
      <c r="E13" s="13">
        <f>+'Budget Engrais'!E22</f>
        <v>0</v>
      </c>
      <c r="F13" s="12">
        <f>+'Budget Engrais'!F22</f>
        <v>0</v>
      </c>
      <c r="G13" s="13">
        <f>+'Budget Engrais'!G22</f>
        <v>0</v>
      </c>
      <c r="H13" s="12">
        <f>+'Budget Engrais'!H22</f>
        <v>0</v>
      </c>
      <c r="I13" s="13">
        <f>+'Budget Engrais'!I22</f>
        <v>0</v>
      </c>
      <c r="J13" s="12">
        <f>+'Budget Engrais'!J22</f>
        <v>0</v>
      </c>
      <c r="K13" s="13">
        <f>+'Budget Engrais'!K22</f>
        <v>0</v>
      </c>
      <c r="L13" s="12">
        <f>+'Budget Engrais'!L22</f>
        <v>0</v>
      </c>
      <c r="M13" s="13">
        <f>+'Budget Engrais'!M22</f>
        <v>0</v>
      </c>
      <c r="N13" s="31">
        <f t="shared" si="4"/>
        <v>0</v>
      </c>
      <c r="O13" s="31">
        <v>170119.82126274996</v>
      </c>
      <c r="P13" s="31">
        <f t="shared" si="3"/>
        <v>-170119.82126274996</v>
      </c>
      <c r="Q13" s="134">
        <f t="shared" si="1"/>
        <v>-1</v>
      </c>
      <c r="R13" s="141">
        <f>+'Budget Engrais'!N22</f>
        <v>0</v>
      </c>
      <c r="S13" s="140">
        <f t="shared" si="7"/>
        <v>0</v>
      </c>
    </row>
    <row r="14" spans="1:21" x14ac:dyDescent="0.45">
      <c r="A14" s="32" t="s">
        <v>4</v>
      </c>
      <c r="B14" s="12">
        <f>+'Budget Plants'!B29</f>
        <v>0</v>
      </c>
      <c r="C14" s="13">
        <f>+'Budget Plants'!C29</f>
        <v>0</v>
      </c>
      <c r="D14" s="12">
        <f>+'Budget Plants'!D29</f>
        <v>0</v>
      </c>
      <c r="E14" s="13">
        <f>+'Budget Plants'!E29</f>
        <v>0</v>
      </c>
      <c r="F14" s="12">
        <f>+'Budget Plants'!F29</f>
        <v>0</v>
      </c>
      <c r="G14" s="13">
        <f>+'Budget Plants'!G29</f>
        <v>0</v>
      </c>
      <c r="H14" s="12">
        <f>+'Budget Plants'!H29</f>
        <v>0</v>
      </c>
      <c r="I14" s="13">
        <f>+'Budget Plants'!I29</f>
        <v>0</v>
      </c>
      <c r="J14" s="12">
        <f>+'Budget Plants'!J29</f>
        <v>0</v>
      </c>
      <c r="K14" s="13">
        <f>+'Budget Plants'!K29</f>
        <v>0</v>
      </c>
      <c r="L14" s="12">
        <f>+'Budget Plants'!L29</f>
        <v>0</v>
      </c>
      <c r="M14" s="13">
        <f>+'Budget Plants'!M29</f>
        <v>0</v>
      </c>
      <c r="N14" s="31">
        <f t="shared" si="4"/>
        <v>0</v>
      </c>
      <c r="O14" s="31">
        <v>15603.6</v>
      </c>
      <c r="P14" s="31">
        <f t="shared" si="3"/>
        <v>-15603.6</v>
      </c>
      <c r="Q14" s="134">
        <f t="shared" si="1"/>
        <v>-1</v>
      </c>
      <c r="R14" s="141">
        <f>+'Budget Plants'!N29</f>
        <v>0</v>
      </c>
      <c r="S14" s="140">
        <f t="shared" si="7"/>
        <v>0</v>
      </c>
    </row>
    <row r="15" spans="1:21" x14ac:dyDescent="0.45">
      <c r="A15" s="32" t="s">
        <v>5</v>
      </c>
      <c r="B15" s="12">
        <f>+'Budget Phytos'!B22</f>
        <v>0</v>
      </c>
      <c r="C15" s="13">
        <f>+'Budget Phytos'!C22</f>
        <v>0</v>
      </c>
      <c r="D15" s="12">
        <f>+'Budget Phytos'!D22</f>
        <v>0</v>
      </c>
      <c r="E15" s="13">
        <f>+'Budget Phytos'!E22</f>
        <v>0</v>
      </c>
      <c r="F15" s="12">
        <f>+'Budget Phytos'!F22</f>
        <v>0</v>
      </c>
      <c r="G15" s="13">
        <f>+'Budget Phytos'!G22</f>
        <v>0</v>
      </c>
      <c r="H15" s="12">
        <f>+'Budget Phytos'!H22</f>
        <v>0</v>
      </c>
      <c r="I15" s="13">
        <f>+'Budget Phytos'!I22</f>
        <v>0</v>
      </c>
      <c r="J15" s="12">
        <f>+'Budget Phytos'!J22</f>
        <v>0</v>
      </c>
      <c r="K15" s="13">
        <f>+'Budget Phytos'!K22</f>
        <v>0</v>
      </c>
      <c r="L15" s="12">
        <f>+'Budget Phytos'!L22</f>
        <v>0</v>
      </c>
      <c r="M15" s="13">
        <f>+'Budget Phytos'!M22</f>
        <v>0</v>
      </c>
      <c r="N15" s="31">
        <f t="shared" si="4"/>
        <v>0</v>
      </c>
      <c r="O15" s="31">
        <v>67641.418150284095</v>
      </c>
      <c r="P15" s="31">
        <f t="shared" si="3"/>
        <v>-67641.418150284095</v>
      </c>
      <c r="Q15" s="134">
        <f t="shared" si="1"/>
        <v>-1</v>
      </c>
      <c r="R15" s="141">
        <f>+'Budget Phytos'!N22</f>
        <v>0</v>
      </c>
      <c r="S15" s="140">
        <f t="shared" si="7"/>
        <v>0</v>
      </c>
    </row>
    <row r="16" spans="1:21" x14ac:dyDescent="0.45">
      <c r="A16" s="32" t="s">
        <v>6</v>
      </c>
      <c r="B16" s="12">
        <f>+'Budget Ruches'!B28</f>
        <v>4.7</v>
      </c>
      <c r="C16" s="13">
        <f>+'Budget Ruches'!C28</f>
        <v>4.7</v>
      </c>
      <c r="D16" s="12">
        <f>+'Budget Ruches'!D28</f>
        <v>4.7</v>
      </c>
      <c r="E16" s="13">
        <f>+'Budget Ruches'!E28</f>
        <v>4.7</v>
      </c>
      <c r="F16" s="12">
        <f>+'Budget Ruches'!F28</f>
        <v>4.7</v>
      </c>
      <c r="G16" s="13">
        <f>+'Budget Ruches'!G28</f>
        <v>4.7</v>
      </c>
      <c r="H16" s="12">
        <f>+'Budget Ruches'!H28</f>
        <v>4.7</v>
      </c>
      <c r="I16" s="13">
        <f>+'Budget Ruches'!I28</f>
        <v>4.7</v>
      </c>
      <c r="J16" s="12">
        <f>+'Budget Ruches'!J28</f>
        <v>4.7</v>
      </c>
      <c r="K16" s="13">
        <f>+'Budget Ruches'!K28</f>
        <v>4.7</v>
      </c>
      <c r="L16" s="12">
        <f>+'Budget Ruches'!L28</f>
        <v>4.7</v>
      </c>
      <c r="M16" s="13">
        <f>+'Budget Ruches'!M28</f>
        <v>4.7</v>
      </c>
      <c r="N16" s="31">
        <f t="shared" si="4"/>
        <v>56.400000000000013</v>
      </c>
      <c r="O16" s="31">
        <v>0</v>
      </c>
      <c r="P16" s="31">
        <f t="shared" si="3"/>
        <v>56.400000000000013</v>
      </c>
      <c r="Q16" s="134" t="e">
        <f t="shared" si="1"/>
        <v>#DIV/0!</v>
      </c>
      <c r="R16" s="141">
        <f>+'Budget Ruches'!N28</f>
        <v>0</v>
      </c>
      <c r="S16" s="140">
        <f t="shared" si="7"/>
        <v>56.400000000000013</v>
      </c>
    </row>
    <row r="17" spans="1:21" x14ac:dyDescent="0.45">
      <c r="A17" s="32" t="s">
        <v>7</v>
      </c>
      <c r="B17" s="12">
        <f>+'Budget Fres Agri'!B34</f>
        <v>0</v>
      </c>
      <c r="C17" s="13">
        <f>+'Budget Fres Agri'!C34</f>
        <v>0</v>
      </c>
      <c r="D17" s="12">
        <f>+'Budget Fres Agri'!D34</f>
        <v>0</v>
      </c>
      <c r="E17" s="13">
        <f>+'Budget Fres Agri'!E34</f>
        <v>0</v>
      </c>
      <c r="F17" s="12">
        <f>+'Budget Fres Agri'!F34</f>
        <v>0</v>
      </c>
      <c r="G17" s="13">
        <f>+'Budget Fres Agri'!G34</f>
        <v>0</v>
      </c>
      <c r="H17" s="12">
        <f>+'Budget Fres Agri'!H34</f>
        <v>0</v>
      </c>
      <c r="I17" s="13">
        <f>+'Budget Fres Agri'!I34</f>
        <v>0</v>
      </c>
      <c r="J17" s="12">
        <f>+'Budget Fres Agri'!J34</f>
        <v>0</v>
      </c>
      <c r="K17" s="13">
        <f>+'Budget Fres Agri'!K34</f>
        <v>0</v>
      </c>
      <c r="L17" s="12">
        <f>+'Budget Fres Agri'!L34</f>
        <v>0</v>
      </c>
      <c r="M17" s="13">
        <f>+'Budget Fres Agri'!M34</f>
        <v>0</v>
      </c>
      <c r="N17" s="31">
        <f t="shared" si="4"/>
        <v>0</v>
      </c>
      <c r="O17" s="31">
        <v>37041.037400000001</v>
      </c>
      <c r="P17" s="31">
        <f t="shared" si="3"/>
        <v>-37041.037400000001</v>
      </c>
      <c r="Q17" s="134">
        <f t="shared" si="1"/>
        <v>-1</v>
      </c>
      <c r="R17" s="141">
        <f>+'Budget Fres Agri'!N34</f>
        <v>0</v>
      </c>
      <c r="S17" s="140">
        <f t="shared" si="7"/>
        <v>0</v>
      </c>
    </row>
    <row r="18" spans="1:21" x14ac:dyDescent="0.45">
      <c r="A18" s="26" t="s">
        <v>15</v>
      </c>
      <c r="B18" s="8">
        <f>SUM(B12:B17)</f>
        <v>7.9</v>
      </c>
      <c r="C18" s="9">
        <f t="shared" ref="C18:O18" si="8">SUM(C12:C17)</f>
        <v>7.9</v>
      </c>
      <c r="D18" s="8">
        <f>SUM(D12:D17)</f>
        <v>7.9</v>
      </c>
      <c r="E18" s="9">
        <f t="shared" si="8"/>
        <v>7.9</v>
      </c>
      <c r="F18" s="8">
        <f>SUM(F12:F17)</f>
        <v>7.9</v>
      </c>
      <c r="G18" s="9">
        <f t="shared" si="8"/>
        <v>7.9</v>
      </c>
      <c r="H18" s="8">
        <f>SUM(H12:H17)</f>
        <v>7.9</v>
      </c>
      <c r="I18" s="9">
        <f t="shared" si="8"/>
        <v>7.9</v>
      </c>
      <c r="J18" s="8">
        <f>SUM(J12:J17)</f>
        <v>7.9</v>
      </c>
      <c r="K18" s="9">
        <f t="shared" si="8"/>
        <v>7.9</v>
      </c>
      <c r="L18" s="8">
        <f>SUM(L12:L17)</f>
        <v>7.9</v>
      </c>
      <c r="M18" s="9">
        <f t="shared" si="8"/>
        <v>7.9</v>
      </c>
      <c r="N18" s="31">
        <f t="shared" si="4"/>
        <v>94.800000000000011</v>
      </c>
      <c r="O18" s="31">
        <f t="shared" si="8"/>
        <v>338855.87681303406</v>
      </c>
      <c r="P18" s="31">
        <f t="shared" si="3"/>
        <v>-338761.07681303407</v>
      </c>
      <c r="Q18" s="134">
        <f t="shared" si="1"/>
        <v>-0.99972023504242691</v>
      </c>
      <c r="R18" s="141">
        <f>+'Budget Semences'!N28+'Budget Plants'!N29+'Budget Engrais'!N22+'Budget Phytos'!N22+'Budget Ruches'!N28+'Budget Fres Agri'!N34</f>
        <v>0</v>
      </c>
      <c r="S18" s="140">
        <f t="shared" si="7"/>
        <v>94.800000000000011</v>
      </c>
    </row>
    <row r="19" spans="1:21" x14ac:dyDescent="0.45">
      <c r="A19" s="32" t="s">
        <v>8</v>
      </c>
      <c r="B19" s="12">
        <f>+'Budget Energie'!B42</f>
        <v>0</v>
      </c>
      <c r="C19" s="13">
        <f>+'Budget Energie'!C42</f>
        <v>0</v>
      </c>
      <c r="D19" s="12">
        <f>+'Budget Energie'!D42</f>
        <v>0</v>
      </c>
      <c r="E19" s="13">
        <f>+'Budget Energie'!E42</f>
        <v>0</v>
      </c>
      <c r="F19" s="12">
        <f>+'Budget Energie'!F42</f>
        <v>0</v>
      </c>
      <c r="G19" s="13">
        <f>+'Budget Energie'!G42</f>
        <v>0</v>
      </c>
      <c r="H19" s="12">
        <f>+'Budget Energie'!H42</f>
        <v>0</v>
      </c>
      <c r="I19" s="13">
        <f>+'Budget Energie'!I42</f>
        <v>0</v>
      </c>
      <c r="J19" s="12">
        <f>+'Budget Energie'!J42</f>
        <v>0</v>
      </c>
      <c r="K19" s="13">
        <f>+'Budget Energie'!K42</f>
        <v>0</v>
      </c>
      <c r="L19" s="12">
        <f>+'Budget Energie'!L42</f>
        <v>0</v>
      </c>
      <c r="M19" s="13">
        <f>+'Budget Energie'!M42</f>
        <v>0</v>
      </c>
      <c r="N19" s="31">
        <f t="shared" si="4"/>
        <v>0</v>
      </c>
      <c r="O19" s="31">
        <v>29559.098502704263</v>
      </c>
      <c r="P19" s="31">
        <f t="shared" si="3"/>
        <v>-29559.098502704263</v>
      </c>
      <c r="Q19" s="134">
        <f t="shared" si="1"/>
        <v>-1</v>
      </c>
      <c r="R19" s="141" t="e">
        <f>+'Budget Energie'!N42</f>
        <v>#DIV/0!</v>
      </c>
      <c r="S19" s="140" t="e">
        <f t="shared" si="7"/>
        <v>#DIV/0!</v>
      </c>
    </row>
    <row r="20" spans="1:21" x14ac:dyDescent="0.45">
      <c r="A20" s="32" t="s">
        <v>9</v>
      </c>
      <c r="B20" s="12">
        <f>+'Budget Energie'!B40</f>
        <v>0</v>
      </c>
      <c r="C20" s="13">
        <f>+'Budget Energie'!C40</f>
        <v>0</v>
      </c>
      <c r="D20" s="12">
        <f>+'Budget Energie'!D40</f>
        <v>0</v>
      </c>
      <c r="E20" s="13">
        <f>+'Budget Energie'!E40</f>
        <v>0</v>
      </c>
      <c r="F20" s="12">
        <f>+'Budget Energie'!F40</f>
        <v>0</v>
      </c>
      <c r="G20" s="13">
        <f>+'Budget Energie'!G40</f>
        <v>0</v>
      </c>
      <c r="H20" s="12">
        <f>+'Budget Energie'!H40</f>
        <v>0</v>
      </c>
      <c r="I20" s="13">
        <f>+'Budget Energie'!I40</f>
        <v>0</v>
      </c>
      <c r="J20" s="12">
        <f>+'Budget Energie'!J40</f>
        <v>0</v>
      </c>
      <c r="K20" s="13">
        <f>+'Budget Energie'!K40</f>
        <v>0</v>
      </c>
      <c r="L20" s="12">
        <f>+'Budget Energie'!L40</f>
        <v>0</v>
      </c>
      <c r="M20" s="13">
        <f>+'Budget Energie'!M40</f>
        <v>0</v>
      </c>
      <c r="N20" s="31">
        <f t="shared" si="4"/>
        <v>0</v>
      </c>
      <c r="O20" s="31">
        <v>5094.6179999999958</v>
      </c>
      <c r="P20" s="31">
        <f t="shared" si="3"/>
        <v>-5094.6179999999958</v>
      </c>
      <c r="Q20" s="134">
        <f t="shared" si="1"/>
        <v>-1</v>
      </c>
      <c r="R20" s="141" t="e">
        <f>+'Budget Energie'!N40</f>
        <v>#DIV/0!</v>
      </c>
      <c r="S20" s="140" t="e">
        <f t="shared" si="7"/>
        <v>#DIV/0!</v>
      </c>
    </row>
    <row r="21" spans="1:21" x14ac:dyDescent="0.45">
      <c r="A21" s="26" t="s">
        <v>16</v>
      </c>
      <c r="B21" s="8">
        <f>SUM(B19:B20)</f>
        <v>0</v>
      </c>
      <c r="C21" s="9">
        <f t="shared" ref="C21:M21" si="9">SUM(C19:C20)</f>
        <v>0</v>
      </c>
      <c r="D21" s="8">
        <f t="shared" si="9"/>
        <v>0</v>
      </c>
      <c r="E21" s="9">
        <f t="shared" si="9"/>
        <v>0</v>
      </c>
      <c r="F21" s="8">
        <f t="shared" si="9"/>
        <v>0</v>
      </c>
      <c r="G21" s="9">
        <f t="shared" si="9"/>
        <v>0</v>
      </c>
      <c r="H21" s="8">
        <f t="shared" si="9"/>
        <v>0</v>
      </c>
      <c r="I21" s="9">
        <f t="shared" si="9"/>
        <v>0</v>
      </c>
      <c r="J21" s="8">
        <f t="shared" si="9"/>
        <v>0</v>
      </c>
      <c r="K21" s="9">
        <f t="shared" si="9"/>
        <v>0</v>
      </c>
      <c r="L21" s="8">
        <f t="shared" si="9"/>
        <v>0</v>
      </c>
      <c r="M21" s="9">
        <f t="shared" si="9"/>
        <v>0</v>
      </c>
      <c r="N21" s="31">
        <f t="shared" si="4"/>
        <v>0</v>
      </c>
      <c r="O21" s="31">
        <f>+O20+O19</f>
        <v>34653.716502704257</v>
      </c>
      <c r="P21" s="31">
        <f t="shared" si="3"/>
        <v>-34653.716502704257</v>
      </c>
      <c r="Q21" s="134">
        <f t="shared" si="1"/>
        <v>-1</v>
      </c>
      <c r="R21" s="141">
        <f>+'Budget Energie'!N34</f>
        <v>0</v>
      </c>
      <c r="S21" s="140">
        <f t="shared" si="7"/>
        <v>0</v>
      </c>
    </row>
    <row r="22" spans="1:21" x14ac:dyDescent="0.45">
      <c r="A22" s="32" t="s">
        <v>10</v>
      </c>
      <c r="B22" s="12">
        <f>'Budget Ent &amp; Analyses'!B44+'Budget Commun'!B21</f>
        <v>0</v>
      </c>
      <c r="C22" s="13">
        <f>'Budget Ent &amp; Analyses'!C44+'Budget Commun'!C21</f>
        <v>0</v>
      </c>
      <c r="D22" s="12">
        <f>'Budget Ent &amp; Analyses'!D44+'Budget Commun'!D21</f>
        <v>0</v>
      </c>
      <c r="E22" s="13">
        <f>'Budget Ent &amp; Analyses'!E44+'Budget Commun'!E21</f>
        <v>0</v>
      </c>
      <c r="F22" s="12">
        <f>'Budget Ent &amp; Analyses'!F44+'Budget Commun'!F21</f>
        <v>0</v>
      </c>
      <c r="G22" s="13">
        <f>'Budget Ent &amp; Analyses'!G44+'Budget Commun'!G21</f>
        <v>0</v>
      </c>
      <c r="H22" s="12">
        <f>'Budget Ent &amp; Analyses'!H44+'Budget Commun'!H21</f>
        <v>0</v>
      </c>
      <c r="I22" s="13">
        <f>'Budget Ent &amp; Analyses'!I44+'Budget Commun'!I21</f>
        <v>0</v>
      </c>
      <c r="J22" s="12">
        <f>'Budget Ent &amp; Analyses'!J44+'Budget Commun'!J21</f>
        <v>0</v>
      </c>
      <c r="K22" s="13">
        <f>'Budget Ent &amp; Analyses'!K44+'Budget Commun'!K21</f>
        <v>0</v>
      </c>
      <c r="L22" s="12">
        <f>'Budget Ent &amp; Analyses'!L44+'Budget Commun'!L21</f>
        <v>0</v>
      </c>
      <c r="M22" s="13">
        <f>'Budget Ent &amp; Analyses'!M44+'Budget Commun'!M21</f>
        <v>0</v>
      </c>
      <c r="N22" s="31">
        <f t="shared" si="4"/>
        <v>0</v>
      </c>
      <c r="O22" s="31">
        <v>3144.3069767441871</v>
      </c>
      <c r="P22" s="31">
        <f t="shared" si="3"/>
        <v>-3144.3069767441871</v>
      </c>
      <c r="Q22" s="134">
        <f t="shared" si="1"/>
        <v>-1</v>
      </c>
      <c r="R22" s="141">
        <f>'Budget Ent &amp; Analyses'!N44+'Budget Commun'!N21</f>
        <v>0</v>
      </c>
      <c r="S22" s="140">
        <f t="shared" si="7"/>
        <v>0</v>
      </c>
    </row>
    <row r="23" spans="1:21" x14ac:dyDescent="0.45">
      <c r="A23" s="32" t="s">
        <v>11</v>
      </c>
      <c r="B23" s="12">
        <f>+'Budget Loyers Fermes'!B22</f>
        <v>0</v>
      </c>
      <c r="C23" s="13">
        <f>+'Budget Loyers Fermes'!C22</f>
        <v>0</v>
      </c>
      <c r="D23" s="12">
        <f>+'Budget Loyers Fermes'!D22</f>
        <v>0</v>
      </c>
      <c r="E23" s="13">
        <f>+'Budget Loyers Fermes'!E22</f>
        <v>0</v>
      </c>
      <c r="F23" s="12">
        <f>+'Budget Loyers Fermes'!F22</f>
        <v>0</v>
      </c>
      <c r="G23" s="13">
        <f>+'Budget Loyers Fermes'!G22</f>
        <v>0</v>
      </c>
      <c r="H23" s="12">
        <f>+'Budget Loyers Fermes'!H22</f>
        <v>0</v>
      </c>
      <c r="I23" s="13">
        <f>+'Budget Loyers Fermes'!I22</f>
        <v>0</v>
      </c>
      <c r="J23" s="12">
        <f>+'Budget Loyers Fermes'!J22</f>
        <v>0</v>
      </c>
      <c r="K23" s="13">
        <f>+'Budget Loyers Fermes'!K22</f>
        <v>0</v>
      </c>
      <c r="L23" s="12">
        <f>+'Budget Loyers Fermes'!L22</f>
        <v>0</v>
      </c>
      <c r="M23" s="13">
        <f>+'Budget Loyers Fermes'!M22</f>
        <v>0</v>
      </c>
      <c r="N23" s="31">
        <f t="shared" si="4"/>
        <v>0</v>
      </c>
      <c r="O23" s="31">
        <v>183333.33333333331</v>
      </c>
      <c r="P23" s="31">
        <f t="shared" si="3"/>
        <v>-183333.33333333331</v>
      </c>
      <c r="Q23" s="134">
        <f t="shared" si="1"/>
        <v>-1</v>
      </c>
      <c r="R23" s="141">
        <f>+'Budget Loyers Fermes'!N22</f>
        <v>0</v>
      </c>
      <c r="S23" s="140">
        <f t="shared" si="7"/>
        <v>0</v>
      </c>
    </row>
    <row r="24" spans="1:21" x14ac:dyDescent="0.45">
      <c r="A24" s="32" t="s">
        <v>12</v>
      </c>
      <c r="B24" s="12">
        <f>+'Budget Commun'!B29+'Budget Ent &amp; Analyses'!B37-'Budget Ent &amp; Analyses'!B44</f>
        <v>480.92485549132948</v>
      </c>
      <c r="C24" s="13">
        <f>+'Budget Commun'!C29+'Budget Ent &amp; Analyses'!C37-'Budget Ent &amp; Analyses'!C44</f>
        <v>480.92485549132948</v>
      </c>
      <c r="D24" s="12">
        <f>+'Budget Commun'!D29+'Budget Ent &amp; Analyses'!D37-'Budget Ent &amp; Analyses'!D44</f>
        <v>480.92485549132948</v>
      </c>
      <c r="E24" s="13">
        <f>+'Budget Commun'!E29+'Budget Ent &amp; Analyses'!E37-'Budget Ent &amp; Analyses'!E44</f>
        <v>480.92485549132948</v>
      </c>
      <c r="F24" s="12">
        <f>+'Budget Commun'!F29+'Budget Ent &amp; Analyses'!F37-'Budget Ent &amp; Analyses'!F44</f>
        <v>480.92485549132948</v>
      </c>
      <c r="G24" s="13">
        <f>+'Budget Commun'!G29+'Budget Ent &amp; Analyses'!G37-'Budget Ent &amp; Analyses'!G44</f>
        <v>480.92485549132948</v>
      </c>
      <c r="H24" s="12">
        <f>+'Budget Commun'!H29+'Budget Ent &amp; Analyses'!H37-'Budget Ent &amp; Analyses'!H44</f>
        <v>480.92485549132948</v>
      </c>
      <c r="I24" s="13">
        <f>+'Budget Commun'!I29+'Budget Ent &amp; Analyses'!I37-'Budget Ent &amp; Analyses'!I44</f>
        <v>480.92485549132948</v>
      </c>
      <c r="J24" s="12">
        <f>+'Budget Commun'!J29+'Budget Ent &amp; Analyses'!J37-'Budget Ent &amp; Analyses'!J44</f>
        <v>480.92485549132948</v>
      </c>
      <c r="K24" s="13">
        <f>+'Budget Commun'!K29+'Budget Ent &amp; Analyses'!K37-'Budget Ent &amp; Analyses'!K44</f>
        <v>480.92485549132948</v>
      </c>
      <c r="L24" s="12">
        <f>+'Budget Commun'!L29+'Budget Ent &amp; Analyses'!L37-'Budget Ent &amp; Analyses'!L44</f>
        <v>480.92485549132948</v>
      </c>
      <c r="M24" s="13">
        <f>+'Budget Commun'!M29+'Budget Ent &amp; Analyses'!M37-'Budget Ent &amp; Analyses'!M44</f>
        <v>480.92485549132948</v>
      </c>
      <c r="N24" s="31">
        <f t="shared" si="4"/>
        <v>5771.098265895952</v>
      </c>
      <c r="O24" s="31">
        <v>31800.512674418605</v>
      </c>
      <c r="P24" s="31">
        <f t="shared" si="3"/>
        <v>-26029.414408522654</v>
      </c>
      <c r="Q24" s="134">
        <f t="shared" si="1"/>
        <v>-0.81852184821729568</v>
      </c>
      <c r="R24" s="141">
        <f>+'Budget Ent &amp; Analyses'!N37-'Budget Ent &amp; Analyses'!N44+'Budget Commun'!N29</f>
        <v>5771.098265895952</v>
      </c>
      <c r="S24" s="140">
        <f t="shared" si="7"/>
        <v>0</v>
      </c>
    </row>
    <row r="25" spans="1:21" x14ac:dyDescent="0.45">
      <c r="A25" s="32" t="s">
        <v>156</v>
      </c>
      <c r="B25" s="12">
        <f>+'Budget MOD'!B37</f>
        <v>0</v>
      </c>
      <c r="C25" s="13">
        <f>+'Budget MOD'!C37</f>
        <v>0</v>
      </c>
      <c r="D25" s="12">
        <f>+'Budget MOD'!D37</f>
        <v>176.47058823529412</v>
      </c>
      <c r="E25" s="13">
        <f>+'Budget MOD'!E37</f>
        <v>0</v>
      </c>
      <c r="F25" s="12">
        <f>+'Budget MOD'!F37</f>
        <v>0</v>
      </c>
      <c r="G25" s="13">
        <f>+'Budget MOD'!G37</f>
        <v>176.47058823529412</v>
      </c>
      <c r="H25" s="12">
        <f>+'Budget MOD'!H37</f>
        <v>0</v>
      </c>
      <c r="I25" s="13">
        <f>+'Budget MOD'!I37</f>
        <v>0</v>
      </c>
      <c r="J25" s="12">
        <f>+'Budget MOD'!J37</f>
        <v>176.47058823529412</v>
      </c>
      <c r="K25" s="13">
        <f>+'Budget MOD'!K37</f>
        <v>0</v>
      </c>
      <c r="L25" s="12">
        <f>+'Budget MOD'!L37</f>
        <v>0</v>
      </c>
      <c r="M25" s="13">
        <f>+'Budget MOD'!M37</f>
        <v>176.47058823529412</v>
      </c>
      <c r="N25" s="31">
        <f t="shared" si="4"/>
        <v>705.88235294117646</v>
      </c>
      <c r="O25" s="31">
        <v>459592.51405287982</v>
      </c>
      <c r="P25" s="31">
        <f t="shared" si="3"/>
        <v>-458886.63169993862</v>
      </c>
      <c r="Q25" s="134">
        <f t="shared" si="1"/>
        <v>-0.99846411259679479</v>
      </c>
      <c r="R25" s="141">
        <f>+'Budget MOD'!N37</f>
        <v>705.88235294117646</v>
      </c>
      <c r="S25" s="140">
        <f t="shared" si="7"/>
        <v>0</v>
      </c>
    </row>
    <row r="26" spans="1:21" x14ac:dyDescent="0.45">
      <c r="A26" s="32" t="s">
        <v>157</v>
      </c>
      <c r="B26" s="12">
        <f>+'Budget Commun'!B56</f>
        <v>11623.35260115607</v>
      </c>
      <c r="C26" s="13">
        <f>+'Budget Commun'!C56</f>
        <v>11623.35260115607</v>
      </c>
      <c r="D26" s="12">
        <f>+'Budget Commun'!D56</f>
        <v>11623.35260115607</v>
      </c>
      <c r="E26" s="13">
        <f>+'Budget Commun'!E56</f>
        <v>11623.35260115607</v>
      </c>
      <c r="F26" s="12">
        <f>+'Budget Commun'!F56</f>
        <v>11623.35260115607</v>
      </c>
      <c r="G26" s="13">
        <f>+'Budget Commun'!G56</f>
        <v>11623.35260115607</v>
      </c>
      <c r="H26" s="12">
        <f>+'Budget Commun'!H56</f>
        <v>11623.35260115607</v>
      </c>
      <c r="I26" s="13">
        <f>+'Budget Commun'!I56</f>
        <v>11623.35260115607</v>
      </c>
      <c r="J26" s="12">
        <f>+'Budget Commun'!J56</f>
        <v>11623.35260115607</v>
      </c>
      <c r="K26" s="13">
        <f>+'Budget Commun'!K56</f>
        <v>11623.35260115607</v>
      </c>
      <c r="L26" s="12">
        <f>+'Budget Commun'!L56</f>
        <v>11623.35260115607</v>
      </c>
      <c r="M26" s="13">
        <f>+'Budget Commun'!M56</f>
        <v>11623.35260115607</v>
      </c>
      <c r="N26" s="31">
        <f t="shared" si="4"/>
        <v>139480.23121387287</v>
      </c>
      <c r="O26" s="31">
        <v>118588.59472546676</v>
      </c>
      <c r="P26" s="31">
        <f t="shared" si="3"/>
        <v>20891.636488406119</v>
      </c>
      <c r="Q26" s="134">
        <f t="shared" si="1"/>
        <v>0.17616901976762919</v>
      </c>
      <c r="R26" s="141">
        <f>+'Budget Commun'!N56</f>
        <v>139480.23121387287</v>
      </c>
      <c r="S26" s="140">
        <f t="shared" si="7"/>
        <v>0</v>
      </c>
      <c r="T26" s="48"/>
    </row>
    <row r="27" spans="1:21" x14ac:dyDescent="0.45">
      <c r="A27" s="32" t="s">
        <v>158</v>
      </c>
      <c r="B27" s="12">
        <f>+'Budget Commun'!B49</f>
        <v>0</v>
      </c>
      <c r="C27" s="13">
        <f>+'Budget Commun'!C49</f>
        <v>0</v>
      </c>
      <c r="D27" s="12">
        <f>+'Budget Commun'!D49</f>
        <v>0</v>
      </c>
      <c r="E27" s="13">
        <f>+'Budget Commun'!E49</f>
        <v>0</v>
      </c>
      <c r="F27" s="12">
        <f>+'Budget Commun'!F49</f>
        <v>0</v>
      </c>
      <c r="G27" s="13">
        <f>+'Budget Commun'!G49</f>
        <v>0</v>
      </c>
      <c r="H27" s="12">
        <f>+'Budget Commun'!H49</f>
        <v>0</v>
      </c>
      <c r="I27" s="13">
        <f>+'Budget Commun'!I49</f>
        <v>0</v>
      </c>
      <c r="J27" s="12">
        <f>+'Budget Commun'!J49</f>
        <v>0</v>
      </c>
      <c r="K27" s="13">
        <f>+'Budget Commun'!K49</f>
        <v>0</v>
      </c>
      <c r="L27" s="12">
        <f>+'Budget Commun'!L49</f>
        <v>0</v>
      </c>
      <c r="M27" s="13">
        <f>+'Budget Commun'!M49</f>
        <v>0</v>
      </c>
      <c r="N27" s="31">
        <f t="shared" si="4"/>
        <v>0</v>
      </c>
      <c r="O27" s="31">
        <v>60006.497441860476</v>
      </c>
      <c r="P27" s="31">
        <f t="shared" si="3"/>
        <v>-60006.497441860476</v>
      </c>
      <c r="Q27" s="134">
        <f t="shared" si="1"/>
        <v>-1</v>
      </c>
      <c r="R27" s="141">
        <f>+'Budget Commun'!N49</f>
        <v>0</v>
      </c>
      <c r="S27" s="140">
        <f t="shared" si="7"/>
        <v>0</v>
      </c>
    </row>
    <row r="28" spans="1:21" x14ac:dyDescent="0.45">
      <c r="A28" s="32" t="s">
        <v>13</v>
      </c>
      <c r="B28" s="12">
        <f>+'Budget Transp Ventes'!B22</f>
        <v>0</v>
      </c>
      <c r="C28" s="13">
        <f>+'Budget Transp Ventes'!C22</f>
        <v>0</v>
      </c>
      <c r="D28" s="12">
        <f>+'Budget Transp Ventes'!D22</f>
        <v>0</v>
      </c>
      <c r="E28" s="13">
        <f>+'Budget Transp Ventes'!E22</f>
        <v>0</v>
      </c>
      <c r="F28" s="12">
        <f>+'Budget Transp Ventes'!F22</f>
        <v>0</v>
      </c>
      <c r="G28" s="13">
        <f>+'Budget Transp Ventes'!G22</f>
        <v>0</v>
      </c>
      <c r="H28" s="12">
        <f>+'Budget Transp Ventes'!H22</f>
        <v>0</v>
      </c>
      <c r="I28" s="13">
        <f>+'Budget Transp Ventes'!I22</f>
        <v>0</v>
      </c>
      <c r="J28" s="12">
        <f>+'Budget Transp Ventes'!J22</f>
        <v>0</v>
      </c>
      <c r="K28" s="13">
        <f>+'Budget Transp Ventes'!K22</f>
        <v>0</v>
      </c>
      <c r="L28" s="12">
        <f>+'Budget Transp Ventes'!L22</f>
        <v>0</v>
      </c>
      <c r="M28" s="13">
        <f>+'Budget Transp Ventes'!M22</f>
        <v>0</v>
      </c>
      <c r="N28" s="31">
        <f t="shared" si="4"/>
        <v>0</v>
      </c>
      <c r="O28" s="31">
        <v>21108.953488372092</v>
      </c>
      <c r="P28" s="31">
        <f t="shared" si="3"/>
        <v>-21108.953488372092</v>
      </c>
      <c r="Q28" s="134">
        <f t="shared" si="1"/>
        <v>-1</v>
      </c>
      <c r="R28" s="141">
        <f>+'Budget Transp Ventes'!N22</f>
        <v>0</v>
      </c>
      <c r="S28" s="140">
        <f t="shared" si="7"/>
        <v>0</v>
      </c>
    </row>
    <row r="29" spans="1:21" x14ac:dyDescent="0.45">
      <c r="A29" s="32" t="s">
        <v>18</v>
      </c>
      <c r="B29" s="12">
        <f>+'Budget Commun'!B45+'Budget Commun'!B36</f>
        <v>28577.456647398845</v>
      </c>
      <c r="C29" s="13">
        <f>+'Budget Commun'!C45+'Budget Commun'!C36</f>
        <v>1435.2601156069363</v>
      </c>
      <c r="D29" s="12">
        <f>+'Budget Commun'!D45+'Budget Commun'!D36</f>
        <v>1435.2601156069363</v>
      </c>
      <c r="E29" s="13">
        <f>+'Budget Commun'!E45+'Budget Commun'!E36</f>
        <v>1435.2601156069363</v>
      </c>
      <c r="F29" s="12">
        <f>+'Budget Commun'!F45+'Budget Commun'!F36</f>
        <v>1435.2601156069363</v>
      </c>
      <c r="G29" s="13">
        <f>+'Budget Commun'!G45+'Budget Commun'!G36</f>
        <v>1435.2601156069363</v>
      </c>
      <c r="H29" s="12">
        <f>+'Budget Commun'!H45+'Budget Commun'!H36</f>
        <v>2066.4739884393061</v>
      </c>
      <c r="I29" s="13">
        <f>+'Budget Commun'!I45+'Budget Commun'!I36</f>
        <v>1435.2601156069363</v>
      </c>
      <c r="J29" s="12">
        <f>+'Budget Commun'!J45+'Budget Commun'!J36</f>
        <v>3689.5953757225434</v>
      </c>
      <c r="K29" s="13">
        <f>+'Budget Commun'!K45+'Budget Commun'!K36</f>
        <v>1435.2601156069363</v>
      </c>
      <c r="L29" s="12">
        <f>+'Budget Commun'!L45+'Budget Commun'!L36</f>
        <v>1435.2601156069363</v>
      </c>
      <c r="M29" s="13">
        <f>+'Budget Commun'!M45+'Budget Commun'!M36</f>
        <v>1435.2601156069363</v>
      </c>
      <c r="N29" s="31">
        <f t="shared" si="4"/>
        <v>47250.867052023117</v>
      </c>
      <c r="O29" s="31">
        <v>25918.320697169172</v>
      </c>
      <c r="P29" s="31">
        <f t="shared" si="3"/>
        <v>21332.546354853945</v>
      </c>
      <c r="Q29" s="134">
        <f t="shared" si="1"/>
        <v>0.82306823054257172</v>
      </c>
      <c r="R29" s="141">
        <f>+'Budget Commun'!N45+'Budget Commun'!N36</f>
        <v>47250.867052023103</v>
      </c>
      <c r="S29" s="140">
        <f t="shared" si="7"/>
        <v>0</v>
      </c>
    </row>
    <row r="30" spans="1:21" x14ac:dyDescent="0.45">
      <c r="A30" s="26" t="s">
        <v>20</v>
      </c>
      <c r="B30" s="8">
        <f t="shared" ref="B30:M30" si="10">SUM(B22:B29)+B21+B18</f>
        <v>40689.63410404625</v>
      </c>
      <c r="C30" s="9">
        <f t="shared" si="10"/>
        <v>13547.437572254335</v>
      </c>
      <c r="D30" s="8">
        <f t="shared" si="10"/>
        <v>13723.908160489629</v>
      </c>
      <c r="E30" s="9">
        <f t="shared" si="10"/>
        <v>13547.437572254335</v>
      </c>
      <c r="F30" s="8">
        <f t="shared" si="10"/>
        <v>13547.437572254335</v>
      </c>
      <c r="G30" s="9">
        <f t="shared" si="10"/>
        <v>13723.908160489629</v>
      </c>
      <c r="H30" s="8">
        <f t="shared" si="10"/>
        <v>14178.651445086705</v>
      </c>
      <c r="I30" s="9">
        <f t="shared" si="10"/>
        <v>13547.437572254335</v>
      </c>
      <c r="J30" s="8">
        <f t="shared" si="10"/>
        <v>15978.243420605237</v>
      </c>
      <c r="K30" s="9">
        <f t="shared" si="10"/>
        <v>13547.437572254335</v>
      </c>
      <c r="L30" s="8">
        <f t="shared" si="10"/>
        <v>13547.437572254335</v>
      </c>
      <c r="M30" s="9">
        <f t="shared" si="10"/>
        <v>13723.908160489629</v>
      </c>
      <c r="N30" s="31">
        <f t="shared" si="4"/>
        <v>193302.8788847331</v>
      </c>
      <c r="O30" s="31">
        <f t="shared" ref="O30" si="11">SUM(O22:O29)+O21+O18</f>
        <v>1277002.626705983</v>
      </c>
      <c r="P30" s="31">
        <f t="shared" si="3"/>
        <v>-1083699.7478212498</v>
      </c>
      <c r="Q30" s="134">
        <f t="shared" si="1"/>
        <v>-0.84862765757705894</v>
      </c>
      <c r="R30" s="141"/>
      <c r="S30" s="142"/>
      <c r="U30" s="48"/>
    </row>
    <row r="31" spans="1:21" x14ac:dyDescent="0.45">
      <c r="A31" s="26" t="s">
        <v>17</v>
      </c>
      <c r="B31" s="8">
        <f t="shared" ref="B31:O31" si="12">B11-B30</f>
        <v>24404.352868491209</v>
      </c>
      <c r="C31" s="9">
        <f t="shared" si="12"/>
        <v>24404.352868491209</v>
      </c>
      <c r="D31" s="8">
        <f t="shared" si="12"/>
        <v>24404.352868491209</v>
      </c>
      <c r="E31" s="9">
        <f t="shared" si="12"/>
        <v>-34462.109934071195</v>
      </c>
      <c r="F31" s="8">
        <f t="shared" si="12"/>
        <v>-34462.109934071195</v>
      </c>
      <c r="G31" s="9">
        <f t="shared" si="12"/>
        <v>-29409.912431852274</v>
      </c>
      <c r="H31" s="8">
        <f t="shared" si="12"/>
        <v>-29864.65571644935</v>
      </c>
      <c r="I31" s="9">
        <f t="shared" si="12"/>
        <v>-34462.109934071203</v>
      </c>
      <c r="J31" s="8">
        <f t="shared" si="12"/>
        <v>-31664.247691967881</v>
      </c>
      <c r="K31" s="9">
        <f t="shared" si="12"/>
        <v>-29233.441843616984</v>
      </c>
      <c r="L31" s="8">
        <f t="shared" si="12"/>
        <v>-24004.773753162772</v>
      </c>
      <c r="M31" s="9">
        <f t="shared" si="12"/>
        <v>-18952.576250943846</v>
      </c>
      <c r="N31" s="21">
        <f t="shared" si="12"/>
        <v>-193302.87888473307</v>
      </c>
      <c r="O31" s="21">
        <f t="shared" si="12"/>
        <v>-305000.53537288494</v>
      </c>
      <c r="P31" s="21">
        <f t="shared" si="3"/>
        <v>111697.65648815187</v>
      </c>
      <c r="Q31" s="133">
        <f t="shared" si="1"/>
        <v>-0.3662211817156108</v>
      </c>
      <c r="R31" s="141"/>
      <c r="S31" s="142"/>
      <c r="T31" s="48"/>
      <c r="U31" s="37"/>
    </row>
    <row r="32" spans="1:21" x14ac:dyDescent="0.45">
      <c r="A32" s="32" t="s">
        <v>14</v>
      </c>
      <c r="B32" s="12">
        <f>+'Budget Commun'!B16+'Budget Invest&amp; Amort'!B11</f>
        <v>24404.352868491205</v>
      </c>
      <c r="C32" s="13">
        <f>+'Budget Commun'!C16+'Budget Invest&amp; Amort'!C11</f>
        <v>24404.352868491205</v>
      </c>
      <c r="D32" s="12">
        <f>+'Budget Commun'!D16+'Budget Invest&amp; Amort'!D11</f>
        <v>24404.352868491205</v>
      </c>
      <c r="E32" s="13">
        <f>+'Budget Commun'!E16+'Budget Invest&amp; Amort'!E11</f>
        <v>24404.352868491205</v>
      </c>
      <c r="F32" s="12">
        <f>+'Budget Commun'!F16+'Budget Invest&amp; Amort'!F11</f>
        <v>24404.352868491205</v>
      </c>
      <c r="G32" s="13">
        <f>+'Budget Commun'!G16+'Budget Invest&amp; Amort'!G11</f>
        <v>24404.352868491205</v>
      </c>
      <c r="H32" s="12">
        <f>+'Budget Commun'!H16+'Budget Invest&amp; Amort'!H11</f>
        <v>24404.352868491205</v>
      </c>
      <c r="I32" s="13">
        <f>+'Budget Commun'!I16+'Budget Invest&amp; Amort'!I11</f>
        <v>24404.352868491205</v>
      </c>
      <c r="J32" s="12">
        <f>+'Budget Commun'!J16+'Budget Invest&amp; Amort'!J11</f>
        <v>24404.352868491205</v>
      </c>
      <c r="K32" s="13">
        <f>+'Budget Commun'!K16+'Budget Invest&amp; Amort'!K11</f>
        <v>24404.352868491205</v>
      </c>
      <c r="L32" s="12">
        <f>+'Budget Commun'!L16+'Budget Invest&amp; Amort'!L11</f>
        <v>24404.352868491205</v>
      </c>
      <c r="M32" s="13">
        <f>+'Budget Commun'!M16+'Budget Invest&amp; Amort'!M11</f>
        <v>24404.352868491205</v>
      </c>
      <c r="N32" s="31">
        <f t="shared" si="4"/>
        <v>292852.23442189448</v>
      </c>
      <c r="O32" s="31">
        <v>174084.98673707494</v>
      </c>
      <c r="P32" s="31">
        <f t="shared" si="3"/>
        <v>118767.24768481954</v>
      </c>
      <c r="Q32" s="134">
        <f t="shared" si="1"/>
        <v>0.68223716422023672</v>
      </c>
      <c r="R32" s="141">
        <f>+'Budget Commun'!N16+'Budget Invest&amp; Amort'!N11</f>
        <v>292852.23442189448</v>
      </c>
      <c r="S32" s="140">
        <f>+N32-R32</f>
        <v>0</v>
      </c>
    </row>
    <row r="33" spans="1:20" x14ac:dyDescent="0.45">
      <c r="A33" s="26" t="s">
        <v>19</v>
      </c>
      <c r="B33" s="8">
        <f>B31-B32</f>
        <v>0</v>
      </c>
      <c r="C33" s="9">
        <f t="shared" ref="C33:O33" si="13">C31-C32</f>
        <v>0</v>
      </c>
      <c r="D33" s="8">
        <f t="shared" si="13"/>
        <v>0</v>
      </c>
      <c r="E33" s="9">
        <f t="shared" si="13"/>
        <v>-58866.462802562397</v>
      </c>
      <c r="F33" s="8">
        <f t="shared" si="13"/>
        <v>-58866.462802562397</v>
      </c>
      <c r="G33" s="9">
        <f t="shared" si="13"/>
        <v>-53814.265300343483</v>
      </c>
      <c r="H33" s="8">
        <f t="shared" si="13"/>
        <v>-54269.008584940559</v>
      </c>
      <c r="I33" s="9">
        <f t="shared" si="13"/>
        <v>-58866.462802562412</v>
      </c>
      <c r="J33" s="8">
        <f t="shared" si="13"/>
        <v>-56068.60056045909</v>
      </c>
      <c r="K33" s="9">
        <f t="shared" si="13"/>
        <v>-53637.794712108189</v>
      </c>
      <c r="L33" s="8">
        <f t="shared" si="13"/>
        <v>-48409.126621653981</v>
      </c>
      <c r="M33" s="9">
        <f t="shared" si="13"/>
        <v>-43356.929119435052</v>
      </c>
      <c r="N33" s="21">
        <f t="shared" si="13"/>
        <v>-486155.11330662755</v>
      </c>
      <c r="O33" s="21">
        <f t="shared" si="13"/>
        <v>-479085.52210995986</v>
      </c>
      <c r="P33" s="21">
        <f t="shared" si="3"/>
        <v>-7069.591196667694</v>
      </c>
      <c r="Q33" s="133">
        <f>+-P33/O33</f>
        <v>-1.4756428383667747E-2</v>
      </c>
      <c r="R33" s="141"/>
      <c r="S33" s="142"/>
    </row>
    <row r="34" spans="1:20" x14ac:dyDescent="0.45">
      <c r="A34" s="17" t="s">
        <v>225</v>
      </c>
      <c r="B34" s="165"/>
      <c r="C34" s="166"/>
      <c r="D34" s="165"/>
      <c r="E34" s="166"/>
      <c r="F34" s="165"/>
      <c r="G34" s="166"/>
      <c r="H34" s="165"/>
      <c r="I34" s="166"/>
      <c r="J34" s="165"/>
      <c r="K34" s="166"/>
      <c r="L34" s="165"/>
      <c r="M34" s="166"/>
      <c r="N34" s="135" t="e">
        <f>+N31/N7</f>
        <v>#DIV/0!</v>
      </c>
      <c r="O34" s="135">
        <f>+O31/O7</f>
        <v>-0.32707476854633438</v>
      </c>
      <c r="P34" s="167" t="e">
        <f t="shared" si="3"/>
        <v>#DIV/0!</v>
      </c>
      <c r="Q34" s="167"/>
      <c r="R34" s="141"/>
    </row>
    <row r="35" spans="1:20" x14ac:dyDescent="0.45">
      <c r="A35" s="17" t="s">
        <v>75</v>
      </c>
      <c r="B35" s="49" t="e">
        <f t="shared" ref="B35:D35" si="14">+(B7)/B5</f>
        <v>#DIV/0!</v>
      </c>
      <c r="C35" s="50" t="e">
        <f>+(C7)/C5</f>
        <v>#DIV/0!</v>
      </c>
      <c r="D35" s="49" t="e">
        <f t="shared" si="14"/>
        <v>#DIV/0!</v>
      </c>
      <c r="E35" s="50">
        <f>+(E7)/E5</f>
        <v>0</v>
      </c>
      <c r="F35" s="49">
        <f t="shared" ref="F35:O35" si="15">+(F7)/F5</f>
        <v>0</v>
      </c>
      <c r="G35" s="50">
        <f t="shared" si="15"/>
        <v>0</v>
      </c>
      <c r="H35" s="49">
        <f t="shared" si="15"/>
        <v>0</v>
      </c>
      <c r="I35" s="50">
        <f t="shared" si="15"/>
        <v>0</v>
      </c>
      <c r="J35" s="49">
        <f t="shared" si="15"/>
        <v>0</v>
      </c>
      <c r="K35" s="50">
        <f t="shared" si="15"/>
        <v>0</v>
      </c>
      <c r="L35" s="49">
        <f t="shared" si="15"/>
        <v>0</v>
      </c>
      <c r="M35" s="50">
        <f t="shared" si="15"/>
        <v>0</v>
      </c>
      <c r="N35" s="51">
        <f t="shared" si="15"/>
        <v>0</v>
      </c>
      <c r="O35" s="51">
        <f t="shared" si="15"/>
        <v>7.1389969526046793</v>
      </c>
      <c r="P35" s="51">
        <f t="shared" si="3"/>
        <v>-7.1389969526046793</v>
      </c>
      <c r="Q35" s="136">
        <f t="shared" si="1"/>
        <v>-1</v>
      </c>
      <c r="R35" s="141"/>
      <c r="S35" s="141"/>
    </row>
    <row r="36" spans="1:20" x14ac:dyDescent="0.45">
      <c r="A36" s="17" t="s">
        <v>176</v>
      </c>
      <c r="B36" s="18">
        <f t="shared" ref="B36:D36" si="16">+B7/B4</f>
        <v>0</v>
      </c>
      <c r="C36" s="19">
        <f t="shared" si="16"/>
        <v>0</v>
      </c>
      <c r="D36" s="18">
        <f t="shared" si="16"/>
        <v>0</v>
      </c>
      <c r="E36" s="19">
        <f t="shared" ref="E36:O36" si="17">+E7/E4</f>
        <v>0</v>
      </c>
      <c r="F36" s="18">
        <f t="shared" si="17"/>
        <v>0</v>
      </c>
      <c r="G36" s="19">
        <f t="shared" si="17"/>
        <v>0</v>
      </c>
      <c r="H36" s="18">
        <f t="shared" si="17"/>
        <v>0</v>
      </c>
      <c r="I36" s="19">
        <f t="shared" si="17"/>
        <v>0</v>
      </c>
      <c r="J36" s="18">
        <f t="shared" si="17"/>
        <v>0</v>
      </c>
      <c r="K36" s="19">
        <f t="shared" si="17"/>
        <v>0</v>
      </c>
      <c r="L36" s="18">
        <f t="shared" si="17"/>
        <v>0</v>
      </c>
      <c r="M36" s="19">
        <f t="shared" si="17"/>
        <v>0</v>
      </c>
      <c r="N36" s="44">
        <f t="shared" si="17"/>
        <v>0</v>
      </c>
      <c r="O36" s="44">
        <f t="shared" si="17"/>
        <v>358657.74282042234</v>
      </c>
      <c r="P36" s="44">
        <f t="shared" si="3"/>
        <v>-358657.74282042234</v>
      </c>
      <c r="Q36" s="136">
        <f t="shared" si="1"/>
        <v>-1</v>
      </c>
      <c r="R36" s="141"/>
      <c r="S36" s="141"/>
    </row>
    <row r="37" spans="1:20" x14ac:dyDescent="0.45">
      <c r="A37" s="17" t="s">
        <v>174</v>
      </c>
      <c r="B37" s="18">
        <f t="shared" ref="B37:D37" si="18">+(B30-B10)/B4</f>
        <v>-4523.5130432791857</v>
      </c>
      <c r="C37" s="19">
        <f t="shared" si="18"/>
        <v>-4523.5130432791857</v>
      </c>
      <c r="D37" s="18">
        <f t="shared" si="18"/>
        <v>-4523.5130432791857</v>
      </c>
      <c r="E37" s="19">
        <f t="shared" ref="E37:O37" si="19">+(E30-E10)/E4</f>
        <v>6387.7868274460043</v>
      </c>
      <c r="F37" s="18">
        <f t="shared" si="19"/>
        <v>6387.7868274460043</v>
      </c>
      <c r="G37" s="19">
        <f t="shared" si="19"/>
        <v>5451.3276055333217</v>
      </c>
      <c r="H37" s="18">
        <f t="shared" si="19"/>
        <v>5535.6173709822697</v>
      </c>
      <c r="I37" s="19">
        <f t="shared" si="19"/>
        <v>6387.7868274460052</v>
      </c>
      <c r="J37" s="18">
        <f t="shared" si="19"/>
        <v>5869.1840022183278</v>
      </c>
      <c r="K37" s="19">
        <f t="shared" si="19"/>
        <v>5418.6175799104694</v>
      </c>
      <c r="L37" s="18">
        <f t="shared" si="19"/>
        <v>4449.4483323749346</v>
      </c>
      <c r="M37" s="19">
        <f t="shared" si="19"/>
        <v>3512.9891104622511</v>
      </c>
      <c r="N37" s="44">
        <f t="shared" si="19"/>
        <v>35830.005353982029</v>
      </c>
      <c r="O37" s="44">
        <f t="shared" si="19"/>
        <v>491154.85642537806</v>
      </c>
      <c r="P37" s="44">
        <f t="shared" si="3"/>
        <v>-455324.85107139603</v>
      </c>
      <c r="Q37" s="136">
        <f t="shared" si="1"/>
        <v>-0.92704947353111278</v>
      </c>
      <c r="R37" s="141"/>
      <c r="S37" s="141"/>
    </row>
    <row r="38" spans="1:20" x14ac:dyDescent="0.45">
      <c r="A38" s="17" t="s">
        <v>172</v>
      </c>
      <c r="B38" s="18">
        <f t="shared" ref="B38:D38" si="20">+B31/B4</f>
        <v>4523.5130432791857</v>
      </c>
      <c r="C38" s="19">
        <f t="shared" si="20"/>
        <v>4523.5130432791857</v>
      </c>
      <c r="D38" s="18">
        <f t="shared" si="20"/>
        <v>4523.5130432791857</v>
      </c>
      <c r="E38" s="19">
        <f t="shared" ref="E38:O38" si="21">+E31/E4</f>
        <v>-6387.7868274460043</v>
      </c>
      <c r="F38" s="18">
        <f t="shared" si="21"/>
        <v>-6387.7868274460043</v>
      </c>
      <c r="G38" s="19">
        <f t="shared" si="21"/>
        <v>-5451.3276055333217</v>
      </c>
      <c r="H38" s="18">
        <f t="shared" si="21"/>
        <v>-5535.6173709822697</v>
      </c>
      <c r="I38" s="19">
        <f t="shared" si="21"/>
        <v>-6387.7868274460052</v>
      </c>
      <c r="J38" s="18">
        <f t="shared" si="21"/>
        <v>-5869.1840022183278</v>
      </c>
      <c r="K38" s="19">
        <f t="shared" si="21"/>
        <v>-5418.6175799104694</v>
      </c>
      <c r="L38" s="18">
        <f t="shared" si="21"/>
        <v>-4449.4483323749346</v>
      </c>
      <c r="M38" s="19">
        <f t="shared" si="21"/>
        <v>-3512.9891104622511</v>
      </c>
      <c r="N38" s="44">
        <f t="shared" si="21"/>
        <v>-35830.005353982029</v>
      </c>
      <c r="O38" s="44">
        <f t="shared" si="21"/>
        <v>-117307.89822034036</v>
      </c>
      <c r="P38" s="44">
        <f t="shared" si="3"/>
        <v>81477.892866358336</v>
      </c>
      <c r="Q38" s="136">
        <f t="shared" si="1"/>
        <v>-0.69456442492318604</v>
      </c>
      <c r="R38" s="141"/>
    </row>
    <row r="39" spans="1:20" x14ac:dyDescent="0.45">
      <c r="A39" s="17" t="s">
        <v>173</v>
      </c>
      <c r="B39" s="18">
        <f t="shared" ref="B39:D39" si="22">+(B30+B32-B10)/B4</f>
        <v>0</v>
      </c>
      <c r="C39" s="19">
        <f t="shared" si="22"/>
        <v>0</v>
      </c>
      <c r="D39" s="18">
        <f t="shared" si="22"/>
        <v>0</v>
      </c>
      <c r="E39" s="19">
        <f t="shared" ref="E39:O39" si="23">+(E30+E32-E10)/E4</f>
        <v>10911.29987072519</v>
      </c>
      <c r="F39" s="18">
        <f t="shared" si="23"/>
        <v>10911.29987072519</v>
      </c>
      <c r="G39" s="19">
        <f t="shared" si="23"/>
        <v>9974.8406488125074</v>
      </c>
      <c r="H39" s="18">
        <f t="shared" si="23"/>
        <v>10059.130414261455</v>
      </c>
      <c r="I39" s="19">
        <f t="shared" si="23"/>
        <v>10911.299870725192</v>
      </c>
      <c r="J39" s="18">
        <f t="shared" si="23"/>
        <v>10392.697045497513</v>
      </c>
      <c r="K39" s="19">
        <f t="shared" si="23"/>
        <v>9942.1306231896542</v>
      </c>
      <c r="L39" s="18">
        <f t="shared" si="23"/>
        <v>8972.9613756541203</v>
      </c>
      <c r="M39" s="19">
        <f t="shared" si="23"/>
        <v>8036.5021537414359</v>
      </c>
      <c r="N39" s="44">
        <f t="shared" si="23"/>
        <v>90112.161873332268</v>
      </c>
      <c r="O39" s="44">
        <f t="shared" si="23"/>
        <v>558110.62055502227</v>
      </c>
      <c r="P39" s="44">
        <f t="shared" si="3"/>
        <v>-467998.45868168998</v>
      </c>
      <c r="Q39" s="136">
        <f t="shared" si="1"/>
        <v>-0.83854067893616002</v>
      </c>
      <c r="R39" s="141"/>
    </row>
    <row r="40" spans="1:20" x14ac:dyDescent="0.45">
      <c r="A40" s="17" t="s">
        <v>175</v>
      </c>
      <c r="B40" s="18">
        <f t="shared" ref="B40:D40" si="24">B33/B4</f>
        <v>0</v>
      </c>
      <c r="C40" s="19">
        <f t="shared" si="24"/>
        <v>0</v>
      </c>
      <c r="D40" s="18">
        <f t="shared" si="24"/>
        <v>0</v>
      </c>
      <c r="E40" s="19">
        <f t="shared" ref="E40:O40" si="25">E33/E4</f>
        <v>-10911.299870725188</v>
      </c>
      <c r="F40" s="18">
        <f t="shared" si="25"/>
        <v>-10911.299870725188</v>
      </c>
      <c r="G40" s="19">
        <f t="shared" si="25"/>
        <v>-9974.8406488125074</v>
      </c>
      <c r="H40" s="18">
        <f t="shared" si="25"/>
        <v>-10059.130414261455</v>
      </c>
      <c r="I40" s="19">
        <f t="shared" si="25"/>
        <v>-10911.299870725192</v>
      </c>
      <c r="J40" s="18">
        <f t="shared" si="25"/>
        <v>-10392.697045497513</v>
      </c>
      <c r="K40" s="19">
        <f t="shared" si="25"/>
        <v>-9942.1306231896542</v>
      </c>
      <c r="L40" s="18">
        <f t="shared" si="25"/>
        <v>-8972.9613756541203</v>
      </c>
      <c r="M40" s="19">
        <f t="shared" si="25"/>
        <v>-8036.5021537414359</v>
      </c>
      <c r="N40" s="44">
        <f t="shared" si="25"/>
        <v>-90112.161873332254</v>
      </c>
      <c r="O40" s="44">
        <f t="shared" si="25"/>
        <v>-184263.66234998454</v>
      </c>
      <c r="P40" s="44">
        <f t="shared" si="3"/>
        <v>94151.500476652291</v>
      </c>
      <c r="Q40" s="136">
        <f t="shared" si="1"/>
        <v>-0.51096075740546132</v>
      </c>
      <c r="R40" s="141"/>
      <c r="T40" s="48"/>
    </row>
    <row r="41" spans="1:20" x14ac:dyDescent="0.45">
      <c r="A41" s="132" t="s">
        <v>166</v>
      </c>
      <c r="B41" s="49"/>
      <c r="C41" s="50"/>
      <c r="D41" s="49"/>
      <c r="E41" s="19"/>
      <c r="F41" s="18"/>
      <c r="G41" s="19"/>
      <c r="H41" s="18"/>
      <c r="I41" s="19"/>
      <c r="J41" s="18"/>
      <c r="K41" s="19"/>
      <c r="L41" s="18"/>
      <c r="M41" s="19"/>
      <c r="N41" s="44"/>
      <c r="O41" s="44"/>
      <c r="P41" s="44"/>
      <c r="Q41" s="136"/>
      <c r="R41" s="141"/>
    </row>
    <row r="42" spans="1:20" x14ac:dyDescent="0.45">
      <c r="A42" s="17" t="s">
        <v>77</v>
      </c>
      <c r="B42" s="18">
        <f>+(B30+B32)/B3</f>
        <v>11676.051474894612</v>
      </c>
      <c r="C42" s="19">
        <f t="shared" ref="C42:M42" si="26">+(C30+C32)/C3</f>
        <v>6807.4960431830568</v>
      </c>
      <c r="D42" s="18">
        <f t="shared" si="26"/>
        <v>6839.1499603553066</v>
      </c>
      <c r="E42" s="19">
        <f t="shared" si="26"/>
        <v>6807.4960431830568</v>
      </c>
      <c r="F42" s="18">
        <f t="shared" si="26"/>
        <v>6807.4960431830568</v>
      </c>
      <c r="G42" s="19">
        <f t="shared" si="26"/>
        <v>6839.1499603553066</v>
      </c>
      <c r="H42" s="18">
        <f t="shared" si="26"/>
        <v>6920.7182625251862</v>
      </c>
      <c r="I42" s="19">
        <f t="shared" si="26"/>
        <v>6807.4960431830568</v>
      </c>
      <c r="J42" s="18">
        <f t="shared" si="26"/>
        <v>7243.5150294343393</v>
      </c>
      <c r="K42" s="19">
        <f t="shared" si="26"/>
        <v>6807.4960431830568</v>
      </c>
      <c r="L42" s="18">
        <f t="shared" si="26"/>
        <v>6807.4960431830568</v>
      </c>
      <c r="M42" s="19">
        <f t="shared" si="26"/>
        <v>6839.1499603553066</v>
      </c>
      <c r="N42" s="44">
        <f>+(N30+N32-N10)/N3</f>
        <v>87202.710907018409</v>
      </c>
      <c r="O42" s="44">
        <f>+(O30+O32-O10)/O3</f>
        <v>558110.62055502227</v>
      </c>
      <c r="P42" s="44">
        <f t="shared" si="3"/>
        <v>-470907.90964800387</v>
      </c>
      <c r="Q42" s="136">
        <f t="shared" si="1"/>
        <v>-0.84375371531131549</v>
      </c>
      <c r="R42" s="141"/>
    </row>
    <row r="43" spans="1:20" x14ac:dyDescent="0.45">
      <c r="A43" s="17" t="s">
        <v>76</v>
      </c>
      <c r="B43" s="18">
        <f>+B30/B3</f>
        <v>7298.5890769589687</v>
      </c>
      <c r="C43" s="19">
        <f t="shared" ref="C43:M43" si="27">+C30/C3</f>
        <v>2430.0336452474144</v>
      </c>
      <c r="D43" s="18">
        <f t="shared" si="27"/>
        <v>2461.6875624196641</v>
      </c>
      <c r="E43" s="19">
        <f t="shared" si="27"/>
        <v>2430.0336452474144</v>
      </c>
      <c r="F43" s="18">
        <f t="shared" si="27"/>
        <v>2430.0336452474144</v>
      </c>
      <c r="G43" s="19">
        <f t="shared" si="27"/>
        <v>2461.6875624196641</v>
      </c>
      <c r="H43" s="18">
        <f t="shared" si="27"/>
        <v>2543.2558645895433</v>
      </c>
      <c r="I43" s="19">
        <f t="shared" si="27"/>
        <v>2430.0336452474144</v>
      </c>
      <c r="J43" s="18">
        <f t="shared" si="27"/>
        <v>2866.0526314986969</v>
      </c>
      <c r="K43" s="19">
        <f t="shared" si="27"/>
        <v>2430.0336452474144</v>
      </c>
      <c r="L43" s="18">
        <f t="shared" si="27"/>
        <v>2430.0336452474144</v>
      </c>
      <c r="M43" s="19">
        <f t="shared" si="27"/>
        <v>2461.6875624196641</v>
      </c>
      <c r="N43" s="44">
        <f>+(N30-N10)/N3</f>
        <v>34673.162131790683</v>
      </c>
      <c r="O43" s="44">
        <f>+(O30-O10)/O3</f>
        <v>491154.85642537806</v>
      </c>
      <c r="P43" s="44">
        <f t="shared" si="3"/>
        <v>-456481.69429358735</v>
      </c>
      <c r="Q43" s="136">
        <f t="shared" si="1"/>
        <v>-0.92940482685208126</v>
      </c>
      <c r="R43" s="141"/>
    </row>
    <row r="44" spans="1:20" x14ac:dyDescent="0.45">
      <c r="A44" s="17" t="s">
        <v>167</v>
      </c>
      <c r="B44" s="18">
        <f>+B12/B3</f>
        <v>0.57399103139013452</v>
      </c>
      <c r="C44" s="19">
        <f t="shared" ref="C44:O44" si="28">+C12/C3</f>
        <v>0.57399103139013452</v>
      </c>
      <c r="D44" s="18">
        <f t="shared" si="28"/>
        <v>0.57399103139013452</v>
      </c>
      <c r="E44" s="19">
        <f t="shared" si="28"/>
        <v>0.57399103139013452</v>
      </c>
      <c r="F44" s="18">
        <f t="shared" si="28"/>
        <v>0.57399103139013452</v>
      </c>
      <c r="G44" s="19">
        <f t="shared" si="28"/>
        <v>0.57399103139013452</v>
      </c>
      <c r="H44" s="18">
        <f t="shared" si="28"/>
        <v>0.57399103139013452</v>
      </c>
      <c r="I44" s="19">
        <f t="shared" si="28"/>
        <v>0.57399103139013452</v>
      </c>
      <c r="J44" s="18">
        <f t="shared" si="28"/>
        <v>0.57399103139013452</v>
      </c>
      <c r="K44" s="19">
        <f t="shared" si="28"/>
        <v>0.57399103139013452</v>
      </c>
      <c r="L44" s="18">
        <f t="shared" si="28"/>
        <v>0.57399103139013452</v>
      </c>
      <c r="M44" s="19">
        <f t="shared" si="28"/>
        <v>0.57399103139013452</v>
      </c>
      <c r="N44" s="44">
        <f t="shared" si="28"/>
        <v>6.8878923766816138</v>
      </c>
      <c r="O44" s="44">
        <f t="shared" si="28"/>
        <v>18634.615384615383</v>
      </c>
      <c r="P44" s="44">
        <f t="shared" si="3"/>
        <v>-18627.727492238701</v>
      </c>
      <c r="Q44" s="136">
        <f t="shared" si="1"/>
        <v>-0.99963037110052888</v>
      </c>
    </row>
    <row r="45" spans="1:20" x14ac:dyDescent="0.45">
      <c r="A45" s="17" t="s">
        <v>168</v>
      </c>
      <c r="B45" s="18">
        <f>+B13/B3</f>
        <v>0</v>
      </c>
      <c r="C45" s="19">
        <f t="shared" ref="C45:O45" si="29">+C13/C3</f>
        <v>0</v>
      </c>
      <c r="D45" s="18">
        <f t="shared" si="29"/>
        <v>0</v>
      </c>
      <c r="E45" s="19">
        <f t="shared" si="29"/>
        <v>0</v>
      </c>
      <c r="F45" s="18">
        <f t="shared" si="29"/>
        <v>0</v>
      </c>
      <c r="G45" s="19">
        <f t="shared" si="29"/>
        <v>0</v>
      </c>
      <c r="H45" s="18">
        <f t="shared" si="29"/>
        <v>0</v>
      </c>
      <c r="I45" s="19">
        <f t="shared" si="29"/>
        <v>0</v>
      </c>
      <c r="J45" s="18">
        <f t="shared" si="29"/>
        <v>0</v>
      </c>
      <c r="K45" s="19">
        <f t="shared" si="29"/>
        <v>0</v>
      </c>
      <c r="L45" s="18">
        <f t="shared" si="29"/>
        <v>0</v>
      </c>
      <c r="M45" s="19">
        <f t="shared" si="29"/>
        <v>0</v>
      </c>
      <c r="N45" s="44">
        <f t="shared" si="29"/>
        <v>0</v>
      </c>
      <c r="O45" s="44">
        <f t="shared" si="29"/>
        <v>65430.700485673056</v>
      </c>
      <c r="P45" s="44">
        <f t="shared" si="3"/>
        <v>-65430.700485673056</v>
      </c>
      <c r="Q45" s="136">
        <f t="shared" si="1"/>
        <v>-1</v>
      </c>
    </row>
    <row r="46" spans="1:20" x14ac:dyDescent="0.45">
      <c r="A46" s="17" t="s">
        <v>169</v>
      </c>
      <c r="B46" s="18">
        <f>+B14/B3</f>
        <v>0</v>
      </c>
      <c r="C46" s="19">
        <f t="shared" ref="C46:O46" si="30">+C14/C3</f>
        <v>0</v>
      </c>
      <c r="D46" s="18">
        <f t="shared" si="30"/>
        <v>0</v>
      </c>
      <c r="E46" s="19">
        <f t="shared" si="30"/>
        <v>0</v>
      </c>
      <c r="F46" s="18">
        <f t="shared" si="30"/>
        <v>0</v>
      </c>
      <c r="G46" s="19">
        <f t="shared" si="30"/>
        <v>0</v>
      </c>
      <c r="H46" s="18">
        <f t="shared" si="30"/>
        <v>0</v>
      </c>
      <c r="I46" s="19">
        <f t="shared" si="30"/>
        <v>0</v>
      </c>
      <c r="J46" s="18">
        <f t="shared" si="30"/>
        <v>0</v>
      </c>
      <c r="K46" s="19">
        <f t="shared" si="30"/>
        <v>0</v>
      </c>
      <c r="L46" s="18">
        <f t="shared" si="30"/>
        <v>0</v>
      </c>
      <c r="M46" s="19">
        <f t="shared" si="30"/>
        <v>0</v>
      </c>
      <c r="N46" s="44">
        <f t="shared" si="30"/>
        <v>0</v>
      </c>
      <c r="O46" s="44">
        <f t="shared" si="30"/>
        <v>6001.3846153846152</v>
      </c>
      <c r="P46" s="44">
        <f t="shared" si="3"/>
        <v>-6001.3846153846152</v>
      </c>
      <c r="Q46" s="136">
        <f t="shared" si="1"/>
        <v>-1</v>
      </c>
    </row>
    <row r="47" spans="1:20" x14ac:dyDescent="0.45">
      <c r="A47" s="17" t="s">
        <v>170</v>
      </c>
      <c r="B47" s="18">
        <f>+B15/B3</f>
        <v>0</v>
      </c>
      <c r="C47" s="19">
        <f t="shared" ref="C47:O47" si="31">+C15/C3</f>
        <v>0</v>
      </c>
      <c r="D47" s="18">
        <f t="shared" si="31"/>
        <v>0</v>
      </c>
      <c r="E47" s="19">
        <f t="shared" si="31"/>
        <v>0</v>
      </c>
      <c r="F47" s="18">
        <f t="shared" si="31"/>
        <v>0</v>
      </c>
      <c r="G47" s="19">
        <f t="shared" si="31"/>
        <v>0</v>
      </c>
      <c r="H47" s="18">
        <f t="shared" si="31"/>
        <v>0</v>
      </c>
      <c r="I47" s="19">
        <f t="shared" si="31"/>
        <v>0</v>
      </c>
      <c r="J47" s="18">
        <f t="shared" si="31"/>
        <v>0</v>
      </c>
      <c r="K47" s="19">
        <f t="shared" si="31"/>
        <v>0</v>
      </c>
      <c r="L47" s="18">
        <f t="shared" si="31"/>
        <v>0</v>
      </c>
      <c r="M47" s="19">
        <f t="shared" si="31"/>
        <v>0</v>
      </c>
      <c r="N47" s="44">
        <f t="shared" si="31"/>
        <v>0</v>
      </c>
      <c r="O47" s="44">
        <f t="shared" si="31"/>
        <v>26015.930057801575</v>
      </c>
      <c r="P47" s="44">
        <f t="shared" si="3"/>
        <v>-26015.930057801575</v>
      </c>
      <c r="Q47" s="136">
        <f t="shared" si="1"/>
        <v>-1</v>
      </c>
    </row>
    <row r="48" spans="1:20" x14ac:dyDescent="0.45">
      <c r="A48" s="17" t="s">
        <v>171</v>
      </c>
      <c r="B48" s="18">
        <f>+B16/B3</f>
        <v>0.84304932735426008</v>
      </c>
      <c r="C48" s="19">
        <f t="shared" ref="C48:O48" si="32">+C16/C3</f>
        <v>0.84304932735426008</v>
      </c>
      <c r="D48" s="18">
        <f t="shared" si="32"/>
        <v>0.84304932735426008</v>
      </c>
      <c r="E48" s="19">
        <f t="shared" si="32"/>
        <v>0.84304932735426008</v>
      </c>
      <c r="F48" s="18">
        <f t="shared" si="32"/>
        <v>0.84304932735426008</v>
      </c>
      <c r="G48" s="19">
        <f t="shared" si="32"/>
        <v>0.84304932735426008</v>
      </c>
      <c r="H48" s="18">
        <f t="shared" si="32"/>
        <v>0.84304932735426008</v>
      </c>
      <c r="I48" s="19">
        <f t="shared" si="32"/>
        <v>0.84304932735426008</v>
      </c>
      <c r="J48" s="18">
        <f t="shared" si="32"/>
        <v>0.84304932735426008</v>
      </c>
      <c r="K48" s="19">
        <f t="shared" si="32"/>
        <v>0.84304932735426008</v>
      </c>
      <c r="L48" s="18">
        <f t="shared" si="32"/>
        <v>0.84304932735426008</v>
      </c>
      <c r="M48" s="19">
        <f t="shared" si="32"/>
        <v>0.84304932735426008</v>
      </c>
      <c r="N48" s="44">
        <f t="shared" si="32"/>
        <v>10.116591928251124</v>
      </c>
      <c r="O48" s="44">
        <f t="shared" si="32"/>
        <v>0</v>
      </c>
      <c r="P48" s="44">
        <f t="shared" si="3"/>
        <v>10.116591928251124</v>
      </c>
      <c r="Q48" s="136" t="e">
        <f t="shared" si="1"/>
        <v>#DIV/0!</v>
      </c>
      <c r="R48" s="141"/>
    </row>
    <row r="49" spans="1:18" x14ac:dyDescent="0.45">
      <c r="A49" s="17" t="s">
        <v>7</v>
      </c>
      <c r="B49" s="18">
        <f>+B17/B3</f>
        <v>0</v>
      </c>
      <c r="C49" s="19">
        <f t="shared" ref="C49:O49" si="33">+C17/C3</f>
        <v>0</v>
      </c>
      <c r="D49" s="18">
        <f t="shared" si="33"/>
        <v>0</v>
      </c>
      <c r="E49" s="19">
        <f t="shared" si="33"/>
        <v>0</v>
      </c>
      <c r="F49" s="18">
        <f t="shared" si="33"/>
        <v>0</v>
      </c>
      <c r="G49" s="19">
        <f t="shared" si="33"/>
        <v>0</v>
      </c>
      <c r="H49" s="18">
        <f t="shared" si="33"/>
        <v>0</v>
      </c>
      <c r="I49" s="19">
        <f t="shared" si="33"/>
        <v>0</v>
      </c>
      <c r="J49" s="18">
        <f t="shared" si="33"/>
        <v>0</v>
      </c>
      <c r="K49" s="19">
        <f t="shared" si="33"/>
        <v>0</v>
      </c>
      <c r="L49" s="18">
        <f t="shared" si="33"/>
        <v>0</v>
      </c>
      <c r="M49" s="19">
        <f t="shared" si="33"/>
        <v>0</v>
      </c>
      <c r="N49" s="44">
        <f t="shared" si="33"/>
        <v>0</v>
      </c>
      <c r="O49" s="44">
        <f t="shared" si="33"/>
        <v>14246.552846153847</v>
      </c>
      <c r="P49" s="44">
        <f t="shared" si="3"/>
        <v>-14246.552846153847</v>
      </c>
      <c r="Q49" s="136">
        <f t="shared" si="1"/>
        <v>-1</v>
      </c>
    </row>
    <row r="50" spans="1:18" x14ac:dyDescent="0.45">
      <c r="A50" s="17" t="s">
        <v>8</v>
      </c>
      <c r="B50" s="18">
        <f>+B19/B3</f>
        <v>0</v>
      </c>
      <c r="C50" s="19">
        <f t="shared" ref="C50:O50" si="34">+C19/C3</f>
        <v>0</v>
      </c>
      <c r="D50" s="18">
        <f t="shared" si="34"/>
        <v>0</v>
      </c>
      <c r="E50" s="19">
        <f t="shared" si="34"/>
        <v>0</v>
      </c>
      <c r="F50" s="18">
        <f t="shared" si="34"/>
        <v>0</v>
      </c>
      <c r="G50" s="19">
        <f t="shared" si="34"/>
        <v>0</v>
      </c>
      <c r="H50" s="18">
        <f t="shared" si="34"/>
        <v>0</v>
      </c>
      <c r="I50" s="19">
        <f t="shared" si="34"/>
        <v>0</v>
      </c>
      <c r="J50" s="18">
        <f t="shared" si="34"/>
        <v>0</v>
      </c>
      <c r="K50" s="19">
        <f t="shared" si="34"/>
        <v>0</v>
      </c>
      <c r="L50" s="18">
        <f t="shared" si="34"/>
        <v>0</v>
      </c>
      <c r="M50" s="19">
        <f t="shared" si="34"/>
        <v>0</v>
      </c>
      <c r="N50" s="44">
        <f t="shared" si="34"/>
        <v>0</v>
      </c>
      <c r="O50" s="44">
        <f t="shared" si="34"/>
        <v>11368.88403950164</v>
      </c>
      <c r="P50" s="44">
        <f t="shared" si="3"/>
        <v>-11368.88403950164</v>
      </c>
      <c r="Q50" s="136">
        <f t="shared" si="1"/>
        <v>-1</v>
      </c>
    </row>
    <row r="51" spans="1:18" x14ac:dyDescent="0.45">
      <c r="A51" s="17" t="s">
        <v>9</v>
      </c>
      <c r="B51" s="18">
        <f>+B20/B3</f>
        <v>0</v>
      </c>
      <c r="C51" s="19">
        <f t="shared" ref="C51:O51" si="35">+C20/C3</f>
        <v>0</v>
      </c>
      <c r="D51" s="18">
        <f t="shared" si="35"/>
        <v>0</v>
      </c>
      <c r="E51" s="19">
        <f t="shared" si="35"/>
        <v>0</v>
      </c>
      <c r="F51" s="18">
        <f t="shared" si="35"/>
        <v>0</v>
      </c>
      <c r="G51" s="19">
        <f t="shared" si="35"/>
        <v>0</v>
      </c>
      <c r="H51" s="18">
        <f t="shared" si="35"/>
        <v>0</v>
      </c>
      <c r="I51" s="19">
        <f t="shared" si="35"/>
        <v>0</v>
      </c>
      <c r="J51" s="18">
        <f t="shared" si="35"/>
        <v>0</v>
      </c>
      <c r="K51" s="19">
        <f t="shared" si="35"/>
        <v>0</v>
      </c>
      <c r="L51" s="18">
        <f t="shared" si="35"/>
        <v>0</v>
      </c>
      <c r="M51" s="19">
        <f t="shared" si="35"/>
        <v>0</v>
      </c>
      <c r="N51" s="44">
        <f t="shared" si="35"/>
        <v>0</v>
      </c>
      <c r="O51" s="44">
        <f t="shared" si="35"/>
        <v>1959.4684615384599</v>
      </c>
      <c r="P51" s="44">
        <f t="shared" si="3"/>
        <v>-1959.4684615384599</v>
      </c>
      <c r="Q51" s="136">
        <f t="shared" si="1"/>
        <v>-1</v>
      </c>
    </row>
    <row r="52" spans="1:18" x14ac:dyDescent="0.45">
      <c r="A52" s="17" t="s">
        <v>10</v>
      </c>
      <c r="B52" s="18">
        <f>+B22/B3</f>
        <v>0</v>
      </c>
      <c r="C52" s="19">
        <f t="shared" ref="C52:O52" si="36">+C22/C3</f>
        <v>0</v>
      </c>
      <c r="D52" s="18">
        <f t="shared" si="36"/>
        <v>0</v>
      </c>
      <c r="E52" s="19">
        <f t="shared" si="36"/>
        <v>0</v>
      </c>
      <c r="F52" s="18">
        <f t="shared" si="36"/>
        <v>0</v>
      </c>
      <c r="G52" s="19">
        <f t="shared" si="36"/>
        <v>0</v>
      </c>
      <c r="H52" s="18">
        <f t="shared" si="36"/>
        <v>0</v>
      </c>
      <c r="I52" s="19">
        <f t="shared" si="36"/>
        <v>0</v>
      </c>
      <c r="J52" s="18">
        <f t="shared" si="36"/>
        <v>0</v>
      </c>
      <c r="K52" s="19">
        <f t="shared" si="36"/>
        <v>0</v>
      </c>
      <c r="L52" s="18">
        <f t="shared" si="36"/>
        <v>0</v>
      </c>
      <c r="M52" s="19">
        <f t="shared" si="36"/>
        <v>0</v>
      </c>
      <c r="N52" s="44">
        <f t="shared" si="36"/>
        <v>0</v>
      </c>
      <c r="O52" s="44">
        <f t="shared" si="36"/>
        <v>1209.3488372093027</v>
      </c>
      <c r="P52" s="44">
        <f t="shared" si="3"/>
        <v>-1209.3488372093027</v>
      </c>
      <c r="Q52" s="136">
        <f t="shared" si="1"/>
        <v>-1</v>
      </c>
      <c r="R52" s="141"/>
    </row>
    <row r="53" spans="1:18" x14ac:dyDescent="0.45">
      <c r="A53" s="17" t="s">
        <v>11</v>
      </c>
      <c r="B53" s="18">
        <f>+B23/B3</f>
        <v>0</v>
      </c>
      <c r="C53" s="19">
        <f t="shared" ref="C53:O53" si="37">+C23/C3</f>
        <v>0</v>
      </c>
      <c r="D53" s="18">
        <f t="shared" si="37"/>
        <v>0</v>
      </c>
      <c r="E53" s="19">
        <f t="shared" si="37"/>
        <v>0</v>
      </c>
      <c r="F53" s="18">
        <f t="shared" si="37"/>
        <v>0</v>
      </c>
      <c r="G53" s="19">
        <f t="shared" si="37"/>
        <v>0</v>
      </c>
      <c r="H53" s="18">
        <f t="shared" si="37"/>
        <v>0</v>
      </c>
      <c r="I53" s="19">
        <f t="shared" si="37"/>
        <v>0</v>
      </c>
      <c r="J53" s="18">
        <f t="shared" si="37"/>
        <v>0</v>
      </c>
      <c r="K53" s="19">
        <f t="shared" si="37"/>
        <v>0</v>
      </c>
      <c r="L53" s="18">
        <f t="shared" si="37"/>
        <v>0</v>
      </c>
      <c r="M53" s="19">
        <f t="shared" si="37"/>
        <v>0</v>
      </c>
      <c r="N53" s="44">
        <f t="shared" si="37"/>
        <v>0</v>
      </c>
      <c r="O53" s="44">
        <f t="shared" si="37"/>
        <v>70512.820512820501</v>
      </c>
      <c r="P53" s="44">
        <f t="shared" si="3"/>
        <v>-70512.820512820501</v>
      </c>
      <c r="Q53" s="136">
        <f t="shared" si="1"/>
        <v>-1</v>
      </c>
      <c r="R53" s="141"/>
    </row>
    <row r="54" spans="1:18" x14ac:dyDescent="0.45">
      <c r="A54" s="17" t="s">
        <v>12</v>
      </c>
      <c r="B54" s="18">
        <f>+B24/B3</f>
        <v>86.264548070193626</v>
      </c>
      <c r="C54" s="19">
        <f t="shared" ref="C54:O54" si="38">+C24/C3</f>
        <v>86.264548070193626</v>
      </c>
      <c r="D54" s="18">
        <f t="shared" si="38"/>
        <v>86.264548070193626</v>
      </c>
      <c r="E54" s="19">
        <f t="shared" si="38"/>
        <v>86.264548070193626</v>
      </c>
      <c r="F54" s="18">
        <f t="shared" si="38"/>
        <v>86.264548070193626</v>
      </c>
      <c r="G54" s="19">
        <f t="shared" si="38"/>
        <v>86.264548070193626</v>
      </c>
      <c r="H54" s="18">
        <f t="shared" si="38"/>
        <v>86.264548070193626</v>
      </c>
      <c r="I54" s="19">
        <f t="shared" si="38"/>
        <v>86.264548070193626</v>
      </c>
      <c r="J54" s="18">
        <f t="shared" si="38"/>
        <v>86.264548070193626</v>
      </c>
      <c r="K54" s="19">
        <f t="shared" si="38"/>
        <v>86.264548070193626</v>
      </c>
      <c r="L54" s="18">
        <f t="shared" si="38"/>
        <v>86.264548070193626</v>
      </c>
      <c r="M54" s="19">
        <f t="shared" si="38"/>
        <v>86.264548070193626</v>
      </c>
      <c r="N54" s="44">
        <f t="shared" si="38"/>
        <v>1035.1745768423232</v>
      </c>
      <c r="O54" s="44">
        <f t="shared" si="38"/>
        <v>12230.966413237924</v>
      </c>
      <c r="P54" s="44">
        <f t="shared" si="3"/>
        <v>-11195.791836395601</v>
      </c>
      <c r="Q54" s="136">
        <f t="shared" si="1"/>
        <v>-0.91536444939281958</v>
      </c>
      <c r="R54" s="141"/>
    </row>
    <row r="55" spans="1:18" x14ac:dyDescent="0.45">
      <c r="A55" s="17" t="s">
        <v>156</v>
      </c>
      <c r="B55" s="18">
        <f>+B25/B3</f>
        <v>0</v>
      </c>
      <c r="C55" s="19">
        <f t="shared" ref="C55:O55" si="39">+C25/C3</f>
        <v>0</v>
      </c>
      <c r="D55" s="18">
        <f t="shared" si="39"/>
        <v>31.653917172250065</v>
      </c>
      <c r="E55" s="19">
        <f t="shared" si="39"/>
        <v>0</v>
      </c>
      <c r="F55" s="18">
        <f t="shared" si="39"/>
        <v>0</v>
      </c>
      <c r="G55" s="19">
        <f t="shared" si="39"/>
        <v>31.653917172250065</v>
      </c>
      <c r="H55" s="18">
        <f t="shared" si="39"/>
        <v>0</v>
      </c>
      <c r="I55" s="19">
        <f t="shared" si="39"/>
        <v>0</v>
      </c>
      <c r="J55" s="18">
        <f t="shared" si="39"/>
        <v>31.653917172250065</v>
      </c>
      <c r="K55" s="19">
        <f t="shared" si="39"/>
        <v>0</v>
      </c>
      <c r="L55" s="18">
        <f t="shared" si="39"/>
        <v>0</v>
      </c>
      <c r="M55" s="19">
        <f t="shared" si="39"/>
        <v>31.653917172250065</v>
      </c>
      <c r="N55" s="44">
        <f t="shared" si="39"/>
        <v>126.61566868900026</v>
      </c>
      <c r="O55" s="44">
        <f t="shared" si="39"/>
        <v>176766.35155879991</v>
      </c>
      <c r="P55" s="44">
        <f t="shared" si="3"/>
        <v>-176639.73589011093</v>
      </c>
      <c r="Q55" s="136">
        <f t="shared" si="1"/>
        <v>-0.99928371170433494</v>
      </c>
    </row>
    <row r="56" spans="1:18" x14ac:dyDescent="0.45">
      <c r="A56" s="17" t="s">
        <v>157</v>
      </c>
      <c r="B56" s="18">
        <f>+B26/B3</f>
        <v>2084.9062961714922</v>
      </c>
      <c r="C56" s="19">
        <f t="shared" ref="C56:O56" si="40">+C26/C3</f>
        <v>2084.9062961714922</v>
      </c>
      <c r="D56" s="18">
        <f t="shared" si="40"/>
        <v>2084.9062961714922</v>
      </c>
      <c r="E56" s="19">
        <f t="shared" si="40"/>
        <v>2084.9062961714922</v>
      </c>
      <c r="F56" s="18">
        <f t="shared" si="40"/>
        <v>2084.9062961714922</v>
      </c>
      <c r="G56" s="19">
        <f t="shared" si="40"/>
        <v>2084.9062961714922</v>
      </c>
      <c r="H56" s="18">
        <f t="shared" si="40"/>
        <v>2084.9062961714922</v>
      </c>
      <c r="I56" s="19">
        <f t="shared" si="40"/>
        <v>2084.9062961714922</v>
      </c>
      <c r="J56" s="18">
        <f t="shared" si="40"/>
        <v>2084.9062961714922</v>
      </c>
      <c r="K56" s="19">
        <f t="shared" si="40"/>
        <v>2084.9062961714922</v>
      </c>
      <c r="L56" s="18">
        <f t="shared" si="40"/>
        <v>2084.9062961714922</v>
      </c>
      <c r="M56" s="19">
        <f t="shared" si="40"/>
        <v>2084.9062961714922</v>
      </c>
      <c r="N56" s="44">
        <f t="shared" si="40"/>
        <v>25018.875554057915</v>
      </c>
      <c r="O56" s="44">
        <f t="shared" si="40"/>
        <v>45610.997971333367</v>
      </c>
      <c r="P56" s="44">
        <f t="shared" si="3"/>
        <v>-20592.122417275452</v>
      </c>
      <c r="Q56" s="136">
        <f t="shared" si="1"/>
        <v>-0.45147274414424465</v>
      </c>
      <c r="R56" s="141"/>
    </row>
    <row r="57" spans="1:18" x14ac:dyDescent="0.45">
      <c r="A57" s="17" t="s">
        <v>158</v>
      </c>
      <c r="B57" s="18">
        <f>+B27/B3</f>
        <v>0</v>
      </c>
      <c r="C57" s="19">
        <f t="shared" ref="C57:O57" si="41">+C27/C3</f>
        <v>0</v>
      </c>
      <c r="D57" s="18">
        <f t="shared" si="41"/>
        <v>0</v>
      </c>
      <c r="E57" s="19">
        <f t="shared" si="41"/>
        <v>0</v>
      </c>
      <c r="F57" s="18">
        <f t="shared" si="41"/>
        <v>0</v>
      </c>
      <c r="G57" s="19">
        <f t="shared" si="41"/>
        <v>0</v>
      </c>
      <c r="H57" s="18">
        <f t="shared" si="41"/>
        <v>0</v>
      </c>
      <c r="I57" s="19">
        <f t="shared" si="41"/>
        <v>0</v>
      </c>
      <c r="J57" s="18">
        <f t="shared" si="41"/>
        <v>0</v>
      </c>
      <c r="K57" s="19">
        <f t="shared" si="41"/>
        <v>0</v>
      </c>
      <c r="L57" s="18">
        <f t="shared" si="41"/>
        <v>0</v>
      </c>
      <c r="M57" s="19">
        <f t="shared" si="41"/>
        <v>0</v>
      </c>
      <c r="N57" s="44">
        <f t="shared" si="41"/>
        <v>0</v>
      </c>
      <c r="O57" s="44">
        <f t="shared" si="41"/>
        <v>23079.422093023259</v>
      </c>
      <c r="P57" s="44">
        <f t="shared" si="3"/>
        <v>-23079.422093023259</v>
      </c>
      <c r="Q57" s="136">
        <f t="shared" si="1"/>
        <v>-1</v>
      </c>
      <c r="R57" s="141"/>
    </row>
    <row r="58" spans="1:18" x14ac:dyDescent="0.45">
      <c r="A58" s="17" t="s">
        <v>13</v>
      </c>
      <c r="B58" s="18">
        <f>+B28/B3</f>
        <v>0</v>
      </c>
      <c r="C58" s="19">
        <f t="shared" ref="C58:O58" si="42">+C28/C3</f>
        <v>0</v>
      </c>
      <c r="D58" s="18">
        <f t="shared" si="42"/>
        <v>0</v>
      </c>
      <c r="E58" s="19">
        <f t="shared" si="42"/>
        <v>0</v>
      </c>
      <c r="F58" s="18">
        <f t="shared" si="42"/>
        <v>0</v>
      </c>
      <c r="G58" s="19">
        <f t="shared" si="42"/>
        <v>0</v>
      </c>
      <c r="H58" s="18">
        <f t="shared" si="42"/>
        <v>0</v>
      </c>
      <c r="I58" s="19">
        <f t="shared" si="42"/>
        <v>0</v>
      </c>
      <c r="J58" s="18">
        <f t="shared" si="42"/>
        <v>0</v>
      </c>
      <c r="K58" s="19">
        <f t="shared" si="42"/>
        <v>0</v>
      </c>
      <c r="L58" s="18">
        <f t="shared" si="42"/>
        <v>0</v>
      </c>
      <c r="M58" s="19">
        <f t="shared" si="42"/>
        <v>0</v>
      </c>
      <c r="N58" s="44">
        <f t="shared" si="42"/>
        <v>0</v>
      </c>
      <c r="O58" s="44">
        <f t="shared" si="42"/>
        <v>8118.8282647584965</v>
      </c>
      <c r="P58" s="44">
        <f t="shared" si="3"/>
        <v>-8118.8282647584965</v>
      </c>
      <c r="Q58" s="136">
        <f t="shared" si="1"/>
        <v>-1</v>
      </c>
      <c r="R58" s="141"/>
    </row>
    <row r="59" spans="1:18" x14ac:dyDescent="0.45">
      <c r="A59" s="17" t="s">
        <v>18</v>
      </c>
      <c r="B59" s="18">
        <f>+B29/B3</f>
        <v>5126.0011923585371</v>
      </c>
      <c r="C59" s="19">
        <f t="shared" ref="C59:O59" si="43">+C29/C3</f>
        <v>257.44576064698407</v>
      </c>
      <c r="D59" s="18">
        <f t="shared" si="43"/>
        <v>257.44576064698407</v>
      </c>
      <c r="E59" s="19">
        <f t="shared" si="43"/>
        <v>257.44576064698407</v>
      </c>
      <c r="F59" s="18">
        <f t="shared" si="43"/>
        <v>257.44576064698407</v>
      </c>
      <c r="G59" s="19">
        <f t="shared" si="43"/>
        <v>257.44576064698407</v>
      </c>
      <c r="H59" s="18">
        <f t="shared" si="43"/>
        <v>370.66797998911318</v>
      </c>
      <c r="I59" s="19">
        <f t="shared" si="43"/>
        <v>257.44576064698407</v>
      </c>
      <c r="J59" s="18">
        <f t="shared" si="43"/>
        <v>661.81082972601678</v>
      </c>
      <c r="K59" s="19">
        <f t="shared" si="43"/>
        <v>257.44576064698407</v>
      </c>
      <c r="L59" s="18">
        <f t="shared" si="43"/>
        <v>257.44576064698407</v>
      </c>
      <c r="M59" s="19">
        <f t="shared" si="43"/>
        <v>257.44576064698407</v>
      </c>
      <c r="N59" s="44">
        <f t="shared" si="43"/>
        <v>8475.4918478965228</v>
      </c>
      <c r="O59" s="44">
        <f t="shared" si="43"/>
        <v>9968.5848835266042</v>
      </c>
      <c r="P59" s="44">
        <f t="shared" si="3"/>
        <v>-1493.0930356300814</v>
      </c>
      <c r="Q59" s="136">
        <f t="shared" si="1"/>
        <v>-0.14977983867072889</v>
      </c>
      <c r="R59" s="141"/>
    </row>
    <row r="60" spans="1:18" x14ac:dyDescent="0.45">
      <c r="A60" s="17" t="s">
        <v>14</v>
      </c>
      <c r="B60" s="18">
        <f>+B32/B3</f>
        <v>4377.462397935642</v>
      </c>
      <c r="C60" s="50">
        <f t="shared" ref="C60:O60" si="44">+C32/C3</f>
        <v>4377.462397935642</v>
      </c>
      <c r="D60" s="49">
        <f t="shared" si="44"/>
        <v>4377.462397935642</v>
      </c>
      <c r="E60" s="19">
        <f t="shared" si="44"/>
        <v>4377.462397935642</v>
      </c>
      <c r="F60" s="18">
        <f t="shared" si="44"/>
        <v>4377.462397935642</v>
      </c>
      <c r="G60" s="19">
        <f t="shared" si="44"/>
        <v>4377.462397935642</v>
      </c>
      <c r="H60" s="18">
        <f t="shared" si="44"/>
        <v>4377.462397935642</v>
      </c>
      <c r="I60" s="19">
        <f t="shared" si="44"/>
        <v>4377.462397935642</v>
      </c>
      <c r="J60" s="18">
        <f t="shared" si="44"/>
        <v>4377.462397935642</v>
      </c>
      <c r="K60" s="19">
        <f t="shared" si="44"/>
        <v>4377.462397935642</v>
      </c>
      <c r="L60" s="18">
        <f t="shared" si="44"/>
        <v>4377.462397935642</v>
      </c>
      <c r="M60" s="19">
        <f t="shared" si="44"/>
        <v>4377.462397935642</v>
      </c>
      <c r="N60" s="44">
        <f t="shared" si="44"/>
        <v>52529.548775227704</v>
      </c>
      <c r="O60" s="44">
        <f t="shared" si="44"/>
        <v>66955.764129644202</v>
      </c>
      <c r="P60" s="44">
        <f t="shared" si="3"/>
        <v>-14426.215354416498</v>
      </c>
      <c r="Q60" s="136">
        <f t="shared" si="1"/>
        <v>-0.21545890099145909</v>
      </c>
      <c r="R60" s="141"/>
    </row>
    <row r="61" spans="1:18" x14ac:dyDescent="0.45">
      <c r="A61" s="131" t="s">
        <v>165</v>
      </c>
      <c r="B61" s="123"/>
      <c r="C61" s="124"/>
      <c r="D61" s="123"/>
      <c r="E61" s="124"/>
      <c r="F61" s="123"/>
      <c r="G61" s="124"/>
      <c r="H61" s="123"/>
      <c r="I61" s="124"/>
      <c r="J61" s="123"/>
      <c r="K61" s="124"/>
      <c r="L61" s="123"/>
      <c r="M61" s="124"/>
      <c r="N61" s="125"/>
      <c r="O61" s="125"/>
      <c r="P61" s="125"/>
      <c r="Q61" s="125"/>
      <c r="R61" s="141"/>
    </row>
    <row r="62" spans="1:18" x14ac:dyDescent="0.45">
      <c r="A62" s="17" t="s">
        <v>160</v>
      </c>
      <c r="B62" s="126"/>
      <c r="C62" s="127"/>
      <c r="D62" s="18">
        <f>+B10+C10+D10</f>
        <v>141174.03844226385</v>
      </c>
      <c r="E62" s="127"/>
      <c r="F62" s="126"/>
      <c r="G62" s="127"/>
      <c r="H62" s="126"/>
      <c r="I62" s="127"/>
      <c r="J62" s="126"/>
      <c r="K62" s="127"/>
      <c r="L62" s="126"/>
      <c r="M62" s="127"/>
      <c r="N62" s="128"/>
      <c r="O62" s="128"/>
      <c r="P62" s="128"/>
      <c r="Q62" s="128"/>
      <c r="R62" s="141"/>
    </row>
    <row r="63" spans="1:18" x14ac:dyDescent="0.45">
      <c r="A63" s="17" t="s">
        <v>161</v>
      </c>
      <c r="B63" s="126"/>
      <c r="C63" s="127"/>
      <c r="D63" s="129">
        <f>+D62/N5</f>
        <v>1.9383384950710718E-4</v>
      </c>
      <c r="E63" s="130">
        <f>+D63</f>
        <v>1.9383384950710718E-4</v>
      </c>
      <c r="F63" s="129">
        <f t="shared" ref="F63:M63" si="45">+E63</f>
        <v>1.9383384950710718E-4</v>
      </c>
      <c r="G63" s="130">
        <f t="shared" si="45"/>
        <v>1.9383384950710718E-4</v>
      </c>
      <c r="H63" s="129">
        <f t="shared" si="45"/>
        <v>1.9383384950710718E-4</v>
      </c>
      <c r="I63" s="130">
        <f t="shared" si="45"/>
        <v>1.9383384950710718E-4</v>
      </c>
      <c r="J63" s="129">
        <f t="shared" si="45"/>
        <v>1.9383384950710718E-4</v>
      </c>
      <c r="K63" s="130">
        <f t="shared" si="45"/>
        <v>1.9383384950710718E-4</v>
      </c>
      <c r="L63" s="129">
        <f t="shared" si="45"/>
        <v>1.9383384950710718E-4</v>
      </c>
      <c r="M63" s="130">
        <f t="shared" si="45"/>
        <v>1.9383384950710718E-4</v>
      </c>
      <c r="N63" s="128"/>
      <c r="O63" s="128"/>
      <c r="P63" s="128"/>
      <c r="Q63" s="128"/>
      <c r="R63" s="141"/>
    </row>
    <row r="64" spans="1:18" x14ac:dyDescent="0.45">
      <c r="A64" s="17" t="s">
        <v>162</v>
      </c>
      <c r="B64" s="126"/>
      <c r="C64" s="127"/>
      <c r="D64" s="126"/>
      <c r="E64" s="19">
        <f>+E63*E5</f>
        <v>20914.672361816869</v>
      </c>
      <c r="F64" s="18">
        <f t="shared" ref="F64:M64" si="46">+F63*F5</f>
        <v>20914.672361816869</v>
      </c>
      <c r="G64" s="19">
        <f t="shared" si="46"/>
        <v>15686.004271362648</v>
      </c>
      <c r="H64" s="18">
        <f t="shared" si="46"/>
        <v>15686.004271362648</v>
      </c>
      <c r="I64" s="19">
        <f t="shared" si="46"/>
        <v>20914.672361816869</v>
      </c>
      <c r="J64" s="18">
        <f t="shared" si="46"/>
        <v>15686.004271362648</v>
      </c>
      <c r="K64" s="19">
        <f t="shared" si="46"/>
        <v>15686.004271362648</v>
      </c>
      <c r="L64" s="18">
        <f t="shared" si="46"/>
        <v>10457.336180908434</v>
      </c>
      <c r="M64" s="19">
        <f t="shared" si="46"/>
        <v>5228.6680904542172</v>
      </c>
      <c r="N64" s="128"/>
      <c r="O64" s="128"/>
      <c r="P64" s="128"/>
      <c r="Q64" s="128"/>
      <c r="R64" s="141"/>
    </row>
    <row r="65" spans="1:18" x14ac:dyDescent="0.45">
      <c r="A65" s="17" t="s">
        <v>163</v>
      </c>
      <c r="B65" s="126"/>
      <c r="C65" s="127"/>
      <c r="D65" s="126"/>
      <c r="E65" s="19">
        <f>+D62-E64</f>
        <v>120259.36608044698</v>
      </c>
      <c r="F65" s="18">
        <f>+E65-F64</f>
        <v>99344.693718630122</v>
      </c>
      <c r="G65" s="19">
        <f t="shared" ref="G65:M65" si="47">+F65-G64</f>
        <v>83658.689447267476</v>
      </c>
      <c r="H65" s="18">
        <f t="shared" si="47"/>
        <v>67972.68517590483</v>
      </c>
      <c r="I65" s="19">
        <f t="shared" si="47"/>
        <v>47058.012814087961</v>
      </c>
      <c r="J65" s="18">
        <f t="shared" si="47"/>
        <v>31372.008542725314</v>
      </c>
      <c r="K65" s="19">
        <f t="shared" si="47"/>
        <v>15686.004271362666</v>
      </c>
      <c r="L65" s="18">
        <f t="shared" si="47"/>
        <v>5228.6680904542318</v>
      </c>
      <c r="M65" s="19">
        <f t="shared" si="47"/>
        <v>1.4551915228366852E-11</v>
      </c>
      <c r="N65" s="128"/>
      <c r="O65" s="128"/>
      <c r="P65" s="128"/>
      <c r="Q65" s="128"/>
      <c r="R65" s="141"/>
    </row>
    <row r="66" spans="1:18" x14ac:dyDescent="0.45">
      <c r="A66" s="17" t="s">
        <v>164</v>
      </c>
      <c r="B66" s="126"/>
      <c r="C66" s="127"/>
      <c r="D66" s="126"/>
      <c r="E66" s="19">
        <f>+E65-D62</f>
        <v>-20914.672361816862</v>
      </c>
      <c r="F66" s="18">
        <f>+F65-E65</f>
        <v>-20914.672361816862</v>
      </c>
      <c r="G66" s="19">
        <f t="shared" ref="G66:M66" si="48">+G65-F65</f>
        <v>-15686.004271362646</v>
      </c>
      <c r="H66" s="18">
        <f t="shared" si="48"/>
        <v>-15686.004271362646</v>
      </c>
      <c r="I66" s="19">
        <f t="shared" si="48"/>
        <v>-20914.672361816869</v>
      </c>
      <c r="J66" s="18">
        <f t="shared" si="48"/>
        <v>-15686.004271362646</v>
      </c>
      <c r="K66" s="19">
        <f t="shared" si="48"/>
        <v>-15686.004271362648</v>
      </c>
      <c r="L66" s="18">
        <f t="shared" si="48"/>
        <v>-10457.336180908434</v>
      </c>
      <c r="M66" s="19">
        <f t="shared" si="48"/>
        <v>-5228.6680904542172</v>
      </c>
      <c r="N66" s="128"/>
      <c r="O66" s="128"/>
      <c r="P66" s="128"/>
      <c r="Q66" s="128"/>
      <c r="R66" s="141"/>
    </row>
    <row r="67" spans="1:18" x14ac:dyDescent="0.45">
      <c r="A67" s="4"/>
      <c r="B67" s="117"/>
      <c r="C67" s="118"/>
      <c r="D67" s="117"/>
      <c r="E67" s="118"/>
      <c r="F67" s="117"/>
      <c r="G67" s="118"/>
      <c r="H67" s="117"/>
      <c r="I67" s="118"/>
      <c r="J67" s="117"/>
      <c r="K67" s="118"/>
      <c r="L67" s="117"/>
      <c r="M67" s="118"/>
      <c r="N67" s="119"/>
      <c r="O67" s="119"/>
      <c r="P67" s="119"/>
      <c r="Q67" s="119"/>
      <c r="R67" s="141"/>
    </row>
    <row r="68" spans="1:18" x14ac:dyDescent="0.45">
      <c r="A68" s="4"/>
      <c r="B68" s="120"/>
      <c r="C68" s="121"/>
      <c r="D68" s="120"/>
      <c r="E68" s="121"/>
      <c r="F68" s="120"/>
      <c r="G68" s="121"/>
      <c r="H68" s="120"/>
      <c r="I68" s="121"/>
      <c r="J68" s="120"/>
      <c r="K68" s="121"/>
      <c r="L68" s="120"/>
      <c r="M68" s="121"/>
      <c r="N68" s="122"/>
      <c r="O68" s="122"/>
      <c r="P68" s="122"/>
      <c r="Q68" s="122"/>
      <c r="R68" s="141"/>
    </row>
    <row r="69" spans="1:18" x14ac:dyDescent="0.45">
      <c r="A69" s="52"/>
      <c r="B69" s="54"/>
      <c r="C69" s="55"/>
      <c r="D69" s="54"/>
      <c r="E69" s="55"/>
      <c r="F69" s="54"/>
      <c r="G69" s="55"/>
      <c r="H69" s="54"/>
      <c r="I69" s="55"/>
      <c r="J69" s="54"/>
      <c r="K69" s="55"/>
      <c r="L69" s="54"/>
      <c r="M69" s="55"/>
      <c r="N69" s="56"/>
      <c r="O69" s="56"/>
      <c r="P69" s="56"/>
      <c r="Q69" s="56"/>
      <c r="R69" s="141"/>
    </row>
    <row r="70" spans="1:18" x14ac:dyDescent="0.45">
      <c r="A70" s="52"/>
      <c r="B70" s="54"/>
      <c r="C70" s="55"/>
      <c r="D70" s="54"/>
      <c r="E70" s="55"/>
      <c r="F70" s="54"/>
      <c r="G70" s="55"/>
      <c r="H70" s="54"/>
      <c r="I70" s="55"/>
      <c r="J70" s="54"/>
      <c r="K70" s="55"/>
      <c r="L70" s="54"/>
      <c r="M70" s="55"/>
      <c r="N70" s="56"/>
      <c r="O70" s="56"/>
      <c r="P70" s="56"/>
      <c r="Q70" s="56"/>
      <c r="R70" s="141"/>
    </row>
    <row r="71" spans="1:18" x14ac:dyDescent="0.45">
      <c r="A71" s="52"/>
      <c r="B71" s="54"/>
      <c r="C71" s="55"/>
      <c r="D71" s="54"/>
      <c r="E71" s="55"/>
      <c r="F71" s="54"/>
      <c r="G71" s="55"/>
      <c r="H71" s="54"/>
      <c r="I71" s="55"/>
      <c r="J71" s="54"/>
      <c r="K71" s="55"/>
      <c r="L71" s="54"/>
      <c r="M71" s="55"/>
      <c r="N71" s="56"/>
      <c r="O71" s="56"/>
      <c r="P71" s="56"/>
      <c r="Q71" s="56"/>
      <c r="R71" s="141"/>
    </row>
    <row r="72" spans="1:18" x14ac:dyDescent="0.45">
      <c r="A72" s="53"/>
      <c r="B72" s="54"/>
      <c r="C72" s="55"/>
      <c r="D72" s="54"/>
      <c r="E72" s="55"/>
      <c r="F72" s="54"/>
      <c r="G72" s="55"/>
      <c r="H72" s="54"/>
      <c r="I72" s="55"/>
      <c r="J72" s="54"/>
      <c r="K72" s="55"/>
      <c r="L72" s="54"/>
      <c r="M72" s="55"/>
      <c r="N72" s="56"/>
      <c r="O72" s="56"/>
      <c r="P72" s="56"/>
      <c r="Q72" s="56"/>
      <c r="R72" s="141"/>
    </row>
    <row r="73" spans="1:18" x14ac:dyDescent="0.45">
      <c r="A73" s="53"/>
      <c r="B73" s="54"/>
      <c r="C73" s="55"/>
      <c r="D73" s="54"/>
      <c r="E73" s="55"/>
      <c r="F73" s="54"/>
      <c r="G73" s="55"/>
      <c r="H73" s="54"/>
      <c r="I73" s="55"/>
      <c r="J73" s="54"/>
      <c r="K73" s="55"/>
      <c r="L73" s="54"/>
      <c r="M73" s="55"/>
      <c r="N73" s="56"/>
      <c r="O73" s="56"/>
      <c r="P73" s="56"/>
      <c r="Q73" s="56"/>
      <c r="R73" s="141"/>
    </row>
    <row r="74" spans="1:18" x14ac:dyDescent="0.45">
      <c r="A74" s="53"/>
      <c r="B74" s="54"/>
      <c r="C74" s="55"/>
      <c r="D74" s="54"/>
      <c r="E74" s="55"/>
      <c r="F74" s="54"/>
      <c r="G74" s="55"/>
      <c r="H74" s="54"/>
      <c r="I74" s="55"/>
      <c r="J74" s="54"/>
      <c r="K74" s="55"/>
      <c r="L74" s="54"/>
      <c r="M74" s="55"/>
      <c r="N74" s="56"/>
      <c r="O74" s="56"/>
      <c r="P74" s="56"/>
      <c r="Q74" s="56"/>
      <c r="R74" s="141"/>
    </row>
    <row r="75" spans="1:18" x14ac:dyDescent="0.45">
      <c r="R75" s="141"/>
    </row>
    <row r="76" spans="1:18" x14ac:dyDescent="0.45">
      <c r="R76" s="141"/>
    </row>
    <row r="77" spans="1:18" x14ac:dyDescent="0.45">
      <c r="R77" s="141"/>
    </row>
    <row r="78" spans="1:18" x14ac:dyDescent="0.45">
      <c r="R78" s="141"/>
    </row>
    <row r="79" spans="1:18" x14ac:dyDescent="0.45">
      <c r="R79" s="141"/>
    </row>
    <row r="80" spans="1:18" x14ac:dyDescent="0.45">
      <c r="R80" s="141"/>
    </row>
    <row r="81" spans="18:18" x14ac:dyDescent="0.45">
      <c r="R81" s="141"/>
    </row>
    <row r="82" spans="18:18" x14ac:dyDescent="0.45">
      <c r="R82" s="141"/>
    </row>
    <row r="83" spans="18:18" x14ac:dyDescent="0.45">
      <c r="R83" s="141"/>
    </row>
    <row r="84" spans="18:18" x14ac:dyDescent="0.45">
      <c r="R84" s="141"/>
    </row>
    <row r="85" spans="18:18" x14ac:dyDescent="0.45">
      <c r="R85" s="141"/>
    </row>
    <row r="86" spans="18:18" x14ac:dyDescent="0.45">
      <c r="R86" s="14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39D5-A767-496A-8082-17E36514DCDB}">
  <sheetPr>
    <tabColor rgb="FF92D050"/>
  </sheetPr>
  <dimension ref="A1:T86"/>
  <sheetViews>
    <sheetView workbookViewId="0">
      <selection activeCell="A7" sqref="A7:A8"/>
    </sheetView>
  </sheetViews>
  <sheetFormatPr baseColWidth="10" defaultColWidth="11.46484375" defaultRowHeight="14.25" x14ac:dyDescent="0.45"/>
  <cols>
    <col min="1" max="1" width="25.265625" style="1" bestFit="1" customWidth="1"/>
    <col min="2" max="2" width="6.9296875" style="2" bestFit="1" customWidth="1"/>
    <col min="3" max="3" width="6.9296875" style="3" bestFit="1" customWidth="1"/>
    <col min="4" max="4" width="7.53125" style="2" bestFit="1" customWidth="1"/>
    <col min="5" max="5" width="7.53125" style="3" bestFit="1" customWidth="1"/>
    <col min="6" max="6" width="7.53125" style="2" bestFit="1" customWidth="1"/>
    <col min="7" max="7" width="7.53125" style="3" bestFit="1" customWidth="1"/>
    <col min="8" max="8" width="7.53125" style="2" bestFit="1" customWidth="1"/>
    <col min="9" max="9" width="7.53125" style="3" bestFit="1" customWidth="1"/>
    <col min="10" max="10" width="7.53125" style="2" bestFit="1" customWidth="1"/>
    <col min="11" max="11" width="7.53125" style="3" bestFit="1" customWidth="1"/>
    <col min="12" max="12" width="7.53125" style="2" bestFit="1" customWidth="1"/>
    <col min="13" max="13" width="7.53125" style="3" bestFit="1" customWidth="1"/>
    <col min="14" max="14" width="7.53125" style="22" bestFit="1" customWidth="1"/>
    <col min="15" max="15" width="8.9296875" style="22" bestFit="1" customWidth="1"/>
    <col min="16" max="17" width="8.59765625" style="22" bestFit="1" customWidth="1"/>
    <col min="18" max="18" width="15.46484375" style="139" bestFit="1" customWidth="1"/>
    <col min="19" max="19" width="8.19921875" style="139" bestFit="1" customWidth="1"/>
    <col min="20" max="16384" width="11.46484375" style="1"/>
  </cols>
  <sheetData>
    <row r="1" spans="1:19" s="32" customFormat="1" ht="11.65" x14ac:dyDescent="0.35">
      <c r="B1" s="143" t="s">
        <v>78</v>
      </c>
      <c r="C1" s="144" t="s">
        <v>78</v>
      </c>
      <c r="D1" s="143" t="s">
        <v>78</v>
      </c>
      <c r="E1" s="144" t="s">
        <v>78</v>
      </c>
      <c r="F1" s="143" t="s">
        <v>78</v>
      </c>
      <c r="G1" s="144" t="s">
        <v>78</v>
      </c>
      <c r="H1" s="143" t="s">
        <v>78</v>
      </c>
      <c r="I1" s="144" t="s">
        <v>78</v>
      </c>
      <c r="J1" s="143" t="s">
        <v>78</v>
      </c>
      <c r="K1" s="144" t="s">
        <v>78</v>
      </c>
      <c r="L1" s="143" t="s">
        <v>78</v>
      </c>
      <c r="M1" s="144" t="s">
        <v>78</v>
      </c>
      <c r="N1" s="145" t="s">
        <v>78</v>
      </c>
      <c r="O1" s="145" t="s">
        <v>228</v>
      </c>
      <c r="P1" s="145" t="s">
        <v>177</v>
      </c>
      <c r="Q1" s="145" t="s">
        <v>177</v>
      </c>
      <c r="R1" s="137"/>
      <c r="S1" s="138"/>
    </row>
    <row r="2" spans="1:19" ht="14.65" thickBot="1" x14ac:dyDescent="0.5">
      <c r="A2" s="5" t="s">
        <v>332</v>
      </c>
      <c r="B2" s="23">
        <v>43647</v>
      </c>
      <c r="C2" s="24">
        <f>+B2+31</f>
        <v>43678</v>
      </c>
      <c r="D2" s="23">
        <f t="shared" ref="D2:M2" si="0">+C2+31</f>
        <v>43709</v>
      </c>
      <c r="E2" s="24">
        <f t="shared" si="0"/>
        <v>43740</v>
      </c>
      <c r="F2" s="23">
        <f t="shared" si="0"/>
        <v>43771</v>
      </c>
      <c r="G2" s="24">
        <f t="shared" si="0"/>
        <v>43802</v>
      </c>
      <c r="H2" s="23">
        <f t="shared" si="0"/>
        <v>43833</v>
      </c>
      <c r="I2" s="24">
        <f t="shared" si="0"/>
        <v>43864</v>
      </c>
      <c r="J2" s="23">
        <f t="shared" si="0"/>
        <v>43895</v>
      </c>
      <c r="K2" s="24">
        <f t="shared" si="0"/>
        <v>43926</v>
      </c>
      <c r="L2" s="23">
        <f t="shared" si="0"/>
        <v>43957</v>
      </c>
      <c r="M2" s="24">
        <f t="shared" si="0"/>
        <v>43988</v>
      </c>
      <c r="N2" s="25" t="s">
        <v>239</v>
      </c>
      <c r="O2" s="25" t="s">
        <v>230</v>
      </c>
      <c r="P2" s="25" t="s">
        <v>229</v>
      </c>
      <c r="Q2" s="25" t="s">
        <v>178</v>
      </c>
      <c r="R2" s="139" t="s">
        <v>155</v>
      </c>
      <c r="S2" s="139" t="s">
        <v>79</v>
      </c>
    </row>
    <row r="3" spans="1:19" x14ac:dyDescent="0.45">
      <c r="A3" s="26" t="s">
        <v>27</v>
      </c>
      <c r="B3" s="6">
        <f>+'Plan de culture 107'!$C$3</f>
        <v>16.558</v>
      </c>
      <c r="C3" s="7">
        <f>+'Plan de culture 107'!$C$3</f>
        <v>16.558</v>
      </c>
      <c r="D3" s="6">
        <f>+'Plan de culture 107'!$C$3</f>
        <v>16.558</v>
      </c>
      <c r="E3" s="7">
        <f>+'Plan de culture 107'!$C$3</f>
        <v>16.558</v>
      </c>
      <c r="F3" s="6">
        <f>+'Plan de culture 107'!$C$3</f>
        <v>16.558</v>
      </c>
      <c r="G3" s="7">
        <f>+'Plan de culture 107'!$C$3</f>
        <v>16.558</v>
      </c>
      <c r="H3" s="6">
        <f>+'Plan de culture 107'!$C$3</f>
        <v>16.558</v>
      </c>
      <c r="I3" s="7">
        <f>+'Plan de culture 107'!$C$3</f>
        <v>16.558</v>
      </c>
      <c r="J3" s="6">
        <f>+'Plan de culture 107'!$C$3</f>
        <v>16.558</v>
      </c>
      <c r="K3" s="7">
        <f>+'Plan de culture 107'!$C$3</f>
        <v>16.558</v>
      </c>
      <c r="L3" s="6">
        <f>+'Plan de culture 107'!$C$3</f>
        <v>16.558</v>
      </c>
      <c r="M3" s="7">
        <f>+'Plan de culture 107'!$C$3</f>
        <v>16.558</v>
      </c>
      <c r="N3" s="20">
        <f>+'Plan de culture 107'!$C$3</f>
        <v>16.558</v>
      </c>
      <c r="O3" s="20">
        <v>6.8</v>
      </c>
      <c r="P3" s="20">
        <f>+N3-O3</f>
        <v>9.7579999999999991</v>
      </c>
      <c r="Q3" s="133">
        <f>+P3/O3</f>
        <v>1.4349999999999998</v>
      </c>
      <c r="R3" s="140">
        <f>+'Plan de culture 104 '!$B$3</f>
        <v>0</v>
      </c>
      <c r="S3" s="140">
        <f>+N3-R3</f>
        <v>16.558</v>
      </c>
    </row>
    <row r="4" spans="1:19" x14ac:dyDescent="0.45">
      <c r="A4" s="26" t="s">
        <v>23</v>
      </c>
      <c r="B4" s="6">
        <f>+'Budget Volumes Export'!B8</f>
        <v>15.350000000000003</v>
      </c>
      <c r="C4" s="7">
        <f>+'Budget Volumes Export'!C8</f>
        <v>15.350000000000003</v>
      </c>
      <c r="D4" s="6">
        <f>+'Budget Volumes Export'!D8</f>
        <v>15.350000000000003</v>
      </c>
      <c r="E4" s="7">
        <f>+'Budget Volumes Export'!E8</f>
        <v>15.350000000000003</v>
      </c>
      <c r="F4" s="6">
        <f>+'Budget Volumes Export'!F8</f>
        <v>15.350000000000003</v>
      </c>
      <c r="G4" s="7">
        <f>+'Budget Volumes Export'!G8</f>
        <v>15.350000000000003</v>
      </c>
      <c r="H4" s="6">
        <f>+'Budget Volumes Export'!H8</f>
        <v>15.350000000000003</v>
      </c>
      <c r="I4" s="7">
        <f>+'Budget Volumes Export'!I8</f>
        <v>15.350000000000003</v>
      </c>
      <c r="J4" s="6">
        <f>+'Budget Volumes Export'!J8</f>
        <v>15.350000000000003</v>
      </c>
      <c r="K4" s="7">
        <f>+'Budget Volumes Export'!K8</f>
        <v>15.350000000000003</v>
      </c>
      <c r="L4" s="6">
        <f>+'Budget Volumes Export'!L8</f>
        <v>15.350000000000003</v>
      </c>
      <c r="M4" s="7">
        <f>+'Budget Volumes Export'!M8</f>
        <v>15.350000000000003</v>
      </c>
      <c r="N4" s="20">
        <f>+'Budget Volumes Export'!N8</f>
        <v>15.350000000000003</v>
      </c>
      <c r="O4" s="20">
        <v>6.8</v>
      </c>
      <c r="P4" s="20">
        <f>+N4-O4</f>
        <v>8.5500000000000043</v>
      </c>
      <c r="Q4" s="133">
        <f>+P4/O4</f>
        <v>1.2573529411764712</v>
      </c>
      <c r="R4" s="140">
        <f>+'Budget Volumes Export'!N8</f>
        <v>15.350000000000003</v>
      </c>
      <c r="S4" s="140">
        <f>+N4-R4</f>
        <v>0</v>
      </c>
    </row>
    <row r="5" spans="1:19" x14ac:dyDescent="0.45">
      <c r="A5" s="26" t="s">
        <v>0</v>
      </c>
      <c r="B5" s="8">
        <f>+'Budget Volumes Export'!B7*1000</f>
        <v>0</v>
      </c>
      <c r="C5" s="9">
        <f>+'Budget Volumes Export'!C7*1000</f>
        <v>0</v>
      </c>
      <c r="D5" s="8">
        <f>+'Budget Volumes Export'!D7*1000</f>
        <v>0</v>
      </c>
      <c r="E5" s="9">
        <f>+'Budget Volumes Export'!E7*1000</f>
        <v>0</v>
      </c>
      <c r="F5" s="8">
        <f>+'Budget Volumes Export'!F7*1000</f>
        <v>307000000.00000006</v>
      </c>
      <c r="G5" s="9">
        <f>+'Budget Volumes Export'!G7*1000</f>
        <v>230250000.00000006</v>
      </c>
      <c r="H5" s="8">
        <f>+'Budget Volumes Export'!H7*1000</f>
        <v>230250000.00000006</v>
      </c>
      <c r="I5" s="9">
        <f>+'Budget Volumes Export'!I7*1000</f>
        <v>307000000.00000006</v>
      </c>
      <c r="J5" s="8">
        <f>+'Budget Volumes Export'!J7*1000</f>
        <v>230250000.00000006</v>
      </c>
      <c r="K5" s="9">
        <f>+'Budget Volumes Export'!K7*1000</f>
        <v>230250000.00000006</v>
      </c>
      <c r="L5" s="8">
        <f>+'Budget Volumes Export'!L7*1000</f>
        <v>153500000.00000003</v>
      </c>
      <c r="M5" s="9">
        <f>+'Budget Volumes Export'!M7*1000</f>
        <v>76750000.000000015</v>
      </c>
      <c r="N5" s="31">
        <f>SUM(B5:M5)</f>
        <v>1765250000.0000002</v>
      </c>
      <c r="O5" s="31">
        <v>1108263.6814606742</v>
      </c>
      <c r="P5" s="31">
        <f>+N5-O5</f>
        <v>1764141736.3185396</v>
      </c>
      <c r="Q5" s="134">
        <f t="shared" ref="Q5:Q60" si="1">+P5/O5</f>
        <v>1591.8068649451984</v>
      </c>
      <c r="R5" s="141">
        <f>+'Budget Volumes Export'!N7*1000</f>
        <v>1765250000.0000002</v>
      </c>
      <c r="S5" s="140">
        <f>+N5-R5</f>
        <v>0</v>
      </c>
    </row>
    <row r="6" spans="1:19" x14ac:dyDescent="0.45">
      <c r="A6" s="17" t="s">
        <v>1</v>
      </c>
      <c r="B6" s="10">
        <f>+B5/B4/1000</f>
        <v>0</v>
      </c>
      <c r="C6" s="11">
        <f t="shared" ref="C6:O6" si="2">+C5/C4/1000</f>
        <v>0</v>
      </c>
      <c r="D6" s="10">
        <f t="shared" si="2"/>
        <v>0</v>
      </c>
      <c r="E6" s="11">
        <f t="shared" si="2"/>
        <v>0</v>
      </c>
      <c r="F6" s="10">
        <f t="shared" si="2"/>
        <v>20000</v>
      </c>
      <c r="G6" s="11">
        <f t="shared" si="2"/>
        <v>15000</v>
      </c>
      <c r="H6" s="10">
        <f t="shared" si="2"/>
        <v>15000</v>
      </c>
      <c r="I6" s="11">
        <f t="shared" si="2"/>
        <v>20000</v>
      </c>
      <c r="J6" s="10">
        <f t="shared" si="2"/>
        <v>15000</v>
      </c>
      <c r="K6" s="11">
        <f t="shared" si="2"/>
        <v>15000</v>
      </c>
      <c r="L6" s="10">
        <f t="shared" si="2"/>
        <v>10000</v>
      </c>
      <c r="M6" s="11">
        <f t="shared" si="2"/>
        <v>5000</v>
      </c>
      <c r="N6" s="45">
        <f t="shared" si="2"/>
        <v>114999.99999999999</v>
      </c>
      <c r="O6" s="45">
        <f t="shared" si="2"/>
        <v>162.97995315598149</v>
      </c>
      <c r="P6" s="45">
        <f t="shared" ref="P6:P60" si="3">+N6-O6</f>
        <v>114837.020046844</v>
      </c>
      <c r="Q6" s="135">
        <f t="shared" si="1"/>
        <v>704.60825287474563</v>
      </c>
      <c r="R6" s="141">
        <f t="shared" ref="R6" si="4">+R5/R4/1000</f>
        <v>114999.99999999999</v>
      </c>
      <c r="S6" s="140">
        <f>+N6-R6</f>
        <v>0</v>
      </c>
    </row>
    <row r="7" spans="1:19" x14ac:dyDescent="0.45">
      <c r="A7" s="32" t="s">
        <v>477</v>
      </c>
      <c r="B7" s="12">
        <f>+'Budget Commercial Export'!B7</f>
        <v>0</v>
      </c>
      <c r="C7" s="13">
        <f>+'Budget Commercial Export'!C7</f>
        <v>0</v>
      </c>
      <c r="D7" s="12">
        <f>+'Budget Commercial Export'!D7</f>
        <v>0</v>
      </c>
      <c r="E7" s="13">
        <f>+'Budget Commercial Export'!E7</f>
        <v>0</v>
      </c>
      <c r="F7" s="12">
        <f>+'Budget Commercial Export'!F7</f>
        <v>3070000.0000000005</v>
      </c>
      <c r="G7" s="13">
        <f>+'Budget Commercial Export'!G7</f>
        <v>2302500.0000000005</v>
      </c>
      <c r="H7" s="12">
        <f>+'Budget Commercial Export'!H7</f>
        <v>2302500.0000000005</v>
      </c>
      <c r="I7" s="13">
        <f>+'Budget Commercial Export'!I7</f>
        <v>3070000.0000000005</v>
      </c>
      <c r="J7" s="12">
        <f>+'Budget Commercial Export'!J7</f>
        <v>2302500.0000000005</v>
      </c>
      <c r="K7" s="13">
        <f>+'Budget Commercial Export'!K7</f>
        <v>2302500.0000000005</v>
      </c>
      <c r="L7" s="12">
        <f>+'Budget Commercial Export'!L7</f>
        <v>1535000.0000000002</v>
      </c>
      <c r="M7" s="13">
        <f>+'Budget Commercial Export'!M7</f>
        <v>767500.00000000012</v>
      </c>
      <c r="N7" s="31">
        <f t="shared" ref="N7:N32" si="5">SUM(B7:M7)</f>
        <v>17652500.000000004</v>
      </c>
      <c r="O7" s="31">
        <v>2538893.701065952</v>
      </c>
      <c r="P7" s="31">
        <f t="shared" si="3"/>
        <v>15113606.298934052</v>
      </c>
      <c r="Q7" s="134">
        <f t="shared" si="1"/>
        <v>5.9528314606431216</v>
      </c>
      <c r="R7" s="141">
        <f>+'Budget Commercial Export'!N7</f>
        <v>17652500.000000004</v>
      </c>
      <c r="S7" s="140">
        <f>+N7-R7</f>
        <v>0</v>
      </c>
    </row>
    <row r="8" spans="1:19" x14ac:dyDescent="0.45">
      <c r="A8" s="32" t="s">
        <v>478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31"/>
      <c r="O8" s="31"/>
      <c r="P8" s="31"/>
      <c r="Q8" s="134"/>
      <c r="R8" s="141"/>
      <c r="S8" s="140"/>
    </row>
    <row r="9" spans="1:19" x14ac:dyDescent="0.45">
      <c r="A9" s="32" t="s">
        <v>57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31">
        <f t="shared" si="5"/>
        <v>0</v>
      </c>
      <c r="O9" s="31">
        <v>1023632.48</v>
      </c>
      <c r="P9" s="31">
        <f t="shared" si="3"/>
        <v>-1023632.48</v>
      </c>
      <c r="Q9" s="134">
        <f t="shared" si="1"/>
        <v>-1</v>
      </c>
      <c r="R9" s="141"/>
      <c r="S9" s="142"/>
    </row>
    <row r="10" spans="1:19" x14ac:dyDescent="0.45">
      <c r="A10" s="32" t="s">
        <v>24</v>
      </c>
      <c r="B10" s="12" t="e">
        <f>SUM(B68:B82)</f>
        <v>#DIV/0!</v>
      </c>
      <c r="C10" s="13" t="e">
        <f>SUM(C68:C82)</f>
        <v>#DIV/0!</v>
      </c>
      <c r="D10" s="12" t="e">
        <f>SUM(D68:D82)</f>
        <v>#DIV/0!</v>
      </c>
      <c r="E10" s="13" t="e">
        <f>+E66</f>
        <v>#DIV/0!</v>
      </c>
      <c r="F10" s="12" t="e">
        <f t="shared" ref="F10:M10" si="6">+F66</f>
        <v>#DIV/0!</v>
      </c>
      <c r="G10" s="13" t="e">
        <f t="shared" si="6"/>
        <v>#DIV/0!</v>
      </c>
      <c r="H10" s="12" t="e">
        <f t="shared" si="6"/>
        <v>#DIV/0!</v>
      </c>
      <c r="I10" s="13" t="e">
        <f t="shared" si="6"/>
        <v>#DIV/0!</v>
      </c>
      <c r="J10" s="12" t="e">
        <f t="shared" si="6"/>
        <v>#DIV/0!</v>
      </c>
      <c r="K10" s="13" t="e">
        <f t="shared" si="6"/>
        <v>#DIV/0!</v>
      </c>
      <c r="L10" s="12" t="e">
        <f t="shared" si="6"/>
        <v>#DIV/0!</v>
      </c>
      <c r="M10" s="13" t="e">
        <f t="shared" si="6"/>
        <v>#DIV/0!</v>
      </c>
      <c r="N10" s="31" t="e">
        <f t="shared" si="5"/>
        <v>#DIV/0!</v>
      </c>
      <c r="O10" s="31">
        <v>0</v>
      </c>
      <c r="P10" s="31" t="e">
        <f t="shared" si="3"/>
        <v>#DIV/0!</v>
      </c>
      <c r="Q10" s="134" t="e">
        <f t="shared" si="1"/>
        <v>#DIV/0!</v>
      </c>
      <c r="R10" s="141">
        <v>0</v>
      </c>
      <c r="S10" s="140" t="e">
        <f>+N10-R10</f>
        <v>#DIV/0!</v>
      </c>
    </row>
    <row r="11" spans="1:19" x14ac:dyDescent="0.45">
      <c r="A11" s="26" t="s">
        <v>25</v>
      </c>
      <c r="B11" s="8" t="e">
        <f>+B10+B7+B9</f>
        <v>#DIV/0!</v>
      </c>
      <c r="C11" s="9" t="e">
        <f t="shared" ref="C11:O11" si="7">+C10+C7+C9</f>
        <v>#DIV/0!</v>
      </c>
      <c r="D11" s="8" t="e">
        <f t="shared" si="7"/>
        <v>#DIV/0!</v>
      </c>
      <c r="E11" s="9" t="e">
        <f t="shared" si="7"/>
        <v>#DIV/0!</v>
      </c>
      <c r="F11" s="8" t="e">
        <f t="shared" si="7"/>
        <v>#DIV/0!</v>
      </c>
      <c r="G11" s="9" t="e">
        <f t="shared" si="7"/>
        <v>#DIV/0!</v>
      </c>
      <c r="H11" s="8" t="e">
        <f t="shared" si="7"/>
        <v>#DIV/0!</v>
      </c>
      <c r="I11" s="9" t="e">
        <f t="shared" si="7"/>
        <v>#DIV/0!</v>
      </c>
      <c r="J11" s="8" t="e">
        <f t="shared" si="7"/>
        <v>#DIV/0!</v>
      </c>
      <c r="K11" s="9" t="e">
        <f t="shared" si="7"/>
        <v>#DIV/0!</v>
      </c>
      <c r="L11" s="8" t="e">
        <f t="shared" si="7"/>
        <v>#DIV/0!</v>
      </c>
      <c r="M11" s="9" t="e">
        <f t="shared" si="7"/>
        <v>#DIV/0!</v>
      </c>
      <c r="N11" s="31" t="e">
        <f t="shared" si="5"/>
        <v>#DIV/0!</v>
      </c>
      <c r="O11" s="31">
        <f t="shared" si="7"/>
        <v>3562526.1810659519</v>
      </c>
      <c r="P11" s="31" t="e">
        <f t="shared" si="3"/>
        <v>#DIV/0!</v>
      </c>
      <c r="Q11" s="134" t="e">
        <f t="shared" si="1"/>
        <v>#DIV/0!</v>
      </c>
      <c r="R11" s="141"/>
      <c r="S11" s="142"/>
    </row>
    <row r="12" spans="1:19" x14ac:dyDescent="0.45">
      <c r="A12" s="32" t="s">
        <v>2</v>
      </c>
      <c r="B12" s="12">
        <f>+'Budget Semences'!B7</f>
        <v>0</v>
      </c>
      <c r="C12" s="13">
        <f>+'Budget Semences'!C10</f>
        <v>1494600</v>
      </c>
      <c r="D12" s="12">
        <f>+'Budget Semences'!D10</f>
        <v>0</v>
      </c>
      <c r="E12" s="13">
        <f>+'Budget Semences'!E10</f>
        <v>0</v>
      </c>
      <c r="F12" s="12">
        <f>+'Budget Semences'!F10</f>
        <v>0</v>
      </c>
      <c r="G12" s="13">
        <f>+'Budget Semences'!G10</f>
        <v>0</v>
      </c>
      <c r="H12" s="12">
        <f>+'Budget Semences'!H10</f>
        <v>0</v>
      </c>
      <c r="I12" s="13">
        <f>+'Budget Semences'!I10</f>
        <v>0</v>
      </c>
      <c r="J12" s="12">
        <f>+'Budget Semences'!J10</f>
        <v>0</v>
      </c>
      <c r="K12" s="13">
        <f>+'Budget Semences'!K10</f>
        <v>0</v>
      </c>
      <c r="L12" s="12">
        <f>+'Budget Semences'!L10</f>
        <v>0</v>
      </c>
      <c r="M12" s="13">
        <f>+'Budget Semences'!M10</f>
        <v>0</v>
      </c>
      <c r="N12" s="31">
        <f t="shared" si="5"/>
        <v>1494600</v>
      </c>
      <c r="O12" s="31">
        <v>202400.00000000003</v>
      </c>
      <c r="P12" s="31">
        <f t="shared" si="3"/>
        <v>1292200</v>
      </c>
      <c r="Q12" s="134">
        <f t="shared" si="1"/>
        <v>6.3843873517786554</v>
      </c>
      <c r="R12" s="141">
        <f>+'Budget Semences'!N7</f>
        <v>1494600</v>
      </c>
      <c r="S12" s="140">
        <f t="shared" ref="S12:S29" si="8">+N12-R12</f>
        <v>0</v>
      </c>
    </row>
    <row r="13" spans="1:19" x14ac:dyDescent="0.45">
      <c r="A13" s="32" t="s">
        <v>3</v>
      </c>
      <c r="B13" s="12">
        <f>+'Budget Engrais'!B7</f>
        <v>0</v>
      </c>
      <c r="C13" s="13">
        <f>+'Budget Engrais'!C7</f>
        <v>0</v>
      </c>
      <c r="D13" s="12">
        <f>+'Budget Engrais'!D7</f>
        <v>0</v>
      </c>
      <c r="E13" s="13">
        <f>+'Budget Engrais'!E7</f>
        <v>0</v>
      </c>
      <c r="F13" s="12">
        <f>+'Budget Engrais'!F7</f>
        <v>0</v>
      </c>
      <c r="G13" s="13">
        <f>+'Budget Engrais'!G7</f>
        <v>0</v>
      </c>
      <c r="H13" s="12">
        <f>+'Budget Engrais'!H7</f>
        <v>0</v>
      </c>
      <c r="I13" s="13">
        <f>+'Budget Engrais'!I7</f>
        <v>0</v>
      </c>
      <c r="J13" s="12">
        <f>+'Budget Engrais'!J7</f>
        <v>0</v>
      </c>
      <c r="K13" s="13">
        <f>+'Budget Engrais'!K7</f>
        <v>0</v>
      </c>
      <c r="L13" s="12">
        <f>+'Budget Engrais'!L7</f>
        <v>0</v>
      </c>
      <c r="M13" s="13">
        <f>+'Budget Engrais'!M7</f>
        <v>0</v>
      </c>
      <c r="N13" s="31">
        <f t="shared" si="5"/>
        <v>0</v>
      </c>
      <c r="O13" s="31">
        <v>537520.18455807853</v>
      </c>
      <c r="P13" s="31">
        <f t="shared" si="3"/>
        <v>-537520.18455807853</v>
      </c>
      <c r="Q13" s="134">
        <f t="shared" si="1"/>
        <v>-1</v>
      </c>
      <c r="R13" s="141">
        <f>+'Budget Engrais'!N7</f>
        <v>0</v>
      </c>
      <c r="S13" s="140">
        <f t="shared" si="8"/>
        <v>0</v>
      </c>
    </row>
    <row r="14" spans="1:19" x14ac:dyDescent="0.45">
      <c r="A14" s="32" t="s">
        <v>4</v>
      </c>
      <c r="B14" s="12">
        <f>+'Budget Plants'!B7</f>
        <v>0</v>
      </c>
      <c r="C14" s="13">
        <f>+'Budget Plants'!C7</f>
        <v>1113000</v>
      </c>
      <c r="D14" s="12">
        <f>+'Budget Plants'!D7</f>
        <v>0</v>
      </c>
      <c r="E14" s="13">
        <f>+'Budget Plants'!E7</f>
        <v>0</v>
      </c>
      <c r="F14" s="12">
        <f>+'Budget Plants'!F7</f>
        <v>0</v>
      </c>
      <c r="G14" s="13">
        <f>+'Budget Plants'!G7</f>
        <v>0</v>
      </c>
      <c r="H14" s="12">
        <f>+'Budget Plants'!H7</f>
        <v>0</v>
      </c>
      <c r="I14" s="13">
        <f>+'Budget Plants'!I7</f>
        <v>0</v>
      </c>
      <c r="J14" s="12">
        <f>+'Budget Plants'!J7</f>
        <v>0</v>
      </c>
      <c r="K14" s="13">
        <f>+'Budget Plants'!K7</f>
        <v>0</v>
      </c>
      <c r="L14" s="12">
        <f>+'Budget Plants'!L7</f>
        <v>0</v>
      </c>
      <c r="M14" s="13">
        <f>+'Budget Plants'!M7</f>
        <v>0</v>
      </c>
      <c r="N14" s="31">
        <f t="shared" si="5"/>
        <v>1113000</v>
      </c>
      <c r="O14" s="31">
        <v>254886.99999991001</v>
      </c>
      <c r="P14" s="31">
        <f t="shared" si="3"/>
        <v>858113.00000008999</v>
      </c>
      <c r="Q14" s="134">
        <f t="shared" si="1"/>
        <v>3.3666409036176539</v>
      </c>
      <c r="R14" s="141">
        <f>+'Budget Plants'!N7</f>
        <v>1113000</v>
      </c>
      <c r="S14" s="140">
        <f t="shared" si="8"/>
        <v>0</v>
      </c>
    </row>
    <row r="15" spans="1:19" x14ac:dyDescent="0.45">
      <c r="A15" s="32" t="s">
        <v>5</v>
      </c>
      <c r="B15" s="12">
        <f>+'Budget Phytos'!B7</f>
        <v>0</v>
      </c>
      <c r="C15" s="13">
        <f>+'Budget Phytos'!C7</f>
        <v>0</v>
      </c>
      <c r="D15" s="12">
        <f>+'Budget Phytos'!D7</f>
        <v>0</v>
      </c>
      <c r="E15" s="13">
        <f>+'Budget Phytos'!E7</f>
        <v>0</v>
      </c>
      <c r="F15" s="12">
        <f>+'Budget Phytos'!F7</f>
        <v>0</v>
      </c>
      <c r="G15" s="13">
        <f>+'Budget Phytos'!G7</f>
        <v>0</v>
      </c>
      <c r="H15" s="12">
        <f>+'Budget Phytos'!H7</f>
        <v>0</v>
      </c>
      <c r="I15" s="13">
        <f>+'Budget Phytos'!I7</f>
        <v>0</v>
      </c>
      <c r="J15" s="12">
        <f>+'Budget Phytos'!J7</f>
        <v>0</v>
      </c>
      <c r="K15" s="13">
        <f>+'Budget Phytos'!K7</f>
        <v>0</v>
      </c>
      <c r="L15" s="12">
        <f>+'Budget Phytos'!L7</f>
        <v>0</v>
      </c>
      <c r="M15" s="13">
        <f>+'Budget Phytos'!M7</f>
        <v>0</v>
      </c>
      <c r="N15" s="31">
        <f t="shared" si="5"/>
        <v>0</v>
      </c>
      <c r="O15" s="31">
        <v>582668.22068617889</v>
      </c>
      <c r="P15" s="31">
        <f t="shared" si="3"/>
        <v>-582668.22068617889</v>
      </c>
      <c r="Q15" s="134">
        <f t="shared" si="1"/>
        <v>-1</v>
      </c>
      <c r="R15" s="141">
        <f>+'Budget Phytos'!N7</f>
        <v>0</v>
      </c>
      <c r="S15" s="140">
        <f t="shared" si="8"/>
        <v>0</v>
      </c>
    </row>
    <row r="16" spans="1:19" x14ac:dyDescent="0.45">
      <c r="A16" s="32" t="s">
        <v>6</v>
      </c>
      <c r="B16" s="12">
        <f>+'Budget Ruches'!B7</f>
        <v>0</v>
      </c>
      <c r="C16" s="13">
        <f>+'Budget Ruches'!C7</f>
        <v>0</v>
      </c>
      <c r="D16" s="12">
        <f>+'Budget Ruches'!D7</f>
        <v>0</v>
      </c>
      <c r="E16" s="13">
        <f>+'Budget Ruches'!E7</f>
        <v>0</v>
      </c>
      <c r="F16" s="12">
        <f>+'Budget Ruches'!F7</f>
        <v>0</v>
      </c>
      <c r="G16" s="13">
        <f>+'Budget Ruches'!G7</f>
        <v>0</v>
      </c>
      <c r="H16" s="12">
        <f>+'Budget Ruches'!H7</f>
        <v>0</v>
      </c>
      <c r="I16" s="13">
        <f>+'Budget Ruches'!I7</f>
        <v>0</v>
      </c>
      <c r="J16" s="12">
        <f>+'Budget Ruches'!J7</f>
        <v>0</v>
      </c>
      <c r="K16" s="13">
        <f>+'Budget Ruches'!K7</f>
        <v>0</v>
      </c>
      <c r="L16" s="12">
        <f>+'Budget Ruches'!L7</f>
        <v>0</v>
      </c>
      <c r="M16" s="13">
        <f>+'Budget Ruches'!M7</f>
        <v>0</v>
      </c>
      <c r="N16" s="31">
        <f t="shared" si="5"/>
        <v>0</v>
      </c>
      <c r="O16" s="31">
        <v>107635.04599999251</v>
      </c>
      <c r="P16" s="31">
        <f t="shared" si="3"/>
        <v>-107635.04599999251</v>
      </c>
      <c r="Q16" s="134">
        <f t="shared" si="1"/>
        <v>-1</v>
      </c>
      <c r="R16" s="141">
        <f>+'Budget Ruches'!N7</f>
        <v>0</v>
      </c>
      <c r="S16" s="140">
        <f t="shared" si="8"/>
        <v>0</v>
      </c>
    </row>
    <row r="17" spans="1:20" x14ac:dyDescent="0.45">
      <c r="A17" s="32" t="s">
        <v>7</v>
      </c>
      <c r="B17" s="12">
        <f>+'Budget Fres Agri'!B7</f>
        <v>479534.00000000006</v>
      </c>
      <c r="C17" s="13">
        <f>+'Budget Fres Agri'!C7</f>
        <v>15350.000000000004</v>
      </c>
      <c r="D17" s="12">
        <f>+'Budget Fres Agri'!D7</f>
        <v>15350.000000000004</v>
      </c>
      <c r="E17" s="13">
        <f>+'Budget Fres Agri'!E7</f>
        <v>15350.000000000004</v>
      </c>
      <c r="F17" s="12">
        <f>+'Budget Fres Agri'!F7</f>
        <v>15350.000000000004</v>
      </c>
      <c r="G17" s="13">
        <f>+'Budget Fres Agri'!G7</f>
        <v>15350.000000000004</v>
      </c>
      <c r="H17" s="12">
        <f>+'Budget Fres Agri'!H7</f>
        <v>15350.000000000004</v>
      </c>
      <c r="I17" s="13">
        <f>+'Budget Fres Agri'!I7</f>
        <v>15350.000000000004</v>
      </c>
      <c r="J17" s="12">
        <f>+'Budget Fres Agri'!J7</f>
        <v>15350.000000000004</v>
      </c>
      <c r="K17" s="13">
        <f>+'Budget Fres Agri'!K7</f>
        <v>15350.000000000004</v>
      </c>
      <c r="L17" s="12">
        <f>+'Budget Fres Agri'!L7</f>
        <v>15350.000000000004</v>
      </c>
      <c r="M17" s="13">
        <f>+'Budget Fres Agri'!M7</f>
        <v>15350.000000000004</v>
      </c>
      <c r="N17" s="31">
        <f t="shared" si="5"/>
        <v>648384.00000000012</v>
      </c>
      <c r="O17" s="31">
        <v>73551.903999999995</v>
      </c>
      <c r="P17" s="31">
        <f t="shared" si="3"/>
        <v>574832.09600000014</v>
      </c>
      <c r="Q17" s="134">
        <f t="shared" si="1"/>
        <v>7.8153258411910072</v>
      </c>
      <c r="R17" s="141">
        <f>+'Budget Fres Agri'!N7</f>
        <v>648384.00000000012</v>
      </c>
      <c r="S17" s="140">
        <f t="shared" si="8"/>
        <v>0</v>
      </c>
    </row>
    <row r="18" spans="1:20" x14ac:dyDescent="0.45">
      <c r="A18" s="26" t="s">
        <v>15</v>
      </c>
      <c r="B18" s="8">
        <f>SUM(B12:B17)</f>
        <v>479534.00000000006</v>
      </c>
      <c r="C18" s="9">
        <f t="shared" ref="C18:O18" si="9">SUM(C12:C17)</f>
        <v>2622950</v>
      </c>
      <c r="D18" s="8">
        <f>SUM(D12:D17)</f>
        <v>15350.000000000004</v>
      </c>
      <c r="E18" s="9">
        <f t="shared" si="9"/>
        <v>15350.000000000004</v>
      </c>
      <c r="F18" s="8">
        <f>SUM(F12:F17)</f>
        <v>15350.000000000004</v>
      </c>
      <c r="G18" s="9">
        <f t="shared" si="9"/>
        <v>15350.000000000004</v>
      </c>
      <c r="H18" s="8">
        <f>SUM(H12:H17)</f>
        <v>15350.000000000004</v>
      </c>
      <c r="I18" s="9">
        <f t="shared" si="9"/>
        <v>15350.000000000004</v>
      </c>
      <c r="J18" s="8">
        <f>SUM(J12:J17)</f>
        <v>15350.000000000004</v>
      </c>
      <c r="K18" s="9">
        <f t="shared" si="9"/>
        <v>15350.000000000004</v>
      </c>
      <c r="L18" s="8">
        <f>SUM(L12:L17)</f>
        <v>15350.000000000004</v>
      </c>
      <c r="M18" s="9">
        <f t="shared" si="9"/>
        <v>15350.000000000004</v>
      </c>
      <c r="N18" s="31">
        <f t="shared" si="5"/>
        <v>3255984</v>
      </c>
      <c r="O18" s="31">
        <f t="shared" si="9"/>
        <v>1758662.3552441599</v>
      </c>
      <c r="P18" s="31">
        <f t="shared" si="3"/>
        <v>1497321.6447558401</v>
      </c>
      <c r="Q18" s="134">
        <f t="shared" si="1"/>
        <v>0.85139801866513642</v>
      </c>
      <c r="R18" s="141">
        <f>+'Budget Semences'!N7+'Budget Plants'!N7+'Budget Engrais'!N7+'Budget Phytos'!N7+'Budget Ruches'!N7+'Budget Fres Agri'!N7</f>
        <v>3255984</v>
      </c>
      <c r="S18" s="140">
        <f t="shared" si="8"/>
        <v>0</v>
      </c>
    </row>
    <row r="19" spans="1:20" x14ac:dyDescent="0.45">
      <c r="A19" s="32" t="s">
        <v>8</v>
      </c>
      <c r="B19" s="12">
        <f>+'Budget Energie'!B15+'Budget Energie'!B22</f>
        <v>0</v>
      </c>
      <c r="C19" s="13">
        <f>+'Budget Energie'!C15+'Budget Energie'!C22</f>
        <v>0</v>
      </c>
      <c r="D19" s="12">
        <f>+'Budget Energie'!D15+'Budget Energie'!D22</f>
        <v>0</v>
      </c>
      <c r="E19" s="13">
        <f>+'Budget Energie'!E15+'Budget Energie'!E22</f>
        <v>0</v>
      </c>
      <c r="F19" s="12">
        <f>+'Budget Energie'!F15+'Budget Energie'!F22</f>
        <v>0</v>
      </c>
      <c r="G19" s="13">
        <f>+'Budget Energie'!G15+'Budget Energie'!G22</f>
        <v>0</v>
      </c>
      <c r="H19" s="12">
        <f>+'Budget Energie'!H15+'Budget Energie'!H22</f>
        <v>0</v>
      </c>
      <c r="I19" s="13">
        <f>+'Budget Energie'!I15+'Budget Energie'!I22</f>
        <v>0</v>
      </c>
      <c r="J19" s="12">
        <f>+'Budget Energie'!J15+'Budget Energie'!J22</f>
        <v>0</v>
      </c>
      <c r="K19" s="13">
        <f>+'Budget Energie'!K15+'Budget Energie'!K22</f>
        <v>0</v>
      </c>
      <c r="L19" s="12">
        <f>+'Budget Energie'!L15+'Budget Energie'!L22</f>
        <v>0</v>
      </c>
      <c r="M19" s="13">
        <f>+'Budget Energie'!M15+'Budget Energie'!M22</f>
        <v>0</v>
      </c>
      <c r="N19" s="31">
        <f t="shared" si="5"/>
        <v>0</v>
      </c>
      <c r="O19" s="31">
        <v>91727.416534532706</v>
      </c>
      <c r="P19" s="31">
        <f t="shared" si="3"/>
        <v>-91727.416534532706</v>
      </c>
      <c r="Q19" s="134">
        <f t="shared" si="1"/>
        <v>-1</v>
      </c>
      <c r="R19" s="141">
        <f>+'Budget Energie'!N15+'Budget Energie'!N22</f>
        <v>0</v>
      </c>
      <c r="S19" s="140">
        <f t="shared" si="8"/>
        <v>0</v>
      </c>
    </row>
    <row r="20" spans="1:20" x14ac:dyDescent="0.45">
      <c r="A20" s="32" t="s">
        <v>9</v>
      </c>
      <c r="B20" s="12">
        <f>+'Budget Energie'!B13+'Budget Energie'!B20</f>
        <v>0</v>
      </c>
      <c r="C20" s="13">
        <f>+'Budget Energie'!C13+'Budget Energie'!C20</f>
        <v>0</v>
      </c>
      <c r="D20" s="12">
        <f>+'Budget Energie'!D13+'Budget Energie'!D20</f>
        <v>0</v>
      </c>
      <c r="E20" s="13">
        <f>+'Budget Energie'!E13+'Budget Energie'!E20</f>
        <v>0</v>
      </c>
      <c r="F20" s="12">
        <f>+'Budget Energie'!F13+'Budget Energie'!F20</f>
        <v>0</v>
      </c>
      <c r="G20" s="13">
        <f>+'Budget Energie'!G13+'Budget Energie'!G20</f>
        <v>0</v>
      </c>
      <c r="H20" s="12">
        <f>+'Budget Energie'!H13+'Budget Energie'!H20</f>
        <v>0</v>
      </c>
      <c r="I20" s="13">
        <f>+'Budget Energie'!I13+'Budget Energie'!I20</f>
        <v>0</v>
      </c>
      <c r="J20" s="12">
        <f>+'Budget Energie'!J13+'Budget Energie'!J20</f>
        <v>0</v>
      </c>
      <c r="K20" s="13">
        <f>+'Budget Energie'!K13+'Budget Energie'!K20</f>
        <v>0</v>
      </c>
      <c r="L20" s="12">
        <f>+'Budget Energie'!L13+'Budget Energie'!L20</f>
        <v>0</v>
      </c>
      <c r="M20" s="13">
        <f>+'Budget Energie'!M13+'Budget Energie'!M20</f>
        <v>0</v>
      </c>
      <c r="N20" s="31">
        <f t="shared" si="5"/>
        <v>0</v>
      </c>
      <c r="O20" s="31">
        <v>20637.641333267995</v>
      </c>
      <c r="P20" s="31">
        <f t="shared" si="3"/>
        <v>-20637.641333267995</v>
      </c>
      <c r="Q20" s="134">
        <f t="shared" si="1"/>
        <v>-1</v>
      </c>
      <c r="R20" s="141">
        <f>+'Budget Energie'!N13+'Budget Energie'!N20</f>
        <v>0</v>
      </c>
      <c r="S20" s="140">
        <f t="shared" si="8"/>
        <v>0</v>
      </c>
    </row>
    <row r="21" spans="1:20" x14ac:dyDescent="0.45">
      <c r="A21" s="26" t="s">
        <v>16</v>
      </c>
      <c r="B21" s="8">
        <f>SUM(B19:B20)</f>
        <v>0</v>
      </c>
      <c r="C21" s="9">
        <f t="shared" ref="C21:M21" si="10">SUM(C19:C20)</f>
        <v>0</v>
      </c>
      <c r="D21" s="8">
        <f t="shared" si="10"/>
        <v>0</v>
      </c>
      <c r="E21" s="9">
        <f t="shared" si="10"/>
        <v>0</v>
      </c>
      <c r="F21" s="8">
        <f t="shared" si="10"/>
        <v>0</v>
      </c>
      <c r="G21" s="9">
        <f t="shared" si="10"/>
        <v>0</v>
      </c>
      <c r="H21" s="8">
        <f t="shared" si="10"/>
        <v>0</v>
      </c>
      <c r="I21" s="9">
        <f t="shared" si="10"/>
        <v>0</v>
      </c>
      <c r="J21" s="8">
        <f t="shared" si="10"/>
        <v>0</v>
      </c>
      <c r="K21" s="9">
        <f t="shared" si="10"/>
        <v>0</v>
      </c>
      <c r="L21" s="8">
        <f t="shared" si="10"/>
        <v>0</v>
      </c>
      <c r="M21" s="9">
        <f t="shared" si="10"/>
        <v>0</v>
      </c>
      <c r="N21" s="31">
        <f t="shared" si="5"/>
        <v>0</v>
      </c>
      <c r="O21" s="31">
        <f>+O20+O19</f>
        <v>112365.0578678007</v>
      </c>
      <c r="P21" s="31">
        <f t="shared" si="3"/>
        <v>-112365.0578678007</v>
      </c>
      <c r="Q21" s="134">
        <f t="shared" si="1"/>
        <v>-1</v>
      </c>
      <c r="R21" s="141">
        <f>+'Budget Energie'!N7</f>
        <v>0</v>
      </c>
      <c r="S21" s="140">
        <f t="shared" si="8"/>
        <v>0</v>
      </c>
    </row>
    <row r="22" spans="1:20" x14ac:dyDescent="0.45">
      <c r="A22" s="32" t="s">
        <v>10</v>
      </c>
      <c r="B22" s="12">
        <f>+'Budget Ent &amp; Analyses'!B14+'Budget Commun'!B19+'Budget Ent &amp; Analyses'!B22</f>
        <v>0</v>
      </c>
      <c r="C22" s="13">
        <f>+'Budget Ent &amp; Analyses'!C14+'Budget Commun'!C19+'Budget Ent &amp; Analyses'!C22</f>
        <v>61400.000000000015</v>
      </c>
      <c r="D22" s="12">
        <f>+'Budget Ent &amp; Analyses'!D14+'Budget Commun'!D19+'Budget Ent &amp; Analyses'!D22</f>
        <v>0</v>
      </c>
      <c r="E22" s="13">
        <f>+'Budget Ent &amp; Analyses'!E14+'Budget Commun'!E19+'Budget Ent &amp; Analyses'!E22</f>
        <v>0</v>
      </c>
      <c r="F22" s="12">
        <f>+'Budget Ent &amp; Analyses'!F14+'Budget Commun'!F19+'Budget Ent &amp; Analyses'!F22</f>
        <v>0</v>
      </c>
      <c r="G22" s="13">
        <f>+'Budget Ent &amp; Analyses'!G14+'Budget Commun'!G19+'Budget Ent &amp; Analyses'!G22</f>
        <v>0</v>
      </c>
      <c r="H22" s="12">
        <f>+'Budget Ent &amp; Analyses'!H14+'Budget Commun'!H19+'Budget Ent &amp; Analyses'!H22</f>
        <v>0</v>
      </c>
      <c r="I22" s="13">
        <f>+'Budget Ent &amp; Analyses'!I14+'Budget Commun'!I19+'Budget Ent &amp; Analyses'!I22</f>
        <v>0</v>
      </c>
      <c r="J22" s="12">
        <f>+'Budget Ent &amp; Analyses'!J14+'Budget Commun'!J19+'Budget Ent &amp; Analyses'!J22</f>
        <v>0</v>
      </c>
      <c r="K22" s="13">
        <f>+'Budget Ent &amp; Analyses'!K14+'Budget Commun'!K19+'Budget Ent &amp; Analyses'!K22</f>
        <v>0</v>
      </c>
      <c r="L22" s="12">
        <f>+'Budget Ent &amp; Analyses'!L14+'Budget Commun'!L19+'Budget Ent &amp; Analyses'!L22</f>
        <v>0</v>
      </c>
      <c r="M22" s="13">
        <f>+'Budget Ent &amp; Analyses'!M14+'Budget Commun'!M19+'Budget Ent &amp; Analyses'!M22</f>
        <v>0</v>
      </c>
      <c r="N22" s="31">
        <f t="shared" si="5"/>
        <v>61400.000000000015</v>
      </c>
      <c r="O22" s="31">
        <v>43594.909302325585</v>
      </c>
      <c r="P22" s="31">
        <f t="shared" si="3"/>
        <v>17805.09069767443</v>
      </c>
      <c r="Q22" s="134">
        <f t="shared" si="1"/>
        <v>0.40842132677001836</v>
      </c>
      <c r="R22" s="141">
        <f>+'Budget Ent &amp; Analyses'!N14+'Budget Commun'!N19+'Budget Ent &amp; Analyses'!N22</f>
        <v>61400.000000000015</v>
      </c>
      <c r="S22" s="140">
        <f t="shared" si="8"/>
        <v>0</v>
      </c>
    </row>
    <row r="23" spans="1:20" x14ac:dyDescent="0.45">
      <c r="A23" s="32" t="s">
        <v>11</v>
      </c>
      <c r="B23" s="12">
        <f>+'Budget Loyers Fermes'!B7</f>
        <v>37622.549019607854</v>
      </c>
      <c r="C23" s="13">
        <f>+'Budget Loyers Fermes'!C7</f>
        <v>37622.549019607854</v>
      </c>
      <c r="D23" s="12">
        <f>+'Budget Loyers Fermes'!D7</f>
        <v>37622.549019607854</v>
      </c>
      <c r="E23" s="13">
        <f>+'Budget Loyers Fermes'!E7</f>
        <v>37622.549019607854</v>
      </c>
      <c r="F23" s="12">
        <f>+'Budget Loyers Fermes'!F7</f>
        <v>37622.549019607854</v>
      </c>
      <c r="G23" s="13">
        <f>+'Budget Loyers Fermes'!G7</f>
        <v>37622.549019607854</v>
      </c>
      <c r="H23" s="12">
        <f>+'Budget Loyers Fermes'!H7</f>
        <v>37622.549019607854</v>
      </c>
      <c r="I23" s="13">
        <f>+'Budget Loyers Fermes'!I7</f>
        <v>37622.549019607854</v>
      </c>
      <c r="J23" s="12">
        <f>+'Budget Loyers Fermes'!J7</f>
        <v>37622.549019607854</v>
      </c>
      <c r="K23" s="13">
        <f>+'Budget Loyers Fermes'!K7</f>
        <v>37622.549019607854</v>
      </c>
      <c r="L23" s="12">
        <f>+'Budget Loyers Fermes'!L7</f>
        <v>37622.549019607854</v>
      </c>
      <c r="M23" s="13">
        <f>+'Budget Loyers Fermes'!M7</f>
        <v>37622.549019607854</v>
      </c>
      <c r="N23" s="31">
        <f t="shared" si="5"/>
        <v>451470.58823529416</v>
      </c>
      <c r="O23" s="31">
        <v>191666.66666666666</v>
      </c>
      <c r="P23" s="31">
        <f t="shared" si="3"/>
        <v>259803.9215686275</v>
      </c>
      <c r="Q23" s="134">
        <f t="shared" si="1"/>
        <v>1.3554987212276217</v>
      </c>
      <c r="R23" s="141">
        <f>+'Budget Loyers Fermes'!N7</f>
        <v>451470.58823529416</v>
      </c>
      <c r="S23" s="140">
        <f t="shared" si="8"/>
        <v>0</v>
      </c>
    </row>
    <row r="24" spans="1:20" x14ac:dyDescent="0.45">
      <c r="A24" s="32" t="s">
        <v>12</v>
      </c>
      <c r="B24" s="12">
        <f>+'Budget Ent &amp; Analyses'!B7-'Budget Ent &amp; Analyses'!B14-'Budget Ent &amp; Analyses'!B22+'Budget Commun'!B27</f>
        <v>10295.303468208092</v>
      </c>
      <c r="C24" s="13">
        <f>+'Budget Ent &amp; Analyses'!C7-'Budget Ent &amp; Analyses'!C14-'Budget Ent &amp; Analyses'!C22+'Budget Commun'!C27</f>
        <v>14132.803468208092</v>
      </c>
      <c r="D24" s="12">
        <f>+'Budget Ent &amp; Analyses'!D7-'Budget Ent &amp; Analyses'!D14-'Budget Ent &amp; Analyses'!D22+'Budget Commun'!D27</f>
        <v>14132.803468208094</v>
      </c>
      <c r="E24" s="13">
        <f>+'Budget Ent &amp; Analyses'!E7-'Budget Ent &amp; Analyses'!E14-'Budget Ent &amp; Analyses'!E22+'Budget Commun'!E27</f>
        <v>10295.303468208092</v>
      </c>
      <c r="F24" s="12">
        <f>+'Budget Ent &amp; Analyses'!F7-'Budget Ent &amp; Analyses'!F14-'Budget Ent &amp; Analyses'!F22+'Budget Commun'!F27</f>
        <v>10295.303468208092</v>
      </c>
      <c r="G24" s="13">
        <f>+'Budget Ent &amp; Analyses'!G7-'Budget Ent &amp; Analyses'!G14-'Budget Ent &amp; Analyses'!G22+'Budget Commun'!G27</f>
        <v>14132.803468208094</v>
      </c>
      <c r="H24" s="12">
        <f>+'Budget Ent &amp; Analyses'!H7-'Budget Ent &amp; Analyses'!H14-'Budget Ent &amp; Analyses'!H22+'Budget Commun'!H27</f>
        <v>14132.803468208094</v>
      </c>
      <c r="I24" s="13">
        <f>+'Budget Ent &amp; Analyses'!I7-'Budget Ent &amp; Analyses'!I14-'Budget Ent &amp; Analyses'!I22+'Budget Commun'!I27</f>
        <v>10295.303468208092</v>
      </c>
      <c r="J24" s="12">
        <f>+'Budget Ent &amp; Analyses'!J7-'Budget Ent &amp; Analyses'!J14-'Budget Ent &amp; Analyses'!J22+'Budget Commun'!J27</f>
        <v>14132.803468208094</v>
      </c>
      <c r="K24" s="13">
        <f>+'Budget Ent &amp; Analyses'!K7-'Budget Ent &amp; Analyses'!K14-'Budget Ent &amp; Analyses'!K22+'Budget Commun'!K27</f>
        <v>6257.8034682080925</v>
      </c>
      <c r="L24" s="12">
        <f>+'Budget Ent &amp; Analyses'!L7-'Budget Ent &amp; Analyses'!L14-'Budget Ent &amp; Analyses'!L22+'Budget Commun'!L27</f>
        <v>6257.8034682080925</v>
      </c>
      <c r="M24" s="13">
        <f>+'Budget Ent &amp; Analyses'!M7-'Budget Ent &amp; Analyses'!M14-'Budget Ent &amp; Analyses'!M22+'Budget Commun'!M27</f>
        <v>1257.8034682080925</v>
      </c>
      <c r="N24" s="31">
        <f t="shared" si="5"/>
        <v>125618.6416184971</v>
      </c>
      <c r="O24" s="31">
        <v>105442.17530231757</v>
      </c>
      <c r="P24" s="31">
        <f t="shared" si="3"/>
        <v>20176.466316179532</v>
      </c>
      <c r="Q24" s="134">
        <f t="shared" si="1"/>
        <v>0.19135100597394508</v>
      </c>
      <c r="R24" s="141">
        <f>'Budget Ent &amp; Analyses'!N7-'Budget Ent &amp; Analyses'!N14-'Budget Ent &amp; Analyses'!N22+'Budget Commun'!N27</f>
        <v>125618.64161849712</v>
      </c>
      <c r="S24" s="140">
        <f t="shared" si="8"/>
        <v>0</v>
      </c>
    </row>
    <row r="25" spans="1:20" x14ac:dyDescent="0.45">
      <c r="A25" s="32" t="s">
        <v>156</v>
      </c>
      <c r="B25" s="12">
        <f>+'Budget MOD'!B7</f>
        <v>354391.6876892061</v>
      </c>
      <c r="C25" s="13">
        <f>+'Budget MOD'!C7</f>
        <v>309277.47388370597</v>
      </c>
      <c r="D25" s="12">
        <f>+'Budget MOD'!D7</f>
        <v>277874.45828561776</v>
      </c>
      <c r="E25" s="13">
        <f>+'Budget MOD'!E7</f>
        <v>277413.74556170596</v>
      </c>
      <c r="F25" s="12">
        <f>+'Budget MOD'!F7</f>
        <v>271051.41585470585</v>
      </c>
      <c r="G25" s="13">
        <f>+'Budget MOD'!G7</f>
        <v>261194.88119561778</v>
      </c>
      <c r="H25" s="12">
        <f>+'Budget MOD'!H7</f>
        <v>259638.91987670597</v>
      </c>
      <c r="I25" s="13">
        <f>+'Budget MOD'!I7</f>
        <v>259783.08032270591</v>
      </c>
      <c r="J25" s="12">
        <f>+'Budget MOD'!J7</f>
        <v>271267.20750911772</v>
      </c>
      <c r="K25" s="13">
        <f>+'Budget MOD'!K7</f>
        <v>0</v>
      </c>
      <c r="L25" s="12">
        <f>+'Budget MOD'!L7</f>
        <v>0</v>
      </c>
      <c r="M25" s="13">
        <f>+'Budget MOD'!M7</f>
        <v>6140.0000000000009</v>
      </c>
      <c r="N25" s="31">
        <f t="shared" si="5"/>
        <v>2548032.8701790893</v>
      </c>
      <c r="O25" s="31">
        <v>1390695.7619840954</v>
      </c>
      <c r="P25" s="31">
        <f t="shared" si="3"/>
        <v>1157337.1081949938</v>
      </c>
      <c r="Q25" s="134">
        <f t="shared" si="1"/>
        <v>0.83220006836278082</v>
      </c>
      <c r="R25" s="141">
        <f>+'Budget MOD'!N7</f>
        <v>2548032.8701790893</v>
      </c>
      <c r="S25" s="140">
        <f t="shared" si="8"/>
        <v>0</v>
      </c>
    </row>
    <row r="26" spans="1:20" x14ac:dyDescent="0.45">
      <c r="A26" s="32" t="s">
        <v>157</v>
      </c>
      <c r="B26" s="12">
        <f>+'Budget Commun'!B54</f>
        <v>30399.537572254336</v>
      </c>
      <c r="C26" s="13">
        <f>+'Budget Commun'!C54</f>
        <v>30399.537572254336</v>
      </c>
      <c r="D26" s="12">
        <f>+'Budget Commun'!D54</f>
        <v>30399.537572254336</v>
      </c>
      <c r="E26" s="13">
        <f>+'Budget Commun'!E54</f>
        <v>30399.537572254336</v>
      </c>
      <c r="F26" s="12">
        <f>+'Budget Commun'!F54</f>
        <v>30399.537572254336</v>
      </c>
      <c r="G26" s="13">
        <f>+'Budget Commun'!G54</f>
        <v>30399.537572254336</v>
      </c>
      <c r="H26" s="12">
        <f>+'Budget Commun'!H54</f>
        <v>30399.537572254336</v>
      </c>
      <c r="I26" s="13">
        <f>+'Budget Commun'!I54</f>
        <v>30399.537572254336</v>
      </c>
      <c r="J26" s="12">
        <f>+'Budget Commun'!J54</f>
        <v>30399.537572254336</v>
      </c>
      <c r="K26" s="13">
        <f>+'Budget Commun'!K54</f>
        <v>30399.537572254336</v>
      </c>
      <c r="L26" s="12">
        <f>+'Budget Commun'!L54</f>
        <v>30399.537572254336</v>
      </c>
      <c r="M26" s="13">
        <f>+'Budget Commun'!M54</f>
        <v>30399.537572254336</v>
      </c>
      <c r="N26" s="31">
        <f t="shared" si="5"/>
        <v>364794.45086705196</v>
      </c>
      <c r="O26" s="31">
        <v>319900.43175345636</v>
      </c>
      <c r="P26" s="31">
        <f t="shared" si="3"/>
        <v>44894.019113595597</v>
      </c>
      <c r="Q26" s="134">
        <f t="shared" si="1"/>
        <v>0.14033747584371786</v>
      </c>
      <c r="R26" s="141">
        <f>+'Budget Commun'!N54</f>
        <v>364794.45086705196</v>
      </c>
      <c r="S26" s="140">
        <f t="shared" si="8"/>
        <v>0</v>
      </c>
    </row>
    <row r="27" spans="1:20" x14ac:dyDescent="0.45">
      <c r="A27" s="32" t="s">
        <v>158</v>
      </c>
      <c r="B27" s="12">
        <f>+'Budget Commun'!B47</f>
        <v>0</v>
      </c>
      <c r="C27" s="13">
        <f>+'Budget Commun'!C47</f>
        <v>0</v>
      </c>
      <c r="D27" s="12">
        <f>+'Budget Commun'!D47</f>
        <v>0</v>
      </c>
      <c r="E27" s="13">
        <f>+'Budget Commun'!E47</f>
        <v>0</v>
      </c>
      <c r="F27" s="12">
        <f>+'Budget Commun'!F47</f>
        <v>0</v>
      </c>
      <c r="G27" s="13">
        <f>+'Budget Commun'!G47</f>
        <v>0</v>
      </c>
      <c r="H27" s="12">
        <f>+'Budget Commun'!H47</f>
        <v>0</v>
      </c>
      <c r="I27" s="13">
        <f>+'Budget Commun'!I47</f>
        <v>0</v>
      </c>
      <c r="J27" s="12">
        <f>+'Budget Commun'!J47</f>
        <v>0</v>
      </c>
      <c r="K27" s="13">
        <f>+'Budget Commun'!K47</f>
        <v>0</v>
      </c>
      <c r="L27" s="12">
        <f>+'Budget Commun'!L47</f>
        <v>0</v>
      </c>
      <c r="M27" s="13">
        <f>+'Budget Commun'!M47</f>
        <v>0</v>
      </c>
      <c r="N27" s="31">
        <f t="shared" si="5"/>
        <v>0</v>
      </c>
      <c r="O27" s="31">
        <v>156940.07023255809</v>
      </c>
      <c r="P27" s="31">
        <f t="shared" si="3"/>
        <v>-156940.07023255809</v>
      </c>
      <c r="Q27" s="134">
        <f t="shared" si="1"/>
        <v>-1</v>
      </c>
      <c r="R27" s="141">
        <f>+'Budget Commun'!N47</f>
        <v>0</v>
      </c>
      <c r="S27" s="140">
        <f t="shared" si="8"/>
        <v>0</v>
      </c>
    </row>
    <row r="28" spans="1:20" x14ac:dyDescent="0.45">
      <c r="A28" s="32" t="s">
        <v>13</v>
      </c>
      <c r="B28" s="12">
        <f>+'Budget Transp Ventes'!B7</f>
        <v>0</v>
      </c>
      <c r="C28" s="13">
        <f>+'Budget Transp Ventes'!C7</f>
        <v>0</v>
      </c>
      <c r="D28" s="12">
        <f>+'Budget Transp Ventes'!D7</f>
        <v>0</v>
      </c>
      <c r="E28" s="13">
        <f>+'Budget Transp Ventes'!E7</f>
        <v>0</v>
      </c>
      <c r="F28" s="12">
        <f>+'Budget Transp Ventes'!F7</f>
        <v>23025000.000000004</v>
      </c>
      <c r="G28" s="13">
        <f>+'Budget Transp Ventes'!G7</f>
        <v>17268750.000000004</v>
      </c>
      <c r="H28" s="12">
        <f>+'Budget Transp Ventes'!H7</f>
        <v>17268750.000000004</v>
      </c>
      <c r="I28" s="13">
        <f>+'Budget Transp Ventes'!I7</f>
        <v>23025000.000000004</v>
      </c>
      <c r="J28" s="12">
        <f>+'Budget Transp Ventes'!J7</f>
        <v>17268750.000000004</v>
      </c>
      <c r="K28" s="13">
        <f>+'Budget Transp Ventes'!K7</f>
        <v>17268750.000000004</v>
      </c>
      <c r="L28" s="12">
        <f>+'Budget Transp Ventes'!L7</f>
        <v>11512500.000000002</v>
      </c>
      <c r="M28" s="13">
        <f>+'Budget Transp Ventes'!M7</f>
        <v>5756250.0000000009</v>
      </c>
      <c r="N28" s="31">
        <f t="shared" si="5"/>
        <v>132393750.00000001</v>
      </c>
      <c r="O28" s="31">
        <v>70540.186046511633</v>
      </c>
      <c r="P28" s="31">
        <f t="shared" si="3"/>
        <v>132323209.8139535</v>
      </c>
      <c r="Q28" s="134">
        <f t="shared" si="1"/>
        <v>1875.855696307696</v>
      </c>
      <c r="R28" s="141">
        <f>+'Budget Transp Ventes'!N7</f>
        <v>132393750.00000001</v>
      </c>
      <c r="S28" s="140">
        <f t="shared" si="8"/>
        <v>0</v>
      </c>
    </row>
    <row r="29" spans="1:20" x14ac:dyDescent="0.45">
      <c r="A29" s="32" t="s">
        <v>18</v>
      </c>
      <c r="B29" s="12">
        <f>+'Budget Commun'!B43+'Budget Commun'!B34</f>
        <v>74741.040462427743</v>
      </c>
      <c r="C29" s="13">
        <f>+'Budget Commun'!C43+'Budget Commun'!C34</f>
        <v>3753.7572254335259</v>
      </c>
      <c r="D29" s="12">
        <f>+'Budget Commun'!D43+'Budget Commun'!D34</f>
        <v>3753.7572254335259</v>
      </c>
      <c r="E29" s="13">
        <f>+'Budget Commun'!E43+'Budget Commun'!E34</f>
        <v>3753.7572254335259</v>
      </c>
      <c r="F29" s="12">
        <f>+'Budget Commun'!F43+'Budget Commun'!F34</f>
        <v>3753.7572254335259</v>
      </c>
      <c r="G29" s="13">
        <f>+'Budget Commun'!G43+'Budget Commun'!G34</f>
        <v>3753.7572254335259</v>
      </c>
      <c r="H29" s="12">
        <f>+'Budget Commun'!H43+'Budget Commun'!H34</f>
        <v>5404.6242774566472</v>
      </c>
      <c r="I29" s="13">
        <f>+'Budget Commun'!I43+'Budget Commun'!I34</f>
        <v>3753.7572254335259</v>
      </c>
      <c r="J29" s="12">
        <f>+'Budget Commun'!J43+'Budget Commun'!J34</f>
        <v>9649.7109826589585</v>
      </c>
      <c r="K29" s="13">
        <f>+'Budget Commun'!K43+'Budget Commun'!K34</f>
        <v>3753.7572254335259</v>
      </c>
      <c r="L29" s="12">
        <f>+'Budget Commun'!L43+'Budget Commun'!L34</f>
        <v>3753.7572254335259</v>
      </c>
      <c r="M29" s="13">
        <f>+'Budget Commun'!M43+'Budget Commun'!M34</f>
        <v>3753.7572254335259</v>
      </c>
      <c r="N29" s="31">
        <f t="shared" si="5"/>
        <v>123579.19075144507</v>
      </c>
      <c r="O29" s="31">
        <v>79354.346510306466</v>
      </c>
      <c r="P29" s="31">
        <f t="shared" si="3"/>
        <v>44224.844241138606</v>
      </c>
      <c r="Q29" s="134">
        <f t="shared" si="1"/>
        <v>0.55730840446647401</v>
      </c>
      <c r="R29" s="141">
        <f>+'Budget Commun'!N34+'Budget Commun'!N43</f>
        <v>123579.19075144506</v>
      </c>
      <c r="S29" s="140">
        <f t="shared" si="8"/>
        <v>0</v>
      </c>
    </row>
    <row r="30" spans="1:20" x14ac:dyDescent="0.45">
      <c r="A30" s="26" t="s">
        <v>20</v>
      </c>
      <c r="B30" s="8">
        <f t="shared" ref="B30:M30" si="11">SUM(B22:B29)+B21+B18</f>
        <v>986984.11821170407</v>
      </c>
      <c r="C30" s="9">
        <f t="shared" si="11"/>
        <v>3079536.1211692099</v>
      </c>
      <c r="D30" s="8">
        <f t="shared" si="11"/>
        <v>379133.10557112156</v>
      </c>
      <c r="E30" s="9">
        <f t="shared" si="11"/>
        <v>374834.89284720976</v>
      </c>
      <c r="F30" s="8">
        <f t="shared" si="11"/>
        <v>23393472.563140213</v>
      </c>
      <c r="G30" s="9">
        <f t="shared" si="11"/>
        <v>17631203.528481126</v>
      </c>
      <c r="H30" s="8">
        <f t="shared" si="11"/>
        <v>17631298.434214238</v>
      </c>
      <c r="I30" s="9">
        <f t="shared" si="11"/>
        <v>23382204.227608215</v>
      </c>
      <c r="J30" s="8">
        <f t="shared" si="11"/>
        <v>17647171.808551848</v>
      </c>
      <c r="K30" s="9">
        <f t="shared" si="11"/>
        <v>17362133.64728551</v>
      </c>
      <c r="L30" s="8">
        <f t="shared" si="11"/>
        <v>11605883.647285506</v>
      </c>
      <c r="M30" s="9">
        <f t="shared" si="11"/>
        <v>5850773.6472855043</v>
      </c>
      <c r="N30" s="31">
        <f t="shared" si="5"/>
        <v>139324629.74165139</v>
      </c>
      <c r="O30" s="31">
        <f t="shared" ref="O30" si="12">SUM(O22:O29)+O21+O18</f>
        <v>4229161.9609101992</v>
      </c>
      <c r="P30" s="31">
        <f t="shared" si="3"/>
        <v>135095467.78074118</v>
      </c>
      <c r="Q30" s="134">
        <f t="shared" si="1"/>
        <v>31.943791472026284</v>
      </c>
      <c r="R30" s="141"/>
      <c r="S30" s="142"/>
      <c r="T30" s="48"/>
    </row>
    <row r="31" spans="1:20" x14ac:dyDescent="0.45">
      <c r="A31" s="26" t="s">
        <v>17</v>
      </c>
      <c r="B31" s="8" t="e">
        <f t="shared" ref="B31:O31" si="13">B11-B30</f>
        <v>#DIV/0!</v>
      </c>
      <c r="C31" s="9" t="e">
        <f t="shared" si="13"/>
        <v>#DIV/0!</v>
      </c>
      <c r="D31" s="8" t="e">
        <f t="shared" si="13"/>
        <v>#DIV/0!</v>
      </c>
      <c r="E31" s="9" t="e">
        <f t="shared" si="13"/>
        <v>#DIV/0!</v>
      </c>
      <c r="F31" s="8" t="e">
        <f t="shared" si="13"/>
        <v>#DIV/0!</v>
      </c>
      <c r="G31" s="9" t="e">
        <f t="shared" si="13"/>
        <v>#DIV/0!</v>
      </c>
      <c r="H31" s="8" t="e">
        <f t="shared" si="13"/>
        <v>#DIV/0!</v>
      </c>
      <c r="I31" s="9" t="e">
        <f t="shared" si="13"/>
        <v>#DIV/0!</v>
      </c>
      <c r="J31" s="8" t="e">
        <f t="shared" si="13"/>
        <v>#DIV/0!</v>
      </c>
      <c r="K31" s="9" t="e">
        <f t="shared" si="13"/>
        <v>#DIV/0!</v>
      </c>
      <c r="L31" s="8" t="e">
        <f t="shared" si="13"/>
        <v>#DIV/0!</v>
      </c>
      <c r="M31" s="9" t="e">
        <f t="shared" si="13"/>
        <v>#DIV/0!</v>
      </c>
      <c r="N31" s="21" t="e">
        <f t="shared" si="13"/>
        <v>#DIV/0!</v>
      </c>
      <c r="O31" s="21">
        <f t="shared" si="13"/>
        <v>-666635.77984424727</v>
      </c>
      <c r="P31" s="21" t="e">
        <f t="shared" si="3"/>
        <v>#DIV/0!</v>
      </c>
      <c r="Q31" s="133" t="e">
        <f t="shared" si="1"/>
        <v>#DIV/0!</v>
      </c>
      <c r="R31" s="141"/>
      <c r="S31" s="142"/>
      <c r="T31" s="37"/>
    </row>
    <row r="32" spans="1:20" x14ac:dyDescent="0.45">
      <c r="A32" s="32" t="s">
        <v>14</v>
      </c>
      <c r="B32" s="12">
        <f>+'Budget Commun'!B14+'Budget Invest&amp; Amort'!B9</f>
        <v>84231.685623696525</v>
      </c>
      <c r="C32" s="13">
        <f>+'Budget Commun'!C14+'Budget Invest&amp; Amort'!C9</f>
        <v>84231.685623696525</v>
      </c>
      <c r="D32" s="12">
        <f>+'Budget Commun'!D14+'Budget Invest&amp; Amort'!D9</f>
        <v>84231.685623696525</v>
      </c>
      <c r="E32" s="13">
        <f>+'Budget Commun'!E14+'Budget Invest&amp; Amort'!E9</f>
        <v>84231.685623696525</v>
      </c>
      <c r="F32" s="12">
        <f>+'Budget Commun'!F14+'Budget Invest&amp; Amort'!F9</f>
        <v>84231.685623696525</v>
      </c>
      <c r="G32" s="13">
        <f>+'Budget Commun'!G14+'Budget Invest&amp; Amort'!G9</f>
        <v>84231.685623696525</v>
      </c>
      <c r="H32" s="12">
        <f>+'Budget Commun'!H14+'Budget Invest&amp; Amort'!H9</f>
        <v>84231.685623696525</v>
      </c>
      <c r="I32" s="13">
        <f>+'Budget Commun'!I14+'Budget Invest&amp; Amort'!I9</f>
        <v>84231.685623696525</v>
      </c>
      <c r="J32" s="12">
        <f>+'Budget Commun'!J14+'Budget Invest&amp; Amort'!J9</f>
        <v>84231.685623696525</v>
      </c>
      <c r="K32" s="13">
        <f>+'Budget Commun'!K14+'Budget Invest&amp; Amort'!K9</f>
        <v>87247.518957029853</v>
      </c>
      <c r="L32" s="12">
        <f>+'Budget Commun'!L14+'Budget Invest&amp; Amort'!L9</f>
        <v>87247.518957029853</v>
      </c>
      <c r="M32" s="13">
        <f>+'Budget Commun'!M14+'Budget Invest&amp; Amort'!M9</f>
        <v>87247.518957029853</v>
      </c>
      <c r="N32" s="31">
        <f t="shared" si="5"/>
        <v>1019827.7274843582</v>
      </c>
      <c r="O32" s="31">
        <v>823053.01487612631</v>
      </c>
      <c r="P32" s="31">
        <f t="shared" si="3"/>
        <v>196774.71260823193</v>
      </c>
      <c r="Q32" s="134">
        <f t="shared" si="1"/>
        <v>0.23907902535032635</v>
      </c>
      <c r="R32" s="141">
        <f>+'Budget Commun'!N14+'Budget Invest&amp; Amort'!N9</f>
        <v>1019827.7274843582</v>
      </c>
      <c r="S32" s="140">
        <f>+N32-R32</f>
        <v>0</v>
      </c>
    </row>
    <row r="33" spans="1:19" x14ac:dyDescent="0.45">
      <c r="A33" s="26" t="s">
        <v>19</v>
      </c>
      <c r="B33" s="8" t="e">
        <f>B31-B32</f>
        <v>#DIV/0!</v>
      </c>
      <c r="C33" s="9" t="e">
        <f t="shared" ref="C33:O33" si="14">C31-C32</f>
        <v>#DIV/0!</v>
      </c>
      <c r="D33" s="8" t="e">
        <f t="shared" si="14"/>
        <v>#DIV/0!</v>
      </c>
      <c r="E33" s="9" t="e">
        <f t="shared" si="14"/>
        <v>#DIV/0!</v>
      </c>
      <c r="F33" s="8" t="e">
        <f t="shared" si="14"/>
        <v>#DIV/0!</v>
      </c>
      <c r="G33" s="9" t="e">
        <f t="shared" si="14"/>
        <v>#DIV/0!</v>
      </c>
      <c r="H33" s="8" t="e">
        <f t="shared" si="14"/>
        <v>#DIV/0!</v>
      </c>
      <c r="I33" s="9" t="e">
        <f t="shared" si="14"/>
        <v>#DIV/0!</v>
      </c>
      <c r="J33" s="8" t="e">
        <f t="shared" si="14"/>
        <v>#DIV/0!</v>
      </c>
      <c r="K33" s="9" t="e">
        <f t="shared" si="14"/>
        <v>#DIV/0!</v>
      </c>
      <c r="L33" s="8" t="e">
        <f t="shared" si="14"/>
        <v>#DIV/0!</v>
      </c>
      <c r="M33" s="9" t="e">
        <f t="shared" si="14"/>
        <v>#DIV/0!</v>
      </c>
      <c r="N33" s="21" t="e">
        <f t="shared" si="14"/>
        <v>#DIV/0!</v>
      </c>
      <c r="O33" s="21">
        <f t="shared" si="14"/>
        <v>-1489688.7947203736</v>
      </c>
      <c r="P33" s="21" t="e">
        <f t="shared" si="3"/>
        <v>#DIV/0!</v>
      </c>
      <c r="Q33" s="133" t="e">
        <f t="shared" si="1"/>
        <v>#DIV/0!</v>
      </c>
      <c r="R33" s="141"/>
      <c r="S33" s="142"/>
    </row>
    <row r="34" spans="1:19" x14ac:dyDescent="0.45">
      <c r="A34" s="17" t="s">
        <v>225</v>
      </c>
      <c r="B34" s="165"/>
      <c r="C34" s="166"/>
      <c r="D34" s="165"/>
      <c r="E34" s="166"/>
      <c r="F34" s="165"/>
      <c r="G34" s="166"/>
      <c r="H34" s="165"/>
      <c r="I34" s="166"/>
      <c r="J34" s="165"/>
      <c r="K34" s="166"/>
      <c r="L34" s="165"/>
      <c r="M34" s="166"/>
      <c r="N34" s="135" t="e">
        <f>+N31/N7</f>
        <v>#DIV/0!</v>
      </c>
      <c r="O34" s="135">
        <f>+O31/O7</f>
        <v>-0.26256939373411375</v>
      </c>
      <c r="P34" s="167" t="e">
        <f t="shared" si="3"/>
        <v>#DIV/0!</v>
      </c>
      <c r="Q34" s="167"/>
      <c r="R34" s="141"/>
    </row>
    <row r="35" spans="1:19" x14ac:dyDescent="0.45">
      <c r="A35" s="17" t="s">
        <v>75</v>
      </c>
      <c r="B35" s="49" t="e">
        <f t="shared" ref="B35:D35" si="15">+(B7)/B5</f>
        <v>#DIV/0!</v>
      </c>
      <c r="C35" s="50" t="e">
        <f t="shared" si="15"/>
        <v>#DIV/0!</v>
      </c>
      <c r="D35" s="49" t="e">
        <f t="shared" si="15"/>
        <v>#DIV/0!</v>
      </c>
      <c r="E35" s="50" t="e">
        <f>+(E7)/E5</f>
        <v>#DIV/0!</v>
      </c>
      <c r="F35" s="49">
        <f t="shared" ref="F35:O35" si="16">+(F7)/F5</f>
        <v>0.01</v>
      </c>
      <c r="G35" s="50">
        <f t="shared" si="16"/>
        <v>0.01</v>
      </c>
      <c r="H35" s="49">
        <f t="shared" si="16"/>
        <v>0.01</v>
      </c>
      <c r="I35" s="50">
        <f t="shared" si="16"/>
        <v>0.01</v>
      </c>
      <c r="J35" s="49">
        <f t="shared" si="16"/>
        <v>0.01</v>
      </c>
      <c r="K35" s="50">
        <f t="shared" si="16"/>
        <v>0.01</v>
      </c>
      <c r="L35" s="49">
        <f t="shared" si="16"/>
        <v>0.01</v>
      </c>
      <c r="M35" s="50">
        <f t="shared" si="16"/>
        <v>0.01</v>
      </c>
      <c r="N35" s="51">
        <f t="shared" si="16"/>
        <v>0.01</v>
      </c>
      <c r="O35" s="51">
        <f t="shared" si="16"/>
        <v>2.290875126143022</v>
      </c>
      <c r="P35" s="51">
        <f t="shared" si="3"/>
        <v>-2.2808751261430222</v>
      </c>
      <c r="Q35" s="136">
        <f t="shared" si="1"/>
        <v>-0.9956348559177749</v>
      </c>
      <c r="R35" s="141"/>
    </row>
    <row r="36" spans="1:19" x14ac:dyDescent="0.45">
      <c r="A36" s="17" t="s">
        <v>176</v>
      </c>
      <c r="B36" s="18">
        <f t="shared" ref="B36:O36" si="17">+B7/B4</f>
        <v>0</v>
      </c>
      <c r="C36" s="19">
        <f t="shared" si="17"/>
        <v>0</v>
      </c>
      <c r="D36" s="18">
        <f t="shared" si="17"/>
        <v>0</v>
      </c>
      <c r="E36" s="19">
        <f t="shared" si="17"/>
        <v>0</v>
      </c>
      <c r="F36" s="18">
        <f t="shared" si="17"/>
        <v>200000</v>
      </c>
      <c r="G36" s="19">
        <f t="shared" si="17"/>
        <v>150000</v>
      </c>
      <c r="H36" s="18">
        <f t="shared" si="17"/>
        <v>150000</v>
      </c>
      <c r="I36" s="19">
        <f t="shared" si="17"/>
        <v>200000</v>
      </c>
      <c r="J36" s="18">
        <f t="shared" si="17"/>
        <v>150000</v>
      </c>
      <c r="K36" s="19">
        <f t="shared" si="17"/>
        <v>150000</v>
      </c>
      <c r="L36" s="18">
        <f t="shared" si="17"/>
        <v>100000</v>
      </c>
      <c r="M36" s="19">
        <f t="shared" si="17"/>
        <v>50000</v>
      </c>
      <c r="N36" s="44">
        <f t="shared" si="17"/>
        <v>1150000</v>
      </c>
      <c r="O36" s="44">
        <f t="shared" si="17"/>
        <v>373366.72074499296</v>
      </c>
      <c r="P36" s="44">
        <f t="shared" si="3"/>
        <v>776633.27925500704</v>
      </c>
      <c r="Q36" s="136">
        <f t="shared" si="1"/>
        <v>2.080081689405421</v>
      </c>
      <c r="R36" s="141"/>
    </row>
    <row r="37" spans="1:19" x14ac:dyDescent="0.45">
      <c r="A37" s="17" t="s">
        <v>174</v>
      </c>
      <c r="B37" s="18" t="e">
        <f t="shared" ref="B37:O37" si="18">+(B30-B10)/B4</f>
        <v>#DIV/0!</v>
      </c>
      <c r="C37" s="19" t="e">
        <f t="shared" si="18"/>
        <v>#DIV/0!</v>
      </c>
      <c r="D37" s="18" t="e">
        <f t="shared" si="18"/>
        <v>#DIV/0!</v>
      </c>
      <c r="E37" s="19" t="e">
        <f t="shared" si="18"/>
        <v>#DIV/0!</v>
      </c>
      <c r="F37" s="18" t="e">
        <f t="shared" si="18"/>
        <v>#DIV/0!</v>
      </c>
      <c r="G37" s="19" t="e">
        <f t="shared" si="18"/>
        <v>#DIV/0!</v>
      </c>
      <c r="H37" s="18" t="e">
        <f t="shared" si="18"/>
        <v>#DIV/0!</v>
      </c>
      <c r="I37" s="19" t="e">
        <f t="shared" si="18"/>
        <v>#DIV/0!</v>
      </c>
      <c r="J37" s="18" t="e">
        <f t="shared" si="18"/>
        <v>#DIV/0!</v>
      </c>
      <c r="K37" s="19" t="e">
        <f t="shared" si="18"/>
        <v>#DIV/0!</v>
      </c>
      <c r="L37" s="18" t="e">
        <f t="shared" si="18"/>
        <v>#DIV/0!</v>
      </c>
      <c r="M37" s="19" t="e">
        <f t="shared" si="18"/>
        <v>#DIV/0!</v>
      </c>
      <c r="N37" s="44" t="e">
        <f t="shared" si="18"/>
        <v>#DIV/0!</v>
      </c>
      <c r="O37" s="44">
        <f t="shared" si="18"/>
        <v>621935.58248679398</v>
      </c>
      <c r="P37" s="44" t="e">
        <f t="shared" si="3"/>
        <v>#DIV/0!</v>
      </c>
      <c r="Q37" s="136" t="e">
        <f t="shared" si="1"/>
        <v>#DIV/0!</v>
      </c>
      <c r="R37" s="172"/>
    </row>
    <row r="38" spans="1:19" x14ac:dyDescent="0.45">
      <c r="A38" s="17" t="s">
        <v>172</v>
      </c>
      <c r="B38" s="18" t="e">
        <f t="shared" ref="B38:O38" si="19">+B31/B4</f>
        <v>#DIV/0!</v>
      </c>
      <c r="C38" s="19" t="e">
        <f t="shared" si="19"/>
        <v>#DIV/0!</v>
      </c>
      <c r="D38" s="18" t="e">
        <f t="shared" si="19"/>
        <v>#DIV/0!</v>
      </c>
      <c r="E38" s="19" t="e">
        <f t="shared" si="19"/>
        <v>#DIV/0!</v>
      </c>
      <c r="F38" s="18" t="e">
        <f t="shared" si="19"/>
        <v>#DIV/0!</v>
      </c>
      <c r="G38" s="19" t="e">
        <f t="shared" si="19"/>
        <v>#DIV/0!</v>
      </c>
      <c r="H38" s="18" t="e">
        <f t="shared" si="19"/>
        <v>#DIV/0!</v>
      </c>
      <c r="I38" s="19" t="e">
        <f t="shared" si="19"/>
        <v>#DIV/0!</v>
      </c>
      <c r="J38" s="18" t="e">
        <f t="shared" si="19"/>
        <v>#DIV/0!</v>
      </c>
      <c r="K38" s="19" t="e">
        <f t="shared" si="19"/>
        <v>#DIV/0!</v>
      </c>
      <c r="L38" s="18" t="e">
        <f t="shared" si="19"/>
        <v>#DIV/0!</v>
      </c>
      <c r="M38" s="19" t="e">
        <f t="shared" si="19"/>
        <v>#DIV/0!</v>
      </c>
      <c r="N38" s="44" t="e">
        <f t="shared" si="19"/>
        <v>#DIV/0!</v>
      </c>
      <c r="O38" s="44">
        <f t="shared" si="19"/>
        <v>-98034.673506506952</v>
      </c>
      <c r="P38" s="44" t="e">
        <f t="shared" si="3"/>
        <v>#DIV/0!</v>
      </c>
      <c r="Q38" s="136" t="e">
        <f t="shared" si="1"/>
        <v>#DIV/0!</v>
      </c>
      <c r="R38" s="141"/>
    </row>
    <row r="39" spans="1:19" x14ac:dyDescent="0.45">
      <c r="A39" s="17" t="s">
        <v>173</v>
      </c>
      <c r="B39" s="18" t="e">
        <f t="shared" ref="B39:O39" si="20">+(B30+B32-B10)/B4</f>
        <v>#DIV/0!</v>
      </c>
      <c r="C39" s="19" t="e">
        <f t="shared" si="20"/>
        <v>#DIV/0!</v>
      </c>
      <c r="D39" s="18" t="e">
        <f t="shared" si="20"/>
        <v>#DIV/0!</v>
      </c>
      <c r="E39" s="19" t="e">
        <f t="shared" si="20"/>
        <v>#DIV/0!</v>
      </c>
      <c r="F39" s="18" t="e">
        <f t="shared" si="20"/>
        <v>#DIV/0!</v>
      </c>
      <c r="G39" s="19" t="e">
        <f t="shared" si="20"/>
        <v>#DIV/0!</v>
      </c>
      <c r="H39" s="18" t="e">
        <f t="shared" si="20"/>
        <v>#DIV/0!</v>
      </c>
      <c r="I39" s="19" t="e">
        <f t="shared" si="20"/>
        <v>#DIV/0!</v>
      </c>
      <c r="J39" s="18" t="e">
        <f t="shared" si="20"/>
        <v>#DIV/0!</v>
      </c>
      <c r="K39" s="19" t="e">
        <f t="shared" si="20"/>
        <v>#DIV/0!</v>
      </c>
      <c r="L39" s="18" t="e">
        <f t="shared" si="20"/>
        <v>#DIV/0!</v>
      </c>
      <c r="M39" s="19" t="e">
        <f t="shared" si="20"/>
        <v>#DIV/0!</v>
      </c>
      <c r="N39" s="44" t="e">
        <f t="shared" si="20"/>
        <v>#DIV/0!</v>
      </c>
      <c r="O39" s="44">
        <f t="shared" si="20"/>
        <v>742972.79055681254</v>
      </c>
      <c r="P39" s="44" t="e">
        <f t="shared" si="3"/>
        <v>#DIV/0!</v>
      </c>
      <c r="Q39" s="136" t="e">
        <f t="shared" si="1"/>
        <v>#DIV/0!</v>
      </c>
      <c r="R39" s="141"/>
    </row>
    <row r="40" spans="1:19" x14ac:dyDescent="0.45">
      <c r="A40" s="17" t="s">
        <v>175</v>
      </c>
      <c r="B40" s="18" t="e">
        <f t="shared" ref="B40:O40" si="21">B33/B4</f>
        <v>#DIV/0!</v>
      </c>
      <c r="C40" s="19" t="e">
        <f t="shared" si="21"/>
        <v>#DIV/0!</v>
      </c>
      <c r="D40" s="18" t="e">
        <f t="shared" si="21"/>
        <v>#DIV/0!</v>
      </c>
      <c r="E40" s="19" t="e">
        <f t="shared" si="21"/>
        <v>#DIV/0!</v>
      </c>
      <c r="F40" s="18" t="e">
        <f t="shared" si="21"/>
        <v>#DIV/0!</v>
      </c>
      <c r="G40" s="19" t="e">
        <f t="shared" si="21"/>
        <v>#DIV/0!</v>
      </c>
      <c r="H40" s="18" t="e">
        <f t="shared" si="21"/>
        <v>#DIV/0!</v>
      </c>
      <c r="I40" s="19" t="e">
        <f t="shared" si="21"/>
        <v>#DIV/0!</v>
      </c>
      <c r="J40" s="18" t="e">
        <f t="shared" si="21"/>
        <v>#DIV/0!</v>
      </c>
      <c r="K40" s="19" t="e">
        <f t="shared" si="21"/>
        <v>#DIV/0!</v>
      </c>
      <c r="L40" s="18" t="e">
        <f t="shared" si="21"/>
        <v>#DIV/0!</v>
      </c>
      <c r="M40" s="19" t="e">
        <f t="shared" si="21"/>
        <v>#DIV/0!</v>
      </c>
      <c r="N40" s="44" t="e">
        <f t="shared" si="21"/>
        <v>#DIV/0!</v>
      </c>
      <c r="O40" s="44">
        <f t="shared" si="21"/>
        <v>-219071.88157652554</v>
      </c>
      <c r="P40" s="44" t="e">
        <f t="shared" si="3"/>
        <v>#DIV/0!</v>
      </c>
      <c r="Q40" s="136" t="e">
        <f t="shared" si="1"/>
        <v>#DIV/0!</v>
      </c>
      <c r="R40" s="141"/>
    </row>
    <row r="41" spans="1:19" x14ac:dyDescent="0.45">
      <c r="A41" s="132" t="s">
        <v>166</v>
      </c>
      <c r="B41" s="49"/>
      <c r="C41" s="50"/>
      <c r="D41" s="49"/>
      <c r="E41" s="19"/>
      <c r="F41" s="18"/>
      <c r="G41" s="19"/>
      <c r="H41" s="18"/>
      <c r="I41" s="19"/>
      <c r="J41" s="18"/>
      <c r="K41" s="19"/>
      <c r="L41" s="18"/>
      <c r="M41" s="19"/>
      <c r="N41" s="44"/>
      <c r="O41" s="44"/>
      <c r="P41" s="44"/>
      <c r="Q41" s="136"/>
      <c r="R41" s="141"/>
    </row>
    <row r="42" spans="1:19" x14ac:dyDescent="0.45">
      <c r="A42" s="17" t="s">
        <v>77</v>
      </c>
      <c r="B42" s="18">
        <f>+(B30+B32)/B3</f>
        <v>64694.758052627163</v>
      </c>
      <c r="C42" s="19">
        <f t="shared" ref="C42:M42" si="22">+(C30+C32)/C3</f>
        <v>191071.85691465795</v>
      </c>
      <c r="D42" s="18">
        <f t="shared" si="22"/>
        <v>27984.345403721349</v>
      </c>
      <c r="E42" s="19">
        <f t="shared" si="22"/>
        <v>27724.760144395837</v>
      </c>
      <c r="F42" s="18">
        <f t="shared" si="22"/>
        <v>1417907.0086220505</v>
      </c>
      <c r="G42" s="19">
        <f t="shared" si="22"/>
        <v>1069901.8730586318</v>
      </c>
      <c r="H42" s="18">
        <f t="shared" si="22"/>
        <v>1069907.6047733987</v>
      </c>
      <c r="I42" s="19">
        <f t="shared" si="22"/>
        <v>1417226.4713873605</v>
      </c>
      <c r="J42" s="18">
        <f t="shared" si="22"/>
        <v>1070866.2576504136</v>
      </c>
      <c r="K42" s="19">
        <f t="shared" si="22"/>
        <v>1053833.8667859971</v>
      </c>
      <c r="L42" s="18">
        <f t="shared" si="22"/>
        <v>706192.2434015302</v>
      </c>
      <c r="M42" s="19">
        <f t="shared" si="22"/>
        <v>358619.46891185734</v>
      </c>
      <c r="N42" s="44" t="e">
        <f>+(N30+N32-N10)/N3</f>
        <v>#DIV/0!</v>
      </c>
      <c r="O42" s="44">
        <f>+(O30+O32-O10)/O3</f>
        <v>742972.79055681254</v>
      </c>
      <c r="P42" s="44" t="e">
        <f t="shared" si="3"/>
        <v>#DIV/0!</v>
      </c>
      <c r="Q42" s="136" t="e">
        <f t="shared" si="1"/>
        <v>#DIV/0!</v>
      </c>
      <c r="R42" s="141"/>
    </row>
    <row r="43" spans="1:19" x14ac:dyDescent="0.45">
      <c r="A43" s="17" t="s">
        <v>76</v>
      </c>
      <c r="B43" s="18">
        <f>+B30/B3</f>
        <v>59607.689226458759</v>
      </c>
      <c r="C43" s="19">
        <f t="shared" ref="C43:M43" si="23">+C30/C3</f>
        <v>185984.78808848956</v>
      </c>
      <c r="D43" s="18">
        <f t="shared" si="23"/>
        <v>22897.276577552941</v>
      </c>
      <c r="E43" s="19">
        <f t="shared" si="23"/>
        <v>22637.691318227429</v>
      </c>
      <c r="F43" s="18">
        <f t="shared" si="23"/>
        <v>1412819.939795882</v>
      </c>
      <c r="G43" s="19">
        <f t="shared" si="23"/>
        <v>1064814.8042324632</v>
      </c>
      <c r="H43" s="18">
        <f t="shared" si="23"/>
        <v>1064820.5359472302</v>
      </c>
      <c r="I43" s="19">
        <f t="shared" si="23"/>
        <v>1412139.4025611919</v>
      </c>
      <c r="J43" s="18">
        <f t="shared" si="23"/>
        <v>1065779.188824245</v>
      </c>
      <c r="K43" s="19">
        <f t="shared" si="23"/>
        <v>1048564.6604230892</v>
      </c>
      <c r="L43" s="18">
        <f t="shared" si="23"/>
        <v>700923.03703862219</v>
      </c>
      <c r="M43" s="19">
        <f t="shared" si="23"/>
        <v>353350.26254894939</v>
      </c>
      <c r="N43" s="44" t="e">
        <f>+(N30-N10)/N3</f>
        <v>#DIV/0!</v>
      </c>
      <c r="O43" s="44">
        <f>+(O30-O10)/O3</f>
        <v>621935.58248679398</v>
      </c>
      <c r="P43" s="44" t="e">
        <f t="shared" si="3"/>
        <v>#DIV/0!</v>
      </c>
      <c r="Q43" s="136" t="e">
        <f t="shared" si="1"/>
        <v>#DIV/0!</v>
      </c>
      <c r="R43" s="141"/>
    </row>
    <row r="44" spans="1:19" x14ac:dyDescent="0.45">
      <c r="A44" s="17" t="s">
        <v>167</v>
      </c>
      <c r="B44" s="18">
        <f>+B12/B3</f>
        <v>0</v>
      </c>
      <c r="C44" s="19">
        <f t="shared" ref="C44:O44" si="24">+C12/C3</f>
        <v>90264.524701050846</v>
      </c>
      <c r="D44" s="18">
        <f t="shared" si="24"/>
        <v>0</v>
      </c>
      <c r="E44" s="19">
        <f t="shared" si="24"/>
        <v>0</v>
      </c>
      <c r="F44" s="18">
        <f t="shared" si="24"/>
        <v>0</v>
      </c>
      <c r="G44" s="19">
        <f t="shared" si="24"/>
        <v>0</v>
      </c>
      <c r="H44" s="18">
        <f t="shared" si="24"/>
        <v>0</v>
      </c>
      <c r="I44" s="19">
        <f t="shared" si="24"/>
        <v>0</v>
      </c>
      <c r="J44" s="18">
        <f t="shared" si="24"/>
        <v>0</v>
      </c>
      <c r="K44" s="19">
        <f t="shared" si="24"/>
        <v>0</v>
      </c>
      <c r="L44" s="18">
        <f t="shared" si="24"/>
        <v>0</v>
      </c>
      <c r="M44" s="19">
        <f t="shared" si="24"/>
        <v>0</v>
      </c>
      <c r="N44" s="44">
        <f t="shared" si="24"/>
        <v>90264.524701050846</v>
      </c>
      <c r="O44" s="44">
        <f t="shared" si="24"/>
        <v>29764.705882352948</v>
      </c>
      <c r="P44" s="44">
        <f t="shared" si="3"/>
        <v>60499.818818697895</v>
      </c>
      <c r="Q44" s="136">
        <f t="shared" si="1"/>
        <v>2.032602608533328</v>
      </c>
    </row>
    <row r="45" spans="1:19" x14ac:dyDescent="0.45">
      <c r="A45" s="17" t="s">
        <v>168</v>
      </c>
      <c r="B45" s="18">
        <f>+B13/B3</f>
        <v>0</v>
      </c>
      <c r="C45" s="19">
        <f t="shared" ref="C45:O45" si="25">+C13/C3</f>
        <v>0</v>
      </c>
      <c r="D45" s="18">
        <f t="shared" si="25"/>
        <v>0</v>
      </c>
      <c r="E45" s="19">
        <f t="shared" si="25"/>
        <v>0</v>
      </c>
      <c r="F45" s="18">
        <f t="shared" si="25"/>
        <v>0</v>
      </c>
      <c r="G45" s="19">
        <f t="shared" si="25"/>
        <v>0</v>
      </c>
      <c r="H45" s="18">
        <f t="shared" si="25"/>
        <v>0</v>
      </c>
      <c r="I45" s="19">
        <f t="shared" si="25"/>
        <v>0</v>
      </c>
      <c r="J45" s="18">
        <f t="shared" si="25"/>
        <v>0</v>
      </c>
      <c r="K45" s="19">
        <f t="shared" si="25"/>
        <v>0</v>
      </c>
      <c r="L45" s="18">
        <f t="shared" si="25"/>
        <v>0</v>
      </c>
      <c r="M45" s="19">
        <f t="shared" si="25"/>
        <v>0</v>
      </c>
      <c r="N45" s="44">
        <f t="shared" si="25"/>
        <v>0</v>
      </c>
      <c r="O45" s="44">
        <f t="shared" si="25"/>
        <v>79047.085964423313</v>
      </c>
      <c r="P45" s="44">
        <f t="shared" si="3"/>
        <v>-79047.085964423313</v>
      </c>
      <c r="Q45" s="136">
        <f t="shared" si="1"/>
        <v>-1</v>
      </c>
    </row>
    <row r="46" spans="1:19" x14ac:dyDescent="0.45">
      <c r="A46" s="17" t="s">
        <v>169</v>
      </c>
      <c r="B46" s="18">
        <f>+B14/B3</f>
        <v>0</v>
      </c>
      <c r="C46" s="19">
        <f t="shared" ref="C46:O46" si="26">+C14/C3</f>
        <v>67218.263075250637</v>
      </c>
      <c r="D46" s="18">
        <f t="shared" si="26"/>
        <v>0</v>
      </c>
      <c r="E46" s="19">
        <f t="shared" si="26"/>
        <v>0</v>
      </c>
      <c r="F46" s="18">
        <f t="shared" si="26"/>
        <v>0</v>
      </c>
      <c r="G46" s="19">
        <f t="shared" si="26"/>
        <v>0</v>
      </c>
      <c r="H46" s="18">
        <f t="shared" si="26"/>
        <v>0</v>
      </c>
      <c r="I46" s="19">
        <f t="shared" si="26"/>
        <v>0</v>
      </c>
      <c r="J46" s="18">
        <f t="shared" si="26"/>
        <v>0</v>
      </c>
      <c r="K46" s="19">
        <f t="shared" si="26"/>
        <v>0</v>
      </c>
      <c r="L46" s="18">
        <f t="shared" si="26"/>
        <v>0</v>
      </c>
      <c r="M46" s="19">
        <f t="shared" si="26"/>
        <v>0</v>
      </c>
      <c r="N46" s="44">
        <f t="shared" si="26"/>
        <v>67218.263075250637</v>
      </c>
      <c r="O46" s="44">
        <f t="shared" si="26"/>
        <v>37483.382352927947</v>
      </c>
      <c r="P46" s="44">
        <f t="shared" si="3"/>
        <v>29734.88072232269</v>
      </c>
      <c r="Q46" s="136">
        <f t="shared" si="1"/>
        <v>0.79328168526392351</v>
      </c>
    </row>
    <row r="47" spans="1:19" x14ac:dyDescent="0.45">
      <c r="A47" s="17" t="s">
        <v>170</v>
      </c>
      <c r="B47" s="18">
        <f>+B15/B3</f>
        <v>0</v>
      </c>
      <c r="C47" s="19">
        <f t="shared" ref="C47:O47" si="27">+C15/C3</f>
        <v>0</v>
      </c>
      <c r="D47" s="18">
        <f t="shared" si="27"/>
        <v>0</v>
      </c>
      <c r="E47" s="19">
        <f t="shared" si="27"/>
        <v>0</v>
      </c>
      <c r="F47" s="18">
        <f t="shared" si="27"/>
        <v>0</v>
      </c>
      <c r="G47" s="19">
        <f t="shared" si="27"/>
        <v>0</v>
      </c>
      <c r="H47" s="18">
        <f t="shared" si="27"/>
        <v>0</v>
      </c>
      <c r="I47" s="19">
        <f t="shared" si="27"/>
        <v>0</v>
      </c>
      <c r="J47" s="18">
        <f t="shared" si="27"/>
        <v>0</v>
      </c>
      <c r="K47" s="19">
        <f t="shared" si="27"/>
        <v>0</v>
      </c>
      <c r="L47" s="18">
        <f t="shared" si="27"/>
        <v>0</v>
      </c>
      <c r="M47" s="19">
        <f t="shared" si="27"/>
        <v>0</v>
      </c>
      <c r="N47" s="44">
        <f t="shared" si="27"/>
        <v>0</v>
      </c>
      <c r="O47" s="44">
        <f t="shared" si="27"/>
        <v>85686.50304208514</v>
      </c>
      <c r="P47" s="44">
        <f t="shared" si="3"/>
        <v>-85686.50304208514</v>
      </c>
      <c r="Q47" s="136">
        <f t="shared" si="1"/>
        <v>-1</v>
      </c>
    </row>
    <row r="48" spans="1:19" x14ac:dyDescent="0.45">
      <c r="A48" s="17" t="s">
        <v>171</v>
      </c>
      <c r="B48" s="18">
        <f>+B16/B3</f>
        <v>0</v>
      </c>
      <c r="C48" s="19">
        <f t="shared" ref="C48:O48" si="28">+C16/C3</f>
        <v>0</v>
      </c>
      <c r="D48" s="18">
        <f t="shared" si="28"/>
        <v>0</v>
      </c>
      <c r="E48" s="19">
        <f t="shared" si="28"/>
        <v>0</v>
      </c>
      <c r="F48" s="18">
        <f t="shared" si="28"/>
        <v>0</v>
      </c>
      <c r="G48" s="19">
        <f t="shared" si="28"/>
        <v>0</v>
      </c>
      <c r="H48" s="18">
        <f t="shared" si="28"/>
        <v>0</v>
      </c>
      <c r="I48" s="19">
        <f t="shared" si="28"/>
        <v>0</v>
      </c>
      <c r="J48" s="18">
        <f t="shared" si="28"/>
        <v>0</v>
      </c>
      <c r="K48" s="19">
        <f t="shared" si="28"/>
        <v>0</v>
      </c>
      <c r="L48" s="18">
        <f t="shared" si="28"/>
        <v>0</v>
      </c>
      <c r="M48" s="19">
        <f t="shared" si="28"/>
        <v>0</v>
      </c>
      <c r="N48" s="44">
        <f t="shared" si="28"/>
        <v>0</v>
      </c>
      <c r="O48" s="44">
        <f t="shared" si="28"/>
        <v>15828.683235293016</v>
      </c>
      <c r="P48" s="44">
        <f t="shared" si="3"/>
        <v>-15828.683235293016</v>
      </c>
      <c r="Q48" s="136">
        <f t="shared" si="1"/>
        <v>-1</v>
      </c>
    </row>
    <row r="49" spans="1:18" x14ac:dyDescent="0.45">
      <c r="A49" s="17" t="s">
        <v>7</v>
      </c>
      <c r="B49" s="18">
        <f>+B17/B3</f>
        <v>28960.864838748646</v>
      </c>
      <c r="C49" s="19">
        <f t="shared" ref="C49:O49" si="29">+C17/C3</f>
        <v>927.04432902524479</v>
      </c>
      <c r="D49" s="18">
        <f t="shared" si="29"/>
        <v>927.04432902524479</v>
      </c>
      <c r="E49" s="19">
        <f t="shared" si="29"/>
        <v>927.04432902524479</v>
      </c>
      <c r="F49" s="18">
        <f t="shared" si="29"/>
        <v>927.04432902524479</v>
      </c>
      <c r="G49" s="19">
        <f t="shared" si="29"/>
        <v>927.04432902524479</v>
      </c>
      <c r="H49" s="18">
        <f t="shared" si="29"/>
        <v>927.04432902524479</v>
      </c>
      <c r="I49" s="19">
        <f t="shared" si="29"/>
        <v>927.04432902524479</v>
      </c>
      <c r="J49" s="18">
        <f t="shared" si="29"/>
        <v>927.04432902524479</v>
      </c>
      <c r="K49" s="19">
        <f t="shared" si="29"/>
        <v>927.04432902524479</v>
      </c>
      <c r="L49" s="18">
        <f t="shared" si="29"/>
        <v>927.04432902524479</v>
      </c>
      <c r="M49" s="19">
        <f t="shared" si="29"/>
        <v>927.04432902524479</v>
      </c>
      <c r="N49" s="44">
        <f t="shared" si="29"/>
        <v>39158.35245802634</v>
      </c>
      <c r="O49" s="44">
        <f t="shared" si="29"/>
        <v>10816.456470588235</v>
      </c>
      <c r="P49" s="44">
        <f t="shared" si="3"/>
        <v>28341.895987438103</v>
      </c>
      <c r="Q49" s="136">
        <f t="shared" si="1"/>
        <v>2.6202570189696126</v>
      </c>
    </row>
    <row r="50" spans="1:18" x14ac:dyDescent="0.45">
      <c r="A50" s="17" t="s">
        <v>8</v>
      </c>
      <c r="B50" s="18">
        <f>+B19/B3</f>
        <v>0</v>
      </c>
      <c r="C50" s="19">
        <f t="shared" ref="C50:O50" si="30">+C19/C3</f>
        <v>0</v>
      </c>
      <c r="D50" s="18">
        <f t="shared" si="30"/>
        <v>0</v>
      </c>
      <c r="E50" s="19">
        <f t="shared" si="30"/>
        <v>0</v>
      </c>
      <c r="F50" s="18">
        <f t="shared" si="30"/>
        <v>0</v>
      </c>
      <c r="G50" s="19">
        <f t="shared" si="30"/>
        <v>0</v>
      </c>
      <c r="H50" s="18">
        <f t="shared" si="30"/>
        <v>0</v>
      </c>
      <c r="I50" s="19">
        <f t="shared" si="30"/>
        <v>0</v>
      </c>
      <c r="J50" s="18">
        <f t="shared" si="30"/>
        <v>0</v>
      </c>
      <c r="K50" s="19">
        <f t="shared" si="30"/>
        <v>0</v>
      </c>
      <c r="L50" s="18">
        <f t="shared" si="30"/>
        <v>0</v>
      </c>
      <c r="M50" s="19">
        <f t="shared" si="30"/>
        <v>0</v>
      </c>
      <c r="N50" s="44">
        <f t="shared" si="30"/>
        <v>0</v>
      </c>
      <c r="O50" s="44">
        <f t="shared" si="30"/>
        <v>13489.325960960692</v>
      </c>
      <c r="P50" s="44">
        <f t="shared" si="3"/>
        <v>-13489.325960960692</v>
      </c>
      <c r="Q50" s="136">
        <f t="shared" si="1"/>
        <v>-1</v>
      </c>
    </row>
    <row r="51" spans="1:18" x14ac:dyDescent="0.45">
      <c r="A51" s="17" t="s">
        <v>9</v>
      </c>
      <c r="B51" s="18">
        <f>+B20/B3</f>
        <v>0</v>
      </c>
      <c r="C51" s="19">
        <f t="shared" ref="C51:O51" si="31">+C20/C3</f>
        <v>0</v>
      </c>
      <c r="D51" s="18">
        <f t="shared" si="31"/>
        <v>0</v>
      </c>
      <c r="E51" s="19">
        <f t="shared" si="31"/>
        <v>0</v>
      </c>
      <c r="F51" s="18">
        <f t="shared" si="31"/>
        <v>0</v>
      </c>
      <c r="G51" s="19">
        <f t="shared" si="31"/>
        <v>0</v>
      </c>
      <c r="H51" s="18">
        <f t="shared" si="31"/>
        <v>0</v>
      </c>
      <c r="I51" s="19">
        <f t="shared" si="31"/>
        <v>0</v>
      </c>
      <c r="J51" s="18">
        <f t="shared" si="31"/>
        <v>0</v>
      </c>
      <c r="K51" s="19">
        <f t="shared" si="31"/>
        <v>0</v>
      </c>
      <c r="L51" s="18">
        <f t="shared" si="31"/>
        <v>0</v>
      </c>
      <c r="M51" s="19">
        <f t="shared" si="31"/>
        <v>0</v>
      </c>
      <c r="N51" s="44">
        <f t="shared" si="31"/>
        <v>0</v>
      </c>
      <c r="O51" s="44">
        <f t="shared" si="31"/>
        <v>3034.9472548923522</v>
      </c>
      <c r="P51" s="44">
        <f t="shared" si="3"/>
        <v>-3034.9472548923522</v>
      </c>
      <c r="Q51" s="136">
        <f t="shared" si="1"/>
        <v>-1</v>
      </c>
    </row>
    <row r="52" spans="1:18" x14ac:dyDescent="0.45">
      <c r="A52" s="17" t="s">
        <v>10</v>
      </c>
      <c r="B52" s="18">
        <f>+B22/B3</f>
        <v>0</v>
      </c>
      <c r="C52" s="19">
        <f t="shared" ref="C52:O52" si="32">+C22/C3</f>
        <v>3708.1773161009792</v>
      </c>
      <c r="D52" s="18">
        <f t="shared" si="32"/>
        <v>0</v>
      </c>
      <c r="E52" s="19">
        <f t="shared" si="32"/>
        <v>0</v>
      </c>
      <c r="F52" s="18">
        <f t="shared" si="32"/>
        <v>0</v>
      </c>
      <c r="G52" s="19">
        <f t="shared" si="32"/>
        <v>0</v>
      </c>
      <c r="H52" s="18">
        <f t="shared" si="32"/>
        <v>0</v>
      </c>
      <c r="I52" s="19">
        <f t="shared" si="32"/>
        <v>0</v>
      </c>
      <c r="J52" s="18">
        <f t="shared" si="32"/>
        <v>0</v>
      </c>
      <c r="K52" s="19">
        <f t="shared" si="32"/>
        <v>0</v>
      </c>
      <c r="L52" s="18">
        <f t="shared" si="32"/>
        <v>0</v>
      </c>
      <c r="M52" s="19">
        <f t="shared" si="32"/>
        <v>0</v>
      </c>
      <c r="N52" s="44">
        <f t="shared" si="32"/>
        <v>3708.1773161009792</v>
      </c>
      <c r="O52" s="44">
        <f t="shared" si="32"/>
        <v>6411.0160738714094</v>
      </c>
      <c r="P52" s="44">
        <f t="shared" si="3"/>
        <v>-2702.8387577704302</v>
      </c>
      <c r="Q52" s="136">
        <f t="shared" si="1"/>
        <v>-0.42159288428336</v>
      </c>
    </row>
    <row r="53" spans="1:18" x14ac:dyDescent="0.45">
      <c r="A53" s="17" t="s">
        <v>11</v>
      </c>
      <c r="B53" s="18">
        <f>+B23/B3</f>
        <v>2272.1674731010903</v>
      </c>
      <c r="C53" s="19">
        <f t="shared" ref="C53:O53" si="33">+C23/C3</f>
        <v>2272.1674731010903</v>
      </c>
      <c r="D53" s="18">
        <f t="shared" si="33"/>
        <v>2272.1674731010903</v>
      </c>
      <c r="E53" s="19">
        <f t="shared" si="33"/>
        <v>2272.1674731010903</v>
      </c>
      <c r="F53" s="18">
        <f t="shared" si="33"/>
        <v>2272.1674731010903</v>
      </c>
      <c r="G53" s="19">
        <f t="shared" si="33"/>
        <v>2272.1674731010903</v>
      </c>
      <c r="H53" s="18">
        <f t="shared" si="33"/>
        <v>2272.1674731010903</v>
      </c>
      <c r="I53" s="19">
        <f t="shared" si="33"/>
        <v>2272.1674731010903</v>
      </c>
      <c r="J53" s="18">
        <f t="shared" si="33"/>
        <v>2272.1674731010903</v>
      </c>
      <c r="K53" s="19">
        <f t="shared" si="33"/>
        <v>2272.1674731010903</v>
      </c>
      <c r="L53" s="18">
        <f t="shared" si="33"/>
        <v>2272.1674731010903</v>
      </c>
      <c r="M53" s="19">
        <f t="shared" si="33"/>
        <v>2272.1674731010903</v>
      </c>
      <c r="N53" s="44">
        <f t="shared" si="33"/>
        <v>27266.009677213078</v>
      </c>
      <c r="O53" s="44">
        <f t="shared" si="33"/>
        <v>28186.274509803919</v>
      </c>
      <c r="P53" s="44">
        <f t="shared" si="3"/>
        <v>-920.26483259084125</v>
      </c>
      <c r="Q53" s="136">
        <f t="shared" si="1"/>
        <v>-3.2649395799744629E-2</v>
      </c>
    </row>
    <row r="54" spans="1:18" x14ac:dyDescent="0.45">
      <c r="A54" s="17" t="s">
        <v>12</v>
      </c>
      <c r="B54" s="18">
        <f>+B24/B3</f>
        <v>621.77216259258921</v>
      </c>
      <c r="C54" s="19">
        <f t="shared" ref="C54:O54" si="34">+C24/C3</f>
        <v>853.53324484890038</v>
      </c>
      <c r="D54" s="18">
        <f t="shared" si="34"/>
        <v>853.53324484890049</v>
      </c>
      <c r="E54" s="19">
        <f t="shared" si="34"/>
        <v>621.77216259258921</v>
      </c>
      <c r="F54" s="18">
        <f t="shared" si="34"/>
        <v>621.77216259258921</v>
      </c>
      <c r="G54" s="19">
        <f t="shared" si="34"/>
        <v>853.53324484890049</v>
      </c>
      <c r="H54" s="18">
        <f t="shared" si="34"/>
        <v>853.53324484890049</v>
      </c>
      <c r="I54" s="19">
        <f t="shared" si="34"/>
        <v>621.77216259258921</v>
      </c>
      <c r="J54" s="18">
        <f t="shared" si="34"/>
        <v>853.53324484890049</v>
      </c>
      <c r="K54" s="19">
        <f t="shared" si="34"/>
        <v>377.93232686363643</v>
      </c>
      <c r="L54" s="18">
        <f t="shared" si="34"/>
        <v>377.93232686363643</v>
      </c>
      <c r="M54" s="19">
        <f t="shared" si="34"/>
        <v>75.963490047595869</v>
      </c>
      <c r="N54" s="44">
        <f t="shared" si="34"/>
        <v>7586.5830183897269</v>
      </c>
      <c r="O54" s="44">
        <f t="shared" si="34"/>
        <v>15506.202250340819</v>
      </c>
      <c r="P54" s="44">
        <f t="shared" si="3"/>
        <v>-7919.6192319510919</v>
      </c>
      <c r="Q54" s="136">
        <f t="shared" si="1"/>
        <v>-0.51073880658154203</v>
      </c>
    </row>
    <row r="55" spans="1:18" x14ac:dyDescent="0.45">
      <c r="A55" s="17" t="s">
        <v>156</v>
      </c>
      <c r="B55" s="18">
        <f>+B25/B3</f>
        <v>21403.049141756619</v>
      </c>
      <c r="C55" s="19">
        <f t="shared" ref="C55:O55" si="35">+C25/C3</f>
        <v>18678.431808413214</v>
      </c>
      <c r="D55" s="18">
        <f t="shared" si="35"/>
        <v>16781.885389879077</v>
      </c>
      <c r="E55" s="19">
        <f t="shared" si="35"/>
        <v>16754.061212809876</v>
      </c>
      <c r="F55" s="18">
        <f t="shared" si="35"/>
        <v>16369.816152597285</v>
      </c>
      <c r="G55" s="19">
        <f t="shared" si="35"/>
        <v>15774.542891388923</v>
      </c>
      <c r="H55" s="18">
        <f t="shared" si="35"/>
        <v>15680.572525468413</v>
      </c>
      <c r="I55" s="19">
        <f t="shared" si="35"/>
        <v>15689.27891790711</v>
      </c>
      <c r="J55" s="18">
        <f t="shared" si="35"/>
        <v>16382.848623572758</v>
      </c>
      <c r="K55" s="19">
        <f t="shared" si="35"/>
        <v>0</v>
      </c>
      <c r="L55" s="18">
        <f t="shared" si="35"/>
        <v>0</v>
      </c>
      <c r="M55" s="19">
        <f t="shared" si="35"/>
        <v>370.81773161009789</v>
      </c>
      <c r="N55" s="44">
        <f t="shared" si="35"/>
        <v>153885.30439540339</v>
      </c>
      <c r="O55" s="44">
        <f t="shared" si="35"/>
        <v>204514.08264471992</v>
      </c>
      <c r="P55" s="44">
        <f t="shared" si="3"/>
        <v>-50628.778249316529</v>
      </c>
      <c r="Q55" s="136">
        <f t="shared" si="1"/>
        <v>-0.24755644009742059</v>
      </c>
    </row>
    <row r="56" spans="1:18" x14ac:dyDescent="0.45">
      <c r="A56" s="17" t="s">
        <v>157</v>
      </c>
      <c r="B56" s="18">
        <f>+B26/B3</f>
        <v>1835.9426000878329</v>
      </c>
      <c r="C56" s="19">
        <f t="shared" ref="C56:O56" si="36">+C26/C3</f>
        <v>1835.9426000878329</v>
      </c>
      <c r="D56" s="18">
        <f t="shared" si="36"/>
        <v>1835.9426000878329</v>
      </c>
      <c r="E56" s="19">
        <f t="shared" si="36"/>
        <v>1835.9426000878329</v>
      </c>
      <c r="F56" s="18">
        <f t="shared" si="36"/>
        <v>1835.9426000878329</v>
      </c>
      <c r="G56" s="19">
        <f t="shared" si="36"/>
        <v>1835.9426000878329</v>
      </c>
      <c r="H56" s="18">
        <f t="shared" si="36"/>
        <v>1835.9426000878329</v>
      </c>
      <c r="I56" s="19">
        <f t="shared" si="36"/>
        <v>1835.9426000878329</v>
      </c>
      <c r="J56" s="18">
        <f t="shared" si="36"/>
        <v>1835.9426000878329</v>
      </c>
      <c r="K56" s="19">
        <f t="shared" si="36"/>
        <v>1835.9426000878329</v>
      </c>
      <c r="L56" s="18">
        <f t="shared" si="36"/>
        <v>1835.9426000878329</v>
      </c>
      <c r="M56" s="19">
        <f t="shared" si="36"/>
        <v>1835.9426000878329</v>
      </c>
      <c r="N56" s="44">
        <f t="shared" si="36"/>
        <v>22031.311201053988</v>
      </c>
      <c r="O56" s="44">
        <f t="shared" si="36"/>
        <v>47044.181140214168</v>
      </c>
      <c r="P56" s="44">
        <f t="shared" si="3"/>
        <v>-25012.86993916018</v>
      </c>
      <c r="Q56" s="136">
        <f t="shared" si="1"/>
        <v>-0.53168892162475656</v>
      </c>
    </row>
    <row r="57" spans="1:18" x14ac:dyDescent="0.45">
      <c r="A57" s="17" t="s">
        <v>158</v>
      </c>
      <c r="B57" s="18">
        <f>+B27/B3</f>
        <v>0</v>
      </c>
      <c r="C57" s="19">
        <f t="shared" ref="C57:O57" si="37">+C27/C3</f>
        <v>0</v>
      </c>
      <c r="D57" s="18">
        <f t="shared" si="37"/>
        <v>0</v>
      </c>
      <c r="E57" s="19">
        <f t="shared" si="37"/>
        <v>0</v>
      </c>
      <c r="F57" s="18">
        <f t="shared" si="37"/>
        <v>0</v>
      </c>
      <c r="G57" s="19">
        <f t="shared" si="37"/>
        <v>0</v>
      </c>
      <c r="H57" s="18">
        <f t="shared" si="37"/>
        <v>0</v>
      </c>
      <c r="I57" s="19">
        <f t="shared" si="37"/>
        <v>0</v>
      </c>
      <c r="J57" s="18">
        <f t="shared" si="37"/>
        <v>0</v>
      </c>
      <c r="K57" s="19">
        <f t="shared" si="37"/>
        <v>0</v>
      </c>
      <c r="L57" s="18">
        <f t="shared" si="37"/>
        <v>0</v>
      </c>
      <c r="M57" s="19">
        <f t="shared" si="37"/>
        <v>0</v>
      </c>
      <c r="N57" s="44">
        <f t="shared" si="37"/>
        <v>0</v>
      </c>
      <c r="O57" s="44">
        <f t="shared" si="37"/>
        <v>23079.422093023251</v>
      </c>
      <c r="P57" s="44">
        <f t="shared" si="3"/>
        <v>-23079.422093023251</v>
      </c>
      <c r="Q57" s="136">
        <f t="shared" si="1"/>
        <v>-1</v>
      </c>
    </row>
    <row r="58" spans="1:18" x14ac:dyDescent="0.45">
      <c r="A58" s="17" t="s">
        <v>13</v>
      </c>
      <c r="B58" s="18">
        <f>+B28/B3</f>
        <v>0</v>
      </c>
      <c r="C58" s="19">
        <f t="shared" ref="C58:O58" si="38">+C28/C3</f>
        <v>0</v>
      </c>
      <c r="D58" s="18">
        <f t="shared" si="38"/>
        <v>0</v>
      </c>
      <c r="E58" s="19">
        <f t="shared" si="38"/>
        <v>0</v>
      </c>
      <c r="F58" s="18">
        <f t="shared" si="38"/>
        <v>1390566.4935378672</v>
      </c>
      <c r="G58" s="19">
        <f t="shared" si="38"/>
        <v>1042924.8701534003</v>
      </c>
      <c r="H58" s="18">
        <f t="shared" si="38"/>
        <v>1042924.8701534003</v>
      </c>
      <c r="I58" s="19">
        <f t="shared" si="38"/>
        <v>1390566.4935378672</v>
      </c>
      <c r="J58" s="18">
        <f t="shared" si="38"/>
        <v>1042924.8701534003</v>
      </c>
      <c r="K58" s="19">
        <f t="shared" si="38"/>
        <v>1042924.8701534003</v>
      </c>
      <c r="L58" s="18">
        <f t="shared" si="38"/>
        <v>695283.2467689336</v>
      </c>
      <c r="M58" s="19">
        <f t="shared" si="38"/>
        <v>347641.6233844668</v>
      </c>
      <c r="N58" s="44">
        <f t="shared" si="38"/>
        <v>7995757.3378427355</v>
      </c>
      <c r="O58" s="44">
        <f t="shared" si="38"/>
        <v>10373.556771545829</v>
      </c>
      <c r="P58" s="44">
        <f t="shared" si="3"/>
        <v>7985383.7810711898</v>
      </c>
      <c r="Q58" s="136">
        <f t="shared" si="1"/>
        <v>769.78262682040895</v>
      </c>
    </row>
    <row r="59" spans="1:18" x14ac:dyDescent="0.45">
      <c r="A59" s="17" t="s">
        <v>18</v>
      </c>
      <c r="B59" s="18">
        <f>+B29/B3</f>
        <v>4513.8930101719861</v>
      </c>
      <c r="C59" s="19">
        <f t="shared" ref="C59:O59" si="39">+C29/C3</f>
        <v>226.70354061079394</v>
      </c>
      <c r="D59" s="18">
        <f t="shared" si="39"/>
        <v>226.70354061079394</v>
      </c>
      <c r="E59" s="19">
        <f t="shared" si="39"/>
        <v>226.70354061079394</v>
      </c>
      <c r="F59" s="18">
        <f t="shared" si="39"/>
        <v>226.70354061079394</v>
      </c>
      <c r="G59" s="19">
        <f t="shared" si="39"/>
        <v>226.70354061079394</v>
      </c>
      <c r="H59" s="18">
        <f t="shared" si="39"/>
        <v>326.4056212982635</v>
      </c>
      <c r="I59" s="19">
        <f t="shared" si="39"/>
        <v>226.70354061079394</v>
      </c>
      <c r="J59" s="18">
        <f t="shared" si="39"/>
        <v>582.7824002088995</v>
      </c>
      <c r="K59" s="19">
        <f t="shared" si="39"/>
        <v>226.70354061079394</v>
      </c>
      <c r="L59" s="18">
        <f t="shared" si="39"/>
        <v>226.70354061079394</v>
      </c>
      <c r="M59" s="19">
        <f t="shared" si="39"/>
        <v>226.70354061079394</v>
      </c>
      <c r="N59" s="44">
        <f t="shared" si="39"/>
        <v>7463.4128971762939</v>
      </c>
      <c r="O59" s="44">
        <f t="shared" si="39"/>
        <v>11669.756839750951</v>
      </c>
      <c r="P59" s="44">
        <f t="shared" si="3"/>
        <v>-4206.3439425746574</v>
      </c>
      <c r="Q59" s="136">
        <f t="shared" si="1"/>
        <v>-0.36044829385360411</v>
      </c>
      <c r="R59" s="141"/>
    </row>
    <row r="60" spans="1:18" x14ac:dyDescent="0.45">
      <c r="A60" s="17" t="s">
        <v>14</v>
      </c>
      <c r="B60" s="18">
        <f>+B32/B3</f>
        <v>5087.0688261684099</v>
      </c>
      <c r="C60" s="19">
        <f t="shared" ref="C60:O60" si="40">+C32/C3</f>
        <v>5087.0688261684099</v>
      </c>
      <c r="D60" s="18">
        <f t="shared" si="40"/>
        <v>5087.0688261684099</v>
      </c>
      <c r="E60" s="19">
        <f t="shared" si="40"/>
        <v>5087.0688261684099</v>
      </c>
      <c r="F60" s="18">
        <f t="shared" si="40"/>
        <v>5087.0688261684099</v>
      </c>
      <c r="G60" s="19">
        <f t="shared" si="40"/>
        <v>5087.0688261684099</v>
      </c>
      <c r="H60" s="18">
        <f t="shared" si="40"/>
        <v>5087.0688261684099</v>
      </c>
      <c r="I60" s="19">
        <f t="shared" si="40"/>
        <v>5087.0688261684099</v>
      </c>
      <c r="J60" s="18">
        <f t="shared" si="40"/>
        <v>5087.0688261684099</v>
      </c>
      <c r="K60" s="19">
        <f t="shared" si="40"/>
        <v>5269.2063629079512</v>
      </c>
      <c r="L60" s="18">
        <f t="shared" si="40"/>
        <v>5269.2063629079512</v>
      </c>
      <c r="M60" s="19">
        <f t="shared" si="40"/>
        <v>5269.2063629079512</v>
      </c>
      <c r="N60" s="44">
        <f t="shared" si="40"/>
        <v>61591.238524239539</v>
      </c>
      <c r="O60" s="44">
        <f t="shared" si="40"/>
        <v>121037.20807001858</v>
      </c>
      <c r="P60" s="44">
        <f t="shared" si="3"/>
        <v>-59445.969545779037</v>
      </c>
      <c r="Q60" s="136">
        <f t="shared" si="1"/>
        <v>-0.49113797726885977</v>
      </c>
      <c r="R60" s="141"/>
    </row>
    <row r="61" spans="1:18" x14ac:dyDescent="0.45">
      <c r="A61" s="131" t="s">
        <v>165</v>
      </c>
      <c r="B61" s="123"/>
      <c r="C61" s="124"/>
      <c r="D61" s="123"/>
      <c r="E61" s="124"/>
      <c r="F61" s="123"/>
      <c r="G61" s="124"/>
      <c r="H61" s="123"/>
      <c r="I61" s="124"/>
      <c r="J61" s="123"/>
      <c r="K61" s="124"/>
      <c r="L61" s="123"/>
      <c r="M61" s="124"/>
      <c r="N61" s="125"/>
      <c r="O61" s="125"/>
      <c r="P61" s="125"/>
      <c r="Q61" s="125"/>
      <c r="R61" s="141"/>
    </row>
    <row r="62" spans="1:18" x14ac:dyDescent="0.45">
      <c r="A62" s="17" t="s">
        <v>160</v>
      </c>
      <c r="B62" s="126"/>
      <c r="C62" s="127"/>
      <c r="D62" s="18" t="e">
        <f>SUM(B68:D84)</f>
        <v>#DIV/0!</v>
      </c>
      <c r="E62" s="127"/>
      <c r="F62" s="126"/>
      <c r="G62" s="127"/>
      <c r="H62" s="126"/>
      <c r="I62" s="127"/>
      <c r="J62" s="126"/>
      <c r="K62" s="127"/>
      <c r="L62" s="126"/>
      <c r="M62" s="127"/>
      <c r="N62" s="128"/>
      <c r="O62" s="128"/>
      <c r="P62" s="128"/>
      <c r="Q62" s="128"/>
      <c r="R62" s="141"/>
    </row>
    <row r="63" spans="1:18" x14ac:dyDescent="0.45">
      <c r="A63" s="17" t="s">
        <v>161</v>
      </c>
      <c r="B63" s="126"/>
      <c r="C63" s="127"/>
      <c r="D63" s="129" t="e">
        <f>+D62/('Budget Volumes Export'!N16*1000)</f>
        <v>#DIV/0!</v>
      </c>
      <c r="E63" s="130" t="e">
        <f>+D63</f>
        <v>#DIV/0!</v>
      </c>
      <c r="F63" s="129" t="e">
        <f t="shared" ref="F63:M63" si="41">+E63</f>
        <v>#DIV/0!</v>
      </c>
      <c r="G63" s="130" t="e">
        <f t="shared" si="41"/>
        <v>#DIV/0!</v>
      </c>
      <c r="H63" s="129" t="e">
        <f t="shared" si="41"/>
        <v>#DIV/0!</v>
      </c>
      <c r="I63" s="130" t="e">
        <f t="shared" si="41"/>
        <v>#DIV/0!</v>
      </c>
      <c r="J63" s="129" t="e">
        <f t="shared" si="41"/>
        <v>#DIV/0!</v>
      </c>
      <c r="K63" s="130" t="e">
        <f t="shared" si="41"/>
        <v>#DIV/0!</v>
      </c>
      <c r="L63" s="129" t="e">
        <f t="shared" si="41"/>
        <v>#DIV/0!</v>
      </c>
      <c r="M63" s="130" t="e">
        <f t="shared" si="41"/>
        <v>#DIV/0!</v>
      </c>
      <c r="N63" s="128"/>
      <c r="O63" s="128"/>
      <c r="P63" s="128"/>
      <c r="Q63" s="128"/>
      <c r="R63" s="141"/>
    </row>
    <row r="64" spans="1:18" x14ac:dyDescent="0.45">
      <c r="A64" s="17" t="s">
        <v>162</v>
      </c>
      <c r="B64" s="126"/>
      <c r="C64" s="127"/>
      <c r="D64" s="126"/>
      <c r="E64" s="19" t="e">
        <f>+E63*'Budget Volumes Export'!E16*1000</f>
        <v>#DIV/0!</v>
      </c>
      <c r="F64" s="18" t="e">
        <f>+F63*'Budget Volumes Export'!F16*1000</f>
        <v>#DIV/0!</v>
      </c>
      <c r="G64" s="19" t="e">
        <f>+G63*'Budget Volumes Export'!G16*1000</f>
        <v>#DIV/0!</v>
      </c>
      <c r="H64" s="18" t="e">
        <f>+H63*'Budget Volumes Export'!H16*1000</f>
        <v>#DIV/0!</v>
      </c>
      <c r="I64" s="19" t="e">
        <f>+I63*'Budget Volumes Export'!I16*1000</f>
        <v>#DIV/0!</v>
      </c>
      <c r="J64" s="18" t="e">
        <f>+J63*'Budget Volumes Export'!J16*1000</f>
        <v>#DIV/0!</v>
      </c>
      <c r="K64" s="19" t="e">
        <f>+K63*'Budget Volumes Export'!K16*1000</f>
        <v>#DIV/0!</v>
      </c>
      <c r="L64" s="18" t="e">
        <f>+L63*'Budget Volumes Export'!L16*1000</f>
        <v>#DIV/0!</v>
      </c>
      <c r="M64" s="19" t="e">
        <f>+M63*'Budget Volumes Export'!M16*1000</f>
        <v>#DIV/0!</v>
      </c>
      <c r="N64" s="128"/>
      <c r="O64" s="128"/>
      <c r="P64" s="128"/>
      <c r="Q64" s="128"/>
      <c r="R64" s="141"/>
    </row>
    <row r="65" spans="1:18" x14ac:dyDescent="0.45">
      <c r="A65" s="17" t="s">
        <v>163</v>
      </c>
      <c r="B65" s="126"/>
      <c r="C65" s="127"/>
      <c r="D65" s="126"/>
      <c r="E65" s="19" t="e">
        <f>+D62-E64</f>
        <v>#DIV/0!</v>
      </c>
      <c r="F65" s="18" t="e">
        <f>+E65-F64</f>
        <v>#DIV/0!</v>
      </c>
      <c r="G65" s="19" t="e">
        <f t="shared" ref="G65:M65" si="42">+F65-G64</f>
        <v>#DIV/0!</v>
      </c>
      <c r="H65" s="18" t="e">
        <f t="shared" si="42"/>
        <v>#DIV/0!</v>
      </c>
      <c r="I65" s="19" t="e">
        <f t="shared" si="42"/>
        <v>#DIV/0!</v>
      </c>
      <c r="J65" s="18" t="e">
        <f t="shared" si="42"/>
        <v>#DIV/0!</v>
      </c>
      <c r="K65" s="19" t="e">
        <f t="shared" si="42"/>
        <v>#DIV/0!</v>
      </c>
      <c r="L65" s="18" t="e">
        <f t="shared" si="42"/>
        <v>#DIV/0!</v>
      </c>
      <c r="M65" s="19" t="e">
        <f t="shared" si="42"/>
        <v>#DIV/0!</v>
      </c>
      <c r="N65" s="128"/>
      <c r="O65" s="128"/>
      <c r="P65" s="128"/>
      <c r="Q65" s="128"/>
      <c r="R65" s="141"/>
    </row>
    <row r="66" spans="1:18" x14ac:dyDescent="0.45">
      <c r="A66" s="17" t="s">
        <v>164</v>
      </c>
      <c r="B66" s="126"/>
      <c r="C66" s="127"/>
      <c r="D66" s="126"/>
      <c r="E66" s="19" t="e">
        <f>+E65-D62</f>
        <v>#DIV/0!</v>
      </c>
      <c r="F66" s="18" t="e">
        <f>+F65-E65</f>
        <v>#DIV/0!</v>
      </c>
      <c r="G66" s="19" t="e">
        <f t="shared" ref="G66:M66" si="43">+G65-F65</f>
        <v>#DIV/0!</v>
      </c>
      <c r="H66" s="18" t="e">
        <f t="shared" si="43"/>
        <v>#DIV/0!</v>
      </c>
      <c r="I66" s="19" t="e">
        <f t="shared" si="43"/>
        <v>#DIV/0!</v>
      </c>
      <c r="J66" s="18" t="e">
        <f t="shared" si="43"/>
        <v>#DIV/0!</v>
      </c>
      <c r="K66" s="19" t="e">
        <f t="shared" si="43"/>
        <v>#DIV/0!</v>
      </c>
      <c r="L66" s="18" t="e">
        <f t="shared" si="43"/>
        <v>#DIV/0!</v>
      </c>
      <c r="M66" s="19" t="e">
        <f t="shared" si="43"/>
        <v>#DIV/0!</v>
      </c>
      <c r="N66" s="128"/>
      <c r="O66" s="128"/>
      <c r="P66" s="128"/>
      <c r="Q66" s="128"/>
      <c r="R66" s="141"/>
    </row>
    <row r="67" spans="1:18" x14ac:dyDescent="0.45">
      <c r="A67" s="4" t="s">
        <v>247</v>
      </c>
      <c r="B67" s="117"/>
      <c r="C67" s="118"/>
      <c r="D67" s="117"/>
      <c r="E67" s="118"/>
      <c r="F67" s="117"/>
      <c r="G67" s="118"/>
      <c r="H67" s="117"/>
      <c r="I67" s="118"/>
      <c r="J67" s="117"/>
      <c r="K67" s="118"/>
      <c r="L67" s="117"/>
      <c r="M67" s="118"/>
      <c r="N67" s="119"/>
      <c r="O67" s="119"/>
      <c r="P67" s="119"/>
      <c r="Q67" s="119"/>
      <c r="R67" s="141"/>
    </row>
    <row r="68" spans="1:18" x14ac:dyDescent="0.45">
      <c r="A68" s="4" t="s">
        <v>167</v>
      </c>
      <c r="B68" s="176">
        <f>B12</f>
        <v>0</v>
      </c>
      <c r="C68" s="178">
        <f>C12</f>
        <v>1494600</v>
      </c>
      <c r="D68" s="176">
        <f>D12</f>
        <v>0</v>
      </c>
      <c r="E68" s="121"/>
      <c r="F68" s="120"/>
      <c r="G68" s="121"/>
      <c r="H68" s="120"/>
      <c r="I68" s="121"/>
      <c r="J68" s="120"/>
      <c r="K68" s="121"/>
      <c r="L68" s="120"/>
      <c r="M68" s="121"/>
      <c r="N68" s="122"/>
      <c r="O68" s="122"/>
      <c r="P68" s="122"/>
      <c r="Q68" s="122"/>
      <c r="R68" s="141"/>
    </row>
    <row r="69" spans="1:18" x14ac:dyDescent="0.45">
      <c r="A69" s="52" t="s">
        <v>169</v>
      </c>
      <c r="B69" s="177">
        <f>B14</f>
        <v>0</v>
      </c>
      <c r="C69" s="179">
        <f>C14</f>
        <v>1113000</v>
      </c>
      <c r="D69" s="177">
        <f>D14</f>
        <v>0</v>
      </c>
      <c r="E69" s="55"/>
      <c r="F69" s="54"/>
      <c r="G69" s="55"/>
      <c r="H69" s="54"/>
      <c r="I69" s="55"/>
      <c r="J69" s="54"/>
      <c r="K69" s="55"/>
      <c r="L69" s="54"/>
      <c r="M69" s="55"/>
      <c r="N69" s="56"/>
      <c r="O69" s="56"/>
      <c r="P69" s="56"/>
      <c r="Q69" s="56"/>
      <c r="R69" s="141"/>
    </row>
    <row r="70" spans="1:18" x14ac:dyDescent="0.45">
      <c r="A70" s="52" t="s">
        <v>246</v>
      </c>
      <c r="B70" s="177">
        <f>B17</f>
        <v>479534.00000000006</v>
      </c>
      <c r="C70" s="179">
        <f>C17</f>
        <v>15350.000000000004</v>
      </c>
      <c r="D70" s="177">
        <f>D17</f>
        <v>15350.000000000004</v>
      </c>
      <c r="E70" s="55"/>
      <c r="F70" s="54"/>
      <c r="G70" s="55"/>
      <c r="H70" s="54"/>
      <c r="I70" s="55"/>
      <c r="J70" s="54"/>
      <c r="K70" s="55"/>
      <c r="L70" s="54"/>
      <c r="M70" s="55"/>
      <c r="N70" s="56"/>
      <c r="O70" s="56"/>
      <c r="P70" s="56"/>
      <c r="Q70" s="56"/>
      <c r="R70" s="141"/>
    </row>
    <row r="71" spans="1:18" x14ac:dyDescent="0.45">
      <c r="A71" s="52" t="s">
        <v>168</v>
      </c>
      <c r="B71" s="177" t="e">
        <f>B13*('Plan de culture 104 '!$X$13/'Plan de culture 104 '!$B$3)</f>
        <v>#DIV/0!</v>
      </c>
      <c r="C71" s="179" t="e">
        <f>C13*('Plan de culture 104 '!$X$13/'Plan de culture 104 '!$B$3)</f>
        <v>#DIV/0!</v>
      </c>
      <c r="D71" s="177" t="e">
        <f>D13*('Plan de culture 104 '!$X$13/'Plan de culture 104 '!$B$3)</f>
        <v>#DIV/0!</v>
      </c>
      <c r="E71" s="55"/>
      <c r="F71" s="54"/>
      <c r="G71" s="55"/>
      <c r="H71" s="54"/>
      <c r="I71" s="55"/>
      <c r="J71" s="54"/>
      <c r="K71" s="55"/>
      <c r="L71" s="54"/>
      <c r="M71" s="55"/>
      <c r="N71" s="56"/>
      <c r="O71" s="56"/>
      <c r="P71" s="56"/>
      <c r="Q71" s="56"/>
      <c r="R71" s="141"/>
    </row>
    <row r="72" spans="1:18" x14ac:dyDescent="0.45">
      <c r="A72" s="52" t="s">
        <v>170</v>
      </c>
      <c r="B72" s="177" t="e">
        <f>B15*('Plan de culture 104 '!$X$13/'Plan de culture 104 '!$B$3)</f>
        <v>#DIV/0!</v>
      </c>
      <c r="C72" s="179" t="e">
        <f>C15*('Plan de culture 104 '!$X$13/'Plan de culture 104 '!$B$3)</f>
        <v>#DIV/0!</v>
      </c>
      <c r="D72" s="177" t="e">
        <f>D15*('Plan de culture 104 '!$X$13/'Plan de culture 104 '!$B$3)</f>
        <v>#DIV/0!</v>
      </c>
      <c r="E72" s="55"/>
      <c r="F72" s="54"/>
      <c r="G72" s="55"/>
      <c r="H72" s="54"/>
      <c r="I72" s="55"/>
      <c r="J72" s="54"/>
      <c r="K72" s="55"/>
      <c r="L72" s="54"/>
      <c r="M72" s="55"/>
      <c r="N72" s="56"/>
      <c r="O72" s="56"/>
      <c r="P72" s="56"/>
      <c r="Q72" s="56"/>
      <c r="R72" s="141"/>
    </row>
    <row r="73" spans="1:18" x14ac:dyDescent="0.45">
      <c r="A73" s="52" t="s">
        <v>171</v>
      </c>
      <c r="B73" s="177" t="e">
        <f>B16*('Plan de culture 104 '!$X$13/'Plan de culture 104 '!$B$3)</f>
        <v>#DIV/0!</v>
      </c>
      <c r="C73" s="179" t="e">
        <f>C16*('Plan de culture 104 '!$X$13/'Plan de culture 104 '!$B$3)</f>
        <v>#DIV/0!</v>
      </c>
      <c r="D73" s="177" t="e">
        <f>D16*('Plan de culture 104 '!$X$13/'Plan de culture 104 '!$B$3)</f>
        <v>#DIV/0!</v>
      </c>
      <c r="E73" s="55"/>
      <c r="F73" s="54"/>
      <c r="G73" s="55"/>
      <c r="H73" s="54"/>
      <c r="I73" s="55"/>
      <c r="J73" s="54"/>
      <c r="K73" s="55"/>
      <c r="L73" s="54"/>
      <c r="M73" s="55"/>
      <c r="N73" s="56"/>
      <c r="O73" s="56"/>
      <c r="P73" s="56"/>
      <c r="Q73" s="56"/>
      <c r="R73" s="141"/>
    </row>
    <row r="74" spans="1:18" x14ac:dyDescent="0.45">
      <c r="A74" s="52" t="s">
        <v>248</v>
      </c>
      <c r="B74" s="177" t="e">
        <f>B21*('Plan de culture 104 '!$X$13/'Plan de culture 104 '!$B$3)</f>
        <v>#DIV/0!</v>
      </c>
      <c r="C74" s="179" t="e">
        <f>C21*('Plan de culture 104 '!$X$13/'Plan de culture 104 '!$B$3)</f>
        <v>#DIV/0!</v>
      </c>
      <c r="D74" s="177" t="e">
        <f>D21*('Plan de culture 104 '!$X$13/'Plan de culture 104 '!$B$3)</f>
        <v>#DIV/0!</v>
      </c>
      <c r="E74" s="55"/>
      <c r="F74" s="54"/>
      <c r="G74" s="55"/>
      <c r="H74" s="54"/>
      <c r="I74" s="55"/>
      <c r="J74" s="54"/>
      <c r="K74" s="55"/>
      <c r="L74" s="54"/>
      <c r="M74" s="55"/>
      <c r="N74" s="56"/>
      <c r="O74" s="56"/>
      <c r="P74" s="56"/>
      <c r="Q74" s="56"/>
      <c r="R74" s="141"/>
    </row>
    <row r="75" spans="1:18" x14ac:dyDescent="0.45">
      <c r="A75" s="52" t="s">
        <v>10</v>
      </c>
      <c r="B75" s="177" t="e">
        <f>B22*('Plan de culture 104 '!$X$13/'Plan de culture 104 '!$B$3)</f>
        <v>#DIV/0!</v>
      </c>
      <c r="C75" s="179" t="e">
        <f>C22*('Plan de culture 104 '!$X$13/'Plan de culture 104 '!$B$3)</f>
        <v>#DIV/0!</v>
      </c>
      <c r="D75" s="177" t="e">
        <f>D22*('Plan de culture 104 '!$X$13/'Plan de culture 104 '!$B$3)</f>
        <v>#DIV/0!</v>
      </c>
      <c r="R75" s="141"/>
    </row>
    <row r="76" spans="1:18" x14ac:dyDescent="0.45">
      <c r="A76" s="52" t="s">
        <v>11</v>
      </c>
      <c r="B76" s="177" t="e">
        <f>B23*('Plan de culture 104 '!$X$13/'Plan de culture 104 '!$B$3)</f>
        <v>#DIV/0!</v>
      </c>
      <c r="C76" s="179" t="e">
        <f>C23*('Plan de culture 104 '!$X$13/'Plan de culture 104 '!$B$3)</f>
        <v>#DIV/0!</v>
      </c>
      <c r="D76" s="177" t="e">
        <f>D23*('Plan de culture 104 '!$X$13/'Plan de culture 104 '!$B$3)</f>
        <v>#DIV/0!</v>
      </c>
      <c r="R76" s="141"/>
    </row>
    <row r="77" spans="1:18" x14ac:dyDescent="0.45">
      <c r="A77" s="52" t="s">
        <v>12</v>
      </c>
      <c r="B77" s="177" t="e">
        <f>B24*('Plan de culture 104 '!$X$13/'Plan de culture 104 '!$B$3)</f>
        <v>#DIV/0!</v>
      </c>
      <c r="C77" s="179" t="e">
        <f>C24*('Plan de culture 104 '!$X$13/'Plan de culture 104 '!$B$3)</f>
        <v>#DIV/0!</v>
      </c>
      <c r="D77" s="177" t="e">
        <f>D24*('Plan de culture 104 '!$X$13/'Plan de culture 104 '!$B$3)</f>
        <v>#DIV/0!</v>
      </c>
      <c r="R77" s="141"/>
    </row>
    <row r="78" spans="1:18" x14ac:dyDescent="0.45">
      <c r="A78" s="52" t="s">
        <v>156</v>
      </c>
      <c r="B78" s="177" t="e">
        <f>B25*('Plan de culture 104 '!$X$13/'Plan de culture 104 '!$B$3)</f>
        <v>#DIV/0!</v>
      </c>
      <c r="C78" s="179" t="e">
        <f>C25*('Plan de culture 104 '!$X$13/'Plan de culture 104 '!$B$3)</f>
        <v>#DIV/0!</v>
      </c>
      <c r="D78" s="177" t="e">
        <f>D25*('Plan de culture 104 '!$X$13/'Plan de culture 104 '!$B$3)</f>
        <v>#DIV/0!</v>
      </c>
      <c r="R78" s="141"/>
    </row>
    <row r="79" spans="1:18" x14ac:dyDescent="0.45">
      <c r="A79" s="52" t="s">
        <v>157</v>
      </c>
      <c r="B79" s="177" t="e">
        <f>B26*('Plan de culture 104 '!$X$13/'Plan de culture 104 '!$B$3)</f>
        <v>#DIV/0!</v>
      </c>
      <c r="C79" s="179" t="e">
        <f>C26*('Plan de culture 104 '!$X$13/'Plan de culture 104 '!$B$3)</f>
        <v>#DIV/0!</v>
      </c>
      <c r="D79" s="177" t="e">
        <f>D26*('Plan de culture 104 '!$X$13/'Plan de culture 104 '!$B$3)</f>
        <v>#DIV/0!</v>
      </c>
      <c r="R79" s="141"/>
    </row>
    <row r="80" spans="1:18" x14ac:dyDescent="0.45">
      <c r="A80" s="52" t="s">
        <v>158</v>
      </c>
      <c r="B80" s="177" t="e">
        <f>B27*('Plan de culture 104 '!$X$13/'Plan de culture 104 '!$B$3)</f>
        <v>#DIV/0!</v>
      </c>
      <c r="C80" s="179" t="e">
        <f>C27*('Plan de culture 104 '!$X$13/'Plan de culture 104 '!$B$3)</f>
        <v>#DIV/0!</v>
      </c>
      <c r="D80" s="177" t="e">
        <f>D27*('Plan de culture 104 '!$X$13/'Plan de culture 104 '!$B$3)</f>
        <v>#DIV/0!</v>
      </c>
      <c r="R80" s="141"/>
    </row>
    <row r="81" spans="1:18" x14ac:dyDescent="0.45">
      <c r="A81" s="52" t="s">
        <v>18</v>
      </c>
      <c r="B81" s="177" t="e">
        <f>B29*('Plan de culture 104 '!$X$13/'Plan de culture 104 '!$B$3)</f>
        <v>#DIV/0!</v>
      </c>
      <c r="C81" s="179" t="e">
        <f>C29*('Plan de culture 104 '!$X$13/'Plan de culture 104 '!$B$3)</f>
        <v>#DIV/0!</v>
      </c>
      <c r="D81" s="177" t="e">
        <f>D29*('Plan de culture 104 '!$X$13/'Plan de culture 104 '!$B$3)</f>
        <v>#DIV/0!</v>
      </c>
      <c r="R81" s="141"/>
    </row>
    <row r="82" spans="1:18" x14ac:dyDescent="0.45">
      <c r="A82" s="52" t="s">
        <v>14</v>
      </c>
      <c r="B82" s="177" t="e">
        <f>B32*('Plan de culture 104 '!$X$13/'Plan de culture 104 '!$B$3)</f>
        <v>#DIV/0!</v>
      </c>
      <c r="C82" s="179" t="e">
        <f>C32*('Plan de culture 104 '!$X$13/'Plan de culture 104 '!$B$3)</f>
        <v>#DIV/0!</v>
      </c>
      <c r="D82" s="177" t="e">
        <f>D32*('Plan de culture 104 '!$X$13/'Plan de culture 104 '!$B$3)</f>
        <v>#DIV/0!</v>
      </c>
      <c r="R82" s="141"/>
    </row>
    <row r="83" spans="1:18" x14ac:dyDescent="0.45">
      <c r="B83" s="177"/>
      <c r="C83" s="179"/>
      <c r="D83" s="177"/>
      <c r="R83" s="141"/>
    </row>
    <row r="84" spans="1:18" x14ac:dyDescent="0.45">
      <c r="B84" s="177"/>
      <c r="C84" s="179"/>
      <c r="D84" s="177"/>
      <c r="R84" s="141"/>
    </row>
    <row r="85" spans="1:18" x14ac:dyDescent="0.45">
      <c r="B85" s="177"/>
      <c r="C85" s="179"/>
      <c r="D85" s="177"/>
      <c r="R85" s="141"/>
    </row>
    <row r="86" spans="1:18" x14ac:dyDescent="0.45">
      <c r="B86" s="177"/>
      <c r="C86" s="179"/>
      <c r="R86" s="1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1AF6-3DAC-41C8-8ACD-A9B9019BF45E}">
  <sheetPr>
    <tabColor rgb="FF92D050"/>
  </sheetPr>
  <dimension ref="A1:T85"/>
  <sheetViews>
    <sheetView workbookViewId="0">
      <selection activeCell="D8" sqref="D8"/>
    </sheetView>
  </sheetViews>
  <sheetFormatPr baseColWidth="10" defaultColWidth="11.46484375" defaultRowHeight="14.25" x14ac:dyDescent="0.45"/>
  <cols>
    <col min="1" max="1" width="25.265625" style="1" bestFit="1" customWidth="1"/>
    <col min="2" max="2" width="6.9296875" style="2" bestFit="1" customWidth="1"/>
    <col min="3" max="3" width="6.9296875" style="3" bestFit="1" customWidth="1"/>
    <col min="4" max="4" width="7.53125" style="2" bestFit="1" customWidth="1"/>
    <col min="5" max="5" width="7.53125" style="3" bestFit="1" customWidth="1"/>
    <col min="6" max="6" width="7.53125" style="2" bestFit="1" customWidth="1"/>
    <col min="7" max="7" width="7.53125" style="3" bestFit="1" customWidth="1"/>
    <col min="8" max="8" width="7.53125" style="2" bestFit="1" customWidth="1"/>
    <col min="9" max="9" width="7.53125" style="3" bestFit="1" customWidth="1"/>
    <col min="10" max="10" width="7.53125" style="2" bestFit="1" customWidth="1"/>
    <col min="11" max="11" width="7.53125" style="3" bestFit="1" customWidth="1"/>
    <col min="12" max="12" width="7.53125" style="2" bestFit="1" customWidth="1"/>
    <col min="13" max="13" width="7.53125" style="3" bestFit="1" customWidth="1"/>
    <col min="14" max="14" width="7.53125" style="22" bestFit="1" customWidth="1"/>
    <col min="15" max="15" width="8.9296875" style="22" bestFit="1" customWidth="1"/>
    <col min="16" max="17" width="8.59765625" style="22" bestFit="1" customWidth="1"/>
    <col min="18" max="18" width="15.46484375" style="139" bestFit="1" customWidth="1"/>
    <col min="19" max="19" width="8.19921875" style="139" bestFit="1" customWidth="1"/>
    <col min="20" max="16384" width="11.46484375" style="1"/>
  </cols>
  <sheetData>
    <row r="1" spans="1:19" s="32" customFormat="1" ht="11.65" x14ac:dyDescent="0.35">
      <c r="B1" s="143" t="s">
        <v>78</v>
      </c>
      <c r="C1" s="144" t="s">
        <v>78</v>
      </c>
      <c r="D1" s="143" t="s">
        <v>78</v>
      </c>
      <c r="E1" s="144" t="s">
        <v>78</v>
      </c>
      <c r="F1" s="143" t="s">
        <v>78</v>
      </c>
      <c r="G1" s="144" t="s">
        <v>78</v>
      </c>
      <c r="H1" s="143" t="s">
        <v>78</v>
      </c>
      <c r="I1" s="144" t="s">
        <v>78</v>
      </c>
      <c r="J1" s="143" t="s">
        <v>78</v>
      </c>
      <c r="K1" s="144" t="s">
        <v>78</v>
      </c>
      <c r="L1" s="143" t="s">
        <v>78</v>
      </c>
      <c r="M1" s="144" t="s">
        <v>78</v>
      </c>
      <c r="N1" s="145" t="s">
        <v>78</v>
      </c>
      <c r="O1" s="145" t="s">
        <v>228</v>
      </c>
      <c r="P1" s="145" t="s">
        <v>177</v>
      </c>
      <c r="Q1" s="145" t="s">
        <v>177</v>
      </c>
      <c r="R1" s="137"/>
      <c r="S1" s="138"/>
    </row>
    <row r="2" spans="1:19" ht="14.65" thickBot="1" x14ac:dyDescent="0.5">
      <c r="A2" s="5" t="s">
        <v>333</v>
      </c>
      <c r="B2" s="23">
        <v>43647</v>
      </c>
      <c r="C2" s="24">
        <f>+B2+31</f>
        <v>43678</v>
      </c>
      <c r="D2" s="23">
        <f t="shared" ref="D2:M2" si="0">+C2+31</f>
        <v>43709</v>
      </c>
      <c r="E2" s="24">
        <f t="shared" si="0"/>
        <v>43740</v>
      </c>
      <c r="F2" s="23">
        <f t="shared" si="0"/>
        <v>43771</v>
      </c>
      <c r="G2" s="24">
        <f t="shared" si="0"/>
        <v>43802</v>
      </c>
      <c r="H2" s="23">
        <f t="shared" si="0"/>
        <v>43833</v>
      </c>
      <c r="I2" s="24">
        <f t="shared" si="0"/>
        <v>43864</v>
      </c>
      <c r="J2" s="23">
        <f t="shared" si="0"/>
        <v>43895</v>
      </c>
      <c r="K2" s="24">
        <f t="shared" si="0"/>
        <v>43926</v>
      </c>
      <c r="L2" s="23">
        <f t="shared" si="0"/>
        <v>43957</v>
      </c>
      <c r="M2" s="24">
        <f t="shared" si="0"/>
        <v>43988</v>
      </c>
      <c r="N2" s="25" t="s">
        <v>239</v>
      </c>
      <c r="O2" s="25" t="s">
        <v>230</v>
      </c>
      <c r="P2" s="25" t="s">
        <v>229</v>
      </c>
      <c r="Q2" s="25" t="s">
        <v>178</v>
      </c>
      <c r="R2" s="139" t="s">
        <v>155</v>
      </c>
      <c r="S2" s="139" t="s">
        <v>79</v>
      </c>
    </row>
    <row r="3" spans="1:19" x14ac:dyDescent="0.45">
      <c r="A3" s="26" t="s">
        <v>27</v>
      </c>
      <c r="B3" s="6">
        <f>+'Plan de culture 104 '!$B$3</f>
        <v>0</v>
      </c>
      <c r="C3" s="7">
        <f>+'Plan de culture 104 '!$B$3</f>
        <v>0</v>
      </c>
      <c r="D3" s="6">
        <f>+'Plan de culture 104 '!$B$3</f>
        <v>0</v>
      </c>
      <c r="E3" s="7">
        <f>+'Plan de culture 104 '!$B$3</f>
        <v>0</v>
      </c>
      <c r="F3" s="6">
        <f>+'Plan de culture 104 '!$B$3</f>
        <v>0</v>
      </c>
      <c r="G3" s="7">
        <f>+'Plan de culture 104 '!$B$3</f>
        <v>0</v>
      </c>
      <c r="H3" s="6">
        <f>+'Plan de culture 104 '!$B$3</f>
        <v>0</v>
      </c>
      <c r="I3" s="7">
        <f>+'Plan de culture 104 '!$B$3</f>
        <v>0</v>
      </c>
      <c r="J3" s="6">
        <f>+'Plan de culture 104 '!$B$3</f>
        <v>0</v>
      </c>
      <c r="K3" s="7">
        <f>+'Plan de culture 104 '!$B$3</f>
        <v>0</v>
      </c>
      <c r="L3" s="6">
        <f>+'Plan de culture 104 '!$B$3</f>
        <v>0</v>
      </c>
      <c r="M3" s="7">
        <f>+'Plan de culture 104 '!$B$3</f>
        <v>0</v>
      </c>
      <c r="N3" s="20">
        <f>+'Plan de culture 104 '!$B$3</f>
        <v>0</v>
      </c>
      <c r="O3" s="20">
        <v>6.8</v>
      </c>
      <c r="P3" s="20">
        <f>+N3-O3</f>
        <v>-6.8</v>
      </c>
      <c r="Q3" s="133">
        <f>+P3/O3</f>
        <v>-1</v>
      </c>
      <c r="R3" s="140">
        <f>+'Plan de culture 104 '!$B$3</f>
        <v>0</v>
      </c>
      <c r="S3" s="140">
        <f>+N3-R3</f>
        <v>0</v>
      </c>
    </row>
    <row r="4" spans="1:19" x14ac:dyDescent="0.45">
      <c r="A4" s="26" t="s">
        <v>23</v>
      </c>
      <c r="B4" s="6">
        <f>+'Budget Volumes Export'!B8</f>
        <v>15.350000000000003</v>
      </c>
      <c r="C4" s="7">
        <f>+'Budget Volumes Export'!C8</f>
        <v>15.350000000000003</v>
      </c>
      <c r="D4" s="6">
        <f>+'Budget Volumes Export'!D8</f>
        <v>15.350000000000003</v>
      </c>
      <c r="E4" s="7">
        <f>+'Budget Volumes Export'!E8</f>
        <v>15.350000000000003</v>
      </c>
      <c r="F4" s="6">
        <f>+'Budget Volumes Export'!F8</f>
        <v>15.350000000000003</v>
      </c>
      <c r="G4" s="7">
        <f>+'Budget Volumes Export'!G8</f>
        <v>15.350000000000003</v>
      </c>
      <c r="H4" s="6">
        <f>+'Budget Volumes Export'!H8</f>
        <v>15.350000000000003</v>
      </c>
      <c r="I4" s="7">
        <f>+'Budget Volumes Export'!I8</f>
        <v>15.350000000000003</v>
      </c>
      <c r="J4" s="6">
        <f>+'Budget Volumes Export'!J8</f>
        <v>15.350000000000003</v>
      </c>
      <c r="K4" s="7">
        <f>+'Budget Volumes Export'!K8</f>
        <v>15.350000000000003</v>
      </c>
      <c r="L4" s="6">
        <f>+'Budget Volumes Export'!L8</f>
        <v>15.350000000000003</v>
      </c>
      <c r="M4" s="7">
        <f>+'Budget Volumes Export'!M8</f>
        <v>15.350000000000003</v>
      </c>
      <c r="N4" s="20">
        <f>+'Budget Volumes Export'!N8</f>
        <v>15.350000000000003</v>
      </c>
      <c r="O4" s="20">
        <v>6.8</v>
      </c>
      <c r="P4" s="20">
        <f>+N4-O4</f>
        <v>8.5500000000000043</v>
      </c>
      <c r="Q4" s="133">
        <f>+P4/O4</f>
        <v>1.2573529411764712</v>
      </c>
      <c r="R4" s="140">
        <f>+'Budget Volumes Export'!N8</f>
        <v>15.350000000000003</v>
      </c>
      <c r="S4" s="140">
        <f>+N4-R4</f>
        <v>0</v>
      </c>
    </row>
    <row r="5" spans="1:19" x14ac:dyDescent="0.45">
      <c r="A5" s="26" t="s">
        <v>0</v>
      </c>
      <c r="B5" s="8">
        <f>+'Budget Volumes Export'!B7*1000</f>
        <v>0</v>
      </c>
      <c r="C5" s="9">
        <f>+'Budget Volumes Export'!C7*1000</f>
        <v>0</v>
      </c>
      <c r="D5" s="8">
        <f>+'Budget Volumes Export'!D7*1000</f>
        <v>0</v>
      </c>
      <c r="E5" s="9">
        <f>+'Budget Volumes Export'!E7*1000</f>
        <v>0</v>
      </c>
      <c r="F5" s="8">
        <f>+'Budget Volumes Export'!F7*1000</f>
        <v>307000000.00000006</v>
      </c>
      <c r="G5" s="9">
        <f>+'Budget Volumes Export'!G7*1000</f>
        <v>230250000.00000006</v>
      </c>
      <c r="H5" s="8">
        <f>+'Budget Volumes Export'!H7*1000</f>
        <v>230250000.00000006</v>
      </c>
      <c r="I5" s="9">
        <f>+'Budget Volumes Export'!I7*1000</f>
        <v>307000000.00000006</v>
      </c>
      <c r="J5" s="8">
        <f>+'Budget Volumes Export'!J7*1000</f>
        <v>230250000.00000006</v>
      </c>
      <c r="K5" s="9">
        <f>+'Budget Volumes Export'!K7*1000</f>
        <v>230250000.00000006</v>
      </c>
      <c r="L5" s="8">
        <f>+'Budget Volumes Export'!L7*1000</f>
        <v>153500000.00000003</v>
      </c>
      <c r="M5" s="9">
        <f>+'Budget Volumes Export'!M7*1000</f>
        <v>76750000.000000015</v>
      </c>
      <c r="N5" s="31">
        <f>SUM(B5:M5)</f>
        <v>1765250000.0000002</v>
      </c>
      <c r="O5" s="31">
        <v>1108263.6814606742</v>
      </c>
      <c r="P5" s="31">
        <f>+N5-O5</f>
        <v>1764141736.3185396</v>
      </c>
      <c r="Q5" s="134">
        <f t="shared" ref="Q5:Q59" si="1">+P5/O5</f>
        <v>1591.8068649451984</v>
      </c>
      <c r="R5" s="141">
        <f>+'Budget Volumes Export'!N7*1000</f>
        <v>1765250000.0000002</v>
      </c>
      <c r="S5" s="140">
        <f>+N5-R5</f>
        <v>0</v>
      </c>
    </row>
    <row r="6" spans="1:19" x14ac:dyDescent="0.45">
      <c r="A6" s="17" t="s">
        <v>1</v>
      </c>
      <c r="B6" s="10">
        <f>+B5/B4/1000</f>
        <v>0</v>
      </c>
      <c r="C6" s="11">
        <f t="shared" ref="C6:O6" si="2">+C5/C4/1000</f>
        <v>0</v>
      </c>
      <c r="D6" s="10">
        <f t="shared" si="2"/>
        <v>0</v>
      </c>
      <c r="E6" s="11">
        <f t="shared" si="2"/>
        <v>0</v>
      </c>
      <c r="F6" s="10">
        <f t="shared" si="2"/>
        <v>20000</v>
      </c>
      <c r="G6" s="11">
        <f t="shared" si="2"/>
        <v>15000</v>
      </c>
      <c r="H6" s="10">
        <f t="shared" si="2"/>
        <v>15000</v>
      </c>
      <c r="I6" s="11">
        <f t="shared" si="2"/>
        <v>20000</v>
      </c>
      <c r="J6" s="10">
        <f t="shared" si="2"/>
        <v>15000</v>
      </c>
      <c r="K6" s="11">
        <f t="shared" si="2"/>
        <v>15000</v>
      </c>
      <c r="L6" s="10">
        <f t="shared" si="2"/>
        <v>10000</v>
      </c>
      <c r="M6" s="11">
        <f t="shared" si="2"/>
        <v>5000</v>
      </c>
      <c r="N6" s="45">
        <f t="shared" si="2"/>
        <v>114999.99999999999</v>
      </c>
      <c r="O6" s="45">
        <f t="shared" si="2"/>
        <v>162.97995315598149</v>
      </c>
      <c r="P6" s="45">
        <f t="shared" ref="P6:P59" si="3">+N6-O6</f>
        <v>114837.020046844</v>
      </c>
      <c r="Q6" s="135">
        <f t="shared" si="1"/>
        <v>704.60825287474563</v>
      </c>
      <c r="R6" s="141">
        <f t="shared" ref="R6" si="4">+R5/R4/1000</f>
        <v>114999.99999999999</v>
      </c>
      <c r="S6" s="140">
        <f>+N6-R6</f>
        <v>0</v>
      </c>
    </row>
    <row r="7" spans="1:19" x14ac:dyDescent="0.45">
      <c r="A7" s="32" t="s">
        <v>477</v>
      </c>
      <c r="B7" s="12">
        <f>+'Budget Commercial Export'!B7</f>
        <v>0</v>
      </c>
      <c r="C7" s="13">
        <f>+'Budget Commercial Export'!C7</f>
        <v>0</v>
      </c>
      <c r="D7" s="12">
        <f>+'Budget Commercial Export'!D7</f>
        <v>0</v>
      </c>
      <c r="E7" s="13">
        <f>+'Budget Commercial Export'!E7</f>
        <v>0</v>
      </c>
      <c r="F7" s="12">
        <f>+'Budget Commercial Export'!F7</f>
        <v>3070000.0000000005</v>
      </c>
      <c r="G7" s="13">
        <f>+'Budget Commercial Export'!G7</f>
        <v>2302500.0000000005</v>
      </c>
      <c r="H7" s="12">
        <f>+'Budget Commercial Export'!H7</f>
        <v>2302500.0000000005</v>
      </c>
      <c r="I7" s="13">
        <f>+'Budget Commercial Export'!I7</f>
        <v>3070000.0000000005</v>
      </c>
      <c r="J7" s="12">
        <f>+'Budget Commercial Export'!J7</f>
        <v>2302500.0000000005</v>
      </c>
      <c r="K7" s="13">
        <f>+'Budget Commercial Export'!K7</f>
        <v>2302500.0000000005</v>
      </c>
      <c r="L7" s="12">
        <f>+'Budget Commercial Export'!L7</f>
        <v>1535000.0000000002</v>
      </c>
      <c r="M7" s="13">
        <f>+'Budget Commercial Export'!M7</f>
        <v>767500.00000000012</v>
      </c>
      <c r="N7" s="31">
        <f t="shared" ref="N7:N31" si="5">SUM(B7:M7)</f>
        <v>17652500.000000004</v>
      </c>
      <c r="O7" s="31">
        <v>2538893.701065952</v>
      </c>
      <c r="P7" s="31">
        <f t="shared" si="3"/>
        <v>15113606.298934052</v>
      </c>
      <c r="Q7" s="134">
        <f t="shared" si="1"/>
        <v>5.9528314606431216</v>
      </c>
      <c r="R7" s="141">
        <f>+'Budget Commercial Export'!N7</f>
        <v>17652500.000000004</v>
      </c>
      <c r="S7" s="140">
        <f>+N7-R7</f>
        <v>0</v>
      </c>
    </row>
    <row r="8" spans="1:19" x14ac:dyDescent="0.45">
      <c r="A8" s="32" t="s">
        <v>478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31"/>
      <c r="O8" s="31"/>
      <c r="P8" s="31"/>
      <c r="Q8" s="134"/>
      <c r="R8" s="141"/>
      <c r="S8" s="140"/>
    </row>
    <row r="9" spans="1:19" x14ac:dyDescent="0.45">
      <c r="A9" s="32" t="s">
        <v>57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31">
        <f t="shared" si="5"/>
        <v>0</v>
      </c>
      <c r="O9" s="31">
        <v>1023632.48</v>
      </c>
      <c r="P9" s="31">
        <f t="shared" si="3"/>
        <v>-1023632.48</v>
      </c>
      <c r="Q9" s="134">
        <f t="shared" si="1"/>
        <v>-1</v>
      </c>
      <c r="R9" s="141"/>
      <c r="S9" s="142"/>
    </row>
    <row r="10" spans="1:19" x14ac:dyDescent="0.45">
      <c r="A10" s="32" t="s">
        <v>24</v>
      </c>
      <c r="B10" s="12" t="e">
        <f>SUM(B67:B81)</f>
        <v>#DIV/0!</v>
      </c>
      <c r="C10" s="13" t="e">
        <f>SUM(C67:C81)</f>
        <v>#DIV/0!</v>
      </c>
      <c r="D10" s="12" t="e">
        <f>SUM(D67:D81)</f>
        <v>#DIV/0!</v>
      </c>
      <c r="E10" s="13" t="e">
        <f>+E65</f>
        <v>#DIV/0!</v>
      </c>
      <c r="F10" s="12" t="e">
        <f t="shared" ref="F10:M10" si="6">+F65</f>
        <v>#DIV/0!</v>
      </c>
      <c r="G10" s="13" t="e">
        <f t="shared" si="6"/>
        <v>#DIV/0!</v>
      </c>
      <c r="H10" s="12" t="e">
        <f t="shared" si="6"/>
        <v>#DIV/0!</v>
      </c>
      <c r="I10" s="13" t="e">
        <f t="shared" si="6"/>
        <v>#DIV/0!</v>
      </c>
      <c r="J10" s="12" t="e">
        <f t="shared" si="6"/>
        <v>#DIV/0!</v>
      </c>
      <c r="K10" s="13" t="e">
        <f t="shared" si="6"/>
        <v>#DIV/0!</v>
      </c>
      <c r="L10" s="12" t="e">
        <f t="shared" si="6"/>
        <v>#DIV/0!</v>
      </c>
      <c r="M10" s="13" t="e">
        <f t="shared" si="6"/>
        <v>#DIV/0!</v>
      </c>
      <c r="N10" s="31" t="e">
        <f t="shared" si="5"/>
        <v>#DIV/0!</v>
      </c>
      <c r="O10" s="31">
        <v>0</v>
      </c>
      <c r="P10" s="31" t="e">
        <f t="shared" si="3"/>
        <v>#DIV/0!</v>
      </c>
      <c r="Q10" s="134" t="e">
        <f t="shared" si="1"/>
        <v>#DIV/0!</v>
      </c>
      <c r="R10" s="141">
        <v>0</v>
      </c>
      <c r="S10" s="140" t="e">
        <f>+N10-R10</f>
        <v>#DIV/0!</v>
      </c>
    </row>
    <row r="11" spans="1:19" x14ac:dyDescent="0.45">
      <c r="A11" s="26" t="s">
        <v>25</v>
      </c>
      <c r="B11" s="8" t="e">
        <f t="shared" ref="B11:M11" si="7">+B10+B7+B9</f>
        <v>#DIV/0!</v>
      </c>
      <c r="C11" s="9" t="e">
        <f t="shared" si="7"/>
        <v>#DIV/0!</v>
      </c>
      <c r="D11" s="8" t="e">
        <f t="shared" si="7"/>
        <v>#DIV/0!</v>
      </c>
      <c r="E11" s="9" t="e">
        <f t="shared" si="7"/>
        <v>#DIV/0!</v>
      </c>
      <c r="F11" s="8" t="e">
        <f t="shared" si="7"/>
        <v>#DIV/0!</v>
      </c>
      <c r="G11" s="9" t="e">
        <f t="shared" si="7"/>
        <v>#DIV/0!</v>
      </c>
      <c r="H11" s="8" t="e">
        <f t="shared" si="7"/>
        <v>#DIV/0!</v>
      </c>
      <c r="I11" s="9" t="e">
        <f t="shared" si="7"/>
        <v>#DIV/0!</v>
      </c>
      <c r="J11" s="8" t="e">
        <f t="shared" si="7"/>
        <v>#DIV/0!</v>
      </c>
      <c r="K11" s="9" t="e">
        <f t="shared" si="7"/>
        <v>#DIV/0!</v>
      </c>
      <c r="L11" s="8" t="e">
        <f t="shared" si="7"/>
        <v>#DIV/0!</v>
      </c>
      <c r="M11" s="9" t="e">
        <f t="shared" si="7"/>
        <v>#DIV/0!</v>
      </c>
      <c r="N11" s="31" t="e">
        <f t="shared" si="5"/>
        <v>#DIV/0!</v>
      </c>
      <c r="O11" s="31">
        <f>+O10+O7+O9</f>
        <v>3562526.1810659519</v>
      </c>
      <c r="P11" s="31" t="e">
        <f t="shared" si="3"/>
        <v>#DIV/0!</v>
      </c>
      <c r="Q11" s="134" t="e">
        <f t="shared" si="1"/>
        <v>#DIV/0!</v>
      </c>
      <c r="R11" s="141"/>
      <c r="S11" s="142"/>
    </row>
    <row r="12" spans="1:19" x14ac:dyDescent="0.45">
      <c r="A12" s="32" t="s">
        <v>2</v>
      </c>
      <c r="B12" s="12">
        <f>+'Budget Semences'!B7</f>
        <v>0</v>
      </c>
      <c r="C12" s="13">
        <f>+'Budget Semences'!C10</f>
        <v>1494600</v>
      </c>
      <c r="D12" s="12">
        <f>+'Budget Semences'!D10</f>
        <v>0</v>
      </c>
      <c r="E12" s="13">
        <f>+'Budget Semences'!E10</f>
        <v>0</v>
      </c>
      <c r="F12" s="12">
        <f>+'Budget Semences'!F10</f>
        <v>0</v>
      </c>
      <c r="G12" s="13">
        <f>+'Budget Semences'!G10</f>
        <v>0</v>
      </c>
      <c r="H12" s="12">
        <f>+'Budget Semences'!H10</f>
        <v>0</v>
      </c>
      <c r="I12" s="13">
        <f>+'Budget Semences'!I10</f>
        <v>0</v>
      </c>
      <c r="J12" s="12">
        <f>+'Budget Semences'!J10</f>
        <v>0</v>
      </c>
      <c r="K12" s="13">
        <f>+'Budget Semences'!K10</f>
        <v>0</v>
      </c>
      <c r="L12" s="12">
        <f>+'Budget Semences'!L10</f>
        <v>0</v>
      </c>
      <c r="M12" s="13">
        <f>+'Budget Semences'!M10</f>
        <v>0</v>
      </c>
      <c r="N12" s="31">
        <f t="shared" si="5"/>
        <v>1494600</v>
      </c>
      <c r="O12" s="31">
        <v>202400.00000000003</v>
      </c>
      <c r="P12" s="31">
        <f t="shared" si="3"/>
        <v>1292200</v>
      </c>
      <c r="Q12" s="134">
        <f t="shared" si="1"/>
        <v>6.3843873517786554</v>
      </c>
      <c r="R12" s="141">
        <f>+'Budget Semences'!N7</f>
        <v>1494600</v>
      </c>
      <c r="S12" s="140">
        <f t="shared" ref="S12:S28" si="8">+N12-R12</f>
        <v>0</v>
      </c>
    </row>
    <row r="13" spans="1:19" x14ac:dyDescent="0.45">
      <c r="A13" s="32" t="s">
        <v>3</v>
      </c>
      <c r="B13" s="12">
        <f>+'Budget Engrais'!B7</f>
        <v>0</v>
      </c>
      <c r="C13" s="13">
        <f>+'Budget Engrais'!C7</f>
        <v>0</v>
      </c>
      <c r="D13" s="12">
        <f>+'Budget Engrais'!D7</f>
        <v>0</v>
      </c>
      <c r="E13" s="13">
        <f>+'Budget Engrais'!E7</f>
        <v>0</v>
      </c>
      <c r="F13" s="12">
        <f>+'Budget Engrais'!F7</f>
        <v>0</v>
      </c>
      <c r="G13" s="13">
        <f>+'Budget Engrais'!G7</f>
        <v>0</v>
      </c>
      <c r="H13" s="12">
        <f>+'Budget Engrais'!H7</f>
        <v>0</v>
      </c>
      <c r="I13" s="13">
        <f>+'Budget Engrais'!I7</f>
        <v>0</v>
      </c>
      <c r="J13" s="12">
        <f>+'Budget Engrais'!J7</f>
        <v>0</v>
      </c>
      <c r="K13" s="13">
        <f>+'Budget Engrais'!K7</f>
        <v>0</v>
      </c>
      <c r="L13" s="12">
        <f>+'Budget Engrais'!L7</f>
        <v>0</v>
      </c>
      <c r="M13" s="13">
        <f>+'Budget Engrais'!M7</f>
        <v>0</v>
      </c>
      <c r="N13" s="31">
        <f t="shared" si="5"/>
        <v>0</v>
      </c>
      <c r="O13" s="31">
        <v>537520.18455807853</v>
      </c>
      <c r="P13" s="31">
        <f t="shared" si="3"/>
        <v>-537520.18455807853</v>
      </c>
      <c r="Q13" s="134">
        <f t="shared" si="1"/>
        <v>-1</v>
      </c>
      <c r="R13" s="141">
        <f>+'Budget Engrais'!N7</f>
        <v>0</v>
      </c>
      <c r="S13" s="140">
        <f t="shared" si="8"/>
        <v>0</v>
      </c>
    </row>
    <row r="14" spans="1:19" x14ac:dyDescent="0.45">
      <c r="A14" s="32" t="s">
        <v>4</v>
      </c>
      <c r="B14" s="12">
        <f>+'Budget Plants'!B7</f>
        <v>0</v>
      </c>
      <c r="C14" s="13">
        <f>+'Budget Plants'!C7</f>
        <v>1113000</v>
      </c>
      <c r="D14" s="12">
        <f>+'Budget Plants'!D7</f>
        <v>0</v>
      </c>
      <c r="E14" s="13">
        <f>+'Budget Plants'!E7</f>
        <v>0</v>
      </c>
      <c r="F14" s="12">
        <f>+'Budget Plants'!F7</f>
        <v>0</v>
      </c>
      <c r="G14" s="13">
        <f>+'Budget Plants'!G7</f>
        <v>0</v>
      </c>
      <c r="H14" s="12">
        <f>+'Budget Plants'!H7</f>
        <v>0</v>
      </c>
      <c r="I14" s="13">
        <f>+'Budget Plants'!I7</f>
        <v>0</v>
      </c>
      <c r="J14" s="12">
        <f>+'Budget Plants'!J7</f>
        <v>0</v>
      </c>
      <c r="K14" s="13">
        <f>+'Budget Plants'!K7</f>
        <v>0</v>
      </c>
      <c r="L14" s="12">
        <f>+'Budget Plants'!L7</f>
        <v>0</v>
      </c>
      <c r="M14" s="13">
        <f>+'Budget Plants'!M7</f>
        <v>0</v>
      </c>
      <c r="N14" s="31">
        <f t="shared" si="5"/>
        <v>1113000</v>
      </c>
      <c r="O14" s="31">
        <v>254886.99999991001</v>
      </c>
      <c r="P14" s="31">
        <f t="shared" si="3"/>
        <v>858113.00000008999</v>
      </c>
      <c r="Q14" s="134">
        <f t="shared" si="1"/>
        <v>3.3666409036176539</v>
      </c>
      <c r="R14" s="141">
        <f>+'Budget Plants'!N7</f>
        <v>1113000</v>
      </c>
      <c r="S14" s="140">
        <f t="shared" si="8"/>
        <v>0</v>
      </c>
    </row>
    <row r="15" spans="1:19" x14ac:dyDescent="0.45">
      <c r="A15" s="32" t="s">
        <v>5</v>
      </c>
      <c r="B15" s="12">
        <f>+'Budget Phytos'!B7</f>
        <v>0</v>
      </c>
      <c r="C15" s="13">
        <f>+'Budget Phytos'!C7</f>
        <v>0</v>
      </c>
      <c r="D15" s="12">
        <f>+'Budget Phytos'!D7</f>
        <v>0</v>
      </c>
      <c r="E15" s="13">
        <f>+'Budget Phytos'!E7</f>
        <v>0</v>
      </c>
      <c r="F15" s="12">
        <f>+'Budget Phytos'!F7</f>
        <v>0</v>
      </c>
      <c r="G15" s="13">
        <f>+'Budget Phytos'!G7</f>
        <v>0</v>
      </c>
      <c r="H15" s="12">
        <f>+'Budget Phytos'!H7</f>
        <v>0</v>
      </c>
      <c r="I15" s="13">
        <f>+'Budget Phytos'!I7</f>
        <v>0</v>
      </c>
      <c r="J15" s="12">
        <f>+'Budget Phytos'!J7</f>
        <v>0</v>
      </c>
      <c r="K15" s="13">
        <f>+'Budget Phytos'!K7</f>
        <v>0</v>
      </c>
      <c r="L15" s="12">
        <f>+'Budget Phytos'!L7</f>
        <v>0</v>
      </c>
      <c r="M15" s="13">
        <f>+'Budget Phytos'!M7</f>
        <v>0</v>
      </c>
      <c r="N15" s="31">
        <f t="shared" si="5"/>
        <v>0</v>
      </c>
      <c r="O15" s="31">
        <v>582668.22068617889</v>
      </c>
      <c r="P15" s="31">
        <f t="shared" si="3"/>
        <v>-582668.22068617889</v>
      </c>
      <c r="Q15" s="134">
        <f t="shared" si="1"/>
        <v>-1</v>
      </c>
      <c r="R15" s="141">
        <f>+'Budget Phytos'!N7</f>
        <v>0</v>
      </c>
      <c r="S15" s="140">
        <f t="shared" si="8"/>
        <v>0</v>
      </c>
    </row>
    <row r="16" spans="1:19" x14ac:dyDescent="0.45">
      <c r="A16" s="32" t="s">
        <v>6</v>
      </c>
      <c r="B16" s="12">
        <f>+'Budget Ruches'!B7</f>
        <v>0</v>
      </c>
      <c r="C16" s="13">
        <f>+'Budget Ruches'!C7</f>
        <v>0</v>
      </c>
      <c r="D16" s="12">
        <f>+'Budget Ruches'!D7</f>
        <v>0</v>
      </c>
      <c r="E16" s="13">
        <f>+'Budget Ruches'!E7</f>
        <v>0</v>
      </c>
      <c r="F16" s="12">
        <f>+'Budget Ruches'!F7</f>
        <v>0</v>
      </c>
      <c r="G16" s="13">
        <f>+'Budget Ruches'!G7</f>
        <v>0</v>
      </c>
      <c r="H16" s="12">
        <f>+'Budget Ruches'!H7</f>
        <v>0</v>
      </c>
      <c r="I16" s="13">
        <f>+'Budget Ruches'!I7</f>
        <v>0</v>
      </c>
      <c r="J16" s="12">
        <f>+'Budget Ruches'!J7</f>
        <v>0</v>
      </c>
      <c r="K16" s="13">
        <f>+'Budget Ruches'!K7</f>
        <v>0</v>
      </c>
      <c r="L16" s="12">
        <f>+'Budget Ruches'!L7</f>
        <v>0</v>
      </c>
      <c r="M16" s="13">
        <f>+'Budget Ruches'!M7</f>
        <v>0</v>
      </c>
      <c r="N16" s="31">
        <f t="shared" si="5"/>
        <v>0</v>
      </c>
      <c r="O16" s="31">
        <v>107635.04599999251</v>
      </c>
      <c r="P16" s="31">
        <f t="shared" si="3"/>
        <v>-107635.04599999251</v>
      </c>
      <c r="Q16" s="134">
        <f t="shared" si="1"/>
        <v>-1</v>
      </c>
      <c r="R16" s="141">
        <f>+'Budget Ruches'!N7</f>
        <v>0</v>
      </c>
      <c r="S16" s="140">
        <f t="shared" si="8"/>
        <v>0</v>
      </c>
    </row>
    <row r="17" spans="1:20" x14ac:dyDescent="0.45">
      <c r="A17" s="32" t="s">
        <v>7</v>
      </c>
      <c r="B17" s="12">
        <f>+'Budget Fres Agri'!B7</f>
        <v>479534.00000000006</v>
      </c>
      <c r="C17" s="13">
        <f>+'Budget Fres Agri'!C7</f>
        <v>15350.000000000004</v>
      </c>
      <c r="D17" s="12">
        <f>+'Budget Fres Agri'!D7</f>
        <v>15350.000000000004</v>
      </c>
      <c r="E17" s="13">
        <f>+'Budget Fres Agri'!E7</f>
        <v>15350.000000000004</v>
      </c>
      <c r="F17" s="12">
        <f>+'Budget Fres Agri'!F7</f>
        <v>15350.000000000004</v>
      </c>
      <c r="G17" s="13">
        <f>+'Budget Fres Agri'!G7</f>
        <v>15350.000000000004</v>
      </c>
      <c r="H17" s="12">
        <f>+'Budget Fres Agri'!H7</f>
        <v>15350.000000000004</v>
      </c>
      <c r="I17" s="13">
        <f>+'Budget Fres Agri'!I7</f>
        <v>15350.000000000004</v>
      </c>
      <c r="J17" s="12">
        <f>+'Budget Fres Agri'!J7</f>
        <v>15350.000000000004</v>
      </c>
      <c r="K17" s="13">
        <f>+'Budget Fres Agri'!K7</f>
        <v>15350.000000000004</v>
      </c>
      <c r="L17" s="12">
        <f>+'Budget Fres Agri'!L7</f>
        <v>15350.000000000004</v>
      </c>
      <c r="M17" s="13">
        <f>+'Budget Fres Agri'!M7</f>
        <v>15350.000000000004</v>
      </c>
      <c r="N17" s="31">
        <f t="shared" si="5"/>
        <v>648384.00000000012</v>
      </c>
      <c r="O17" s="31">
        <v>73551.903999999995</v>
      </c>
      <c r="P17" s="31">
        <f t="shared" si="3"/>
        <v>574832.09600000014</v>
      </c>
      <c r="Q17" s="134">
        <f t="shared" si="1"/>
        <v>7.8153258411910072</v>
      </c>
      <c r="R17" s="141">
        <f>+'Budget Fres Agri'!N7</f>
        <v>648384.00000000012</v>
      </c>
      <c r="S17" s="140">
        <f t="shared" si="8"/>
        <v>0</v>
      </c>
    </row>
    <row r="18" spans="1:20" x14ac:dyDescent="0.45">
      <c r="A18" s="26" t="s">
        <v>15</v>
      </c>
      <c r="B18" s="8">
        <f>SUM(B12:B17)</f>
        <v>479534.00000000006</v>
      </c>
      <c r="C18" s="9">
        <f t="shared" ref="C18:O18" si="9">SUM(C12:C17)</f>
        <v>2622950</v>
      </c>
      <c r="D18" s="8">
        <f>SUM(D12:D17)</f>
        <v>15350.000000000004</v>
      </c>
      <c r="E18" s="9">
        <f t="shared" si="9"/>
        <v>15350.000000000004</v>
      </c>
      <c r="F18" s="8">
        <f>SUM(F12:F17)</f>
        <v>15350.000000000004</v>
      </c>
      <c r="G18" s="9">
        <f t="shared" si="9"/>
        <v>15350.000000000004</v>
      </c>
      <c r="H18" s="8">
        <f>SUM(H12:H17)</f>
        <v>15350.000000000004</v>
      </c>
      <c r="I18" s="9">
        <f t="shared" si="9"/>
        <v>15350.000000000004</v>
      </c>
      <c r="J18" s="8">
        <f>SUM(J12:J17)</f>
        <v>15350.000000000004</v>
      </c>
      <c r="K18" s="9">
        <f t="shared" si="9"/>
        <v>15350.000000000004</v>
      </c>
      <c r="L18" s="8">
        <f>SUM(L12:L17)</f>
        <v>15350.000000000004</v>
      </c>
      <c r="M18" s="9">
        <f t="shared" si="9"/>
        <v>15350.000000000004</v>
      </c>
      <c r="N18" s="31">
        <f t="shared" si="5"/>
        <v>3255984</v>
      </c>
      <c r="O18" s="31">
        <f t="shared" si="9"/>
        <v>1758662.3552441599</v>
      </c>
      <c r="P18" s="31">
        <f t="shared" si="3"/>
        <v>1497321.6447558401</v>
      </c>
      <c r="Q18" s="134">
        <f t="shared" si="1"/>
        <v>0.85139801866513642</v>
      </c>
      <c r="R18" s="141">
        <f>+'Budget Semences'!N7+'Budget Plants'!N7+'Budget Engrais'!N7+'Budget Phytos'!N7+'Budget Ruches'!N7+'Budget Fres Agri'!N7</f>
        <v>3255984</v>
      </c>
      <c r="S18" s="140">
        <f t="shared" si="8"/>
        <v>0</v>
      </c>
    </row>
    <row r="19" spans="1:20" x14ac:dyDescent="0.45">
      <c r="A19" s="32" t="s">
        <v>8</v>
      </c>
      <c r="B19" s="12">
        <f>+'Budget Energie'!B15+'Budget Energie'!B22</f>
        <v>0</v>
      </c>
      <c r="C19" s="13">
        <f>+'Budget Energie'!C15+'Budget Energie'!C22</f>
        <v>0</v>
      </c>
      <c r="D19" s="12">
        <f>+'Budget Energie'!D15+'Budget Energie'!D22</f>
        <v>0</v>
      </c>
      <c r="E19" s="13">
        <f>+'Budget Energie'!E15+'Budget Energie'!E22</f>
        <v>0</v>
      </c>
      <c r="F19" s="12">
        <f>+'Budget Energie'!F15+'Budget Energie'!F22</f>
        <v>0</v>
      </c>
      <c r="G19" s="13">
        <f>+'Budget Energie'!G15+'Budget Energie'!G22</f>
        <v>0</v>
      </c>
      <c r="H19" s="12">
        <f>+'Budget Energie'!H15+'Budget Energie'!H22</f>
        <v>0</v>
      </c>
      <c r="I19" s="13">
        <f>+'Budget Energie'!I15+'Budget Energie'!I22</f>
        <v>0</v>
      </c>
      <c r="J19" s="12">
        <f>+'Budget Energie'!J15+'Budget Energie'!J22</f>
        <v>0</v>
      </c>
      <c r="K19" s="13">
        <f>+'Budget Energie'!K15+'Budget Energie'!K22</f>
        <v>0</v>
      </c>
      <c r="L19" s="12">
        <f>+'Budget Energie'!L15+'Budget Energie'!L22</f>
        <v>0</v>
      </c>
      <c r="M19" s="13">
        <f>+'Budget Energie'!M15+'Budget Energie'!M22</f>
        <v>0</v>
      </c>
      <c r="N19" s="31">
        <f t="shared" si="5"/>
        <v>0</v>
      </c>
      <c r="O19" s="31">
        <v>91727.416534532706</v>
      </c>
      <c r="P19" s="31">
        <f t="shared" si="3"/>
        <v>-91727.416534532706</v>
      </c>
      <c r="Q19" s="134">
        <f t="shared" si="1"/>
        <v>-1</v>
      </c>
      <c r="R19" s="141">
        <f>+'Budget Energie'!N15+'Budget Energie'!N22</f>
        <v>0</v>
      </c>
      <c r="S19" s="140">
        <f t="shared" si="8"/>
        <v>0</v>
      </c>
    </row>
    <row r="20" spans="1:20" x14ac:dyDescent="0.45">
      <c r="A20" s="32" t="s">
        <v>9</v>
      </c>
      <c r="B20" s="12">
        <f>+'Budget Energie'!B13+'Budget Energie'!B20</f>
        <v>0</v>
      </c>
      <c r="C20" s="13">
        <f>+'Budget Energie'!C13+'Budget Energie'!C20</f>
        <v>0</v>
      </c>
      <c r="D20" s="12">
        <f>+'Budget Energie'!D13+'Budget Energie'!D20</f>
        <v>0</v>
      </c>
      <c r="E20" s="13">
        <f>+'Budget Energie'!E13+'Budget Energie'!E20</f>
        <v>0</v>
      </c>
      <c r="F20" s="12">
        <f>+'Budget Energie'!F13+'Budget Energie'!F20</f>
        <v>0</v>
      </c>
      <c r="G20" s="13">
        <f>+'Budget Energie'!G13+'Budget Energie'!G20</f>
        <v>0</v>
      </c>
      <c r="H20" s="12">
        <f>+'Budget Energie'!H13+'Budget Energie'!H20</f>
        <v>0</v>
      </c>
      <c r="I20" s="13">
        <f>+'Budget Energie'!I13+'Budget Energie'!I20</f>
        <v>0</v>
      </c>
      <c r="J20" s="12">
        <f>+'Budget Energie'!J13+'Budget Energie'!J20</f>
        <v>0</v>
      </c>
      <c r="K20" s="13">
        <f>+'Budget Energie'!K13+'Budget Energie'!K20</f>
        <v>0</v>
      </c>
      <c r="L20" s="12">
        <f>+'Budget Energie'!L13+'Budget Energie'!L20</f>
        <v>0</v>
      </c>
      <c r="M20" s="13">
        <f>+'Budget Energie'!M13+'Budget Energie'!M20</f>
        <v>0</v>
      </c>
      <c r="N20" s="31">
        <f t="shared" si="5"/>
        <v>0</v>
      </c>
      <c r="O20" s="31">
        <v>20637.641333267995</v>
      </c>
      <c r="P20" s="31">
        <f t="shared" si="3"/>
        <v>-20637.641333267995</v>
      </c>
      <c r="Q20" s="134">
        <f t="shared" si="1"/>
        <v>-1</v>
      </c>
      <c r="R20" s="141">
        <f>+'Budget Energie'!N13+'Budget Energie'!N20</f>
        <v>0</v>
      </c>
      <c r="S20" s="140">
        <f t="shared" si="8"/>
        <v>0</v>
      </c>
    </row>
    <row r="21" spans="1:20" x14ac:dyDescent="0.45">
      <c r="A21" s="26" t="s">
        <v>16</v>
      </c>
      <c r="B21" s="8">
        <f>SUM(B19:B20)</f>
        <v>0</v>
      </c>
      <c r="C21" s="9">
        <f t="shared" ref="C21:M21" si="10">SUM(C19:C20)</f>
        <v>0</v>
      </c>
      <c r="D21" s="8">
        <f t="shared" si="10"/>
        <v>0</v>
      </c>
      <c r="E21" s="9">
        <f t="shared" si="10"/>
        <v>0</v>
      </c>
      <c r="F21" s="8">
        <f t="shared" si="10"/>
        <v>0</v>
      </c>
      <c r="G21" s="9">
        <f t="shared" si="10"/>
        <v>0</v>
      </c>
      <c r="H21" s="8">
        <f t="shared" si="10"/>
        <v>0</v>
      </c>
      <c r="I21" s="9">
        <f t="shared" si="10"/>
        <v>0</v>
      </c>
      <c r="J21" s="8">
        <f t="shared" si="10"/>
        <v>0</v>
      </c>
      <c r="K21" s="9">
        <f t="shared" si="10"/>
        <v>0</v>
      </c>
      <c r="L21" s="8">
        <f t="shared" si="10"/>
        <v>0</v>
      </c>
      <c r="M21" s="9">
        <f t="shared" si="10"/>
        <v>0</v>
      </c>
      <c r="N21" s="31">
        <f t="shared" si="5"/>
        <v>0</v>
      </c>
      <c r="O21" s="31">
        <f>+O20+O19</f>
        <v>112365.0578678007</v>
      </c>
      <c r="P21" s="31">
        <f t="shared" si="3"/>
        <v>-112365.0578678007</v>
      </c>
      <c r="Q21" s="134">
        <f t="shared" si="1"/>
        <v>-1</v>
      </c>
      <c r="R21" s="141">
        <f>+'Budget Energie'!N7</f>
        <v>0</v>
      </c>
      <c r="S21" s="140">
        <f t="shared" si="8"/>
        <v>0</v>
      </c>
    </row>
    <row r="22" spans="1:20" x14ac:dyDescent="0.45">
      <c r="A22" s="32" t="s">
        <v>10</v>
      </c>
      <c r="B22" s="12">
        <f>+'Budget Ent &amp; Analyses'!B14+'Budget Commun'!B19+'Budget Ent &amp; Analyses'!B22</f>
        <v>0</v>
      </c>
      <c r="C22" s="13">
        <f>+'Budget Ent &amp; Analyses'!C14+'Budget Commun'!C19+'Budget Ent &amp; Analyses'!C22</f>
        <v>61400.000000000015</v>
      </c>
      <c r="D22" s="12">
        <f>+'Budget Ent &amp; Analyses'!D14+'Budget Commun'!D19+'Budget Ent &amp; Analyses'!D22</f>
        <v>0</v>
      </c>
      <c r="E22" s="13">
        <f>+'Budget Ent &amp; Analyses'!E14+'Budget Commun'!E19+'Budget Ent &amp; Analyses'!E22</f>
        <v>0</v>
      </c>
      <c r="F22" s="12">
        <f>+'Budget Ent &amp; Analyses'!F14+'Budget Commun'!F19+'Budget Ent &amp; Analyses'!F22</f>
        <v>0</v>
      </c>
      <c r="G22" s="13">
        <f>+'Budget Ent &amp; Analyses'!G14+'Budget Commun'!G19+'Budget Ent &amp; Analyses'!G22</f>
        <v>0</v>
      </c>
      <c r="H22" s="12">
        <f>+'Budget Ent &amp; Analyses'!H14+'Budget Commun'!H19+'Budget Ent &amp; Analyses'!H22</f>
        <v>0</v>
      </c>
      <c r="I22" s="13">
        <f>+'Budget Ent &amp; Analyses'!I14+'Budget Commun'!I19+'Budget Ent &amp; Analyses'!I22</f>
        <v>0</v>
      </c>
      <c r="J22" s="12">
        <f>+'Budget Ent &amp; Analyses'!J14+'Budget Commun'!J19+'Budget Ent &amp; Analyses'!J22</f>
        <v>0</v>
      </c>
      <c r="K22" s="13">
        <f>+'Budget Ent &amp; Analyses'!K14+'Budget Commun'!K19+'Budget Ent &amp; Analyses'!K22</f>
        <v>0</v>
      </c>
      <c r="L22" s="12">
        <f>+'Budget Ent &amp; Analyses'!L14+'Budget Commun'!L19+'Budget Ent &amp; Analyses'!L22</f>
        <v>0</v>
      </c>
      <c r="M22" s="13">
        <f>+'Budget Ent &amp; Analyses'!M14+'Budget Commun'!M19+'Budget Ent &amp; Analyses'!M22</f>
        <v>0</v>
      </c>
      <c r="N22" s="31">
        <f t="shared" si="5"/>
        <v>61400.000000000015</v>
      </c>
      <c r="O22" s="31">
        <v>43594.909302325585</v>
      </c>
      <c r="P22" s="31">
        <f t="shared" si="3"/>
        <v>17805.09069767443</v>
      </c>
      <c r="Q22" s="134">
        <f t="shared" si="1"/>
        <v>0.40842132677001836</v>
      </c>
      <c r="R22" s="141">
        <f>+'Budget Ent &amp; Analyses'!N14+'Budget Commun'!N19+'Budget Ent &amp; Analyses'!N22</f>
        <v>61400.000000000015</v>
      </c>
      <c r="S22" s="140">
        <f t="shared" si="8"/>
        <v>0</v>
      </c>
    </row>
    <row r="23" spans="1:20" x14ac:dyDescent="0.45">
      <c r="A23" s="32" t="s">
        <v>11</v>
      </c>
      <c r="B23" s="12">
        <f>+'Budget Loyers Fermes'!B7</f>
        <v>37622.549019607854</v>
      </c>
      <c r="C23" s="13">
        <f>+'Budget Loyers Fermes'!C7</f>
        <v>37622.549019607854</v>
      </c>
      <c r="D23" s="12">
        <f>+'Budget Loyers Fermes'!D7</f>
        <v>37622.549019607854</v>
      </c>
      <c r="E23" s="13">
        <f>+'Budget Loyers Fermes'!E7</f>
        <v>37622.549019607854</v>
      </c>
      <c r="F23" s="12">
        <f>+'Budget Loyers Fermes'!F7</f>
        <v>37622.549019607854</v>
      </c>
      <c r="G23" s="13">
        <f>+'Budget Loyers Fermes'!G7</f>
        <v>37622.549019607854</v>
      </c>
      <c r="H23" s="12">
        <f>+'Budget Loyers Fermes'!H7</f>
        <v>37622.549019607854</v>
      </c>
      <c r="I23" s="13">
        <f>+'Budget Loyers Fermes'!I7</f>
        <v>37622.549019607854</v>
      </c>
      <c r="J23" s="12">
        <f>+'Budget Loyers Fermes'!J7</f>
        <v>37622.549019607854</v>
      </c>
      <c r="K23" s="13">
        <f>+'Budget Loyers Fermes'!K7</f>
        <v>37622.549019607854</v>
      </c>
      <c r="L23" s="12">
        <f>+'Budget Loyers Fermes'!L7</f>
        <v>37622.549019607854</v>
      </c>
      <c r="M23" s="13">
        <f>+'Budget Loyers Fermes'!M7</f>
        <v>37622.549019607854</v>
      </c>
      <c r="N23" s="31">
        <f t="shared" si="5"/>
        <v>451470.58823529416</v>
      </c>
      <c r="O23" s="31">
        <v>191666.66666666666</v>
      </c>
      <c r="P23" s="31">
        <f t="shared" si="3"/>
        <v>259803.9215686275</v>
      </c>
      <c r="Q23" s="134">
        <f t="shared" si="1"/>
        <v>1.3554987212276217</v>
      </c>
      <c r="R23" s="141">
        <f>+'Budget Loyers Fermes'!N7</f>
        <v>451470.58823529416</v>
      </c>
      <c r="S23" s="140">
        <f t="shared" si="8"/>
        <v>0</v>
      </c>
    </row>
    <row r="24" spans="1:20" x14ac:dyDescent="0.45">
      <c r="A24" s="32" t="s">
        <v>12</v>
      </c>
      <c r="B24" s="12">
        <f>+'Budget Ent &amp; Analyses'!B7-'Budget Ent &amp; Analyses'!B14-'Budget Ent &amp; Analyses'!B22+'Budget Commun'!B27</f>
        <v>10295.303468208092</v>
      </c>
      <c r="C24" s="13">
        <f>+'Budget Ent &amp; Analyses'!C7-'Budget Ent &amp; Analyses'!C14-'Budget Ent &amp; Analyses'!C22+'Budget Commun'!C27</f>
        <v>14132.803468208092</v>
      </c>
      <c r="D24" s="12">
        <f>+'Budget Ent &amp; Analyses'!D7-'Budget Ent &amp; Analyses'!D14-'Budget Ent &amp; Analyses'!D22+'Budget Commun'!D27</f>
        <v>14132.803468208094</v>
      </c>
      <c r="E24" s="13">
        <f>+'Budget Ent &amp; Analyses'!E7-'Budget Ent &amp; Analyses'!E14-'Budget Ent &amp; Analyses'!E22+'Budget Commun'!E27</f>
        <v>10295.303468208092</v>
      </c>
      <c r="F24" s="12">
        <f>+'Budget Ent &amp; Analyses'!F7-'Budget Ent &amp; Analyses'!F14-'Budget Ent &amp; Analyses'!F22+'Budget Commun'!F27</f>
        <v>10295.303468208092</v>
      </c>
      <c r="G24" s="13">
        <f>+'Budget Ent &amp; Analyses'!G7-'Budget Ent &amp; Analyses'!G14-'Budget Ent &amp; Analyses'!G22+'Budget Commun'!G27</f>
        <v>14132.803468208094</v>
      </c>
      <c r="H24" s="12">
        <f>+'Budget Ent &amp; Analyses'!H7-'Budget Ent &amp; Analyses'!H14-'Budget Ent &amp; Analyses'!H22+'Budget Commun'!H27</f>
        <v>14132.803468208094</v>
      </c>
      <c r="I24" s="13">
        <f>+'Budget Ent &amp; Analyses'!I7-'Budget Ent &amp; Analyses'!I14-'Budget Ent &amp; Analyses'!I22+'Budget Commun'!I27</f>
        <v>10295.303468208092</v>
      </c>
      <c r="J24" s="12">
        <f>+'Budget Ent &amp; Analyses'!J7-'Budget Ent &amp; Analyses'!J14-'Budget Ent &amp; Analyses'!J22+'Budget Commun'!J27</f>
        <v>14132.803468208094</v>
      </c>
      <c r="K24" s="13">
        <f>+'Budget Ent &amp; Analyses'!K7-'Budget Ent &amp; Analyses'!K14-'Budget Ent &amp; Analyses'!K22+'Budget Commun'!K27</f>
        <v>6257.8034682080925</v>
      </c>
      <c r="L24" s="12">
        <f>+'Budget Ent &amp; Analyses'!L7-'Budget Ent &amp; Analyses'!L14-'Budget Ent &amp; Analyses'!L22+'Budget Commun'!L27</f>
        <v>6257.8034682080925</v>
      </c>
      <c r="M24" s="13">
        <f>+'Budget Ent &amp; Analyses'!M7-'Budget Ent &amp; Analyses'!M14-'Budget Ent &amp; Analyses'!M22+'Budget Commun'!M27</f>
        <v>1257.8034682080925</v>
      </c>
      <c r="N24" s="31">
        <f t="shared" si="5"/>
        <v>125618.6416184971</v>
      </c>
      <c r="O24" s="31">
        <v>105442.17530231757</v>
      </c>
      <c r="P24" s="31">
        <f t="shared" si="3"/>
        <v>20176.466316179532</v>
      </c>
      <c r="Q24" s="134">
        <f t="shared" si="1"/>
        <v>0.19135100597394508</v>
      </c>
      <c r="R24" s="141">
        <f>'Budget Ent &amp; Analyses'!N7-'Budget Ent &amp; Analyses'!N14-'Budget Ent &amp; Analyses'!N22+'Budget Commun'!N27</f>
        <v>125618.64161849712</v>
      </c>
      <c r="S24" s="140">
        <f t="shared" si="8"/>
        <v>0</v>
      </c>
    </row>
    <row r="25" spans="1:20" x14ac:dyDescent="0.45">
      <c r="A25" s="32" t="s">
        <v>156</v>
      </c>
      <c r="B25" s="12">
        <f>+'Budget MOD'!B7</f>
        <v>354391.6876892061</v>
      </c>
      <c r="C25" s="13">
        <f>+'Budget MOD'!C7</f>
        <v>309277.47388370597</v>
      </c>
      <c r="D25" s="12">
        <f>+'Budget MOD'!D7</f>
        <v>277874.45828561776</v>
      </c>
      <c r="E25" s="13">
        <f>+'Budget MOD'!E7</f>
        <v>277413.74556170596</v>
      </c>
      <c r="F25" s="12">
        <f>+'Budget MOD'!F7</f>
        <v>271051.41585470585</v>
      </c>
      <c r="G25" s="13">
        <f>+'Budget MOD'!G7</f>
        <v>261194.88119561778</v>
      </c>
      <c r="H25" s="12">
        <f>+'Budget MOD'!H7</f>
        <v>259638.91987670597</v>
      </c>
      <c r="I25" s="13">
        <f>+'Budget MOD'!I7</f>
        <v>259783.08032270591</v>
      </c>
      <c r="J25" s="12">
        <f>+'Budget MOD'!J7</f>
        <v>271267.20750911772</v>
      </c>
      <c r="K25" s="13">
        <f>+'Budget MOD'!K7</f>
        <v>0</v>
      </c>
      <c r="L25" s="12">
        <f>+'Budget MOD'!L7</f>
        <v>0</v>
      </c>
      <c r="M25" s="13">
        <f>+'Budget MOD'!M7</f>
        <v>6140.0000000000009</v>
      </c>
      <c r="N25" s="31">
        <f t="shared" si="5"/>
        <v>2548032.8701790893</v>
      </c>
      <c r="O25" s="31">
        <v>1390695.7619840954</v>
      </c>
      <c r="P25" s="31">
        <f t="shared" si="3"/>
        <v>1157337.1081949938</v>
      </c>
      <c r="Q25" s="134">
        <f t="shared" si="1"/>
        <v>0.83220006836278082</v>
      </c>
      <c r="R25" s="141">
        <f>+'Budget MOD'!N7</f>
        <v>2548032.8701790893</v>
      </c>
      <c r="S25" s="140">
        <f t="shared" si="8"/>
        <v>0</v>
      </c>
    </row>
    <row r="26" spans="1:20" x14ac:dyDescent="0.45">
      <c r="A26" s="32" t="s">
        <v>157</v>
      </c>
      <c r="B26" s="12">
        <f>+'Budget Commun'!B54</f>
        <v>30399.537572254336</v>
      </c>
      <c r="C26" s="13">
        <f>+'Budget Commun'!C54</f>
        <v>30399.537572254336</v>
      </c>
      <c r="D26" s="12">
        <f>+'Budget Commun'!D54</f>
        <v>30399.537572254336</v>
      </c>
      <c r="E26" s="13">
        <f>+'Budget Commun'!E54</f>
        <v>30399.537572254336</v>
      </c>
      <c r="F26" s="12">
        <f>+'Budget Commun'!F54</f>
        <v>30399.537572254336</v>
      </c>
      <c r="G26" s="13">
        <f>+'Budget Commun'!G54</f>
        <v>30399.537572254336</v>
      </c>
      <c r="H26" s="12">
        <f>+'Budget Commun'!H54</f>
        <v>30399.537572254336</v>
      </c>
      <c r="I26" s="13">
        <f>+'Budget Commun'!I54</f>
        <v>30399.537572254336</v>
      </c>
      <c r="J26" s="12">
        <f>+'Budget Commun'!J54</f>
        <v>30399.537572254336</v>
      </c>
      <c r="K26" s="13">
        <f>+'Budget Commun'!K54</f>
        <v>30399.537572254336</v>
      </c>
      <c r="L26" s="12">
        <f>+'Budget Commun'!L54</f>
        <v>30399.537572254336</v>
      </c>
      <c r="M26" s="13">
        <f>+'Budget Commun'!M54</f>
        <v>30399.537572254336</v>
      </c>
      <c r="N26" s="31">
        <f t="shared" si="5"/>
        <v>364794.45086705196</v>
      </c>
      <c r="O26" s="31">
        <v>319900.43175345636</v>
      </c>
      <c r="P26" s="31">
        <f t="shared" si="3"/>
        <v>44894.019113595597</v>
      </c>
      <c r="Q26" s="134">
        <f t="shared" si="1"/>
        <v>0.14033747584371786</v>
      </c>
      <c r="R26" s="141">
        <f>+'Budget Commun'!N54</f>
        <v>364794.45086705196</v>
      </c>
      <c r="S26" s="140">
        <f t="shared" si="8"/>
        <v>0</v>
      </c>
    </row>
    <row r="27" spans="1:20" x14ac:dyDescent="0.45">
      <c r="A27" s="32" t="s">
        <v>13</v>
      </c>
      <c r="B27" s="12">
        <f>+'Budget Transp Ventes'!B7</f>
        <v>0</v>
      </c>
      <c r="C27" s="13">
        <f>+'Budget Transp Ventes'!C7</f>
        <v>0</v>
      </c>
      <c r="D27" s="12">
        <f>+'Budget Transp Ventes'!D7</f>
        <v>0</v>
      </c>
      <c r="E27" s="13">
        <f>+'Budget Transp Ventes'!E7</f>
        <v>0</v>
      </c>
      <c r="F27" s="12">
        <f>+'Budget Transp Ventes'!F7</f>
        <v>23025000.000000004</v>
      </c>
      <c r="G27" s="13">
        <f>+'Budget Transp Ventes'!G7</f>
        <v>17268750.000000004</v>
      </c>
      <c r="H27" s="12">
        <f>+'Budget Transp Ventes'!H7</f>
        <v>17268750.000000004</v>
      </c>
      <c r="I27" s="13">
        <f>+'Budget Transp Ventes'!I7</f>
        <v>23025000.000000004</v>
      </c>
      <c r="J27" s="12">
        <f>+'Budget Transp Ventes'!J7</f>
        <v>17268750.000000004</v>
      </c>
      <c r="K27" s="13">
        <f>+'Budget Transp Ventes'!K7</f>
        <v>17268750.000000004</v>
      </c>
      <c r="L27" s="12">
        <f>+'Budget Transp Ventes'!L7</f>
        <v>11512500.000000002</v>
      </c>
      <c r="M27" s="13">
        <f>+'Budget Transp Ventes'!M7</f>
        <v>5756250.0000000009</v>
      </c>
      <c r="N27" s="31">
        <f t="shared" si="5"/>
        <v>132393750.00000001</v>
      </c>
      <c r="O27" s="31">
        <v>70540.186046511633</v>
      </c>
      <c r="P27" s="31">
        <f t="shared" si="3"/>
        <v>132323209.8139535</v>
      </c>
      <c r="Q27" s="134">
        <f t="shared" si="1"/>
        <v>1875.855696307696</v>
      </c>
      <c r="R27" s="141">
        <f>+'Budget Transp Ventes'!N7</f>
        <v>132393750.00000001</v>
      </c>
      <c r="S27" s="140">
        <f t="shared" si="8"/>
        <v>0</v>
      </c>
    </row>
    <row r="28" spans="1:20" x14ac:dyDescent="0.45">
      <c r="A28" s="32" t="s">
        <v>18</v>
      </c>
      <c r="B28" s="12">
        <f>+'Budget Commun'!B43+'Budget Commun'!B34</f>
        <v>74741.040462427743</v>
      </c>
      <c r="C28" s="13">
        <f>+'Budget Commun'!C43+'Budget Commun'!C34</f>
        <v>3753.7572254335259</v>
      </c>
      <c r="D28" s="12">
        <f>+'Budget Commun'!D43+'Budget Commun'!D34</f>
        <v>3753.7572254335259</v>
      </c>
      <c r="E28" s="13">
        <f>+'Budget Commun'!E43+'Budget Commun'!E34</f>
        <v>3753.7572254335259</v>
      </c>
      <c r="F28" s="12">
        <f>+'Budget Commun'!F43+'Budget Commun'!F34</f>
        <v>3753.7572254335259</v>
      </c>
      <c r="G28" s="13">
        <f>+'Budget Commun'!G43+'Budget Commun'!G34</f>
        <v>3753.7572254335259</v>
      </c>
      <c r="H28" s="12">
        <f>+'Budget Commun'!H43+'Budget Commun'!H34</f>
        <v>5404.6242774566472</v>
      </c>
      <c r="I28" s="13">
        <f>+'Budget Commun'!I43+'Budget Commun'!I34</f>
        <v>3753.7572254335259</v>
      </c>
      <c r="J28" s="12">
        <f>+'Budget Commun'!J43+'Budget Commun'!J34</f>
        <v>9649.7109826589585</v>
      </c>
      <c r="K28" s="13">
        <f>+'Budget Commun'!K43+'Budget Commun'!K34</f>
        <v>3753.7572254335259</v>
      </c>
      <c r="L28" s="12">
        <f>+'Budget Commun'!L43+'Budget Commun'!L34</f>
        <v>3753.7572254335259</v>
      </c>
      <c r="M28" s="13">
        <f>+'Budget Commun'!M43+'Budget Commun'!M34</f>
        <v>3753.7572254335259</v>
      </c>
      <c r="N28" s="31">
        <f t="shared" si="5"/>
        <v>123579.19075144507</v>
      </c>
      <c r="O28" s="31">
        <v>79354.346510306466</v>
      </c>
      <c r="P28" s="31">
        <f t="shared" si="3"/>
        <v>44224.844241138606</v>
      </c>
      <c r="Q28" s="134">
        <f t="shared" si="1"/>
        <v>0.55730840446647401</v>
      </c>
      <c r="R28" s="141">
        <f>+'Budget Commun'!N34+'Budget Commun'!N43</f>
        <v>123579.19075144506</v>
      </c>
      <c r="S28" s="140">
        <f t="shared" si="8"/>
        <v>0</v>
      </c>
    </row>
    <row r="29" spans="1:20" x14ac:dyDescent="0.45">
      <c r="A29" s="26" t="s">
        <v>20</v>
      </c>
      <c r="B29" s="8">
        <f t="shared" ref="B29:M29" si="11">SUM(B22:B28)+B21+B18</f>
        <v>986984.11821170407</v>
      </c>
      <c r="C29" s="9">
        <f t="shared" si="11"/>
        <v>3079536.1211692099</v>
      </c>
      <c r="D29" s="8">
        <f t="shared" si="11"/>
        <v>379133.10557112156</v>
      </c>
      <c r="E29" s="9">
        <f t="shared" si="11"/>
        <v>374834.89284720976</v>
      </c>
      <c r="F29" s="8">
        <f t="shared" si="11"/>
        <v>23393472.563140213</v>
      </c>
      <c r="G29" s="9">
        <f t="shared" si="11"/>
        <v>17631203.528481126</v>
      </c>
      <c r="H29" s="8">
        <f t="shared" si="11"/>
        <v>17631298.434214238</v>
      </c>
      <c r="I29" s="9">
        <f t="shared" si="11"/>
        <v>23382204.227608215</v>
      </c>
      <c r="J29" s="8">
        <f t="shared" si="11"/>
        <v>17647171.808551848</v>
      </c>
      <c r="K29" s="9">
        <f t="shared" si="11"/>
        <v>17362133.64728551</v>
      </c>
      <c r="L29" s="8">
        <f t="shared" si="11"/>
        <v>11605883.647285506</v>
      </c>
      <c r="M29" s="9">
        <f t="shared" si="11"/>
        <v>5850773.6472855043</v>
      </c>
      <c r="N29" s="31">
        <f t="shared" si="5"/>
        <v>139324629.74165139</v>
      </c>
      <c r="O29" s="31">
        <f>SUM(O22:O28)+O21+O18</f>
        <v>4072221.8906776402</v>
      </c>
      <c r="P29" s="31">
        <f t="shared" si="3"/>
        <v>135252407.85097376</v>
      </c>
      <c r="Q29" s="134">
        <f t="shared" si="1"/>
        <v>33.213418001755059</v>
      </c>
      <c r="R29" s="141"/>
      <c r="S29" s="142"/>
      <c r="T29" s="48"/>
    </row>
    <row r="30" spans="1:20" x14ac:dyDescent="0.45">
      <c r="A30" s="26" t="s">
        <v>17</v>
      </c>
      <c r="B30" s="8" t="e">
        <f t="shared" ref="B30:O30" si="12">B11-B29</f>
        <v>#DIV/0!</v>
      </c>
      <c r="C30" s="9" t="e">
        <f t="shared" si="12"/>
        <v>#DIV/0!</v>
      </c>
      <c r="D30" s="8" t="e">
        <f t="shared" si="12"/>
        <v>#DIV/0!</v>
      </c>
      <c r="E30" s="9" t="e">
        <f t="shared" si="12"/>
        <v>#DIV/0!</v>
      </c>
      <c r="F30" s="8" t="e">
        <f t="shared" si="12"/>
        <v>#DIV/0!</v>
      </c>
      <c r="G30" s="9" t="e">
        <f t="shared" si="12"/>
        <v>#DIV/0!</v>
      </c>
      <c r="H30" s="8" t="e">
        <f t="shared" si="12"/>
        <v>#DIV/0!</v>
      </c>
      <c r="I30" s="9" t="e">
        <f t="shared" si="12"/>
        <v>#DIV/0!</v>
      </c>
      <c r="J30" s="8" t="e">
        <f t="shared" si="12"/>
        <v>#DIV/0!</v>
      </c>
      <c r="K30" s="9" t="e">
        <f t="shared" si="12"/>
        <v>#DIV/0!</v>
      </c>
      <c r="L30" s="8" t="e">
        <f t="shared" si="12"/>
        <v>#DIV/0!</v>
      </c>
      <c r="M30" s="9" t="e">
        <f t="shared" si="12"/>
        <v>#DIV/0!</v>
      </c>
      <c r="N30" s="21" t="e">
        <f t="shared" si="12"/>
        <v>#DIV/0!</v>
      </c>
      <c r="O30" s="21">
        <f t="shared" si="12"/>
        <v>-509695.70961168827</v>
      </c>
      <c r="P30" s="21" t="e">
        <f t="shared" si="3"/>
        <v>#DIV/0!</v>
      </c>
      <c r="Q30" s="133" t="e">
        <f t="shared" si="1"/>
        <v>#DIV/0!</v>
      </c>
      <c r="R30" s="141"/>
      <c r="S30" s="142"/>
      <c r="T30" s="37"/>
    </row>
    <row r="31" spans="1:20" x14ac:dyDescent="0.45">
      <c r="A31" s="32" t="s">
        <v>14</v>
      </c>
      <c r="B31" s="12">
        <f>+'Budget Commun'!B14+'Budget Invest&amp; Amort'!B9</f>
        <v>84231.685623696525</v>
      </c>
      <c r="C31" s="13">
        <f>+'Budget Commun'!C14+'Budget Invest&amp; Amort'!C9</f>
        <v>84231.685623696525</v>
      </c>
      <c r="D31" s="12">
        <f>+'Budget Commun'!D14+'Budget Invest&amp; Amort'!D9</f>
        <v>84231.685623696525</v>
      </c>
      <c r="E31" s="13">
        <f>+'Budget Commun'!E14+'Budget Invest&amp; Amort'!E9</f>
        <v>84231.685623696525</v>
      </c>
      <c r="F31" s="12">
        <f>+'Budget Commun'!F14+'Budget Invest&amp; Amort'!F9</f>
        <v>84231.685623696525</v>
      </c>
      <c r="G31" s="13">
        <f>+'Budget Commun'!G14+'Budget Invest&amp; Amort'!G9</f>
        <v>84231.685623696525</v>
      </c>
      <c r="H31" s="12">
        <f>+'Budget Commun'!H14+'Budget Invest&amp; Amort'!H9</f>
        <v>84231.685623696525</v>
      </c>
      <c r="I31" s="13">
        <f>+'Budget Commun'!I14+'Budget Invest&amp; Amort'!I9</f>
        <v>84231.685623696525</v>
      </c>
      <c r="J31" s="12">
        <f>+'Budget Commun'!J14+'Budget Invest&amp; Amort'!J9</f>
        <v>84231.685623696525</v>
      </c>
      <c r="K31" s="13">
        <f>+'Budget Commun'!K14+'Budget Invest&amp; Amort'!K9</f>
        <v>87247.518957029853</v>
      </c>
      <c r="L31" s="12">
        <f>+'Budget Commun'!L14+'Budget Invest&amp; Amort'!L9</f>
        <v>87247.518957029853</v>
      </c>
      <c r="M31" s="13">
        <f>+'Budget Commun'!M14+'Budget Invest&amp; Amort'!M9</f>
        <v>87247.518957029853</v>
      </c>
      <c r="N31" s="31">
        <f t="shared" si="5"/>
        <v>1019827.7274843582</v>
      </c>
      <c r="O31" s="31">
        <v>823053.01487612631</v>
      </c>
      <c r="P31" s="31">
        <f t="shared" si="3"/>
        <v>196774.71260823193</v>
      </c>
      <c r="Q31" s="134">
        <f t="shared" si="1"/>
        <v>0.23907902535032635</v>
      </c>
      <c r="R31" s="141">
        <f>+'Budget Commun'!N14+'Budget Invest&amp; Amort'!N9</f>
        <v>1019827.7274843582</v>
      </c>
      <c r="S31" s="140">
        <f>+N31-R31</f>
        <v>0</v>
      </c>
    </row>
    <row r="32" spans="1:20" x14ac:dyDescent="0.45">
      <c r="A32" s="26" t="s">
        <v>19</v>
      </c>
      <c r="B32" s="8" t="e">
        <f>B30-B31</f>
        <v>#DIV/0!</v>
      </c>
      <c r="C32" s="9" t="e">
        <f t="shared" ref="C32:O32" si="13">C30-C31</f>
        <v>#DIV/0!</v>
      </c>
      <c r="D32" s="8" t="e">
        <f t="shared" si="13"/>
        <v>#DIV/0!</v>
      </c>
      <c r="E32" s="9" t="e">
        <f t="shared" si="13"/>
        <v>#DIV/0!</v>
      </c>
      <c r="F32" s="8" t="e">
        <f t="shared" si="13"/>
        <v>#DIV/0!</v>
      </c>
      <c r="G32" s="9" t="e">
        <f t="shared" si="13"/>
        <v>#DIV/0!</v>
      </c>
      <c r="H32" s="8" t="e">
        <f t="shared" si="13"/>
        <v>#DIV/0!</v>
      </c>
      <c r="I32" s="9" t="e">
        <f t="shared" si="13"/>
        <v>#DIV/0!</v>
      </c>
      <c r="J32" s="8" t="e">
        <f t="shared" si="13"/>
        <v>#DIV/0!</v>
      </c>
      <c r="K32" s="9" t="e">
        <f t="shared" si="13"/>
        <v>#DIV/0!</v>
      </c>
      <c r="L32" s="8" t="e">
        <f t="shared" si="13"/>
        <v>#DIV/0!</v>
      </c>
      <c r="M32" s="9" t="e">
        <f t="shared" si="13"/>
        <v>#DIV/0!</v>
      </c>
      <c r="N32" s="21" t="e">
        <f t="shared" si="13"/>
        <v>#DIV/0!</v>
      </c>
      <c r="O32" s="21">
        <f t="shared" si="13"/>
        <v>-1332748.7244878146</v>
      </c>
      <c r="P32" s="21" t="e">
        <f t="shared" si="3"/>
        <v>#DIV/0!</v>
      </c>
      <c r="Q32" s="133" t="e">
        <f t="shared" si="1"/>
        <v>#DIV/0!</v>
      </c>
      <c r="R32" s="141"/>
      <c r="S32" s="142"/>
    </row>
    <row r="33" spans="1:18" x14ac:dyDescent="0.45">
      <c r="A33" s="17" t="s">
        <v>225</v>
      </c>
      <c r="B33" s="165"/>
      <c r="C33" s="166"/>
      <c r="D33" s="165"/>
      <c r="E33" s="166"/>
      <c r="F33" s="165"/>
      <c r="G33" s="166"/>
      <c r="H33" s="165"/>
      <c r="I33" s="166"/>
      <c r="J33" s="165"/>
      <c r="K33" s="166"/>
      <c r="L33" s="165"/>
      <c r="M33" s="166"/>
      <c r="N33" s="135" t="e">
        <f>+N30/N7</f>
        <v>#DIV/0!</v>
      </c>
      <c r="O33" s="135">
        <f>+O30/O7</f>
        <v>-0.20075504122039181</v>
      </c>
      <c r="P33" s="167" t="e">
        <f t="shared" si="3"/>
        <v>#DIV/0!</v>
      </c>
      <c r="Q33" s="167"/>
      <c r="R33" s="141"/>
    </row>
    <row r="34" spans="1:18" x14ac:dyDescent="0.45">
      <c r="A34" s="17" t="s">
        <v>75</v>
      </c>
      <c r="B34" s="49" t="e">
        <f t="shared" ref="B34:O34" si="14">+(B7)/B5</f>
        <v>#DIV/0!</v>
      </c>
      <c r="C34" s="50" t="e">
        <f t="shared" si="14"/>
        <v>#DIV/0!</v>
      </c>
      <c r="D34" s="49" t="e">
        <f t="shared" si="14"/>
        <v>#DIV/0!</v>
      </c>
      <c r="E34" s="50" t="e">
        <f t="shared" si="14"/>
        <v>#DIV/0!</v>
      </c>
      <c r="F34" s="49">
        <f t="shared" si="14"/>
        <v>0.01</v>
      </c>
      <c r="G34" s="50">
        <f t="shared" si="14"/>
        <v>0.01</v>
      </c>
      <c r="H34" s="49">
        <f t="shared" si="14"/>
        <v>0.01</v>
      </c>
      <c r="I34" s="50">
        <f t="shared" si="14"/>
        <v>0.01</v>
      </c>
      <c r="J34" s="49">
        <f t="shared" si="14"/>
        <v>0.01</v>
      </c>
      <c r="K34" s="50">
        <f t="shared" si="14"/>
        <v>0.01</v>
      </c>
      <c r="L34" s="49">
        <f t="shared" si="14"/>
        <v>0.01</v>
      </c>
      <c r="M34" s="50">
        <f t="shared" si="14"/>
        <v>0.01</v>
      </c>
      <c r="N34" s="51">
        <f t="shared" si="14"/>
        <v>0.01</v>
      </c>
      <c r="O34" s="51">
        <f t="shared" si="14"/>
        <v>2.290875126143022</v>
      </c>
      <c r="P34" s="51">
        <f t="shared" si="3"/>
        <v>-2.2808751261430222</v>
      </c>
      <c r="Q34" s="136">
        <f t="shared" si="1"/>
        <v>-0.9956348559177749</v>
      </c>
      <c r="R34" s="141"/>
    </row>
    <row r="35" spans="1:18" x14ac:dyDescent="0.45">
      <c r="A35" s="17" t="s">
        <v>176</v>
      </c>
      <c r="B35" s="18">
        <f t="shared" ref="B35:O35" si="15">+B7/B4</f>
        <v>0</v>
      </c>
      <c r="C35" s="19">
        <f t="shared" si="15"/>
        <v>0</v>
      </c>
      <c r="D35" s="18">
        <f t="shared" si="15"/>
        <v>0</v>
      </c>
      <c r="E35" s="19">
        <f t="shared" si="15"/>
        <v>0</v>
      </c>
      <c r="F35" s="18">
        <f t="shared" si="15"/>
        <v>200000</v>
      </c>
      <c r="G35" s="19">
        <f t="shared" si="15"/>
        <v>150000</v>
      </c>
      <c r="H35" s="18">
        <f t="shared" si="15"/>
        <v>150000</v>
      </c>
      <c r="I35" s="19">
        <f t="shared" si="15"/>
        <v>200000</v>
      </c>
      <c r="J35" s="18">
        <f t="shared" si="15"/>
        <v>150000</v>
      </c>
      <c r="K35" s="19">
        <f t="shared" si="15"/>
        <v>150000</v>
      </c>
      <c r="L35" s="18">
        <f t="shared" si="15"/>
        <v>100000</v>
      </c>
      <c r="M35" s="19">
        <f t="shared" si="15"/>
        <v>50000</v>
      </c>
      <c r="N35" s="44">
        <f t="shared" si="15"/>
        <v>1150000</v>
      </c>
      <c r="O35" s="44">
        <f t="shared" si="15"/>
        <v>373366.72074499296</v>
      </c>
      <c r="P35" s="44">
        <f t="shared" si="3"/>
        <v>776633.27925500704</v>
      </c>
      <c r="Q35" s="136">
        <f t="shared" si="1"/>
        <v>2.080081689405421</v>
      </c>
      <c r="R35" s="141"/>
    </row>
    <row r="36" spans="1:18" x14ac:dyDescent="0.45">
      <c r="A36" s="17" t="s">
        <v>174</v>
      </c>
      <c r="B36" s="18" t="e">
        <f t="shared" ref="B36:O36" si="16">+(B29-B10)/B4</f>
        <v>#DIV/0!</v>
      </c>
      <c r="C36" s="19" t="e">
        <f t="shared" si="16"/>
        <v>#DIV/0!</v>
      </c>
      <c r="D36" s="18" t="e">
        <f t="shared" si="16"/>
        <v>#DIV/0!</v>
      </c>
      <c r="E36" s="19" t="e">
        <f t="shared" si="16"/>
        <v>#DIV/0!</v>
      </c>
      <c r="F36" s="18" t="e">
        <f t="shared" si="16"/>
        <v>#DIV/0!</v>
      </c>
      <c r="G36" s="19" t="e">
        <f t="shared" si="16"/>
        <v>#DIV/0!</v>
      </c>
      <c r="H36" s="18" t="e">
        <f t="shared" si="16"/>
        <v>#DIV/0!</v>
      </c>
      <c r="I36" s="19" t="e">
        <f t="shared" si="16"/>
        <v>#DIV/0!</v>
      </c>
      <c r="J36" s="18" t="e">
        <f t="shared" si="16"/>
        <v>#DIV/0!</v>
      </c>
      <c r="K36" s="19" t="e">
        <f t="shared" si="16"/>
        <v>#DIV/0!</v>
      </c>
      <c r="L36" s="18" t="e">
        <f t="shared" si="16"/>
        <v>#DIV/0!</v>
      </c>
      <c r="M36" s="19" t="e">
        <f t="shared" si="16"/>
        <v>#DIV/0!</v>
      </c>
      <c r="N36" s="44" t="e">
        <f t="shared" si="16"/>
        <v>#DIV/0!</v>
      </c>
      <c r="O36" s="44">
        <f t="shared" si="16"/>
        <v>598856.16039377067</v>
      </c>
      <c r="P36" s="44" t="e">
        <f t="shared" si="3"/>
        <v>#DIV/0!</v>
      </c>
      <c r="Q36" s="136" t="e">
        <f t="shared" si="1"/>
        <v>#DIV/0!</v>
      </c>
      <c r="R36" s="172"/>
    </row>
    <row r="37" spans="1:18" x14ac:dyDescent="0.45">
      <c r="A37" s="17" t="s">
        <v>172</v>
      </c>
      <c r="B37" s="18" t="e">
        <f t="shared" ref="B37:O37" si="17">+B30/B4</f>
        <v>#DIV/0!</v>
      </c>
      <c r="C37" s="19" t="e">
        <f t="shared" si="17"/>
        <v>#DIV/0!</v>
      </c>
      <c r="D37" s="18" t="e">
        <f t="shared" si="17"/>
        <v>#DIV/0!</v>
      </c>
      <c r="E37" s="19" t="e">
        <f t="shared" si="17"/>
        <v>#DIV/0!</v>
      </c>
      <c r="F37" s="18" t="e">
        <f t="shared" si="17"/>
        <v>#DIV/0!</v>
      </c>
      <c r="G37" s="19" t="e">
        <f t="shared" si="17"/>
        <v>#DIV/0!</v>
      </c>
      <c r="H37" s="18" t="e">
        <f t="shared" si="17"/>
        <v>#DIV/0!</v>
      </c>
      <c r="I37" s="19" t="e">
        <f t="shared" si="17"/>
        <v>#DIV/0!</v>
      </c>
      <c r="J37" s="18" t="e">
        <f t="shared" si="17"/>
        <v>#DIV/0!</v>
      </c>
      <c r="K37" s="19" t="e">
        <f t="shared" si="17"/>
        <v>#DIV/0!</v>
      </c>
      <c r="L37" s="18" t="e">
        <f t="shared" si="17"/>
        <v>#DIV/0!</v>
      </c>
      <c r="M37" s="19" t="e">
        <f t="shared" si="17"/>
        <v>#DIV/0!</v>
      </c>
      <c r="N37" s="44" t="e">
        <f t="shared" si="17"/>
        <v>#DIV/0!</v>
      </c>
      <c r="O37" s="44">
        <f t="shared" si="17"/>
        <v>-74955.251413483566</v>
      </c>
      <c r="P37" s="44" t="e">
        <f t="shared" si="3"/>
        <v>#DIV/0!</v>
      </c>
      <c r="Q37" s="136" t="e">
        <f t="shared" si="1"/>
        <v>#DIV/0!</v>
      </c>
      <c r="R37" s="141"/>
    </row>
    <row r="38" spans="1:18" x14ac:dyDescent="0.45">
      <c r="A38" s="17" t="s">
        <v>173</v>
      </c>
      <c r="B38" s="18" t="e">
        <f t="shared" ref="B38:O38" si="18">+(B29+B31-B10)/B4</f>
        <v>#DIV/0!</v>
      </c>
      <c r="C38" s="19" t="e">
        <f t="shared" si="18"/>
        <v>#DIV/0!</v>
      </c>
      <c r="D38" s="18" t="e">
        <f t="shared" si="18"/>
        <v>#DIV/0!</v>
      </c>
      <c r="E38" s="19" t="e">
        <f t="shared" si="18"/>
        <v>#DIV/0!</v>
      </c>
      <c r="F38" s="18" t="e">
        <f t="shared" si="18"/>
        <v>#DIV/0!</v>
      </c>
      <c r="G38" s="19" t="e">
        <f t="shared" si="18"/>
        <v>#DIV/0!</v>
      </c>
      <c r="H38" s="18" t="e">
        <f t="shared" si="18"/>
        <v>#DIV/0!</v>
      </c>
      <c r="I38" s="19" t="e">
        <f t="shared" si="18"/>
        <v>#DIV/0!</v>
      </c>
      <c r="J38" s="18" t="e">
        <f t="shared" si="18"/>
        <v>#DIV/0!</v>
      </c>
      <c r="K38" s="19" t="e">
        <f t="shared" si="18"/>
        <v>#DIV/0!</v>
      </c>
      <c r="L38" s="18" t="e">
        <f t="shared" si="18"/>
        <v>#DIV/0!</v>
      </c>
      <c r="M38" s="19" t="e">
        <f t="shared" si="18"/>
        <v>#DIV/0!</v>
      </c>
      <c r="N38" s="44" t="e">
        <f t="shared" si="18"/>
        <v>#DIV/0!</v>
      </c>
      <c r="O38" s="44">
        <f t="shared" si="18"/>
        <v>719893.36846378923</v>
      </c>
      <c r="P38" s="44" t="e">
        <f t="shared" si="3"/>
        <v>#DIV/0!</v>
      </c>
      <c r="Q38" s="136" t="e">
        <f t="shared" si="1"/>
        <v>#DIV/0!</v>
      </c>
      <c r="R38" s="141"/>
    </row>
    <row r="39" spans="1:18" x14ac:dyDescent="0.45">
      <c r="A39" s="17" t="s">
        <v>175</v>
      </c>
      <c r="B39" s="18" t="e">
        <f t="shared" ref="B39:O39" si="19">B32/B4</f>
        <v>#DIV/0!</v>
      </c>
      <c r="C39" s="19" t="e">
        <f t="shared" si="19"/>
        <v>#DIV/0!</v>
      </c>
      <c r="D39" s="18" t="e">
        <f t="shared" si="19"/>
        <v>#DIV/0!</v>
      </c>
      <c r="E39" s="19" t="e">
        <f t="shared" si="19"/>
        <v>#DIV/0!</v>
      </c>
      <c r="F39" s="18" t="e">
        <f t="shared" si="19"/>
        <v>#DIV/0!</v>
      </c>
      <c r="G39" s="19" t="e">
        <f t="shared" si="19"/>
        <v>#DIV/0!</v>
      </c>
      <c r="H39" s="18" t="e">
        <f t="shared" si="19"/>
        <v>#DIV/0!</v>
      </c>
      <c r="I39" s="19" t="e">
        <f t="shared" si="19"/>
        <v>#DIV/0!</v>
      </c>
      <c r="J39" s="18" t="e">
        <f t="shared" si="19"/>
        <v>#DIV/0!</v>
      </c>
      <c r="K39" s="19" t="e">
        <f t="shared" si="19"/>
        <v>#DIV/0!</v>
      </c>
      <c r="L39" s="18" t="e">
        <f t="shared" si="19"/>
        <v>#DIV/0!</v>
      </c>
      <c r="M39" s="19" t="e">
        <f t="shared" si="19"/>
        <v>#DIV/0!</v>
      </c>
      <c r="N39" s="44" t="e">
        <f t="shared" si="19"/>
        <v>#DIV/0!</v>
      </c>
      <c r="O39" s="44">
        <f t="shared" si="19"/>
        <v>-195992.45948350214</v>
      </c>
      <c r="P39" s="44" t="e">
        <f t="shared" si="3"/>
        <v>#DIV/0!</v>
      </c>
      <c r="Q39" s="136" t="e">
        <f t="shared" si="1"/>
        <v>#DIV/0!</v>
      </c>
      <c r="R39" s="141"/>
    </row>
    <row r="40" spans="1:18" x14ac:dyDescent="0.45">
      <c r="A40" s="132" t="s">
        <v>166</v>
      </c>
      <c r="B40" s="49"/>
      <c r="C40" s="50"/>
      <c r="D40" s="49"/>
      <c r="E40" s="19"/>
      <c r="F40" s="18"/>
      <c r="G40" s="19"/>
      <c r="H40" s="18"/>
      <c r="I40" s="19"/>
      <c r="J40" s="18"/>
      <c r="K40" s="19"/>
      <c r="L40" s="18"/>
      <c r="M40" s="19"/>
      <c r="N40" s="44"/>
      <c r="O40" s="44"/>
      <c r="P40" s="44"/>
      <c r="Q40" s="136"/>
      <c r="R40" s="141"/>
    </row>
    <row r="41" spans="1:18" x14ac:dyDescent="0.45">
      <c r="A41" s="17" t="s">
        <v>77</v>
      </c>
      <c r="B41" s="18" t="e">
        <f t="shared" ref="B41:M41" si="20">+(B29+B31)/B3</f>
        <v>#DIV/0!</v>
      </c>
      <c r="C41" s="19" t="e">
        <f t="shared" si="20"/>
        <v>#DIV/0!</v>
      </c>
      <c r="D41" s="18" t="e">
        <f t="shared" si="20"/>
        <v>#DIV/0!</v>
      </c>
      <c r="E41" s="19" t="e">
        <f t="shared" si="20"/>
        <v>#DIV/0!</v>
      </c>
      <c r="F41" s="18" t="e">
        <f t="shared" si="20"/>
        <v>#DIV/0!</v>
      </c>
      <c r="G41" s="19" t="e">
        <f t="shared" si="20"/>
        <v>#DIV/0!</v>
      </c>
      <c r="H41" s="18" t="e">
        <f t="shared" si="20"/>
        <v>#DIV/0!</v>
      </c>
      <c r="I41" s="19" t="e">
        <f t="shared" si="20"/>
        <v>#DIV/0!</v>
      </c>
      <c r="J41" s="18" t="e">
        <f t="shared" si="20"/>
        <v>#DIV/0!</v>
      </c>
      <c r="K41" s="19" t="e">
        <f t="shared" si="20"/>
        <v>#DIV/0!</v>
      </c>
      <c r="L41" s="18" t="e">
        <f t="shared" si="20"/>
        <v>#DIV/0!</v>
      </c>
      <c r="M41" s="19" t="e">
        <f t="shared" si="20"/>
        <v>#DIV/0!</v>
      </c>
      <c r="N41" s="44" t="e">
        <f>+(N29+N31-N10)/N3</f>
        <v>#DIV/0!</v>
      </c>
      <c r="O41" s="44">
        <f>+(O29+O31-O10)/O3</f>
        <v>719893.36846378923</v>
      </c>
      <c r="P41" s="44" t="e">
        <f t="shared" si="3"/>
        <v>#DIV/0!</v>
      </c>
      <c r="Q41" s="136" t="e">
        <f t="shared" si="1"/>
        <v>#DIV/0!</v>
      </c>
      <c r="R41" s="141"/>
    </row>
    <row r="42" spans="1:18" x14ac:dyDescent="0.45">
      <c r="A42" s="17" t="s">
        <v>76</v>
      </c>
      <c r="B42" s="18" t="e">
        <f t="shared" ref="B42:M42" si="21">+B29/B3</f>
        <v>#DIV/0!</v>
      </c>
      <c r="C42" s="19" t="e">
        <f t="shared" si="21"/>
        <v>#DIV/0!</v>
      </c>
      <c r="D42" s="18" t="e">
        <f t="shared" si="21"/>
        <v>#DIV/0!</v>
      </c>
      <c r="E42" s="19" t="e">
        <f t="shared" si="21"/>
        <v>#DIV/0!</v>
      </c>
      <c r="F42" s="18" t="e">
        <f t="shared" si="21"/>
        <v>#DIV/0!</v>
      </c>
      <c r="G42" s="19" t="e">
        <f t="shared" si="21"/>
        <v>#DIV/0!</v>
      </c>
      <c r="H42" s="18" t="e">
        <f t="shared" si="21"/>
        <v>#DIV/0!</v>
      </c>
      <c r="I42" s="19" t="e">
        <f t="shared" si="21"/>
        <v>#DIV/0!</v>
      </c>
      <c r="J42" s="18" t="e">
        <f t="shared" si="21"/>
        <v>#DIV/0!</v>
      </c>
      <c r="K42" s="19" t="e">
        <f t="shared" si="21"/>
        <v>#DIV/0!</v>
      </c>
      <c r="L42" s="18" t="e">
        <f t="shared" si="21"/>
        <v>#DIV/0!</v>
      </c>
      <c r="M42" s="19" t="e">
        <f t="shared" si="21"/>
        <v>#DIV/0!</v>
      </c>
      <c r="N42" s="44" t="e">
        <f>+(N29-N10)/N3</f>
        <v>#DIV/0!</v>
      </c>
      <c r="O42" s="44">
        <f>+(O29-O10)/O3</f>
        <v>598856.16039377067</v>
      </c>
      <c r="P42" s="44" t="e">
        <f t="shared" si="3"/>
        <v>#DIV/0!</v>
      </c>
      <c r="Q42" s="136" t="e">
        <f t="shared" si="1"/>
        <v>#DIV/0!</v>
      </c>
      <c r="R42" s="141"/>
    </row>
    <row r="43" spans="1:18" x14ac:dyDescent="0.45">
      <c r="A43" s="17" t="s">
        <v>167</v>
      </c>
      <c r="B43" s="18" t="e">
        <f t="shared" ref="B43:O43" si="22">+B12/B3</f>
        <v>#DIV/0!</v>
      </c>
      <c r="C43" s="19" t="e">
        <f t="shared" si="22"/>
        <v>#DIV/0!</v>
      </c>
      <c r="D43" s="18" t="e">
        <f t="shared" si="22"/>
        <v>#DIV/0!</v>
      </c>
      <c r="E43" s="19" t="e">
        <f t="shared" si="22"/>
        <v>#DIV/0!</v>
      </c>
      <c r="F43" s="18" t="e">
        <f t="shared" si="22"/>
        <v>#DIV/0!</v>
      </c>
      <c r="G43" s="19" t="e">
        <f t="shared" si="22"/>
        <v>#DIV/0!</v>
      </c>
      <c r="H43" s="18" t="e">
        <f t="shared" si="22"/>
        <v>#DIV/0!</v>
      </c>
      <c r="I43" s="19" t="e">
        <f t="shared" si="22"/>
        <v>#DIV/0!</v>
      </c>
      <c r="J43" s="18" t="e">
        <f t="shared" si="22"/>
        <v>#DIV/0!</v>
      </c>
      <c r="K43" s="19" t="e">
        <f t="shared" si="22"/>
        <v>#DIV/0!</v>
      </c>
      <c r="L43" s="18" t="e">
        <f t="shared" si="22"/>
        <v>#DIV/0!</v>
      </c>
      <c r="M43" s="19" t="e">
        <f t="shared" si="22"/>
        <v>#DIV/0!</v>
      </c>
      <c r="N43" s="44" t="e">
        <f t="shared" si="22"/>
        <v>#DIV/0!</v>
      </c>
      <c r="O43" s="44">
        <f t="shared" si="22"/>
        <v>29764.705882352948</v>
      </c>
      <c r="P43" s="44" t="e">
        <f t="shared" si="3"/>
        <v>#DIV/0!</v>
      </c>
      <c r="Q43" s="136" t="e">
        <f t="shared" si="1"/>
        <v>#DIV/0!</v>
      </c>
    </row>
    <row r="44" spans="1:18" x14ac:dyDescent="0.45">
      <c r="A44" s="17" t="s">
        <v>168</v>
      </c>
      <c r="B44" s="18" t="e">
        <f t="shared" ref="B44:O44" si="23">+B13/B3</f>
        <v>#DIV/0!</v>
      </c>
      <c r="C44" s="19" t="e">
        <f t="shared" si="23"/>
        <v>#DIV/0!</v>
      </c>
      <c r="D44" s="18" t="e">
        <f t="shared" si="23"/>
        <v>#DIV/0!</v>
      </c>
      <c r="E44" s="19" t="e">
        <f t="shared" si="23"/>
        <v>#DIV/0!</v>
      </c>
      <c r="F44" s="18" t="e">
        <f t="shared" si="23"/>
        <v>#DIV/0!</v>
      </c>
      <c r="G44" s="19" t="e">
        <f t="shared" si="23"/>
        <v>#DIV/0!</v>
      </c>
      <c r="H44" s="18" t="e">
        <f t="shared" si="23"/>
        <v>#DIV/0!</v>
      </c>
      <c r="I44" s="19" t="e">
        <f t="shared" si="23"/>
        <v>#DIV/0!</v>
      </c>
      <c r="J44" s="18" t="e">
        <f t="shared" si="23"/>
        <v>#DIV/0!</v>
      </c>
      <c r="K44" s="19" t="e">
        <f t="shared" si="23"/>
        <v>#DIV/0!</v>
      </c>
      <c r="L44" s="18" t="e">
        <f t="shared" si="23"/>
        <v>#DIV/0!</v>
      </c>
      <c r="M44" s="19" t="e">
        <f t="shared" si="23"/>
        <v>#DIV/0!</v>
      </c>
      <c r="N44" s="44" t="e">
        <f t="shared" si="23"/>
        <v>#DIV/0!</v>
      </c>
      <c r="O44" s="44">
        <f t="shared" si="23"/>
        <v>79047.085964423313</v>
      </c>
      <c r="P44" s="44" t="e">
        <f t="shared" si="3"/>
        <v>#DIV/0!</v>
      </c>
      <c r="Q44" s="136" t="e">
        <f t="shared" si="1"/>
        <v>#DIV/0!</v>
      </c>
    </row>
    <row r="45" spans="1:18" x14ac:dyDescent="0.45">
      <c r="A45" s="17" t="s">
        <v>169</v>
      </c>
      <c r="B45" s="18" t="e">
        <f t="shared" ref="B45:O45" si="24">+B14/B3</f>
        <v>#DIV/0!</v>
      </c>
      <c r="C45" s="19" t="e">
        <f t="shared" si="24"/>
        <v>#DIV/0!</v>
      </c>
      <c r="D45" s="18" t="e">
        <f t="shared" si="24"/>
        <v>#DIV/0!</v>
      </c>
      <c r="E45" s="19" t="e">
        <f t="shared" si="24"/>
        <v>#DIV/0!</v>
      </c>
      <c r="F45" s="18" t="e">
        <f t="shared" si="24"/>
        <v>#DIV/0!</v>
      </c>
      <c r="G45" s="19" t="e">
        <f t="shared" si="24"/>
        <v>#DIV/0!</v>
      </c>
      <c r="H45" s="18" t="e">
        <f t="shared" si="24"/>
        <v>#DIV/0!</v>
      </c>
      <c r="I45" s="19" t="e">
        <f t="shared" si="24"/>
        <v>#DIV/0!</v>
      </c>
      <c r="J45" s="18" t="e">
        <f t="shared" si="24"/>
        <v>#DIV/0!</v>
      </c>
      <c r="K45" s="19" t="e">
        <f t="shared" si="24"/>
        <v>#DIV/0!</v>
      </c>
      <c r="L45" s="18" t="e">
        <f t="shared" si="24"/>
        <v>#DIV/0!</v>
      </c>
      <c r="M45" s="19" t="e">
        <f t="shared" si="24"/>
        <v>#DIV/0!</v>
      </c>
      <c r="N45" s="44" t="e">
        <f t="shared" si="24"/>
        <v>#DIV/0!</v>
      </c>
      <c r="O45" s="44">
        <f t="shared" si="24"/>
        <v>37483.382352927947</v>
      </c>
      <c r="P45" s="44" t="e">
        <f t="shared" si="3"/>
        <v>#DIV/0!</v>
      </c>
      <c r="Q45" s="136" t="e">
        <f t="shared" si="1"/>
        <v>#DIV/0!</v>
      </c>
    </row>
    <row r="46" spans="1:18" x14ac:dyDescent="0.45">
      <c r="A46" s="17" t="s">
        <v>170</v>
      </c>
      <c r="B46" s="18" t="e">
        <f t="shared" ref="B46:O46" si="25">+B15/B3</f>
        <v>#DIV/0!</v>
      </c>
      <c r="C46" s="19" t="e">
        <f t="shared" si="25"/>
        <v>#DIV/0!</v>
      </c>
      <c r="D46" s="18" t="e">
        <f t="shared" si="25"/>
        <v>#DIV/0!</v>
      </c>
      <c r="E46" s="19" t="e">
        <f t="shared" si="25"/>
        <v>#DIV/0!</v>
      </c>
      <c r="F46" s="18" t="e">
        <f t="shared" si="25"/>
        <v>#DIV/0!</v>
      </c>
      <c r="G46" s="19" t="e">
        <f t="shared" si="25"/>
        <v>#DIV/0!</v>
      </c>
      <c r="H46" s="18" t="e">
        <f t="shared" si="25"/>
        <v>#DIV/0!</v>
      </c>
      <c r="I46" s="19" t="e">
        <f t="shared" si="25"/>
        <v>#DIV/0!</v>
      </c>
      <c r="J46" s="18" t="e">
        <f t="shared" si="25"/>
        <v>#DIV/0!</v>
      </c>
      <c r="K46" s="19" t="e">
        <f t="shared" si="25"/>
        <v>#DIV/0!</v>
      </c>
      <c r="L46" s="18" t="e">
        <f t="shared" si="25"/>
        <v>#DIV/0!</v>
      </c>
      <c r="M46" s="19" t="e">
        <f t="shared" si="25"/>
        <v>#DIV/0!</v>
      </c>
      <c r="N46" s="44" t="e">
        <f t="shared" si="25"/>
        <v>#DIV/0!</v>
      </c>
      <c r="O46" s="44">
        <f t="shared" si="25"/>
        <v>85686.50304208514</v>
      </c>
      <c r="P46" s="44" t="e">
        <f t="shared" si="3"/>
        <v>#DIV/0!</v>
      </c>
      <c r="Q46" s="136" t="e">
        <f t="shared" si="1"/>
        <v>#DIV/0!</v>
      </c>
    </row>
    <row r="47" spans="1:18" x14ac:dyDescent="0.45">
      <c r="A47" s="17" t="s">
        <v>171</v>
      </c>
      <c r="B47" s="18" t="e">
        <f t="shared" ref="B47:O47" si="26">+B16/B3</f>
        <v>#DIV/0!</v>
      </c>
      <c r="C47" s="19" t="e">
        <f t="shared" si="26"/>
        <v>#DIV/0!</v>
      </c>
      <c r="D47" s="18" t="e">
        <f t="shared" si="26"/>
        <v>#DIV/0!</v>
      </c>
      <c r="E47" s="19" t="e">
        <f t="shared" si="26"/>
        <v>#DIV/0!</v>
      </c>
      <c r="F47" s="18" t="e">
        <f t="shared" si="26"/>
        <v>#DIV/0!</v>
      </c>
      <c r="G47" s="19" t="e">
        <f t="shared" si="26"/>
        <v>#DIV/0!</v>
      </c>
      <c r="H47" s="18" t="e">
        <f t="shared" si="26"/>
        <v>#DIV/0!</v>
      </c>
      <c r="I47" s="19" t="e">
        <f t="shared" si="26"/>
        <v>#DIV/0!</v>
      </c>
      <c r="J47" s="18" t="e">
        <f t="shared" si="26"/>
        <v>#DIV/0!</v>
      </c>
      <c r="K47" s="19" t="e">
        <f t="shared" si="26"/>
        <v>#DIV/0!</v>
      </c>
      <c r="L47" s="18" t="e">
        <f t="shared" si="26"/>
        <v>#DIV/0!</v>
      </c>
      <c r="M47" s="19" t="e">
        <f t="shared" si="26"/>
        <v>#DIV/0!</v>
      </c>
      <c r="N47" s="44" t="e">
        <f t="shared" si="26"/>
        <v>#DIV/0!</v>
      </c>
      <c r="O47" s="44">
        <f t="shared" si="26"/>
        <v>15828.683235293016</v>
      </c>
      <c r="P47" s="44" t="e">
        <f t="shared" si="3"/>
        <v>#DIV/0!</v>
      </c>
      <c r="Q47" s="136" t="e">
        <f t="shared" si="1"/>
        <v>#DIV/0!</v>
      </c>
    </row>
    <row r="48" spans="1:18" x14ac:dyDescent="0.45">
      <c r="A48" s="17" t="s">
        <v>7</v>
      </c>
      <c r="B48" s="18" t="e">
        <f t="shared" ref="B48:O48" si="27">+B17/B3</f>
        <v>#DIV/0!</v>
      </c>
      <c r="C48" s="19" t="e">
        <f t="shared" si="27"/>
        <v>#DIV/0!</v>
      </c>
      <c r="D48" s="18" t="e">
        <f t="shared" si="27"/>
        <v>#DIV/0!</v>
      </c>
      <c r="E48" s="19" t="e">
        <f t="shared" si="27"/>
        <v>#DIV/0!</v>
      </c>
      <c r="F48" s="18" t="e">
        <f t="shared" si="27"/>
        <v>#DIV/0!</v>
      </c>
      <c r="G48" s="19" t="e">
        <f t="shared" si="27"/>
        <v>#DIV/0!</v>
      </c>
      <c r="H48" s="18" t="e">
        <f t="shared" si="27"/>
        <v>#DIV/0!</v>
      </c>
      <c r="I48" s="19" t="e">
        <f t="shared" si="27"/>
        <v>#DIV/0!</v>
      </c>
      <c r="J48" s="18" t="e">
        <f t="shared" si="27"/>
        <v>#DIV/0!</v>
      </c>
      <c r="K48" s="19" t="e">
        <f t="shared" si="27"/>
        <v>#DIV/0!</v>
      </c>
      <c r="L48" s="18" t="e">
        <f t="shared" si="27"/>
        <v>#DIV/0!</v>
      </c>
      <c r="M48" s="19" t="e">
        <f t="shared" si="27"/>
        <v>#DIV/0!</v>
      </c>
      <c r="N48" s="44" t="e">
        <f t="shared" si="27"/>
        <v>#DIV/0!</v>
      </c>
      <c r="O48" s="44">
        <f t="shared" si="27"/>
        <v>10816.456470588235</v>
      </c>
      <c r="P48" s="44" t="e">
        <f t="shared" si="3"/>
        <v>#DIV/0!</v>
      </c>
      <c r="Q48" s="136" t="e">
        <f t="shared" si="1"/>
        <v>#DIV/0!</v>
      </c>
    </row>
    <row r="49" spans="1:18" x14ac:dyDescent="0.45">
      <c r="A49" s="17" t="s">
        <v>8</v>
      </c>
      <c r="B49" s="18" t="e">
        <f t="shared" ref="B49:O49" si="28">+B19/B3</f>
        <v>#DIV/0!</v>
      </c>
      <c r="C49" s="19" t="e">
        <f t="shared" si="28"/>
        <v>#DIV/0!</v>
      </c>
      <c r="D49" s="18" t="e">
        <f t="shared" si="28"/>
        <v>#DIV/0!</v>
      </c>
      <c r="E49" s="19" t="e">
        <f t="shared" si="28"/>
        <v>#DIV/0!</v>
      </c>
      <c r="F49" s="18" t="e">
        <f t="shared" si="28"/>
        <v>#DIV/0!</v>
      </c>
      <c r="G49" s="19" t="e">
        <f t="shared" si="28"/>
        <v>#DIV/0!</v>
      </c>
      <c r="H49" s="18" t="e">
        <f t="shared" si="28"/>
        <v>#DIV/0!</v>
      </c>
      <c r="I49" s="19" t="e">
        <f t="shared" si="28"/>
        <v>#DIV/0!</v>
      </c>
      <c r="J49" s="18" t="e">
        <f t="shared" si="28"/>
        <v>#DIV/0!</v>
      </c>
      <c r="K49" s="19" t="e">
        <f t="shared" si="28"/>
        <v>#DIV/0!</v>
      </c>
      <c r="L49" s="18" t="e">
        <f t="shared" si="28"/>
        <v>#DIV/0!</v>
      </c>
      <c r="M49" s="19" t="e">
        <f t="shared" si="28"/>
        <v>#DIV/0!</v>
      </c>
      <c r="N49" s="44" t="e">
        <f t="shared" si="28"/>
        <v>#DIV/0!</v>
      </c>
      <c r="O49" s="44">
        <f t="shared" si="28"/>
        <v>13489.325960960692</v>
      </c>
      <c r="P49" s="44" t="e">
        <f t="shared" si="3"/>
        <v>#DIV/0!</v>
      </c>
      <c r="Q49" s="136" t="e">
        <f t="shared" si="1"/>
        <v>#DIV/0!</v>
      </c>
    </row>
    <row r="50" spans="1:18" x14ac:dyDescent="0.45">
      <c r="A50" s="17" t="s">
        <v>9</v>
      </c>
      <c r="B50" s="18" t="e">
        <f t="shared" ref="B50:O50" si="29">+B20/B3</f>
        <v>#DIV/0!</v>
      </c>
      <c r="C50" s="19" t="e">
        <f t="shared" si="29"/>
        <v>#DIV/0!</v>
      </c>
      <c r="D50" s="18" t="e">
        <f t="shared" si="29"/>
        <v>#DIV/0!</v>
      </c>
      <c r="E50" s="19" t="e">
        <f t="shared" si="29"/>
        <v>#DIV/0!</v>
      </c>
      <c r="F50" s="18" t="e">
        <f t="shared" si="29"/>
        <v>#DIV/0!</v>
      </c>
      <c r="G50" s="19" t="e">
        <f t="shared" si="29"/>
        <v>#DIV/0!</v>
      </c>
      <c r="H50" s="18" t="e">
        <f t="shared" si="29"/>
        <v>#DIV/0!</v>
      </c>
      <c r="I50" s="19" t="e">
        <f t="shared" si="29"/>
        <v>#DIV/0!</v>
      </c>
      <c r="J50" s="18" t="e">
        <f t="shared" si="29"/>
        <v>#DIV/0!</v>
      </c>
      <c r="K50" s="19" t="e">
        <f t="shared" si="29"/>
        <v>#DIV/0!</v>
      </c>
      <c r="L50" s="18" t="e">
        <f t="shared" si="29"/>
        <v>#DIV/0!</v>
      </c>
      <c r="M50" s="19" t="e">
        <f t="shared" si="29"/>
        <v>#DIV/0!</v>
      </c>
      <c r="N50" s="44" t="e">
        <f t="shared" si="29"/>
        <v>#DIV/0!</v>
      </c>
      <c r="O50" s="44">
        <f t="shared" si="29"/>
        <v>3034.9472548923522</v>
      </c>
      <c r="P50" s="44" t="e">
        <f t="shared" si="3"/>
        <v>#DIV/0!</v>
      </c>
      <c r="Q50" s="136" t="e">
        <f t="shared" si="1"/>
        <v>#DIV/0!</v>
      </c>
    </row>
    <row r="51" spans="1:18" x14ac:dyDescent="0.45">
      <c r="A51" s="17" t="s">
        <v>10</v>
      </c>
      <c r="B51" s="18" t="e">
        <f t="shared" ref="B51:O51" si="30">+B22/B3</f>
        <v>#DIV/0!</v>
      </c>
      <c r="C51" s="19" t="e">
        <f t="shared" si="30"/>
        <v>#DIV/0!</v>
      </c>
      <c r="D51" s="18" t="e">
        <f t="shared" si="30"/>
        <v>#DIV/0!</v>
      </c>
      <c r="E51" s="19" t="e">
        <f t="shared" si="30"/>
        <v>#DIV/0!</v>
      </c>
      <c r="F51" s="18" t="e">
        <f t="shared" si="30"/>
        <v>#DIV/0!</v>
      </c>
      <c r="G51" s="19" t="e">
        <f t="shared" si="30"/>
        <v>#DIV/0!</v>
      </c>
      <c r="H51" s="18" t="e">
        <f t="shared" si="30"/>
        <v>#DIV/0!</v>
      </c>
      <c r="I51" s="19" t="e">
        <f t="shared" si="30"/>
        <v>#DIV/0!</v>
      </c>
      <c r="J51" s="18" t="e">
        <f t="shared" si="30"/>
        <v>#DIV/0!</v>
      </c>
      <c r="K51" s="19" t="e">
        <f t="shared" si="30"/>
        <v>#DIV/0!</v>
      </c>
      <c r="L51" s="18" t="e">
        <f t="shared" si="30"/>
        <v>#DIV/0!</v>
      </c>
      <c r="M51" s="19" t="e">
        <f t="shared" si="30"/>
        <v>#DIV/0!</v>
      </c>
      <c r="N51" s="44" t="e">
        <f t="shared" si="30"/>
        <v>#DIV/0!</v>
      </c>
      <c r="O51" s="44">
        <f t="shared" si="30"/>
        <v>6411.0160738714094</v>
      </c>
      <c r="P51" s="44" t="e">
        <f t="shared" si="3"/>
        <v>#DIV/0!</v>
      </c>
      <c r="Q51" s="136" t="e">
        <f t="shared" si="1"/>
        <v>#DIV/0!</v>
      </c>
    </row>
    <row r="52" spans="1:18" x14ac:dyDescent="0.45">
      <c r="A52" s="17" t="s">
        <v>11</v>
      </c>
      <c r="B52" s="18" t="e">
        <f t="shared" ref="B52:O52" si="31">+B23/B3</f>
        <v>#DIV/0!</v>
      </c>
      <c r="C52" s="19" t="e">
        <f t="shared" si="31"/>
        <v>#DIV/0!</v>
      </c>
      <c r="D52" s="18" t="e">
        <f t="shared" si="31"/>
        <v>#DIV/0!</v>
      </c>
      <c r="E52" s="19" t="e">
        <f t="shared" si="31"/>
        <v>#DIV/0!</v>
      </c>
      <c r="F52" s="18" t="e">
        <f t="shared" si="31"/>
        <v>#DIV/0!</v>
      </c>
      <c r="G52" s="19" t="e">
        <f t="shared" si="31"/>
        <v>#DIV/0!</v>
      </c>
      <c r="H52" s="18" t="e">
        <f t="shared" si="31"/>
        <v>#DIV/0!</v>
      </c>
      <c r="I52" s="19" t="e">
        <f t="shared" si="31"/>
        <v>#DIV/0!</v>
      </c>
      <c r="J52" s="18" t="e">
        <f t="shared" si="31"/>
        <v>#DIV/0!</v>
      </c>
      <c r="K52" s="19" t="e">
        <f t="shared" si="31"/>
        <v>#DIV/0!</v>
      </c>
      <c r="L52" s="18" t="e">
        <f t="shared" si="31"/>
        <v>#DIV/0!</v>
      </c>
      <c r="M52" s="19" t="e">
        <f t="shared" si="31"/>
        <v>#DIV/0!</v>
      </c>
      <c r="N52" s="44" t="e">
        <f t="shared" si="31"/>
        <v>#DIV/0!</v>
      </c>
      <c r="O52" s="44">
        <f t="shared" si="31"/>
        <v>28186.274509803919</v>
      </c>
      <c r="P52" s="44" t="e">
        <f t="shared" si="3"/>
        <v>#DIV/0!</v>
      </c>
      <c r="Q52" s="136" t="e">
        <f t="shared" si="1"/>
        <v>#DIV/0!</v>
      </c>
    </row>
    <row r="53" spans="1:18" x14ac:dyDescent="0.45">
      <c r="A53" s="17" t="s">
        <v>12</v>
      </c>
      <c r="B53" s="18" t="e">
        <f t="shared" ref="B53:O53" si="32">+B24/B3</f>
        <v>#DIV/0!</v>
      </c>
      <c r="C53" s="19" t="e">
        <f t="shared" si="32"/>
        <v>#DIV/0!</v>
      </c>
      <c r="D53" s="18" t="e">
        <f t="shared" si="32"/>
        <v>#DIV/0!</v>
      </c>
      <c r="E53" s="19" t="e">
        <f t="shared" si="32"/>
        <v>#DIV/0!</v>
      </c>
      <c r="F53" s="18" t="e">
        <f t="shared" si="32"/>
        <v>#DIV/0!</v>
      </c>
      <c r="G53" s="19" t="e">
        <f t="shared" si="32"/>
        <v>#DIV/0!</v>
      </c>
      <c r="H53" s="18" t="e">
        <f t="shared" si="32"/>
        <v>#DIV/0!</v>
      </c>
      <c r="I53" s="19" t="e">
        <f t="shared" si="32"/>
        <v>#DIV/0!</v>
      </c>
      <c r="J53" s="18" t="e">
        <f t="shared" si="32"/>
        <v>#DIV/0!</v>
      </c>
      <c r="K53" s="19" t="e">
        <f t="shared" si="32"/>
        <v>#DIV/0!</v>
      </c>
      <c r="L53" s="18" t="e">
        <f t="shared" si="32"/>
        <v>#DIV/0!</v>
      </c>
      <c r="M53" s="19" t="e">
        <f t="shared" si="32"/>
        <v>#DIV/0!</v>
      </c>
      <c r="N53" s="44" t="e">
        <f t="shared" si="32"/>
        <v>#DIV/0!</v>
      </c>
      <c r="O53" s="44">
        <f t="shared" si="32"/>
        <v>15506.202250340819</v>
      </c>
      <c r="P53" s="44" t="e">
        <f t="shared" si="3"/>
        <v>#DIV/0!</v>
      </c>
      <c r="Q53" s="136" t="e">
        <f t="shared" si="1"/>
        <v>#DIV/0!</v>
      </c>
    </row>
    <row r="54" spans="1:18" x14ac:dyDescent="0.45">
      <c r="A54" s="17" t="s">
        <v>156</v>
      </c>
      <c r="B54" s="18" t="e">
        <f t="shared" ref="B54:O54" si="33">+B25/B3</f>
        <v>#DIV/0!</v>
      </c>
      <c r="C54" s="19" t="e">
        <f t="shared" si="33"/>
        <v>#DIV/0!</v>
      </c>
      <c r="D54" s="18" t="e">
        <f t="shared" si="33"/>
        <v>#DIV/0!</v>
      </c>
      <c r="E54" s="19" t="e">
        <f t="shared" si="33"/>
        <v>#DIV/0!</v>
      </c>
      <c r="F54" s="18" t="e">
        <f t="shared" si="33"/>
        <v>#DIV/0!</v>
      </c>
      <c r="G54" s="19" t="e">
        <f t="shared" si="33"/>
        <v>#DIV/0!</v>
      </c>
      <c r="H54" s="18" t="e">
        <f t="shared" si="33"/>
        <v>#DIV/0!</v>
      </c>
      <c r="I54" s="19" t="e">
        <f t="shared" si="33"/>
        <v>#DIV/0!</v>
      </c>
      <c r="J54" s="18" t="e">
        <f t="shared" si="33"/>
        <v>#DIV/0!</v>
      </c>
      <c r="K54" s="19" t="e">
        <f t="shared" si="33"/>
        <v>#DIV/0!</v>
      </c>
      <c r="L54" s="18" t="e">
        <f t="shared" si="33"/>
        <v>#DIV/0!</v>
      </c>
      <c r="M54" s="19" t="e">
        <f t="shared" si="33"/>
        <v>#DIV/0!</v>
      </c>
      <c r="N54" s="44" t="e">
        <f t="shared" si="33"/>
        <v>#DIV/0!</v>
      </c>
      <c r="O54" s="44">
        <f t="shared" si="33"/>
        <v>204514.08264471992</v>
      </c>
      <c r="P54" s="44" t="e">
        <f t="shared" si="3"/>
        <v>#DIV/0!</v>
      </c>
      <c r="Q54" s="136" t="e">
        <f t="shared" si="1"/>
        <v>#DIV/0!</v>
      </c>
    </row>
    <row r="55" spans="1:18" x14ac:dyDescent="0.45">
      <c r="A55" s="17" t="s">
        <v>157</v>
      </c>
      <c r="B55" s="18" t="e">
        <f t="shared" ref="B55:O55" si="34">+B26/B3</f>
        <v>#DIV/0!</v>
      </c>
      <c r="C55" s="19" t="e">
        <f t="shared" si="34"/>
        <v>#DIV/0!</v>
      </c>
      <c r="D55" s="18" t="e">
        <f t="shared" si="34"/>
        <v>#DIV/0!</v>
      </c>
      <c r="E55" s="19" t="e">
        <f t="shared" si="34"/>
        <v>#DIV/0!</v>
      </c>
      <c r="F55" s="18" t="e">
        <f t="shared" si="34"/>
        <v>#DIV/0!</v>
      </c>
      <c r="G55" s="19" t="e">
        <f t="shared" si="34"/>
        <v>#DIV/0!</v>
      </c>
      <c r="H55" s="18" t="e">
        <f t="shared" si="34"/>
        <v>#DIV/0!</v>
      </c>
      <c r="I55" s="19" t="e">
        <f t="shared" si="34"/>
        <v>#DIV/0!</v>
      </c>
      <c r="J55" s="18" t="e">
        <f t="shared" si="34"/>
        <v>#DIV/0!</v>
      </c>
      <c r="K55" s="19" t="e">
        <f t="shared" si="34"/>
        <v>#DIV/0!</v>
      </c>
      <c r="L55" s="18" t="e">
        <f t="shared" si="34"/>
        <v>#DIV/0!</v>
      </c>
      <c r="M55" s="19" t="e">
        <f t="shared" si="34"/>
        <v>#DIV/0!</v>
      </c>
      <c r="N55" s="44" t="e">
        <f t="shared" si="34"/>
        <v>#DIV/0!</v>
      </c>
      <c r="O55" s="44">
        <f t="shared" si="34"/>
        <v>47044.181140214168</v>
      </c>
      <c r="P55" s="44" t="e">
        <f t="shared" si="3"/>
        <v>#DIV/0!</v>
      </c>
      <c r="Q55" s="136" t="e">
        <f t="shared" si="1"/>
        <v>#DIV/0!</v>
      </c>
    </row>
    <row r="56" spans="1:18" x14ac:dyDescent="0.45">
      <c r="A56" s="17" t="s">
        <v>158</v>
      </c>
      <c r="B56" s="18" t="e">
        <f>+#REF!/B3</f>
        <v>#REF!</v>
      </c>
      <c r="C56" s="19" t="e">
        <f>+#REF!/C3</f>
        <v>#REF!</v>
      </c>
      <c r="D56" s="18" t="e">
        <f>+#REF!/D3</f>
        <v>#REF!</v>
      </c>
      <c r="E56" s="19" t="e">
        <f>+#REF!/E3</f>
        <v>#REF!</v>
      </c>
      <c r="F56" s="18" t="e">
        <f>+#REF!/F3</f>
        <v>#REF!</v>
      </c>
      <c r="G56" s="19" t="e">
        <f>+#REF!/G3</f>
        <v>#REF!</v>
      </c>
      <c r="H56" s="18" t="e">
        <f>+#REF!/H3</f>
        <v>#REF!</v>
      </c>
      <c r="I56" s="19" t="e">
        <f>+#REF!/I3</f>
        <v>#REF!</v>
      </c>
      <c r="J56" s="18" t="e">
        <f>+#REF!/J3</f>
        <v>#REF!</v>
      </c>
      <c r="K56" s="19" t="e">
        <f>+#REF!/K3</f>
        <v>#REF!</v>
      </c>
      <c r="L56" s="18" t="e">
        <f>+#REF!/L3</f>
        <v>#REF!</v>
      </c>
      <c r="M56" s="19" t="e">
        <f>+#REF!/M3</f>
        <v>#REF!</v>
      </c>
      <c r="N56" s="44" t="e">
        <f>+#REF!/N3</f>
        <v>#REF!</v>
      </c>
      <c r="O56" s="44" t="e">
        <f>+#REF!/O3</f>
        <v>#REF!</v>
      </c>
      <c r="P56" s="44" t="e">
        <f t="shared" si="3"/>
        <v>#REF!</v>
      </c>
      <c r="Q56" s="136" t="e">
        <f t="shared" si="1"/>
        <v>#REF!</v>
      </c>
    </row>
    <row r="57" spans="1:18" x14ac:dyDescent="0.45">
      <c r="A57" s="17" t="s">
        <v>13</v>
      </c>
      <c r="B57" s="18" t="e">
        <f t="shared" ref="B57:O57" si="35">+B27/B3</f>
        <v>#DIV/0!</v>
      </c>
      <c r="C57" s="19" t="e">
        <f t="shared" si="35"/>
        <v>#DIV/0!</v>
      </c>
      <c r="D57" s="18" t="e">
        <f t="shared" si="35"/>
        <v>#DIV/0!</v>
      </c>
      <c r="E57" s="19" t="e">
        <f t="shared" si="35"/>
        <v>#DIV/0!</v>
      </c>
      <c r="F57" s="18" t="e">
        <f t="shared" si="35"/>
        <v>#DIV/0!</v>
      </c>
      <c r="G57" s="19" t="e">
        <f t="shared" si="35"/>
        <v>#DIV/0!</v>
      </c>
      <c r="H57" s="18" t="e">
        <f t="shared" si="35"/>
        <v>#DIV/0!</v>
      </c>
      <c r="I57" s="19" t="e">
        <f t="shared" si="35"/>
        <v>#DIV/0!</v>
      </c>
      <c r="J57" s="18" t="e">
        <f t="shared" si="35"/>
        <v>#DIV/0!</v>
      </c>
      <c r="K57" s="19" t="e">
        <f t="shared" si="35"/>
        <v>#DIV/0!</v>
      </c>
      <c r="L57" s="18" t="e">
        <f t="shared" si="35"/>
        <v>#DIV/0!</v>
      </c>
      <c r="M57" s="19" t="e">
        <f t="shared" si="35"/>
        <v>#DIV/0!</v>
      </c>
      <c r="N57" s="44" t="e">
        <f t="shared" si="35"/>
        <v>#DIV/0!</v>
      </c>
      <c r="O57" s="44">
        <f t="shared" si="35"/>
        <v>10373.556771545829</v>
      </c>
      <c r="P57" s="44" t="e">
        <f t="shared" si="3"/>
        <v>#DIV/0!</v>
      </c>
      <c r="Q57" s="136" t="e">
        <f t="shared" si="1"/>
        <v>#DIV/0!</v>
      </c>
    </row>
    <row r="58" spans="1:18" x14ac:dyDescent="0.45">
      <c r="A58" s="17" t="s">
        <v>18</v>
      </c>
      <c r="B58" s="18" t="e">
        <f t="shared" ref="B58:O58" si="36">+B28/B3</f>
        <v>#DIV/0!</v>
      </c>
      <c r="C58" s="19" t="e">
        <f t="shared" si="36"/>
        <v>#DIV/0!</v>
      </c>
      <c r="D58" s="18" t="e">
        <f t="shared" si="36"/>
        <v>#DIV/0!</v>
      </c>
      <c r="E58" s="19" t="e">
        <f t="shared" si="36"/>
        <v>#DIV/0!</v>
      </c>
      <c r="F58" s="18" t="e">
        <f t="shared" si="36"/>
        <v>#DIV/0!</v>
      </c>
      <c r="G58" s="19" t="e">
        <f t="shared" si="36"/>
        <v>#DIV/0!</v>
      </c>
      <c r="H58" s="18" t="e">
        <f t="shared" si="36"/>
        <v>#DIV/0!</v>
      </c>
      <c r="I58" s="19" t="e">
        <f t="shared" si="36"/>
        <v>#DIV/0!</v>
      </c>
      <c r="J58" s="18" t="e">
        <f t="shared" si="36"/>
        <v>#DIV/0!</v>
      </c>
      <c r="K58" s="19" t="e">
        <f t="shared" si="36"/>
        <v>#DIV/0!</v>
      </c>
      <c r="L58" s="18" t="e">
        <f t="shared" si="36"/>
        <v>#DIV/0!</v>
      </c>
      <c r="M58" s="19" t="e">
        <f t="shared" si="36"/>
        <v>#DIV/0!</v>
      </c>
      <c r="N58" s="44" t="e">
        <f t="shared" si="36"/>
        <v>#DIV/0!</v>
      </c>
      <c r="O58" s="44">
        <f t="shared" si="36"/>
        <v>11669.756839750951</v>
      </c>
      <c r="P58" s="44" t="e">
        <f t="shared" si="3"/>
        <v>#DIV/0!</v>
      </c>
      <c r="Q58" s="136" t="e">
        <f t="shared" si="1"/>
        <v>#DIV/0!</v>
      </c>
      <c r="R58" s="141"/>
    </row>
    <row r="59" spans="1:18" x14ac:dyDescent="0.45">
      <c r="A59" s="17" t="s">
        <v>14</v>
      </c>
      <c r="B59" s="18" t="e">
        <f t="shared" ref="B59:O59" si="37">+B31/B3</f>
        <v>#DIV/0!</v>
      </c>
      <c r="C59" s="19" t="e">
        <f t="shared" si="37"/>
        <v>#DIV/0!</v>
      </c>
      <c r="D59" s="18" t="e">
        <f t="shared" si="37"/>
        <v>#DIV/0!</v>
      </c>
      <c r="E59" s="19" t="e">
        <f t="shared" si="37"/>
        <v>#DIV/0!</v>
      </c>
      <c r="F59" s="18" t="e">
        <f t="shared" si="37"/>
        <v>#DIV/0!</v>
      </c>
      <c r="G59" s="19" t="e">
        <f t="shared" si="37"/>
        <v>#DIV/0!</v>
      </c>
      <c r="H59" s="18" t="e">
        <f t="shared" si="37"/>
        <v>#DIV/0!</v>
      </c>
      <c r="I59" s="19" t="e">
        <f t="shared" si="37"/>
        <v>#DIV/0!</v>
      </c>
      <c r="J59" s="18" t="e">
        <f t="shared" si="37"/>
        <v>#DIV/0!</v>
      </c>
      <c r="K59" s="19" t="e">
        <f t="shared" si="37"/>
        <v>#DIV/0!</v>
      </c>
      <c r="L59" s="18" t="e">
        <f t="shared" si="37"/>
        <v>#DIV/0!</v>
      </c>
      <c r="M59" s="19" t="e">
        <f t="shared" si="37"/>
        <v>#DIV/0!</v>
      </c>
      <c r="N59" s="44" t="e">
        <f t="shared" si="37"/>
        <v>#DIV/0!</v>
      </c>
      <c r="O59" s="44">
        <f t="shared" si="37"/>
        <v>121037.20807001858</v>
      </c>
      <c r="P59" s="44" t="e">
        <f t="shared" si="3"/>
        <v>#DIV/0!</v>
      </c>
      <c r="Q59" s="136" t="e">
        <f t="shared" si="1"/>
        <v>#DIV/0!</v>
      </c>
      <c r="R59" s="141"/>
    </row>
    <row r="60" spans="1:18" x14ac:dyDescent="0.45">
      <c r="A60" s="131" t="s">
        <v>165</v>
      </c>
      <c r="B60" s="123"/>
      <c r="C60" s="124"/>
      <c r="D60" s="123"/>
      <c r="E60" s="124"/>
      <c r="F60" s="123"/>
      <c r="G60" s="124"/>
      <c r="H60" s="123"/>
      <c r="I60" s="124"/>
      <c r="J60" s="123"/>
      <c r="K60" s="124"/>
      <c r="L60" s="123"/>
      <c r="M60" s="124"/>
      <c r="N60" s="125"/>
      <c r="O60" s="125"/>
      <c r="P60" s="125"/>
      <c r="Q60" s="125"/>
      <c r="R60" s="141"/>
    </row>
    <row r="61" spans="1:18" x14ac:dyDescent="0.45">
      <c r="A61" s="17" t="s">
        <v>160</v>
      </c>
      <c r="B61" s="126"/>
      <c r="C61" s="127"/>
      <c r="D61" s="18" t="e">
        <f>SUM(B67:D83)</f>
        <v>#DIV/0!</v>
      </c>
      <c r="E61" s="127"/>
      <c r="F61" s="126"/>
      <c r="G61" s="127"/>
      <c r="H61" s="126"/>
      <c r="I61" s="127"/>
      <c r="J61" s="126"/>
      <c r="K61" s="127"/>
      <c r="L61" s="126"/>
      <c r="M61" s="127"/>
      <c r="N61" s="128"/>
      <c r="O61" s="128"/>
      <c r="P61" s="128"/>
      <c r="Q61" s="128"/>
      <c r="R61" s="141"/>
    </row>
    <row r="62" spans="1:18" x14ac:dyDescent="0.45">
      <c r="A62" s="17" t="s">
        <v>161</v>
      </c>
      <c r="B62" s="126"/>
      <c r="C62" s="127"/>
      <c r="D62" s="129" t="e">
        <f>+D61/('Budget Volumes Export'!N16*1000)</f>
        <v>#DIV/0!</v>
      </c>
      <c r="E62" s="130" t="e">
        <f>+D62</f>
        <v>#DIV/0!</v>
      </c>
      <c r="F62" s="129" t="e">
        <f t="shared" ref="F62:M62" si="38">+E62</f>
        <v>#DIV/0!</v>
      </c>
      <c r="G62" s="130" t="e">
        <f t="shared" si="38"/>
        <v>#DIV/0!</v>
      </c>
      <c r="H62" s="129" t="e">
        <f t="shared" si="38"/>
        <v>#DIV/0!</v>
      </c>
      <c r="I62" s="130" t="e">
        <f t="shared" si="38"/>
        <v>#DIV/0!</v>
      </c>
      <c r="J62" s="129" t="e">
        <f t="shared" si="38"/>
        <v>#DIV/0!</v>
      </c>
      <c r="K62" s="130" t="e">
        <f t="shared" si="38"/>
        <v>#DIV/0!</v>
      </c>
      <c r="L62" s="129" t="e">
        <f t="shared" si="38"/>
        <v>#DIV/0!</v>
      </c>
      <c r="M62" s="130" t="e">
        <f t="shared" si="38"/>
        <v>#DIV/0!</v>
      </c>
      <c r="N62" s="128"/>
      <c r="O62" s="128"/>
      <c r="P62" s="128"/>
      <c r="Q62" s="128"/>
      <c r="R62" s="141"/>
    </row>
    <row r="63" spans="1:18" x14ac:dyDescent="0.45">
      <c r="A63" s="17" t="s">
        <v>162</v>
      </c>
      <c r="B63" s="126"/>
      <c r="C63" s="127"/>
      <c r="D63" s="126"/>
      <c r="E63" s="19" t="e">
        <f>+E62*'Budget Volumes Export'!E16*1000</f>
        <v>#DIV/0!</v>
      </c>
      <c r="F63" s="18" t="e">
        <f>+F62*'Budget Volumes Export'!F16*1000</f>
        <v>#DIV/0!</v>
      </c>
      <c r="G63" s="19" t="e">
        <f>+G62*'Budget Volumes Export'!G16*1000</f>
        <v>#DIV/0!</v>
      </c>
      <c r="H63" s="18" t="e">
        <f>+H62*'Budget Volumes Export'!H16*1000</f>
        <v>#DIV/0!</v>
      </c>
      <c r="I63" s="19" t="e">
        <f>+I62*'Budget Volumes Export'!I16*1000</f>
        <v>#DIV/0!</v>
      </c>
      <c r="J63" s="18" t="e">
        <f>+J62*'Budget Volumes Export'!J16*1000</f>
        <v>#DIV/0!</v>
      </c>
      <c r="K63" s="19" t="e">
        <f>+K62*'Budget Volumes Export'!K16*1000</f>
        <v>#DIV/0!</v>
      </c>
      <c r="L63" s="18" t="e">
        <f>+L62*'Budget Volumes Export'!L16*1000</f>
        <v>#DIV/0!</v>
      </c>
      <c r="M63" s="19" t="e">
        <f>+M62*'Budget Volumes Export'!M16*1000</f>
        <v>#DIV/0!</v>
      </c>
      <c r="N63" s="128"/>
      <c r="O63" s="128"/>
      <c r="P63" s="128"/>
      <c r="Q63" s="128"/>
      <c r="R63" s="141"/>
    </row>
    <row r="64" spans="1:18" x14ac:dyDescent="0.45">
      <c r="A64" s="17" t="s">
        <v>163</v>
      </c>
      <c r="B64" s="126"/>
      <c r="C64" s="127"/>
      <c r="D64" s="126"/>
      <c r="E64" s="19" t="e">
        <f>+D61-E63</f>
        <v>#DIV/0!</v>
      </c>
      <c r="F64" s="18" t="e">
        <f>+E64-F63</f>
        <v>#DIV/0!</v>
      </c>
      <c r="G64" s="19" t="e">
        <f t="shared" ref="G64:M64" si="39">+F64-G63</f>
        <v>#DIV/0!</v>
      </c>
      <c r="H64" s="18" t="e">
        <f t="shared" si="39"/>
        <v>#DIV/0!</v>
      </c>
      <c r="I64" s="19" t="e">
        <f t="shared" si="39"/>
        <v>#DIV/0!</v>
      </c>
      <c r="J64" s="18" t="e">
        <f t="shared" si="39"/>
        <v>#DIV/0!</v>
      </c>
      <c r="K64" s="19" t="e">
        <f t="shared" si="39"/>
        <v>#DIV/0!</v>
      </c>
      <c r="L64" s="18" t="e">
        <f t="shared" si="39"/>
        <v>#DIV/0!</v>
      </c>
      <c r="M64" s="19" t="e">
        <f t="shared" si="39"/>
        <v>#DIV/0!</v>
      </c>
      <c r="N64" s="128"/>
      <c r="O64" s="128"/>
      <c r="P64" s="128"/>
      <c r="Q64" s="128"/>
      <c r="R64" s="141"/>
    </row>
    <row r="65" spans="1:18" x14ac:dyDescent="0.45">
      <c r="A65" s="17" t="s">
        <v>164</v>
      </c>
      <c r="B65" s="126"/>
      <c r="C65" s="127"/>
      <c r="D65" s="126"/>
      <c r="E65" s="19" t="e">
        <f>+E64-D61</f>
        <v>#DIV/0!</v>
      </c>
      <c r="F65" s="18" t="e">
        <f>+F64-E64</f>
        <v>#DIV/0!</v>
      </c>
      <c r="G65" s="19" t="e">
        <f t="shared" ref="G65:M65" si="40">+G64-F64</f>
        <v>#DIV/0!</v>
      </c>
      <c r="H65" s="18" t="e">
        <f t="shared" si="40"/>
        <v>#DIV/0!</v>
      </c>
      <c r="I65" s="19" t="e">
        <f t="shared" si="40"/>
        <v>#DIV/0!</v>
      </c>
      <c r="J65" s="18" t="e">
        <f t="shared" si="40"/>
        <v>#DIV/0!</v>
      </c>
      <c r="K65" s="19" t="e">
        <f t="shared" si="40"/>
        <v>#DIV/0!</v>
      </c>
      <c r="L65" s="18" t="e">
        <f t="shared" si="40"/>
        <v>#DIV/0!</v>
      </c>
      <c r="M65" s="19" t="e">
        <f t="shared" si="40"/>
        <v>#DIV/0!</v>
      </c>
      <c r="N65" s="128"/>
      <c r="O65" s="128"/>
      <c r="P65" s="128"/>
      <c r="Q65" s="128"/>
      <c r="R65" s="141"/>
    </row>
    <row r="66" spans="1:18" x14ac:dyDescent="0.45">
      <c r="A66" s="4" t="s">
        <v>247</v>
      </c>
      <c r="B66" s="117"/>
      <c r="C66" s="118"/>
      <c r="D66" s="117"/>
      <c r="E66" s="118"/>
      <c r="F66" s="117"/>
      <c r="G66" s="118"/>
      <c r="H66" s="117"/>
      <c r="I66" s="118"/>
      <c r="J66" s="117"/>
      <c r="K66" s="118"/>
      <c r="L66" s="117"/>
      <c r="M66" s="118"/>
      <c r="N66" s="119"/>
      <c r="O66" s="119"/>
      <c r="P66" s="119"/>
      <c r="Q66" s="119"/>
      <c r="R66" s="141"/>
    </row>
    <row r="67" spans="1:18" x14ac:dyDescent="0.45">
      <c r="A67" s="4" t="s">
        <v>167</v>
      </c>
      <c r="B67" s="176">
        <f>B12</f>
        <v>0</v>
      </c>
      <c r="C67" s="178">
        <f>C12</f>
        <v>1494600</v>
      </c>
      <c r="D67" s="176">
        <f>D12</f>
        <v>0</v>
      </c>
      <c r="E67" s="121"/>
      <c r="F67" s="120"/>
      <c r="G67" s="121"/>
      <c r="H67" s="120"/>
      <c r="I67" s="121"/>
      <c r="J67" s="120"/>
      <c r="K67" s="121"/>
      <c r="L67" s="120"/>
      <c r="M67" s="121"/>
      <c r="N67" s="122"/>
      <c r="O67" s="122"/>
      <c r="P67" s="122"/>
      <c r="Q67" s="122"/>
      <c r="R67" s="141"/>
    </row>
    <row r="68" spans="1:18" x14ac:dyDescent="0.45">
      <c r="A68" s="52" t="s">
        <v>169</v>
      </c>
      <c r="B68" s="177">
        <f>B14</f>
        <v>0</v>
      </c>
      <c r="C68" s="179">
        <f>C14</f>
        <v>1113000</v>
      </c>
      <c r="D68" s="177">
        <f>D14</f>
        <v>0</v>
      </c>
      <c r="E68" s="55"/>
      <c r="F68" s="54"/>
      <c r="G68" s="55"/>
      <c r="H68" s="54"/>
      <c r="I68" s="55"/>
      <c r="J68" s="54"/>
      <c r="K68" s="55"/>
      <c r="L68" s="54"/>
      <c r="M68" s="55"/>
      <c r="N68" s="56"/>
      <c r="O68" s="56"/>
      <c r="P68" s="56"/>
      <c r="Q68" s="56"/>
      <c r="R68" s="141"/>
    </row>
    <row r="69" spans="1:18" x14ac:dyDescent="0.45">
      <c r="A69" s="52" t="s">
        <v>246</v>
      </c>
      <c r="B69" s="177">
        <f>B17</f>
        <v>479534.00000000006</v>
      </c>
      <c r="C69" s="179">
        <f>C17</f>
        <v>15350.000000000004</v>
      </c>
      <c r="D69" s="177">
        <f>D17</f>
        <v>15350.000000000004</v>
      </c>
      <c r="E69" s="55"/>
      <c r="F69" s="54"/>
      <c r="G69" s="55"/>
      <c r="H69" s="54"/>
      <c r="I69" s="55"/>
      <c r="J69" s="54"/>
      <c r="K69" s="55"/>
      <c r="L69" s="54"/>
      <c r="M69" s="55"/>
      <c r="N69" s="56"/>
      <c r="O69" s="56"/>
      <c r="P69" s="56"/>
      <c r="Q69" s="56"/>
      <c r="R69" s="141"/>
    </row>
    <row r="70" spans="1:18" x14ac:dyDescent="0.45">
      <c r="A70" s="52" t="s">
        <v>168</v>
      </c>
      <c r="B70" s="177" t="e">
        <f>B13*('Plan de culture 104 '!$X$13/'Plan de culture 104 '!$B$3)</f>
        <v>#DIV/0!</v>
      </c>
      <c r="C70" s="179" t="e">
        <f>C13*('Plan de culture 104 '!$X$13/'Plan de culture 104 '!$B$3)</f>
        <v>#DIV/0!</v>
      </c>
      <c r="D70" s="177" t="e">
        <f>D13*('Plan de culture 104 '!$X$13/'Plan de culture 104 '!$B$3)</f>
        <v>#DIV/0!</v>
      </c>
      <c r="E70" s="55"/>
      <c r="F70" s="54"/>
      <c r="G70" s="55"/>
      <c r="H70" s="54"/>
      <c r="I70" s="55"/>
      <c r="J70" s="54"/>
      <c r="K70" s="55"/>
      <c r="L70" s="54"/>
      <c r="M70" s="55"/>
      <c r="N70" s="56"/>
      <c r="O70" s="56"/>
      <c r="P70" s="56"/>
      <c r="Q70" s="56"/>
      <c r="R70" s="141"/>
    </row>
    <row r="71" spans="1:18" x14ac:dyDescent="0.45">
      <c r="A71" s="52" t="s">
        <v>170</v>
      </c>
      <c r="B71" s="177" t="e">
        <f>B15*('Plan de culture 104 '!$X$13/'Plan de culture 104 '!$B$3)</f>
        <v>#DIV/0!</v>
      </c>
      <c r="C71" s="179" t="e">
        <f>C15*('Plan de culture 104 '!$X$13/'Plan de culture 104 '!$B$3)</f>
        <v>#DIV/0!</v>
      </c>
      <c r="D71" s="177" t="e">
        <f>D15*('Plan de culture 104 '!$X$13/'Plan de culture 104 '!$B$3)</f>
        <v>#DIV/0!</v>
      </c>
      <c r="E71" s="55"/>
      <c r="F71" s="54"/>
      <c r="G71" s="55"/>
      <c r="H71" s="54"/>
      <c r="I71" s="55"/>
      <c r="J71" s="54"/>
      <c r="K71" s="55"/>
      <c r="L71" s="54"/>
      <c r="M71" s="55"/>
      <c r="N71" s="56"/>
      <c r="O71" s="56"/>
      <c r="P71" s="56"/>
      <c r="Q71" s="56"/>
      <c r="R71" s="141"/>
    </row>
    <row r="72" spans="1:18" x14ac:dyDescent="0.45">
      <c r="A72" s="52" t="s">
        <v>171</v>
      </c>
      <c r="B72" s="177" t="e">
        <f>B16*('Plan de culture 104 '!$X$13/'Plan de culture 104 '!$B$3)</f>
        <v>#DIV/0!</v>
      </c>
      <c r="C72" s="179" t="e">
        <f>C16*('Plan de culture 104 '!$X$13/'Plan de culture 104 '!$B$3)</f>
        <v>#DIV/0!</v>
      </c>
      <c r="D72" s="177" t="e">
        <f>D16*('Plan de culture 104 '!$X$13/'Plan de culture 104 '!$B$3)</f>
        <v>#DIV/0!</v>
      </c>
      <c r="E72" s="55"/>
      <c r="F72" s="54"/>
      <c r="G72" s="55"/>
      <c r="H72" s="54"/>
      <c r="I72" s="55"/>
      <c r="J72" s="54"/>
      <c r="K72" s="55"/>
      <c r="L72" s="54"/>
      <c r="M72" s="55"/>
      <c r="N72" s="56"/>
      <c r="O72" s="56"/>
      <c r="P72" s="56"/>
      <c r="Q72" s="56"/>
      <c r="R72" s="141"/>
    </row>
    <row r="73" spans="1:18" x14ac:dyDescent="0.45">
      <c r="A73" s="52" t="s">
        <v>248</v>
      </c>
      <c r="B73" s="177" t="e">
        <f>B21*('Plan de culture 104 '!$X$13/'Plan de culture 104 '!$B$3)</f>
        <v>#DIV/0!</v>
      </c>
      <c r="C73" s="179" t="e">
        <f>C21*('Plan de culture 104 '!$X$13/'Plan de culture 104 '!$B$3)</f>
        <v>#DIV/0!</v>
      </c>
      <c r="D73" s="177" t="e">
        <f>D21*('Plan de culture 104 '!$X$13/'Plan de culture 104 '!$B$3)</f>
        <v>#DIV/0!</v>
      </c>
      <c r="E73" s="55"/>
      <c r="F73" s="54"/>
      <c r="G73" s="55"/>
      <c r="H73" s="54"/>
      <c r="I73" s="55"/>
      <c r="J73" s="54"/>
      <c r="K73" s="55"/>
      <c r="L73" s="54"/>
      <c r="M73" s="55"/>
      <c r="N73" s="56"/>
      <c r="O73" s="56"/>
      <c r="P73" s="56"/>
      <c r="Q73" s="56"/>
      <c r="R73" s="141"/>
    </row>
    <row r="74" spans="1:18" x14ac:dyDescent="0.45">
      <c r="A74" s="52" t="s">
        <v>10</v>
      </c>
      <c r="B74" s="177" t="e">
        <f>B22*('Plan de culture 104 '!$X$13/'Plan de culture 104 '!$B$3)</f>
        <v>#DIV/0!</v>
      </c>
      <c r="C74" s="179" t="e">
        <f>C22*('Plan de culture 104 '!$X$13/'Plan de culture 104 '!$B$3)</f>
        <v>#DIV/0!</v>
      </c>
      <c r="D74" s="177" t="e">
        <f>D22*('Plan de culture 104 '!$X$13/'Plan de culture 104 '!$B$3)</f>
        <v>#DIV/0!</v>
      </c>
      <c r="R74" s="141"/>
    </row>
    <row r="75" spans="1:18" x14ac:dyDescent="0.45">
      <c r="A75" s="52" t="s">
        <v>11</v>
      </c>
      <c r="B75" s="177" t="e">
        <f>B23*('Plan de culture 104 '!$X$13/'Plan de culture 104 '!$B$3)</f>
        <v>#DIV/0!</v>
      </c>
      <c r="C75" s="179" t="e">
        <f>C23*('Plan de culture 104 '!$X$13/'Plan de culture 104 '!$B$3)</f>
        <v>#DIV/0!</v>
      </c>
      <c r="D75" s="177" t="e">
        <f>D23*('Plan de culture 104 '!$X$13/'Plan de culture 104 '!$B$3)</f>
        <v>#DIV/0!</v>
      </c>
      <c r="R75" s="141"/>
    </row>
    <row r="76" spans="1:18" x14ac:dyDescent="0.45">
      <c r="A76" s="52" t="s">
        <v>12</v>
      </c>
      <c r="B76" s="177" t="e">
        <f>B24*('Plan de culture 104 '!$X$13/'Plan de culture 104 '!$B$3)</f>
        <v>#DIV/0!</v>
      </c>
      <c r="C76" s="179" t="e">
        <f>C24*('Plan de culture 104 '!$X$13/'Plan de culture 104 '!$B$3)</f>
        <v>#DIV/0!</v>
      </c>
      <c r="D76" s="177" t="e">
        <f>D24*('Plan de culture 104 '!$X$13/'Plan de culture 104 '!$B$3)</f>
        <v>#DIV/0!</v>
      </c>
      <c r="R76" s="141"/>
    </row>
    <row r="77" spans="1:18" x14ac:dyDescent="0.45">
      <c r="A77" s="52" t="s">
        <v>156</v>
      </c>
      <c r="B77" s="177" t="e">
        <f>B25*('Plan de culture 104 '!$X$13/'Plan de culture 104 '!$B$3)</f>
        <v>#DIV/0!</v>
      </c>
      <c r="C77" s="179" t="e">
        <f>C25*('Plan de culture 104 '!$X$13/'Plan de culture 104 '!$B$3)</f>
        <v>#DIV/0!</v>
      </c>
      <c r="D77" s="177" t="e">
        <f>D25*('Plan de culture 104 '!$X$13/'Plan de culture 104 '!$B$3)</f>
        <v>#DIV/0!</v>
      </c>
      <c r="R77" s="141"/>
    </row>
    <row r="78" spans="1:18" x14ac:dyDescent="0.45">
      <c r="A78" s="52" t="s">
        <v>157</v>
      </c>
      <c r="B78" s="177" t="e">
        <f>B26*('Plan de culture 104 '!$X$13/'Plan de culture 104 '!$B$3)</f>
        <v>#DIV/0!</v>
      </c>
      <c r="C78" s="179" t="e">
        <f>C26*('Plan de culture 104 '!$X$13/'Plan de culture 104 '!$B$3)</f>
        <v>#DIV/0!</v>
      </c>
      <c r="D78" s="177" t="e">
        <f>D26*('Plan de culture 104 '!$X$13/'Plan de culture 104 '!$B$3)</f>
        <v>#DIV/0!</v>
      </c>
      <c r="R78" s="141"/>
    </row>
    <row r="79" spans="1:18" x14ac:dyDescent="0.45">
      <c r="A79" s="52" t="s">
        <v>158</v>
      </c>
      <c r="B79" s="177" t="e">
        <f>#REF!*('Plan de culture 104 '!$X$13/'Plan de culture 104 '!$B$3)</f>
        <v>#REF!</v>
      </c>
      <c r="C79" s="179" t="e">
        <f>#REF!*('Plan de culture 104 '!$X$13/'Plan de culture 104 '!$B$3)</f>
        <v>#REF!</v>
      </c>
      <c r="D79" s="177" t="e">
        <f>#REF!*('Plan de culture 104 '!$X$13/'Plan de culture 104 '!$B$3)</f>
        <v>#REF!</v>
      </c>
      <c r="R79" s="141"/>
    </row>
    <row r="80" spans="1:18" x14ac:dyDescent="0.45">
      <c r="A80" s="52" t="s">
        <v>18</v>
      </c>
      <c r="B80" s="177" t="e">
        <f>B28*('Plan de culture 104 '!$X$13/'Plan de culture 104 '!$B$3)</f>
        <v>#DIV/0!</v>
      </c>
      <c r="C80" s="179" t="e">
        <f>C28*('Plan de culture 104 '!$X$13/'Plan de culture 104 '!$B$3)</f>
        <v>#DIV/0!</v>
      </c>
      <c r="D80" s="177" t="e">
        <f>D28*('Plan de culture 104 '!$X$13/'Plan de culture 104 '!$B$3)</f>
        <v>#DIV/0!</v>
      </c>
      <c r="R80" s="141"/>
    </row>
    <row r="81" spans="1:18" x14ac:dyDescent="0.45">
      <c r="A81" s="52" t="s">
        <v>14</v>
      </c>
      <c r="B81" s="177" t="e">
        <f>B31*('Plan de culture 104 '!$X$13/'Plan de culture 104 '!$B$3)</f>
        <v>#DIV/0!</v>
      </c>
      <c r="C81" s="179" t="e">
        <f>C31*('Plan de culture 104 '!$X$13/'Plan de culture 104 '!$B$3)</f>
        <v>#DIV/0!</v>
      </c>
      <c r="D81" s="177" t="e">
        <f>D31*('Plan de culture 104 '!$X$13/'Plan de culture 104 '!$B$3)</f>
        <v>#DIV/0!</v>
      </c>
      <c r="R81" s="141"/>
    </row>
    <row r="82" spans="1:18" x14ac:dyDescent="0.45">
      <c r="B82" s="177"/>
      <c r="C82" s="179"/>
      <c r="D82" s="177"/>
      <c r="R82" s="141"/>
    </row>
    <row r="83" spans="1:18" x14ac:dyDescent="0.45">
      <c r="B83" s="177"/>
      <c r="C83" s="179"/>
      <c r="D83" s="177"/>
      <c r="R83" s="141"/>
    </row>
    <row r="84" spans="1:18" x14ac:dyDescent="0.45">
      <c r="B84" s="177"/>
      <c r="C84" s="179"/>
      <c r="D84" s="177"/>
      <c r="R84" s="141"/>
    </row>
    <row r="85" spans="1:18" x14ac:dyDescent="0.45">
      <c r="B85" s="177"/>
      <c r="C85" s="179"/>
      <c r="R85" s="1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X41"/>
  <sheetViews>
    <sheetView topLeftCell="B1" zoomScale="90" zoomScaleNormal="90" workbookViewId="0">
      <selection activeCell="B5" sqref="B4:W5"/>
    </sheetView>
  </sheetViews>
  <sheetFormatPr baseColWidth="10" defaultColWidth="11.46484375" defaultRowHeight="11.65" outlineLevelRow="1" x14ac:dyDescent="0.35"/>
  <cols>
    <col min="1" max="1" width="31.796875" style="32" customWidth="1"/>
    <col min="2" max="24" width="8" style="32" customWidth="1"/>
    <col min="25" max="16384" width="11.46484375" style="32"/>
  </cols>
  <sheetData>
    <row r="1" spans="1:24" ht="46.9" thickBot="1" x14ac:dyDescent="0.4">
      <c r="A1" s="68" t="s">
        <v>327</v>
      </c>
    </row>
    <row r="3" spans="1:24" x14ac:dyDescent="0.35">
      <c r="A3" s="58" t="s">
        <v>484</v>
      </c>
      <c r="B3" s="67"/>
      <c r="C3" s="67">
        <f>X7+X13+X19+X25+X31+X37</f>
        <v>15.350000000000003</v>
      </c>
    </row>
    <row r="4" spans="1:24" s="229" customFormat="1" x14ac:dyDescent="0.45">
      <c r="A4" s="230" t="s">
        <v>362</v>
      </c>
      <c r="B4" s="231">
        <v>0.7</v>
      </c>
      <c r="C4" s="231">
        <v>0.63</v>
      </c>
      <c r="D4" s="231">
        <v>0.7</v>
      </c>
      <c r="E4" s="231">
        <v>0.63</v>
      </c>
      <c r="F4" s="231">
        <v>0.74</v>
      </c>
      <c r="G4" s="231">
        <v>0.71</v>
      </c>
      <c r="H4" s="231">
        <v>0.74</v>
      </c>
      <c r="I4" s="231">
        <v>0.74</v>
      </c>
      <c r="J4" s="231">
        <v>0.74</v>
      </c>
      <c r="K4" s="231">
        <v>0.74</v>
      </c>
      <c r="L4" s="231">
        <v>0.74</v>
      </c>
      <c r="M4" s="231">
        <v>0.74</v>
      </c>
      <c r="N4" s="231">
        <v>0.62</v>
      </c>
      <c r="O4" s="231">
        <v>0.8</v>
      </c>
      <c r="P4" s="231">
        <v>0.71</v>
      </c>
      <c r="Q4" s="231">
        <v>0.71</v>
      </c>
      <c r="R4" s="231">
        <v>0.71</v>
      </c>
      <c r="S4" s="231">
        <v>0.71</v>
      </c>
      <c r="T4" s="231">
        <v>0.56999999999999995</v>
      </c>
      <c r="U4" s="231">
        <v>0.68</v>
      </c>
      <c r="V4" s="231">
        <v>0.91</v>
      </c>
      <c r="W4" s="231">
        <v>0.38</v>
      </c>
      <c r="X4" s="231">
        <f>SUM(B4:W4)</f>
        <v>15.350000000000003</v>
      </c>
    </row>
    <row r="5" spans="1:24" s="57" customFormat="1" x14ac:dyDescent="0.35">
      <c r="B5" s="57" t="s">
        <v>340</v>
      </c>
      <c r="C5" s="57" t="s">
        <v>341</v>
      </c>
      <c r="D5" s="57" t="s">
        <v>342</v>
      </c>
      <c r="E5" s="57" t="s">
        <v>343</v>
      </c>
      <c r="F5" s="57" t="s">
        <v>344</v>
      </c>
      <c r="G5" s="57" t="s">
        <v>345</v>
      </c>
      <c r="H5" s="57" t="s">
        <v>346</v>
      </c>
      <c r="I5" s="57" t="s">
        <v>347</v>
      </c>
      <c r="J5" s="57" t="s">
        <v>348</v>
      </c>
      <c r="K5" s="57" t="s">
        <v>349</v>
      </c>
      <c r="L5" s="57" t="s">
        <v>350</v>
      </c>
      <c r="M5" s="57" t="s">
        <v>351</v>
      </c>
      <c r="N5" s="57" t="s">
        <v>352</v>
      </c>
      <c r="O5" s="57" t="s">
        <v>353</v>
      </c>
      <c r="P5" s="57" t="s">
        <v>354</v>
      </c>
      <c r="Q5" s="57" t="s">
        <v>355</v>
      </c>
      <c r="R5" s="57" t="s">
        <v>356</v>
      </c>
      <c r="S5" s="57" t="s">
        <v>357</v>
      </c>
      <c r="T5" s="57" t="s">
        <v>358</v>
      </c>
      <c r="U5" s="57" t="s">
        <v>359</v>
      </c>
      <c r="V5" s="57" t="s">
        <v>360</v>
      </c>
      <c r="W5" s="57" t="s">
        <v>361</v>
      </c>
      <c r="X5" s="57" t="s">
        <v>84</v>
      </c>
    </row>
    <row r="6" spans="1:24" x14ac:dyDescent="0.35">
      <c r="A6" s="65" t="s">
        <v>334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 spans="1:24" x14ac:dyDescent="0.35">
      <c r="A7" s="32" t="s">
        <v>80</v>
      </c>
      <c r="B7" s="32">
        <v>0.7</v>
      </c>
      <c r="C7" s="32">
        <v>0.63</v>
      </c>
      <c r="D7" s="32">
        <v>0.7</v>
      </c>
      <c r="E7" s="32">
        <v>0.63</v>
      </c>
      <c r="F7" s="32">
        <v>0.74</v>
      </c>
      <c r="G7" s="32">
        <v>0.71</v>
      </c>
      <c r="H7" s="32">
        <v>0.74</v>
      </c>
      <c r="I7" s="32">
        <v>0.74</v>
      </c>
      <c r="J7" s="32">
        <v>0.74</v>
      </c>
      <c r="K7" s="32">
        <v>0.74</v>
      </c>
      <c r="L7" s="32">
        <v>0.74</v>
      </c>
      <c r="M7" s="32">
        <v>0.74</v>
      </c>
      <c r="N7" s="32">
        <v>0.62</v>
      </c>
      <c r="O7" s="32">
        <v>0.8</v>
      </c>
      <c r="P7" s="32">
        <v>0.71</v>
      </c>
      <c r="Q7" s="32">
        <v>0.71</v>
      </c>
      <c r="R7" s="32">
        <v>0.71</v>
      </c>
      <c r="S7" s="32">
        <v>0.71</v>
      </c>
      <c r="T7" s="32">
        <v>0.56999999999999995</v>
      </c>
      <c r="U7" s="32">
        <v>0.68</v>
      </c>
      <c r="V7" s="32">
        <v>0.91</v>
      </c>
      <c r="W7" s="32">
        <v>0.38</v>
      </c>
      <c r="X7" s="70">
        <f>SUM(B7:W7)</f>
        <v>15.350000000000003</v>
      </c>
    </row>
    <row r="8" spans="1:24" x14ac:dyDescent="0.35">
      <c r="A8" s="32" t="s">
        <v>81</v>
      </c>
      <c r="B8" s="60">
        <v>45870</v>
      </c>
      <c r="C8" s="60">
        <v>45870</v>
      </c>
      <c r="D8" s="60">
        <v>45870</v>
      </c>
      <c r="E8" s="60">
        <v>45870</v>
      </c>
      <c r="F8" s="60">
        <v>45870</v>
      </c>
      <c r="G8" s="60">
        <v>45870</v>
      </c>
      <c r="H8" s="60">
        <v>45870</v>
      </c>
      <c r="I8" s="60">
        <v>45870</v>
      </c>
      <c r="J8" s="60">
        <v>45870</v>
      </c>
      <c r="K8" s="60">
        <v>45870</v>
      </c>
      <c r="L8" s="60">
        <v>45870</v>
      </c>
      <c r="M8" s="60">
        <v>45870</v>
      </c>
      <c r="N8" s="60">
        <v>45870</v>
      </c>
      <c r="O8" s="60">
        <v>45870</v>
      </c>
      <c r="P8" s="60">
        <v>45870</v>
      </c>
      <c r="Q8" s="60">
        <v>45870</v>
      </c>
      <c r="R8" s="60">
        <v>45870</v>
      </c>
      <c r="S8" s="60">
        <v>45870</v>
      </c>
      <c r="T8" s="60">
        <v>45870</v>
      </c>
      <c r="U8" s="60">
        <v>45870</v>
      </c>
      <c r="V8" s="60">
        <v>45870</v>
      </c>
      <c r="W8" s="60">
        <v>45870</v>
      </c>
      <c r="X8" s="59"/>
    </row>
    <row r="9" spans="1:24" x14ac:dyDescent="0.35">
      <c r="A9" s="32" t="s">
        <v>82</v>
      </c>
      <c r="B9" s="60">
        <v>45940</v>
      </c>
      <c r="C9" s="60">
        <v>45940</v>
      </c>
      <c r="D9" s="60">
        <v>45940</v>
      </c>
      <c r="E9" s="60">
        <v>45940</v>
      </c>
      <c r="F9" s="60">
        <v>45940</v>
      </c>
      <c r="G9" s="60">
        <v>45940</v>
      </c>
      <c r="H9" s="60">
        <v>45940</v>
      </c>
      <c r="I9" s="60">
        <v>45940</v>
      </c>
      <c r="J9" s="60">
        <v>45940</v>
      </c>
      <c r="K9" s="60">
        <v>45940</v>
      </c>
      <c r="L9" s="60">
        <v>45940</v>
      </c>
      <c r="M9" s="60">
        <v>45940</v>
      </c>
      <c r="N9" s="60">
        <v>45940</v>
      </c>
      <c r="O9" s="60">
        <v>45940</v>
      </c>
      <c r="P9" s="60">
        <v>45940</v>
      </c>
      <c r="Q9" s="60">
        <v>45940</v>
      </c>
      <c r="R9" s="60">
        <v>45940</v>
      </c>
      <c r="S9" s="60">
        <v>45940</v>
      </c>
      <c r="T9" s="60">
        <v>45940</v>
      </c>
      <c r="U9" s="60">
        <v>45940</v>
      </c>
      <c r="V9" s="60">
        <v>45940</v>
      </c>
      <c r="W9" s="60">
        <v>45940</v>
      </c>
      <c r="X9" s="59"/>
    </row>
    <row r="10" spans="1:24" x14ac:dyDescent="0.35">
      <c r="A10" s="32" t="s">
        <v>83</v>
      </c>
      <c r="B10" s="60">
        <v>46172</v>
      </c>
      <c r="C10" s="60">
        <v>46172</v>
      </c>
      <c r="D10" s="60">
        <v>46172</v>
      </c>
      <c r="E10" s="60">
        <v>46172</v>
      </c>
      <c r="F10" s="60">
        <v>46172</v>
      </c>
      <c r="G10" s="60">
        <v>46172</v>
      </c>
      <c r="H10" s="60">
        <v>46172</v>
      </c>
      <c r="I10" s="60">
        <v>46172</v>
      </c>
      <c r="J10" s="60">
        <v>46172</v>
      </c>
      <c r="K10" s="60">
        <v>46172</v>
      </c>
      <c r="L10" s="60">
        <v>46172</v>
      </c>
      <c r="M10" s="60">
        <v>46172</v>
      </c>
      <c r="N10" s="60">
        <v>46172</v>
      </c>
      <c r="O10" s="60">
        <v>46172</v>
      </c>
      <c r="P10" s="60">
        <v>46172</v>
      </c>
      <c r="Q10" s="60">
        <v>46172</v>
      </c>
      <c r="R10" s="60">
        <v>46172</v>
      </c>
      <c r="S10" s="60">
        <v>46172</v>
      </c>
      <c r="T10" s="60">
        <v>46172</v>
      </c>
      <c r="U10" s="60">
        <v>46172</v>
      </c>
      <c r="V10" s="60">
        <v>46172</v>
      </c>
      <c r="W10" s="60">
        <v>46172</v>
      </c>
      <c r="X10" s="59"/>
    </row>
    <row r="11" spans="1:24" x14ac:dyDescent="0.35">
      <c r="A11" s="63" t="s">
        <v>85</v>
      </c>
      <c r="B11" s="64">
        <f>+(B10-B8)/30</f>
        <v>10.066666666666666</v>
      </c>
      <c r="C11" s="64">
        <f t="shared" ref="C11:W11" si="0">+(C10-C8)/30</f>
        <v>10.066666666666666</v>
      </c>
      <c r="D11" s="64">
        <f t="shared" si="0"/>
        <v>10.066666666666666</v>
      </c>
      <c r="E11" s="64">
        <f t="shared" si="0"/>
        <v>10.066666666666666</v>
      </c>
      <c r="F11" s="64">
        <f t="shared" si="0"/>
        <v>10.066666666666666</v>
      </c>
      <c r="G11" s="64">
        <f>+(G10-G8)/30</f>
        <v>10.066666666666666</v>
      </c>
      <c r="H11" s="64">
        <f>+(H10-H8)/30</f>
        <v>10.066666666666666</v>
      </c>
      <c r="I11" s="64">
        <f>+(I10-I8)/30</f>
        <v>10.066666666666666</v>
      </c>
      <c r="J11" s="64">
        <f>+(J10-J8)/30</f>
        <v>10.066666666666666</v>
      </c>
      <c r="K11" s="64">
        <f>+(K10-K8)/30</f>
        <v>10.066666666666666</v>
      </c>
      <c r="L11" s="64">
        <f t="shared" si="0"/>
        <v>10.066666666666666</v>
      </c>
      <c r="M11" s="64">
        <f t="shared" si="0"/>
        <v>10.066666666666666</v>
      </c>
      <c r="N11" s="64">
        <f t="shared" si="0"/>
        <v>10.066666666666666</v>
      </c>
      <c r="O11" s="64">
        <f t="shared" si="0"/>
        <v>10.066666666666666</v>
      </c>
      <c r="P11" s="64">
        <f t="shared" si="0"/>
        <v>10.066666666666666</v>
      </c>
      <c r="Q11" s="64">
        <f t="shared" si="0"/>
        <v>10.066666666666666</v>
      </c>
      <c r="R11" s="64">
        <f t="shared" si="0"/>
        <v>10.066666666666666</v>
      </c>
      <c r="S11" s="64">
        <f t="shared" si="0"/>
        <v>10.066666666666666</v>
      </c>
      <c r="T11" s="64">
        <f t="shared" si="0"/>
        <v>10.066666666666666</v>
      </c>
      <c r="U11" s="64">
        <f t="shared" si="0"/>
        <v>10.066666666666666</v>
      </c>
      <c r="V11" s="64">
        <f t="shared" si="0"/>
        <v>10.066666666666666</v>
      </c>
      <c r="W11" s="64">
        <f t="shared" si="0"/>
        <v>10.066666666666666</v>
      </c>
      <c r="X11" s="59"/>
    </row>
    <row r="12" spans="1:24" outlineLevel="1" x14ac:dyDescent="0.35">
      <c r="A12" s="65" t="s">
        <v>335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 spans="1:24" outlineLevel="1" x14ac:dyDescent="0.35">
      <c r="A13" s="32" t="s">
        <v>80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70">
        <f>SUM(B13:W13)</f>
        <v>0</v>
      </c>
    </row>
    <row r="14" spans="1:24" outlineLevel="1" x14ac:dyDescent="0.35">
      <c r="A14" s="32" t="s">
        <v>81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59"/>
    </row>
    <row r="15" spans="1:24" outlineLevel="1" x14ac:dyDescent="0.35">
      <c r="A15" s="32" t="s">
        <v>82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59"/>
    </row>
    <row r="16" spans="1:24" outlineLevel="1" x14ac:dyDescent="0.35">
      <c r="A16" s="32" t="s">
        <v>83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59"/>
    </row>
    <row r="17" spans="1:24" outlineLevel="1" x14ac:dyDescent="0.35">
      <c r="A17" s="63" t="s">
        <v>85</v>
      </c>
      <c r="B17" s="64">
        <f>+(B16-B14)/30</f>
        <v>0</v>
      </c>
      <c r="C17" s="64">
        <f t="shared" ref="C17:D17" si="1">+(C16-C14)/30</f>
        <v>0</v>
      </c>
      <c r="D17" s="64">
        <f t="shared" si="1"/>
        <v>0</v>
      </c>
      <c r="E17" s="64">
        <f t="shared" ref="E17:T17" si="2">+(E16-E14)/30</f>
        <v>0</v>
      </c>
      <c r="F17" s="64">
        <f t="shared" si="2"/>
        <v>0</v>
      </c>
      <c r="G17" s="64">
        <f>+(G16-G14)/30</f>
        <v>0</v>
      </c>
      <c r="H17" s="64">
        <f>+(H16-H14)/30</f>
        <v>0</v>
      </c>
      <c r="I17" s="64">
        <f>+(I16-I14)/30</f>
        <v>0</v>
      </c>
      <c r="J17" s="64">
        <f>+(J16-J14)/30</f>
        <v>0</v>
      </c>
      <c r="K17" s="64">
        <f>+(K16-K14)/30</f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4">
        <f t="shared" si="2"/>
        <v>0</v>
      </c>
      <c r="P17" s="64">
        <f t="shared" si="2"/>
        <v>0</v>
      </c>
      <c r="Q17" s="64">
        <f t="shared" si="2"/>
        <v>0</v>
      </c>
      <c r="R17" s="64">
        <f t="shared" si="2"/>
        <v>0</v>
      </c>
      <c r="S17" s="64">
        <f t="shared" si="2"/>
        <v>0</v>
      </c>
      <c r="T17" s="64">
        <f t="shared" si="2"/>
        <v>0</v>
      </c>
      <c r="U17" s="64">
        <f t="shared" ref="U17:W17" si="3">+(U16-U14)/30</f>
        <v>0</v>
      </c>
      <c r="V17" s="64">
        <f t="shared" si="3"/>
        <v>0</v>
      </c>
      <c r="W17" s="64">
        <f t="shared" si="3"/>
        <v>0</v>
      </c>
      <c r="X17" s="59"/>
    </row>
    <row r="18" spans="1:24" outlineLevel="1" x14ac:dyDescent="0.35">
      <c r="A18" s="65" t="s">
        <v>336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 spans="1:24" outlineLevel="1" x14ac:dyDescent="0.35">
      <c r="A19" s="32" t="s">
        <v>80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70">
        <f>SUM(B19:W19)</f>
        <v>0</v>
      </c>
    </row>
    <row r="20" spans="1:24" outlineLevel="1" x14ac:dyDescent="0.35">
      <c r="A20" s="32" t="s">
        <v>81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59"/>
    </row>
    <row r="21" spans="1:24" outlineLevel="1" x14ac:dyDescent="0.35">
      <c r="A21" s="32" t="s">
        <v>82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59"/>
    </row>
    <row r="22" spans="1:24" outlineLevel="1" x14ac:dyDescent="0.35">
      <c r="A22" s="32" t="s">
        <v>83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59"/>
    </row>
    <row r="23" spans="1:24" outlineLevel="1" x14ac:dyDescent="0.35">
      <c r="A23" s="63" t="s">
        <v>85</v>
      </c>
      <c r="B23" s="64">
        <f>+(B22-B20)/30</f>
        <v>0</v>
      </c>
      <c r="C23" s="64">
        <f t="shared" ref="C23" si="4">+(C22-C20)/30</f>
        <v>0</v>
      </c>
      <c r="D23" s="64"/>
      <c r="E23" s="64">
        <f t="shared" ref="E23:W23" si="5">+(E22-E20)/30</f>
        <v>0</v>
      </c>
      <c r="F23" s="64">
        <f t="shared" si="5"/>
        <v>0</v>
      </c>
      <c r="G23" s="64">
        <f t="shared" si="5"/>
        <v>0</v>
      </c>
      <c r="H23" s="64">
        <f t="shared" si="5"/>
        <v>0</v>
      </c>
      <c r="I23" s="64">
        <f t="shared" si="5"/>
        <v>0</v>
      </c>
      <c r="J23" s="64">
        <f t="shared" si="5"/>
        <v>0</v>
      </c>
      <c r="K23" s="64">
        <f t="shared" si="5"/>
        <v>0</v>
      </c>
      <c r="L23" s="64">
        <f t="shared" si="5"/>
        <v>0</v>
      </c>
      <c r="M23" s="64">
        <f t="shared" si="5"/>
        <v>0</v>
      </c>
      <c r="N23" s="64">
        <f t="shared" si="5"/>
        <v>0</v>
      </c>
      <c r="O23" s="64">
        <f t="shared" si="5"/>
        <v>0</v>
      </c>
      <c r="P23" s="64">
        <f t="shared" si="5"/>
        <v>0</v>
      </c>
      <c r="Q23" s="64">
        <f t="shared" si="5"/>
        <v>0</v>
      </c>
      <c r="R23" s="64">
        <f t="shared" si="5"/>
        <v>0</v>
      </c>
      <c r="S23" s="64">
        <f t="shared" si="5"/>
        <v>0</v>
      </c>
      <c r="T23" s="64">
        <f t="shared" si="5"/>
        <v>0</v>
      </c>
      <c r="U23" s="64">
        <f t="shared" si="5"/>
        <v>0</v>
      </c>
      <c r="V23" s="64">
        <f t="shared" si="5"/>
        <v>0</v>
      </c>
      <c r="W23" s="64">
        <f t="shared" si="5"/>
        <v>0</v>
      </c>
      <c r="X23" s="59"/>
    </row>
    <row r="24" spans="1:24" outlineLevel="1" x14ac:dyDescent="0.35">
      <c r="A24" s="65" t="s">
        <v>337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spans="1:24" outlineLevel="1" x14ac:dyDescent="0.35">
      <c r="A25" s="32" t="s">
        <v>80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70">
        <f>SUM(B25:W25)</f>
        <v>0</v>
      </c>
    </row>
    <row r="26" spans="1:24" outlineLevel="1" x14ac:dyDescent="0.35">
      <c r="A26" s="32" t="s">
        <v>81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59"/>
    </row>
    <row r="27" spans="1:24" outlineLevel="1" x14ac:dyDescent="0.35">
      <c r="A27" s="32" t="s">
        <v>82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59"/>
    </row>
    <row r="28" spans="1:24" outlineLevel="1" x14ac:dyDescent="0.35">
      <c r="A28" s="32" t="s">
        <v>83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59"/>
    </row>
    <row r="29" spans="1:24" outlineLevel="1" x14ac:dyDescent="0.35">
      <c r="A29" s="63" t="s">
        <v>85</v>
      </c>
      <c r="B29" s="64">
        <f>+(B28-B26)/30</f>
        <v>0</v>
      </c>
      <c r="C29" s="64">
        <f t="shared" ref="C29:D29" si="6">+(C28-C26)/30</f>
        <v>0</v>
      </c>
      <c r="D29" s="64">
        <f t="shared" si="6"/>
        <v>0</v>
      </c>
      <c r="E29" s="64">
        <f t="shared" ref="E29:W29" si="7">+(E28-E26)/30</f>
        <v>0</v>
      </c>
      <c r="F29" s="64">
        <f t="shared" si="7"/>
        <v>0</v>
      </c>
      <c r="G29" s="64">
        <f t="shared" si="7"/>
        <v>0</v>
      </c>
      <c r="H29" s="64">
        <f t="shared" si="7"/>
        <v>0</v>
      </c>
      <c r="I29" s="64">
        <f t="shared" si="7"/>
        <v>0</v>
      </c>
      <c r="J29" s="64">
        <f t="shared" si="7"/>
        <v>0</v>
      </c>
      <c r="K29" s="64">
        <f t="shared" si="7"/>
        <v>0</v>
      </c>
      <c r="L29" s="64">
        <f t="shared" si="7"/>
        <v>0</v>
      </c>
      <c r="M29" s="64">
        <f t="shared" si="7"/>
        <v>0</v>
      </c>
      <c r="N29" s="64">
        <f t="shared" si="7"/>
        <v>0</v>
      </c>
      <c r="O29" s="64">
        <f t="shared" si="7"/>
        <v>0</v>
      </c>
      <c r="P29" s="64">
        <f t="shared" si="7"/>
        <v>0</v>
      </c>
      <c r="Q29" s="64">
        <f t="shared" si="7"/>
        <v>0</v>
      </c>
      <c r="R29" s="64">
        <f t="shared" si="7"/>
        <v>0</v>
      </c>
      <c r="S29" s="64">
        <f t="shared" si="7"/>
        <v>0</v>
      </c>
      <c r="T29" s="64">
        <f t="shared" si="7"/>
        <v>0</v>
      </c>
      <c r="U29" s="64">
        <f t="shared" si="7"/>
        <v>0</v>
      </c>
      <c r="V29" s="64">
        <f t="shared" si="7"/>
        <v>0</v>
      </c>
      <c r="W29" s="64">
        <f t="shared" si="7"/>
        <v>0</v>
      </c>
      <c r="X29" s="59"/>
    </row>
    <row r="30" spans="1:24" outlineLevel="1" x14ac:dyDescent="0.35">
      <c r="A30" s="65" t="s">
        <v>338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spans="1:24" outlineLevel="1" x14ac:dyDescent="0.35">
      <c r="A31" s="32" t="s">
        <v>80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70">
        <f>SUM(B31:W31)</f>
        <v>0</v>
      </c>
    </row>
    <row r="32" spans="1:24" outlineLevel="1" x14ac:dyDescent="0.35">
      <c r="A32" s="32" t="s">
        <v>81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59"/>
    </row>
    <row r="33" spans="1:24" outlineLevel="1" x14ac:dyDescent="0.35">
      <c r="A33" s="32" t="s">
        <v>82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59"/>
    </row>
    <row r="34" spans="1:24" outlineLevel="1" x14ac:dyDescent="0.35">
      <c r="A34" s="32" t="s">
        <v>83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59"/>
    </row>
    <row r="35" spans="1:24" outlineLevel="1" x14ac:dyDescent="0.35">
      <c r="A35" s="63" t="s">
        <v>85</v>
      </c>
      <c r="B35" s="64">
        <f>+(B34-B32)/30</f>
        <v>0</v>
      </c>
      <c r="C35" s="64">
        <f t="shared" ref="C35:D35" si="8">+(C34-C32)/30</f>
        <v>0</v>
      </c>
      <c r="D35" s="64">
        <f t="shared" si="8"/>
        <v>0</v>
      </c>
      <c r="E35" s="64">
        <f t="shared" ref="E35:W35" si="9">+(E34-E32)/30</f>
        <v>0</v>
      </c>
      <c r="F35" s="64">
        <f t="shared" si="9"/>
        <v>0</v>
      </c>
      <c r="G35" s="64">
        <f t="shared" si="9"/>
        <v>0</v>
      </c>
      <c r="H35" s="64">
        <f t="shared" si="9"/>
        <v>0</v>
      </c>
      <c r="I35" s="64">
        <f t="shared" si="9"/>
        <v>0</v>
      </c>
      <c r="J35" s="64">
        <f t="shared" si="9"/>
        <v>0</v>
      </c>
      <c r="K35" s="64">
        <f t="shared" si="9"/>
        <v>0</v>
      </c>
      <c r="L35" s="64">
        <f t="shared" si="9"/>
        <v>0</v>
      </c>
      <c r="M35" s="64">
        <f t="shared" si="9"/>
        <v>0</v>
      </c>
      <c r="N35" s="64">
        <f t="shared" si="9"/>
        <v>0</v>
      </c>
      <c r="O35" s="64">
        <f t="shared" si="9"/>
        <v>0</v>
      </c>
      <c r="P35" s="64">
        <f t="shared" si="9"/>
        <v>0</v>
      </c>
      <c r="Q35" s="64">
        <f t="shared" si="9"/>
        <v>0</v>
      </c>
      <c r="R35" s="64">
        <f t="shared" si="9"/>
        <v>0</v>
      </c>
      <c r="S35" s="64">
        <f t="shared" si="9"/>
        <v>0</v>
      </c>
      <c r="T35" s="64">
        <f t="shared" si="9"/>
        <v>0</v>
      </c>
      <c r="U35" s="64">
        <f t="shared" si="9"/>
        <v>0</v>
      </c>
      <c r="V35" s="64">
        <f t="shared" si="9"/>
        <v>0</v>
      </c>
      <c r="W35" s="64">
        <f t="shared" si="9"/>
        <v>0</v>
      </c>
      <c r="X35" s="59"/>
    </row>
    <row r="36" spans="1:24" outlineLevel="1" x14ac:dyDescent="0.35">
      <c r="A36" s="65" t="s">
        <v>339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 spans="1:24" outlineLevel="1" x14ac:dyDescent="0.35">
      <c r="A37" s="32" t="s">
        <v>80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70">
        <f>SUM(B37:W37)</f>
        <v>0</v>
      </c>
    </row>
    <row r="38" spans="1:24" outlineLevel="1" x14ac:dyDescent="0.35">
      <c r="A38" s="32" t="s">
        <v>81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59"/>
    </row>
    <row r="39" spans="1:24" outlineLevel="1" x14ac:dyDescent="0.35">
      <c r="A39" s="32" t="s">
        <v>82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59"/>
    </row>
    <row r="40" spans="1:24" outlineLevel="1" x14ac:dyDescent="0.35">
      <c r="A40" s="32" t="s">
        <v>83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59"/>
    </row>
    <row r="41" spans="1:24" outlineLevel="1" x14ac:dyDescent="0.35">
      <c r="A41" s="63" t="s">
        <v>85</v>
      </c>
      <c r="B41" s="64">
        <f>+(B40-B38)/30</f>
        <v>0</v>
      </c>
      <c r="C41" s="64">
        <f t="shared" ref="C41:D41" si="10">+(C40-C38)/30</f>
        <v>0</v>
      </c>
      <c r="D41" s="64">
        <f t="shared" si="10"/>
        <v>0</v>
      </c>
      <c r="E41" s="64">
        <f t="shared" ref="E41:W41" si="11">+(E40-E38)/30</f>
        <v>0</v>
      </c>
      <c r="F41" s="64">
        <f t="shared" si="11"/>
        <v>0</v>
      </c>
      <c r="G41" s="64">
        <f t="shared" si="11"/>
        <v>0</v>
      </c>
      <c r="H41" s="64">
        <f t="shared" si="11"/>
        <v>0</v>
      </c>
      <c r="I41" s="64">
        <f t="shared" si="11"/>
        <v>0</v>
      </c>
      <c r="J41" s="64">
        <f t="shared" si="11"/>
        <v>0</v>
      </c>
      <c r="K41" s="64">
        <f t="shared" si="11"/>
        <v>0</v>
      </c>
      <c r="L41" s="64">
        <f t="shared" si="11"/>
        <v>0</v>
      </c>
      <c r="M41" s="64">
        <f t="shared" si="11"/>
        <v>0</v>
      </c>
      <c r="N41" s="64">
        <f t="shared" si="11"/>
        <v>0</v>
      </c>
      <c r="O41" s="64">
        <f t="shared" si="11"/>
        <v>0</v>
      </c>
      <c r="P41" s="64">
        <f t="shared" si="11"/>
        <v>0</v>
      </c>
      <c r="Q41" s="64">
        <f t="shared" si="11"/>
        <v>0</v>
      </c>
      <c r="R41" s="64">
        <f t="shared" si="11"/>
        <v>0</v>
      </c>
      <c r="S41" s="64">
        <f t="shared" si="11"/>
        <v>0</v>
      </c>
      <c r="T41" s="64">
        <f t="shared" si="11"/>
        <v>0</v>
      </c>
      <c r="U41" s="64">
        <f t="shared" si="11"/>
        <v>0</v>
      </c>
      <c r="V41" s="64">
        <f t="shared" si="11"/>
        <v>0</v>
      </c>
      <c r="W41" s="64">
        <f t="shared" si="11"/>
        <v>0</v>
      </c>
      <c r="X41" s="59"/>
    </row>
  </sheetData>
  <phoneticPr fontId="3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I41"/>
  <sheetViews>
    <sheetView zoomScaleNormal="100" workbookViewId="0">
      <selection sqref="A1:XFD1048576"/>
    </sheetView>
  </sheetViews>
  <sheetFormatPr baseColWidth="10" defaultColWidth="11.46484375" defaultRowHeight="11.65" outlineLevelRow="1" x14ac:dyDescent="0.35"/>
  <cols>
    <col min="1" max="1" width="31.796875" style="32" customWidth="1"/>
    <col min="2" max="9" width="8" style="32" customWidth="1"/>
    <col min="10" max="16384" width="11.46484375" style="32"/>
  </cols>
  <sheetData>
    <row r="1" spans="1:9" ht="46.9" thickBot="1" x14ac:dyDescent="0.4">
      <c r="A1" s="68" t="s">
        <v>328</v>
      </c>
    </row>
    <row r="3" spans="1:9" x14ac:dyDescent="0.35">
      <c r="A3" s="58" t="s">
        <v>485</v>
      </c>
      <c r="B3" s="67"/>
      <c r="C3" s="67">
        <f>+I7+I13+I19+I25+I31+I37</f>
        <v>5.3950000000000005</v>
      </c>
    </row>
    <row r="4" spans="1:9" s="229" customFormat="1" x14ac:dyDescent="0.35">
      <c r="A4" s="230" t="s">
        <v>362</v>
      </c>
      <c r="B4" s="232">
        <v>0.875</v>
      </c>
      <c r="C4" s="232">
        <v>0.91</v>
      </c>
      <c r="D4" s="232">
        <v>0.875</v>
      </c>
      <c r="E4" s="232">
        <v>0.91</v>
      </c>
      <c r="F4" s="232">
        <v>0.42</v>
      </c>
      <c r="G4" s="232">
        <v>0.875</v>
      </c>
      <c r="H4" s="232">
        <v>0.53</v>
      </c>
      <c r="I4" s="232">
        <f>SUM(B4:H4)</f>
        <v>5.3950000000000005</v>
      </c>
    </row>
    <row r="5" spans="1:9" s="57" customFormat="1" x14ac:dyDescent="0.35">
      <c r="B5" s="57" t="s">
        <v>340</v>
      </c>
      <c r="C5" s="57" t="s">
        <v>341</v>
      </c>
      <c r="D5" s="57" t="s">
        <v>342</v>
      </c>
      <c r="E5" s="57" t="s">
        <v>343</v>
      </c>
      <c r="F5" s="57" t="s">
        <v>344</v>
      </c>
      <c r="G5" s="57" t="s">
        <v>345</v>
      </c>
      <c r="H5" s="57" t="s">
        <v>346</v>
      </c>
      <c r="I5" s="57" t="s">
        <v>84</v>
      </c>
    </row>
    <row r="6" spans="1:9" x14ac:dyDescent="0.35">
      <c r="A6" s="65" t="s">
        <v>334</v>
      </c>
      <c r="B6" s="66"/>
      <c r="C6" s="66"/>
      <c r="D6" s="66"/>
      <c r="E6" s="66"/>
      <c r="F6" s="66"/>
      <c r="G6" s="66"/>
      <c r="H6" s="66"/>
      <c r="I6" s="66"/>
    </row>
    <row r="7" spans="1:9" x14ac:dyDescent="0.35">
      <c r="A7" s="32" t="s">
        <v>80</v>
      </c>
      <c r="I7" s="70">
        <f>SUM(B7:H7)</f>
        <v>0</v>
      </c>
    </row>
    <row r="8" spans="1:9" x14ac:dyDescent="0.35">
      <c r="A8" s="32" t="s">
        <v>81</v>
      </c>
      <c r="B8" s="60"/>
      <c r="C8" s="60"/>
      <c r="D8" s="60"/>
      <c r="E8" s="60"/>
      <c r="F8" s="60"/>
      <c r="G8" s="60"/>
      <c r="H8" s="60"/>
      <c r="I8" s="59"/>
    </row>
    <row r="9" spans="1:9" x14ac:dyDescent="0.35">
      <c r="A9" s="32" t="s">
        <v>82</v>
      </c>
      <c r="B9" s="60"/>
      <c r="C9" s="60"/>
      <c r="D9" s="60"/>
      <c r="E9" s="60"/>
      <c r="F9" s="60"/>
      <c r="G9" s="60"/>
      <c r="H9" s="60"/>
      <c r="I9" s="59"/>
    </row>
    <row r="10" spans="1:9" x14ac:dyDescent="0.35">
      <c r="A10" s="32" t="s">
        <v>83</v>
      </c>
      <c r="B10" s="60"/>
      <c r="C10" s="60"/>
      <c r="D10" s="60"/>
      <c r="E10" s="60"/>
      <c r="F10" s="60"/>
      <c r="G10" s="60"/>
      <c r="H10" s="60"/>
      <c r="I10" s="59"/>
    </row>
    <row r="11" spans="1:9" x14ac:dyDescent="0.35">
      <c r="A11" s="63" t="s">
        <v>85</v>
      </c>
      <c r="B11" s="64">
        <f t="shared" ref="B11:H11" si="0">+(B10-B8)/30</f>
        <v>0</v>
      </c>
      <c r="C11" s="64">
        <f t="shared" si="0"/>
        <v>0</v>
      </c>
      <c r="D11" s="64">
        <f t="shared" si="0"/>
        <v>0</v>
      </c>
      <c r="E11" s="64">
        <f t="shared" si="0"/>
        <v>0</v>
      </c>
      <c r="F11" s="64">
        <f t="shared" si="0"/>
        <v>0</v>
      </c>
      <c r="G11" s="64">
        <f t="shared" si="0"/>
        <v>0</v>
      </c>
      <c r="H11" s="64">
        <f t="shared" si="0"/>
        <v>0</v>
      </c>
      <c r="I11" s="59"/>
    </row>
    <row r="12" spans="1:9" outlineLevel="1" x14ac:dyDescent="0.35">
      <c r="A12" s="65" t="s">
        <v>335</v>
      </c>
      <c r="B12" s="66"/>
      <c r="C12" s="66"/>
      <c r="D12" s="66"/>
      <c r="E12" s="66"/>
      <c r="F12" s="66"/>
      <c r="G12" s="66"/>
      <c r="H12" s="66"/>
      <c r="I12" s="66"/>
    </row>
    <row r="13" spans="1:9" outlineLevel="1" x14ac:dyDescent="0.35">
      <c r="A13" s="32" t="s">
        <v>80</v>
      </c>
      <c r="B13" s="32">
        <v>0.875</v>
      </c>
      <c r="C13" s="32">
        <v>0.91</v>
      </c>
      <c r="D13" s="32">
        <v>0.875</v>
      </c>
      <c r="E13" s="32">
        <v>0.91</v>
      </c>
      <c r="F13" s="32">
        <v>0.42</v>
      </c>
      <c r="G13" s="32">
        <v>0.875</v>
      </c>
      <c r="H13" s="32">
        <v>0.53</v>
      </c>
      <c r="I13" s="70">
        <f>SUM(B13:H13)</f>
        <v>5.3950000000000005</v>
      </c>
    </row>
    <row r="14" spans="1:9" outlineLevel="1" x14ac:dyDescent="0.35">
      <c r="A14" s="32" t="s">
        <v>81</v>
      </c>
      <c r="B14" s="60">
        <v>45870</v>
      </c>
      <c r="C14" s="60">
        <v>45870</v>
      </c>
      <c r="D14" s="60">
        <v>45870</v>
      </c>
      <c r="E14" s="60">
        <v>45870</v>
      </c>
      <c r="F14" s="60">
        <v>45870</v>
      </c>
      <c r="G14" s="60">
        <v>45870</v>
      </c>
      <c r="H14" s="60">
        <v>45870</v>
      </c>
      <c r="I14" s="59"/>
    </row>
    <row r="15" spans="1:9" outlineLevel="1" x14ac:dyDescent="0.35">
      <c r="A15" s="32" t="s">
        <v>82</v>
      </c>
      <c r="B15" s="60">
        <v>45940</v>
      </c>
      <c r="C15" s="60">
        <v>45940</v>
      </c>
      <c r="D15" s="60">
        <v>45940</v>
      </c>
      <c r="E15" s="60">
        <v>45940</v>
      </c>
      <c r="F15" s="60">
        <v>45940</v>
      </c>
      <c r="G15" s="60">
        <v>45940</v>
      </c>
      <c r="H15" s="60">
        <v>45940</v>
      </c>
      <c r="I15" s="59"/>
    </row>
    <row r="16" spans="1:9" outlineLevel="1" x14ac:dyDescent="0.35">
      <c r="A16" s="32" t="s">
        <v>83</v>
      </c>
      <c r="B16" s="60">
        <v>46172</v>
      </c>
      <c r="C16" s="60">
        <v>46172</v>
      </c>
      <c r="D16" s="60">
        <v>46172</v>
      </c>
      <c r="E16" s="60">
        <v>46172</v>
      </c>
      <c r="F16" s="60">
        <v>46172</v>
      </c>
      <c r="G16" s="60">
        <v>46172</v>
      </c>
      <c r="H16" s="60">
        <v>46172</v>
      </c>
      <c r="I16" s="59"/>
    </row>
    <row r="17" spans="1:9" outlineLevel="1" x14ac:dyDescent="0.35">
      <c r="A17" s="63" t="s">
        <v>85</v>
      </c>
      <c r="B17" s="64">
        <f t="shared" ref="B17:H17" si="1">+(B16-B14)/30</f>
        <v>10.066666666666666</v>
      </c>
      <c r="C17" s="64">
        <f t="shared" si="1"/>
        <v>10.066666666666666</v>
      </c>
      <c r="D17" s="64">
        <f t="shared" si="1"/>
        <v>10.066666666666666</v>
      </c>
      <c r="E17" s="64">
        <f t="shared" si="1"/>
        <v>10.066666666666666</v>
      </c>
      <c r="F17" s="64">
        <f t="shared" si="1"/>
        <v>10.066666666666666</v>
      </c>
      <c r="G17" s="64">
        <f t="shared" si="1"/>
        <v>10.066666666666666</v>
      </c>
      <c r="H17" s="64">
        <f t="shared" si="1"/>
        <v>10.066666666666666</v>
      </c>
      <c r="I17" s="59"/>
    </row>
    <row r="18" spans="1:9" outlineLevel="1" x14ac:dyDescent="0.35">
      <c r="A18" s="65" t="s">
        <v>336</v>
      </c>
      <c r="B18" s="66"/>
      <c r="C18" s="66"/>
      <c r="D18" s="66"/>
      <c r="E18" s="66"/>
      <c r="F18" s="66"/>
      <c r="G18" s="66"/>
      <c r="H18" s="66"/>
      <c r="I18" s="66"/>
    </row>
    <row r="19" spans="1:9" outlineLevel="1" x14ac:dyDescent="0.35">
      <c r="A19" s="32" t="s">
        <v>80</v>
      </c>
      <c r="B19" s="62"/>
      <c r="C19" s="62"/>
      <c r="D19" s="62"/>
      <c r="E19" s="62"/>
      <c r="F19" s="62"/>
      <c r="G19" s="62"/>
      <c r="H19" s="62"/>
      <c r="I19" s="70">
        <f>SUM(B19:H19)</f>
        <v>0</v>
      </c>
    </row>
    <row r="20" spans="1:9" outlineLevel="1" x14ac:dyDescent="0.35">
      <c r="A20" s="32" t="s">
        <v>81</v>
      </c>
      <c r="B20" s="60"/>
      <c r="C20" s="60"/>
      <c r="D20" s="60"/>
      <c r="E20" s="60"/>
      <c r="F20" s="60"/>
      <c r="G20" s="60"/>
      <c r="H20" s="60"/>
      <c r="I20" s="59"/>
    </row>
    <row r="21" spans="1:9" outlineLevel="1" x14ac:dyDescent="0.35">
      <c r="A21" s="32" t="s">
        <v>82</v>
      </c>
      <c r="B21" s="60"/>
      <c r="C21" s="60"/>
      <c r="D21" s="60"/>
      <c r="E21" s="60"/>
      <c r="F21" s="60"/>
      <c r="G21" s="60"/>
      <c r="H21" s="60"/>
      <c r="I21" s="59"/>
    </row>
    <row r="22" spans="1:9" outlineLevel="1" x14ac:dyDescent="0.35">
      <c r="A22" s="32" t="s">
        <v>83</v>
      </c>
      <c r="B22" s="60"/>
      <c r="C22" s="60"/>
      <c r="D22" s="60"/>
      <c r="E22" s="60"/>
      <c r="F22" s="60"/>
      <c r="G22" s="60"/>
      <c r="H22" s="60"/>
      <c r="I22" s="59"/>
    </row>
    <row r="23" spans="1:9" outlineLevel="1" x14ac:dyDescent="0.35">
      <c r="A23" s="63" t="s">
        <v>85</v>
      </c>
      <c r="B23" s="64">
        <f>+(B22-B20)/30</f>
        <v>0</v>
      </c>
      <c r="C23" s="64">
        <f t="shared" ref="C23" si="2">+(C22-C20)/30</f>
        <v>0</v>
      </c>
      <c r="D23" s="64"/>
      <c r="E23" s="64">
        <f t="shared" ref="E23:H23" si="3">+(E22-E20)/30</f>
        <v>0</v>
      </c>
      <c r="F23" s="64">
        <f t="shared" si="3"/>
        <v>0</v>
      </c>
      <c r="G23" s="64">
        <f t="shared" si="3"/>
        <v>0</v>
      </c>
      <c r="H23" s="64">
        <f t="shared" si="3"/>
        <v>0</v>
      </c>
      <c r="I23" s="59"/>
    </row>
    <row r="24" spans="1:9" outlineLevel="1" x14ac:dyDescent="0.35">
      <c r="A24" s="65" t="s">
        <v>337</v>
      </c>
      <c r="B24" s="66"/>
      <c r="C24" s="66"/>
      <c r="D24" s="66"/>
      <c r="E24" s="66"/>
      <c r="F24" s="66"/>
      <c r="G24" s="66"/>
      <c r="H24" s="66"/>
      <c r="I24" s="66"/>
    </row>
    <row r="25" spans="1:9" outlineLevel="1" x14ac:dyDescent="0.35">
      <c r="A25" s="32" t="s">
        <v>80</v>
      </c>
      <c r="B25" s="62"/>
      <c r="C25" s="62"/>
      <c r="D25" s="62"/>
      <c r="E25" s="62"/>
      <c r="F25" s="62"/>
      <c r="G25" s="62"/>
      <c r="H25" s="62"/>
      <c r="I25" s="70">
        <f>SUM(B25:H25)</f>
        <v>0</v>
      </c>
    </row>
    <row r="26" spans="1:9" outlineLevel="1" x14ac:dyDescent="0.35">
      <c r="A26" s="32" t="s">
        <v>81</v>
      </c>
      <c r="B26" s="60"/>
      <c r="C26" s="60"/>
      <c r="D26" s="60"/>
      <c r="E26" s="60"/>
      <c r="F26" s="60"/>
      <c r="G26" s="60"/>
      <c r="H26" s="60"/>
      <c r="I26" s="59"/>
    </row>
    <row r="27" spans="1:9" outlineLevel="1" x14ac:dyDescent="0.35">
      <c r="A27" s="32" t="s">
        <v>82</v>
      </c>
      <c r="B27" s="60"/>
      <c r="C27" s="60"/>
      <c r="D27" s="60"/>
      <c r="E27" s="60"/>
      <c r="F27" s="60"/>
      <c r="G27" s="60"/>
      <c r="H27" s="60"/>
      <c r="I27" s="59"/>
    </row>
    <row r="28" spans="1:9" outlineLevel="1" x14ac:dyDescent="0.35">
      <c r="A28" s="32" t="s">
        <v>83</v>
      </c>
      <c r="B28" s="60"/>
      <c r="C28" s="60"/>
      <c r="D28" s="60"/>
      <c r="E28" s="60"/>
      <c r="F28" s="60"/>
      <c r="G28" s="60"/>
      <c r="H28" s="60"/>
      <c r="I28" s="59"/>
    </row>
    <row r="29" spans="1:9" outlineLevel="1" x14ac:dyDescent="0.35">
      <c r="A29" s="63" t="s">
        <v>85</v>
      </c>
      <c r="B29" s="64">
        <f>+(B28-B26)/30</f>
        <v>0</v>
      </c>
      <c r="C29" s="64">
        <f t="shared" ref="C29:H29" si="4">+(C28-C26)/30</f>
        <v>0</v>
      </c>
      <c r="D29" s="64">
        <f t="shared" si="4"/>
        <v>0</v>
      </c>
      <c r="E29" s="64">
        <f t="shared" si="4"/>
        <v>0</v>
      </c>
      <c r="F29" s="64">
        <f t="shared" si="4"/>
        <v>0</v>
      </c>
      <c r="G29" s="64">
        <f t="shared" si="4"/>
        <v>0</v>
      </c>
      <c r="H29" s="64">
        <f t="shared" si="4"/>
        <v>0</v>
      </c>
      <c r="I29" s="59"/>
    </row>
    <row r="30" spans="1:9" outlineLevel="1" x14ac:dyDescent="0.35">
      <c r="A30" s="65" t="s">
        <v>338</v>
      </c>
      <c r="B30" s="66"/>
      <c r="C30" s="66"/>
      <c r="D30" s="66"/>
      <c r="E30" s="66"/>
      <c r="F30" s="66"/>
      <c r="G30" s="66"/>
      <c r="H30" s="66"/>
      <c r="I30" s="66"/>
    </row>
    <row r="31" spans="1:9" outlineLevel="1" x14ac:dyDescent="0.35">
      <c r="A31" s="32" t="s">
        <v>80</v>
      </c>
      <c r="B31" s="62"/>
      <c r="C31" s="62"/>
      <c r="D31" s="62"/>
      <c r="E31" s="62"/>
      <c r="F31" s="62"/>
      <c r="G31" s="62"/>
      <c r="H31" s="62"/>
      <c r="I31" s="70">
        <f>SUM(B31:H31)</f>
        <v>0</v>
      </c>
    </row>
    <row r="32" spans="1:9" outlineLevel="1" x14ac:dyDescent="0.35">
      <c r="A32" s="32" t="s">
        <v>81</v>
      </c>
      <c r="B32" s="60"/>
      <c r="C32" s="60"/>
      <c r="D32" s="60"/>
      <c r="E32" s="60"/>
      <c r="F32" s="60"/>
      <c r="G32" s="60"/>
      <c r="H32" s="60"/>
      <c r="I32" s="59"/>
    </row>
    <row r="33" spans="1:9" outlineLevel="1" x14ac:dyDescent="0.35">
      <c r="A33" s="32" t="s">
        <v>82</v>
      </c>
      <c r="B33" s="60"/>
      <c r="C33" s="60"/>
      <c r="D33" s="60"/>
      <c r="E33" s="60"/>
      <c r="F33" s="60"/>
      <c r="G33" s="60"/>
      <c r="H33" s="60"/>
      <c r="I33" s="59"/>
    </row>
    <row r="34" spans="1:9" outlineLevel="1" x14ac:dyDescent="0.35">
      <c r="A34" s="32" t="s">
        <v>83</v>
      </c>
      <c r="B34" s="60"/>
      <c r="C34" s="60"/>
      <c r="D34" s="60"/>
      <c r="E34" s="60"/>
      <c r="F34" s="60"/>
      <c r="G34" s="60"/>
      <c r="H34" s="60"/>
      <c r="I34" s="59"/>
    </row>
    <row r="35" spans="1:9" outlineLevel="1" x14ac:dyDescent="0.35">
      <c r="A35" s="63" t="s">
        <v>85</v>
      </c>
      <c r="B35" s="64">
        <f>+(B34-B32)/30</f>
        <v>0</v>
      </c>
      <c r="C35" s="64">
        <f t="shared" ref="C35:H35" si="5">+(C34-C32)/30</f>
        <v>0</v>
      </c>
      <c r="D35" s="64">
        <f t="shared" si="5"/>
        <v>0</v>
      </c>
      <c r="E35" s="64">
        <f t="shared" si="5"/>
        <v>0</v>
      </c>
      <c r="F35" s="64">
        <f t="shared" si="5"/>
        <v>0</v>
      </c>
      <c r="G35" s="64">
        <f t="shared" si="5"/>
        <v>0</v>
      </c>
      <c r="H35" s="64">
        <f t="shared" si="5"/>
        <v>0</v>
      </c>
      <c r="I35" s="59"/>
    </row>
    <row r="36" spans="1:9" outlineLevel="1" x14ac:dyDescent="0.35">
      <c r="A36" s="65" t="s">
        <v>339</v>
      </c>
      <c r="B36" s="66"/>
      <c r="C36" s="66"/>
      <c r="D36" s="66"/>
      <c r="E36" s="66"/>
      <c r="F36" s="66"/>
      <c r="G36" s="66"/>
      <c r="H36" s="66"/>
      <c r="I36" s="66"/>
    </row>
    <row r="37" spans="1:9" outlineLevel="1" x14ac:dyDescent="0.35">
      <c r="A37" s="32" t="s">
        <v>80</v>
      </c>
      <c r="B37" s="62"/>
      <c r="C37" s="62"/>
      <c r="D37" s="62"/>
      <c r="E37" s="62"/>
      <c r="F37" s="62"/>
      <c r="G37" s="62"/>
      <c r="H37" s="62"/>
      <c r="I37" s="70">
        <f>SUM(B37:H37)</f>
        <v>0</v>
      </c>
    </row>
    <row r="38" spans="1:9" outlineLevel="1" x14ac:dyDescent="0.35">
      <c r="A38" s="32" t="s">
        <v>81</v>
      </c>
      <c r="B38" s="60"/>
      <c r="C38" s="60"/>
      <c r="D38" s="60"/>
      <c r="E38" s="60"/>
      <c r="F38" s="60"/>
      <c r="G38" s="60"/>
      <c r="H38" s="60"/>
      <c r="I38" s="59"/>
    </row>
    <row r="39" spans="1:9" outlineLevel="1" x14ac:dyDescent="0.35">
      <c r="A39" s="32" t="s">
        <v>82</v>
      </c>
      <c r="B39" s="60"/>
      <c r="C39" s="60"/>
      <c r="D39" s="60"/>
      <c r="E39" s="60"/>
      <c r="F39" s="60"/>
      <c r="G39" s="60"/>
      <c r="H39" s="60"/>
      <c r="I39" s="59"/>
    </row>
    <row r="40" spans="1:9" outlineLevel="1" x14ac:dyDescent="0.35">
      <c r="A40" s="32" t="s">
        <v>83</v>
      </c>
      <c r="B40" s="60"/>
      <c r="C40" s="60"/>
      <c r="D40" s="60"/>
      <c r="E40" s="60"/>
      <c r="F40" s="60"/>
      <c r="G40" s="60"/>
      <c r="H40" s="60"/>
      <c r="I40" s="59"/>
    </row>
    <row r="41" spans="1:9" outlineLevel="1" x14ac:dyDescent="0.35">
      <c r="A41" s="63" t="s">
        <v>85</v>
      </c>
      <c r="B41" s="64">
        <f>+(B40-B38)/30</f>
        <v>0</v>
      </c>
      <c r="C41" s="64">
        <f t="shared" ref="C41:H41" si="6">+(C40-C38)/30</f>
        <v>0</v>
      </c>
      <c r="D41" s="64">
        <f t="shared" si="6"/>
        <v>0</v>
      </c>
      <c r="E41" s="64">
        <f t="shared" si="6"/>
        <v>0</v>
      </c>
      <c r="F41" s="64">
        <f t="shared" si="6"/>
        <v>0</v>
      </c>
      <c r="G41" s="64">
        <f t="shared" si="6"/>
        <v>0</v>
      </c>
      <c r="H41" s="64">
        <f t="shared" si="6"/>
        <v>0</v>
      </c>
      <c r="I41" s="59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41"/>
  <sheetViews>
    <sheetView zoomScale="70" zoomScaleNormal="70" workbookViewId="0">
      <selection activeCell="B4" sqref="B4:I5"/>
    </sheetView>
  </sheetViews>
  <sheetFormatPr baseColWidth="10" defaultColWidth="11.46484375" defaultRowHeight="11.65" outlineLevelRow="1" x14ac:dyDescent="0.35"/>
  <cols>
    <col min="1" max="1" width="31.796875" style="32" customWidth="1"/>
    <col min="2" max="10" width="8" style="32" customWidth="1"/>
    <col min="11" max="16384" width="11.46484375" style="32"/>
  </cols>
  <sheetData>
    <row r="1" spans="1:10" ht="46.9" thickBot="1" x14ac:dyDescent="0.4">
      <c r="A1" s="68" t="s">
        <v>328</v>
      </c>
    </row>
    <row r="3" spans="1:10" x14ac:dyDescent="0.35">
      <c r="A3" s="58" t="s">
        <v>363</v>
      </c>
      <c r="B3" s="58"/>
      <c r="C3" s="67">
        <f>+J7+J13+J19+J25+J31+J37</f>
        <v>5.5750000000000002</v>
      </c>
    </row>
    <row r="4" spans="1:10" s="229" customFormat="1" x14ac:dyDescent="0.35">
      <c r="A4" s="230" t="s">
        <v>362</v>
      </c>
      <c r="B4" s="232">
        <v>0.72</v>
      </c>
      <c r="C4" s="232">
        <v>0.81</v>
      </c>
      <c r="D4" s="232">
        <v>0.72</v>
      </c>
      <c r="E4" s="232">
        <v>0.72</v>
      </c>
      <c r="F4" s="232">
        <v>0.81</v>
      </c>
      <c r="G4" s="232">
        <v>0.72</v>
      </c>
      <c r="H4" s="232">
        <v>1.075</v>
      </c>
      <c r="I4" s="232">
        <v>1.125</v>
      </c>
      <c r="J4" s="232">
        <f>SUM(B4:I4)</f>
        <v>6.7</v>
      </c>
    </row>
    <row r="5" spans="1:10" s="57" customFormat="1" x14ac:dyDescent="0.35">
      <c r="B5" s="57" t="s">
        <v>340</v>
      </c>
      <c r="C5" s="57" t="s">
        <v>341</v>
      </c>
      <c r="D5" s="57" t="s">
        <v>342</v>
      </c>
      <c r="E5" s="57" t="s">
        <v>343</v>
      </c>
      <c r="F5" s="57" t="s">
        <v>344</v>
      </c>
      <c r="G5" s="57" t="s">
        <v>345</v>
      </c>
      <c r="H5" s="57" t="s">
        <v>346</v>
      </c>
      <c r="I5" s="57" t="s">
        <v>347</v>
      </c>
      <c r="J5" s="57" t="s">
        <v>84</v>
      </c>
    </row>
    <row r="6" spans="1:10" x14ac:dyDescent="0.35">
      <c r="A6" s="65" t="s">
        <v>334</v>
      </c>
      <c r="B6" s="66"/>
      <c r="C6" s="66"/>
      <c r="D6" s="66"/>
      <c r="E6" s="66"/>
      <c r="F6" s="66"/>
      <c r="G6" s="66"/>
      <c r="H6" s="66"/>
      <c r="I6" s="66"/>
      <c r="J6" s="66"/>
    </row>
    <row r="7" spans="1:10" x14ac:dyDescent="0.35">
      <c r="A7" s="32" t="s">
        <v>80</v>
      </c>
      <c r="J7" s="70">
        <f>SUM(B7:H7)</f>
        <v>0</v>
      </c>
    </row>
    <row r="8" spans="1:10" x14ac:dyDescent="0.35">
      <c r="A8" s="32" t="s">
        <v>81</v>
      </c>
      <c r="B8" s="60"/>
      <c r="C8" s="60"/>
      <c r="D8" s="60"/>
      <c r="E8" s="60"/>
      <c r="F8" s="60"/>
      <c r="G8" s="60"/>
      <c r="H8" s="60"/>
      <c r="I8" s="60"/>
      <c r="J8" s="59"/>
    </row>
    <row r="9" spans="1:10" x14ac:dyDescent="0.35">
      <c r="A9" s="32" t="s">
        <v>82</v>
      </c>
      <c r="B9" s="60"/>
      <c r="C9" s="60"/>
      <c r="D9" s="60"/>
      <c r="E9" s="60"/>
      <c r="F9" s="60"/>
      <c r="G9" s="60"/>
      <c r="H9" s="60"/>
      <c r="I9" s="60"/>
      <c r="J9" s="59"/>
    </row>
    <row r="10" spans="1:10" x14ac:dyDescent="0.35">
      <c r="A10" s="32" t="s">
        <v>83</v>
      </c>
      <c r="B10" s="60"/>
      <c r="C10" s="60"/>
      <c r="D10" s="60"/>
      <c r="E10" s="60"/>
      <c r="F10" s="60"/>
      <c r="G10" s="60"/>
      <c r="H10" s="60"/>
      <c r="I10" s="60"/>
      <c r="J10" s="59"/>
    </row>
    <row r="11" spans="1:10" x14ac:dyDescent="0.35">
      <c r="A11" s="63" t="s">
        <v>85</v>
      </c>
      <c r="B11" s="64">
        <f>+(B10-B8)/30</f>
        <v>0</v>
      </c>
      <c r="C11" s="64">
        <f t="shared" ref="C11:I11" si="0">+(C10-C8)/30</f>
        <v>0</v>
      </c>
      <c r="D11" s="64">
        <f t="shared" si="0"/>
        <v>0</v>
      </c>
      <c r="E11" s="64">
        <f t="shared" si="0"/>
        <v>0</v>
      </c>
      <c r="F11" s="64">
        <f t="shared" si="0"/>
        <v>0</v>
      </c>
      <c r="G11" s="64">
        <f t="shared" si="0"/>
        <v>0</v>
      </c>
      <c r="H11" s="64">
        <f t="shared" si="0"/>
        <v>0</v>
      </c>
      <c r="I11" s="64">
        <f t="shared" si="0"/>
        <v>0</v>
      </c>
      <c r="J11" s="59"/>
    </row>
    <row r="12" spans="1:10" outlineLevel="1" x14ac:dyDescent="0.35">
      <c r="A12" s="65" t="s">
        <v>335</v>
      </c>
      <c r="B12" s="66"/>
      <c r="C12" s="66"/>
      <c r="D12" s="66"/>
      <c r="E12" s="66"/>
      <c r="F12" s="66"/>
      <c r="G12" s="66"/>
      <c r="H12" s="66"/>
      <c r="I12" s="66"/>
      <c r="J12" s="66"/>
    </row>
    <row r="13" spans="1:10" outlineLevel="1" x14ac:dyDescent="0.35">
      <c r="A13" s="32" t="s">
        <v>80</v>
      </c>
      <c r="B13" s="62"/>
      <c r="C13" s="62"/>
      <c r="D13" s="62"/>
      <c r="E13" s="62"/>
      <c r="F13" s="62"/>
      <c r="G13" s="62"/>
      <c r="H13" s="62"/>
      <c r="I13" s="62"/>
      <c r="J13" s="70">
        <f>SUM(B13:H13)</f>
        <v>0</v>
      </c>
    </row>
    <row r="14" spans="1:10" outlineLevel="1" x14ac:dyDescent="0.35">
      <c r="A14" s="32" t="s">
        <v>81</v>
      </c>
      <c r="B14" s="60"/>
      <c r="C14" s="60"/>
      <c r="D14" s="60"/>
      <c r="E14" s="60"/>
      <c r="F14" s="60"/>
      <c r="G14" s="60"/>
      <c r="H14" s="60"/>
      <c r="I14" s="60"/>
      <c r="J14" s="59"/>
    </row>
    <row r="15" spans="1:10" outlineLevel="1" x14ac:dyDescent="0.35">
      <c r="A15" s="32" t="s">
        <v>82</v>
      </c>
      <c r="B15" s="60"/>
      <c r="C15" s="60"/>
      <c r="D15" s="60"/>
      <c r="E15" s="60"/>
      <c r="F15" s="60"/>
      <c r="G15" s="60"/>
      <c r="H15" s="60"/>
      <c r="I15" s="60"/>
      <c r="J15" s="59"/>
    </row>
    <row r="16" spans="1:10" outlineLevel="1" x14ac:dyDescent="0.35">
      <c r="A16" s="32" t="s">
        <v>83</v>
      </c>
      <c r="B16" s="60"/>
      <c r="C16" s="60"/>
      <c r="D16" s="60"/>
      <c r="E16" s="60"/>
      <c r="F16" s="60"/>
      <c r="G16" s="60"/>
      <c r="H16" s="60"/>
      <c r="I16" s="60"/>
      <c r="J16" s="59"/>
    </row>
    <row r="17" spans="1:10" outlineLevel="1" x14ac:dyDescent="0.35">
      <c r="A17" s="63" t="s">
        <v>85</v>
      </c>
      <c r="B17" s="64">
        <f>+(B16-B14)/30</f>
        <v>0</v>
      </c>
      <c r="C17" s="64">
        <f t="shared" ref="C17:I17" si="1">+(C16-C14)/30</f>
        <v>0</v>
      </c>
      <c r="D17" s="64">
        <f t="shared" si="1"/>
        <v>0</v>
      </c>
      <c r="E17" s="64">
        <f t="shared" si="1"/>
        <v>0</v>
      </c>
      <c r="F17" s="64">
        <f t="shared" si="1"/>
        <v>0</v>
      </c>
      <c r="G17" s="64">
        <f t="shared" si="1"/>
        <v>0</v>
      </c>
      <c r="H17" s="64">
        <f t="shared" si="1"/>
        <v>0</v>
      </c>
      <c r="I17" s="64">
        <f t="shared" si="1"/>
        <v>0</v>
      </c>
      <c r="J17" s="59"/>
    </row>
    <row r="18" spans="1:10" outlineLevel="1" x14ac:dyDescent="0.35">
      <c r="A18" s="65" t="s">
        <v>336</v>
      </c>
      <c r="B18" s="66"/>
      <c r="C18" s="66"/>
      <c r="D18" s="66"/>
      <c r="E18" s="66"/>
      <c r="F18" s="66"/>
      <c r="G18" s="66"/>
      <c r="H18" s="66"/>
      <c r="I18" s="66"/>
      <c r="J18" s="66"/>
    </row>
    <row r="19" spans="1:10" outlineLevel="1" x14ac:dyDescent="0.35">
      <c r="A19" s="32" t="s">
        <v>80</v>
      </c>
      <c r="B19" s="62">
        <v>0.72</v>
      </c>
      <c r="C19" s="62">
        <v>0.81</v>
      </c>
      <c r="D19" s="62">
        <v>0.72</v>
      </c>
      <c r="E19" s="62">
        <v>0.72</v>
      </c>
      <c r="F19" s="62">
        <v>0.81</v>
      </c>
      <c r="G19" s="62">
        <v>0.72</v>
      </c>
      <c r="H19" s="62">
        <v>1.075</v>
      </c>
      <c r="I19" s="62">
        <v>1.125</v>
      </c>
      <c r="J19" s="70">
        <f>SUM(B19:H19)</f>
        <v>5.5750000000000002</v>
      </c>
    </row>
    <row r="20" spans="1:10" outlineLevel="1" x14ac:dyDescent="0.35">
      <c r="A20" s="32" t="s">
        <v>81</v>
      </c>
      <c r="B20" s="60">
        <v>45870</v>
      </c>
      <c r="C20" s="60">
        <v>45870</v>
      </c>
      <c r="D20" s="60">
        <v>45870</v>
      </c>
      <c r="E20" s="60">
        <v>45870</v>
      </c>
      <c r="F20" s="60">
        <v>45870</v>
      </c>
      <c r="G20" s="60">
        <v>45870</v>
      </c>
      <c r="H20" s="60">
        <v>45870</v>
      </c>
      <c r="I20" s="60">
        <v>45870</v>
      </c>
      <c r="J20" s="59"/>
    </row>
    <row r="21" spans="1:10" outlineLevel="1" x14ac:dyDescent="0.35">
      <c r="A21" s="32" t="s">
        <v>82</v>
      </c>
      <c r="B21" s="60">
        <v>45940</v>
      </c>
      <c r="C21" s="60">
        <v>45940</v>
      </c>
      <c r="D21" s="60">
        <v>45940</v>
      </c>
      <c r="E21" s="60">
        <v>45940</v>
      </c>
      <c r="F21" s="60">
        <v>45940</v>
      </c>
      <c r="G21" s="60">
        <v>45940</v>
      </c>
      <c r="H21" s="60">
        <v>45940</v>
      </c>
      <c r="I21" s="60">
        <v>45940</v>
      </c>
      <c r="J21" s="59"/>
    </row>
    <row r="22" spans="1:10" outlineLevel="1" x14ac:dyDescent="0.35">
      <c r="A22" s="32" t="s">
        <v>83</v>
      </c>
      <c r="B22" s="60">
        <v>46172</v>
      </c>
      <c r="C22" s="60">
        <v>46172</v>
      </c>
      <c r="D22" s="60">
        <v>46172</v>
      </c>
      <c r="E22" s="60">
        <v>46172</v>
      </c>
      <c r="F22" s="60">
        <v>46172</v>
      </c>
      <c r="G22" s="60">
        <v>46172</v>
      </c>
      <c r="H22" s="60">
        <v>46172</v>
      </c>
      <c r="I22" s="60">
        <v>46172</v>
      </c>
      <c r="J22" s="59"/>
    </row>
    <row r="23" spans="1:10" outlineLevel="1" x14ac:dyDescent="0.35">
      <c r="A23" s="63" t="s">
        <v>85</v>
      </c>
      <c r="B23" s="64">
        <f>+(B22-B20)/30</f>
        <v>10.066666666666666</v>
      </c>
      <c r="C23" s="64">
        <f>+(C22-C20)/30</f>
        <v>10.066666666666666</v>
      </c>
      <c r="D23" s="64">
        <f t="shared" ref="D23:E23" si="2">+(D22-D20)/30</f>
        <v>10.066666666666666</v>
      </c>
      <c r="E23" s="64">
        <f t="shared" si="2"/>
        <v>10.066666666666666</v>
      </c>
      <c r="F23" s="64">
        <f>+(F22-F20)/30</f>
        <v>10.066666666666666</v>
      </c>
      <c r="G23" s="64">
        <f>+(G22-G20)/30</f>
        <v>10.066666666666666</v>
      </c>
      <c r="H23" s="64">
        <f>+(H22-H20)/30</f>
        <v>10.066666666666666</v>
      </c>
      <c r="I23" s="64">
        <f>+(I22-I20)/30</f>
        <v>10.066666666666666</v>
      </c>
      <c r="J23" s="59"/>
    </row>
    <row r="24" spans="1:10" outlineLevel="1" x14ac:dyDescent="0.35">
      <c r="A24" s="65" t="s">
        <v>337</v>
      </c>
      <c r="B24" s="66"/>
      <c r="C24" s="66"/>
      <c r="D24" s="66"/>
      <c r="E24" s="66"/>
      <c r="F24" s="66"/>
      <c r="G24" s="66"/>
      <c r="H24" s="66"/>
      <c r="I24" s="66"/>
      <c r="J24" s="66"/>
    </row>
    <row r="25" spans="1:10" outlineLevel="1" x14ac:dyDescent="0.35">
      <c r="A25" s="32" t="s">
        <v>80</v>
      </c>
      <c r="B25" s="62"/>
      <c r="C25" s="62"/>
      <c r="D25" s="62"/>
      <c r="E25" s="62"/>
      <c r="F25" s="62"/>
      <c r="G25" s="62"/>
      <c r="H25" s="62"/>
      <c r="I25" s="62"/>
      <c r="J25" s="70">
        <f>SUM(B25:H25)</f>
        <v>0</v>
      </c>
    </row>
    <row r="26" spans="1:10" outlineLevel="1" x14ac:dyDescent="0.35">
      <c r="A26" s="32" t="s">
        <v>81</v>
      </c>
      <c r="B26" s="60"/>
      <c r="C26" s="60"/>
      <c r="D26" s="60"/>
      <c r="E26" s="60"/>
      <c r="F26" s="60"/>
      <c r="G26" s="60"/>
      <c r="H26" s="60"/>
      <c r="I26" s="60"/>
      <c r="J26" s="59"/>
    </row>
    <row r="27" spans="1:10" outlineLevel="1" x14ac:dyDescent="0.35">
      <c r="A27" s="32" t="s">
        <v>82</v>
      </c>
      <c r="B27" s="60"/>
      <c r="C27" s="60"/>
      <c r="D27" s="60"/>
      <c r="E27" s="60"/>
      <c r="F27" s="60"/>
      <c r="G27" s="60"/>
      <c r="H27" s="60"/>
      <c r="I27" s="60"/>
      <c r="J27" s="59"/>
    </row>
    <row r="28" spans="1:10" outlineLevel="1" x14ac:dyDescent="0.35">
      <c r="A28" s="32" t="s">
        <v>83</v>
      </c>
      <c r="B28" s="60"/>
      <c r="C28" s="60"/>
      <c r="D28" s="60"/>
      <c r="E28" s="60"/>
      <c r="F28" s="60"/>
      <c r="G28" s="60"/>
      <c r="H28" s="60"/>
      <c r="I28" s="60"/>
      <c r="J28" s="59"/>
    </row>
    <row r="29" spans="1:10" outlineLevel="1" x14ac:dyDescent="0.35">
      <c r="A29" s="63" t="s">
        <v>85</v>
      </c>
      <c r="B29" s="64">
        <f>+(B28-B26)/30</f>
        <v>0</v>
      </c>
      <c r="C29" s="64">
        <f t="shared" ref="C29:I29" si="3">+(C28-C26)/30</f>
        <v>0</v>
      </c>
      <c r="D29" s="64">
        <f t="shared" si="3"/>
        <v>0</v>
      </c>
      <c r="E29" s="64">
        <f t="shared" si="3"/>
        <v>0</v>
      </c>
      <c r="F29" s="64">
        <f t="shared" si="3"/>
        <v>0</v>
      </c>
      <c r="G29" s="64">
        <f t="shared" si="3"/>
        <v>0</v>
      </c>
      <c r="H29" s="64">
        <f t="shared" si="3"/>
        <v>0</v>
      </c>
      <c r="I29" s="64">
        <f t="shared" si="3"/>
        <v>0</v>
      </c>
      <c r="J29" s="59"/>
    </row>
    <row r="30" spans="1:10" outlineLevel="1" x14ac:dyDescent="0.35">
      <c r="A30" s="65" t="s">
        <v>338</v>
      </c>
      <c r="B30" s="66"/>
      <c r="C30" s="66"/>
      <c r="D30" s="66"/>
      <c r="E30" s="66"/>
      <c r="F30" s="66"/>
      <c r="G30" s="66"/>
      <c r="H30" s="66"/>
      <c r="I30" s="66"/>
      <c r="J30" s="66"/>
    </row>
    <row r="31" spans="1:10" outlineLevel="1" x14ac:dyDescent="0.35">
      <c r="A31" s="32" t="s">
        <v>80</v>
      </c>
      <c r="B31" s="62"/>
      <c r="C31" s="62"/>
      <c r="D31" s="62"/>
      <c r="E31" s="62"/>
      <c r="F31" s="62"/>
      <c r="G31" s="62"/>
      <c r="H31" s="62"/>
      <c r="I31" s="62"/>
      <c r="J31" s="70">
        <f>SUM(B31:H31)</f>
        <v>0</v>
      </c>
    </row>
    <row r="32" spans="1:10" outlineLevel="1" x14ac:dyDescent="0.35">
      <c r="A32" s="32" t="s">
        <v>81</v>
      </c>
      <c r="B32" s="60"/>
      <c r="C32" s="60"/>
      <c r="D32" s="60"/>
      <c r="E32" s="60"/>
      <c r="F32" s="60"/>
      <c r="G32" s="60"/>
      <c r="H32" s="60"/>
      <c r="I32" s="60"/>
      <c r="J32" s="59"/>
    </row>
    <row r="33" spans="1:10" outlineLevel="1" x14ac:dyDescent="0.35">
      <c r="A33" s="32" t="s">
        <v>82</v>
      </c>
      <c r="B33" s="60"/>
      <c r="C33" s="60"/>
      <c r="D33" s="60"/>
      <c r="E33" s="60"/>
      <c r="F33" s="60"/>
      <c r="G33" s="60"/>
      <c r="H33" s="60"/>
      <c r="I33" s="60"/>
      <c r="J33" s="59"/>
    </row>
    <row r="34" spans="1:10" outlineLevel="1" x14ac:dyDescent="0.35">
      <c r="A34" s="32" t="s">
        <v>83</v>
      </c>
      <c r="B34" s="60"/>
      <c r="C34" s="60"/>
      <c r="D34" s="60"/>
      <c r="E34" s="60"/>
      <c r="F34" s="60"/>
      <c r="G34" s="60"/>
      <c r="H34" s="60"/>
      <c r="I34" s="60"/>
      <c r="J34" s="59"/>
    </row>
    <row r="35" spans="1:10" outlineLevel="1" x14ac:dyDescent="0.35">
      <c r="A35" s="63" t="s">
        <v>85</v>
      </c>
      <c r="B35" s="64">
        <f>+(B34-B32)/30</f>
        <v>0</v>
      </c>
      <c r="C35" s="64">
        <f t="shared" ref="C35:I35" si="4">+(C34-C32)/30</f>
        <v>0</v>
      </c>
      <c r="D35" s="64">
        <f t="shared" si="4"/>
        <v>0</v>
      </c>
      <c r="E35" s="64">
        <f t="shared" si="4"/>
        <v>0</v>
      </c>
      <c r="F35" s="64">
        <f t="shared" si="4"/>
        <v>0</v>
      </c>
      <c r="G35" s="64">
        <f t="shared" si="4"/>
        <v>0</v>
      </c>
      <c r="H35" s="64">
        <f t="shared" si="4"/>
        <v>0</v>
      </c>
      <c r="I35" s="64">
        <f t="shared" si="4"/>
        <v>0</v>
      </c>
      <c r="J35" s="59"/>
    </row>
    <row r="36" spans="1:10" outlineLevel="1" x14ac:dyDescent="0.35">
      <c r="A36" s="65" t="s">
        <v>339</v>
      </c>
      <c r="B36" s="66"/>
      <c r="C36" s="66"/>
      <c r="D36" s="66"/>
      <c r="E36" s="66"/>
      <c r="F36" s="66"/>
      <c r="G36" s="66"/>
      <c r="H36" s="66"/>
      <c r="I36" s="66"/>
      <c r="J36" s="66"/>
    </row>
    <row r="37" spans="1:10" outlineLevel="1" x14ac:dyDescent="0.35">
      <c r="A37" s="32" t="s">
        <v>80</v>
      </c>
      <c r="B37" s="62"/>
      <c r="C37" s="62"/>
      <c r="D37" s="62"/>
      <c r="E37" s="62"/>
      <c r="F37" s="62"/>
      <c r="G37" s="62"/>
      <c r="H37" s="62"/>
      <c r="I37" s="62"/>
      <c r="J37" s="70">
        <f>SUM(B37:H37)</f>
        <v>0</v>
      </c>
    </row>
    <row r="38" spans="1:10" outlineLevel="1" x14ac:dyDescent="0.35">
      <c r="A38" s="32" t="s">
        <v>81</v>
      </c>
      <c r="B38" s="60"/>
      <c r="C38" s="60"/>
      <c r="D38" s="60"/>
      <c r="E38" s="60"/>
      <c r="F38" s="60"/>
      <c r="G38" s="60"/>
      <c r="H38" s="60"/>
      <c r="I38" s="60"/>
      <c r="J38" s="59"/>
    </row>
    <row r="39" spans="1:10" outlineLevel="1" x14ac:dyDescent="0.35">
      <c r="A39" s="32" t="s">
        <v>82</v>
      </c>
      <c r="B39" s="60"/>
      <c r="C39" s="60"/>
      <c r="D39" s="60"/>
      <c r="E39" s="60"/>
      <c r="F39" s="60"/>
      <c r="G39" s="60"/>
      <c r="H39" s="60"/>
      <c r="I39" s="60"/>
      <c r="J39" s="59"/>
    </row>
    <row r="40" spans="1:10" outlineLevel="1" x14ac:dyDescent="0.35">
      <c r="A40" s="32" t="s">
        <v>83</v>
      </c>
      <c r="B40" s="60"/>
      <c r="C40" s="60"/>
      <c r="D40" s="60"/>
      <c r="E40" s="60"/>
      <c r="F40" s="60"/>
      <c r="G40" s="60"/>
      <c r="H40" s="60"/>
      <c r="I40" s="60"/>
      <c r="J40" s="59"/>
    </row>
    <row r="41" spans="1:10" outlineLevel="1" x14ac:dyDescent="0.35">
      <c r="A41" s="63" t="s">
        <v>85</v>
      </c>
      <c r="B41" s="64">
        <f>+(B40-B38)/30</f>
        <v>0</v>
      </c>
      <c r="C41" s="64">
        <f t="shared" ref="C41:I41" si="5">+(C40-C38)/30</f>
        <v>0</v>
      </c>
      <c r="D41" s="64">
        <f t="shared" si="5"/>
        <v>0</v>
      </c>
      <c r="E41" s="64">
        <f t="shared" si="5"/>
        <v>0</v>
      </c>
      <c r="F41" s="64">
        <f t="shared" si="5"/>
        <v>0</v>
      </c>
      <c r="G41" s="64">
        <f t="shared" si="5"/>
        <v>0</v>
      </c>
      <c r="H41" s="64">
        <f t="shared" si="5"/>
        <v>0</v>
      </c>
      <c r="I41" s="64">
        <f t="shared" si="5"/>
        <v>0</v>
      </c>
      <c r="J41" s="5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888A-603E-4F88-8AEB-7D5F22469E16}">
  <sheetPr>
    <tabColor rgb="FF92D050"/>
  </sheetPr>
  <dimension ref="A1:Z41"/>
  <sheetViews>
    <sheetView zoomScale="70" zoomScaleNormal="70" workbookViewId="0">
      <selection activeCell="B4" sqref="B4:Y5"/>
    </sheetView>
  </sheetViews>
  <sheetFormatPr baseColWidth="10" defaultColWidth="11.46484375" defaultRowHeight="11.65" outlineLevelRow="1" x14ac:dyDescent="0.35"/>
  <cols>
    <col min="1" max="1" width="31.796875" style="32" customWidth="1"/>
    <col min="2" max="26" width="8" style="32" customWidth="1"/>
    <col min="27" max="16384" width="11.46484375" style="32"/>
  </cols>
  <sheetData>
    <row r="1" spans="1:26" ht="46.9" thickBot="1" x14ac:dyDescent="0.4">
      <c r="A1" s="68" t="s">
        <v>364</v>
      </c>
    </row>
    <row r="3" spans="1:26" x14ac:dyDescent="0.35">
      <c r="A3" s="58" t="s">
        <v>365</v>
      </c>
      <c r="B3" s="67"/>
      <c r="C3" s="67">
        <f>+Z7+Z13+Z19+Z25+Z31+Z37</f>
        <v>16.558</v>
      </c>
    </row>
    <row r="4" spans="1:26" s="229" customFormat="1" x14ac:dyDescent="0.45">
      <c r="A4" s="230" t="s">
        <v>362</v>
      </c>
      <c r="B4" s="230">
        <v>0.66</v>
      </c>
      <c r="C4" s="230">
        <v>0.63</v>
      </c>
      <c r="D4" s="230">
        <v>0.63</v>
      </c>
      <c r="E4" s="230">
        <v>0.66</v>
      </c>
      <c r="F4" s="230">
        <v>0.63</v>
      </c>
      <c r="G4" s="230">
        <v>0.63</v>
      </c>
      <c r="H4" s="230">
        <v>0.69</v>
      </c>
      <c r="I4" s="230">
        <v>0.66</v>
      </c>
      <c r="J4" s="230">
        <v>0.66</v>
      </c>
      <c r="K4" s="230">
        <v>1.0880000000000001</v>
      </c>
      <c r="L4" s="230">
        <v>1.65</v>
      </c>
      <c r="M4" s="230">
        <v>1.63</v>
      </c>
      <c r="N4" s="230">
        <v>0.6</v>
      </c>
      <c r="O4" s="230">
        <v>0.6</v>
      </c>
      <c r="P4" s="230">
        <v>0.82</v>
      </c>
      <c r="Q4" s="230">
        <v>0.6</v>
      </c>
      <c r="R4" s="230">
        <v>0.6</v>
      </c>
      <c r="S4" s="230">
        <v>0.6</v>
      </c>
      <c r="T4" s="230">
        <v>0.6</v>
      </c>
      <c r="U4" s="230">
        <v>0.6</v>
      </c>
      <c r="V4" s="230">
        <v>0.72</v>
      </c>
      <c r="W4" s="230">
        <v>0.6</v>
      </c>
      <c r="X4" s="230">
        <v>0.69</v>
      </c>
      <c r="Y4" s="230">
        <v>0.55000000000000004</v>
      </c>
      <c r="Z4" s="230">
        <f>SUM(B4:Y4)</f>
        <v>17.798000000000002</v>
      </c>
    </row>
    <row r="5" spans="1:26" s="57" customFormat="1" x14ac:dyDescent="0.35">
      <c r="B5" s="57" t="s">
        <v>340</v>
      </c>
      <c r="C5" s="57" t="s">
        <v>341</v>
      </c>
      <c r="D5" s="57" t="s">
        <v>342</v>
      </c>
      <c r="E5" s="57" t="s">
        <v>343</v>
      </c>
      <c r="F5" s="57" t="s">
        <v>344</v>
      </c>
      <c r="G5" s="57" t="s">
        <v>345</v>
      </c>
      <c r="H5" s="57" t="s">
        <v>346</v>
      </c>
      <c r="I5" s="57" t="s">
        <v>347</v>
      </c>
      <c r="J5" s="57" t="s">
        <v>348</v>
      </c>
      <c r="K5" s="57" t="s">
        <v>349</v>
      </c>
      <c r="L5" s="57" t="s">
        <v>350</v>
      </c>
      <c r="M5" s="57" t="s">
        <v>351</v>
      </c>
      <c r="N5" s="57" t="s">
        <v>352</v>
      </c>
      <c r="O5" s="57" t="s">
        <v>353</v>
      </c>
      <c r="P5" s="57" t="s">
        <v>354</v>
      </c>
      <c r="Q5" s="57" t="s">
        <v>355</v>
      </c>
      <c r="R5" s="57" t="s">
        <v>356</v>
      </c>
      <c r="S5" s="57" t="s">
        <v>357</v>
      </c>
      <c r="T5" s="57" t="s">
        <v>358</v>
      </c>
      <c r="U5" s="57" t="s">
        <v>359</v>
      </c>
      <c r="V5" s="57" t="s">
        <v>360</v>
      </c>
      <c r="W5" s="57" t="s">
        <v>361</v>
      </c>
      <c r="X5" s="57" t="s">
        <v>366</v>
      </c>
      <c r="Y5" s="57" t="s">
        <v>367</v>
      </c>
      <c r="Z5" s="57" t="s">
        <v>84</v>
      </c>
    </row>
    <row r="6" spans="1:26" x14ac:dyDescent="0.35">
      <c r="A6" s="65" t="s">
        <v>334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x14ac:dyDescent="0.35">
      <c r="A7" s="32" t="s">
        <v>80</v>
      </c>
      <c r="Z7" s="70">
        <f>SUM(B7:W7)</f>
        <v>0</v>
      </c>
    </row>
    <row r="8" spans="1:26" x14ac:dyDescent="0.35">
      <c r="A8" s="32" t="s">
        <v>81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59"/>
    </row>
    <row r="9" spans="1:26" x14ac:dyDescent="0.35">
      <c r="A9" s="32" t="s">
        <v>82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59"/>
    </row>
    <row r="10" spans="1:26" x14ac:dyDescent="0.35">
      <c r="A10" s="32" t="s">
        <v>83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59"/>
    </row>
    <row r="11" spans="1:26" x14ac:dyDescent="0.35">
      <c r="A11" s="63" t="s">
        <v>85</v>
      </c>
      <c r="B11" s="64">
        <f>+(B10-B8)/30</f>
        <v>0</v>
      </c>
      <c r="C11" s="64">
        <f t="shared" ref="C11:Y11" si="0">+(C10-C8)/30</f>
        <v>0</v>
      </c>
      <c r="D11" s="64">
        <f t="shared" si="0"/>
        <v>0</v>
      </c>
      <c r="E11" s="64">
        <f t="shared" si="0"/>
        <v>0</v>
      </c>
      <c r="F11" s="64">
        <f t="shared" si="0"/>
        <v>0</v>
      </c>
      <c r="G11" s="64">
        <f t="shared" si="0"/>
        <v>0</v>
      </c>
      <c r="H11" s="64">
        <f t="shared" si="0"/>
        <v>0</v>
      </c>
      <c r="I11" s="64">
        <f t="shared" si="0"/>
        <v>0</v>
      </c>
      <c r="J11" s="64">
        <f t="shared" si="0"/>
        <v>0</v>
      </c>
      <c r="K11" s="64">
        <f t="shared" si="0"/>
        <v>0</v>
      </c>
      <c r="L11" s="64">
        <f t="shared" si="0"/>
        <v>0</v>
      </c>
      <c r="M11" s="64">
        <f t="shared" si="0"/>
        <v>0</v>
      </c>
      <c r="N11" s="64">
        <f t="shared" si="0"/>
        <v>0</v>
      </c>
      <c r="O11" s="64">
        <f t="shared" si="0"/>
        <v>0</v>
      </c>
      <c r="P11" s="64">
        <f t="shared" si="0"/>
        <v>0</v>
      </c>
      <c r="Q11" s="64">
        <f t="shared" si="0"/>
        <v>0</v>
      </c>
      <c r="R11" s="64">
        <f t="shared" si="0"/>
        <v>0</v>
      </c>
      <c r="S11" s="64">
        <f t="shared" si="0"/>
        <v>0</v>
      </c>
      <c r="T11" s="64">
        <f t="shared" si="0"/>
        <v>0</v>
      </c>
      <c r="U11" s="64">
        <f t="shared" si="0"/>
        <v>0</v>
      </c>
      <c r="V11" s="64">
        <f t="shared" si="0"/>
        <v>0</v>
      </c>
      <c r="W11" s="64">
        <f t="shared" si="0"/>
        <v>0</v>
      </c>
      <c r="X11" s="64">
        <f t="shared" si="0"/>
        <v>0</v>
      </c>
      <c r="Y11" s="64">
        <f t="shared" si="0"/>
        <v>0</v>
      </c>
      <c r="Z11" s="59"/>
    </row>
    <row r="12" spans="1:26" outlineLevel="1" x14ac:dyDescent="0.35">
      <c r="A12" s="65" t="s">
        <v>335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outlineLevel="1" x14ac:dyDescent="0.35">
      <c r="A13" s="32" t="s">
        <v>80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70">
        <f>SUM(B13:W13)</f>
        <v>0</v>
      </c>
    </row>
    <row r="14" spans="1:26" outlineLevel="1" x14ac:dyDescent="0.35">
      <c r="A14" s="32" t="s">
        <v>81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59"/>
    </row>
    <row r="15" spans="1:26" outlineLevel="1" x14ac:dyDescent="0.35">
      <c r="A15" s="32" t="s">
        <v>82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59"/>
    </row>
    <row r="16" spans="1:26" outlineLevel="1" x14ac:dyDescent="0.35">
      <c r="A16" s="32" t="s">
        <v>83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59"/>
    </row>
    <row r="17" spans="1:26" outlineLevel="1" x14ac:dyDescent="0.35">
      <c r="A17" s="63" t="s">
        <v>85</v>
      </c>
      <c r="B17" s="64">
        <f>+(B16-B14)/30</f>
        <v>0</v>
      </c>
      <c r="C17" s="64">
        <f t="shared" ref="C17:Y17" si="1">+(C16-C14)/30</f>
        <v>0</v>
      </c>
      <c r="D17" s="64">
        <f t="shared" si="1"/>
        <v>0</v>
      </c>
      <c r="E17" s="64">
        <f t="shared" si="1"/>
        <v>0</v>
      </c>
      <c r="F17" s="64">
        <f t="shared" si="1"/>
        <v>0</v>
      </c>
      <c r="G17" s="64">
        <f t="shared" si="1"/>
        <v>0</v>
      </c>
      <c r="H17" s="64">
        <f t="shared" si="1"/>
        <v>0</v>
      </c>
      <c r="I17" s="64">
        <f t="shared" si="1"/>
        <v>0</v>
      </c>
      <c r="J17" s="64">
        <f t="shared" si="1"/>
        <v>0</v>
      </c>
      <c r="K17" s="64">
        <f t="shared" si="1"/>
        <v>0</v>
      </c>
      <c r="L17" s="64">
        <f t="shared" si="1"/>
        <v>0</v>
      </c>
      <c r="M17" s="64">
        <f t="shared" si="1"/>
        <v>0</v>
      </c>
      <c r="N17" s="64">
        <f t="shared" si="1"/>
        <v>0</v>
      </c>
      <c r="O17" s="64">
        <f t="shared" si="1"/>
        <v>0</v>
      </c>
      <c r="P17" s="64">
        <f t="shared" si="1"/>
        <v>0</v>
      </c>
      <c r="Q17" s="64">
        <f t="shared" si="1"/>
        <v>0</v>
      </c>
      <c r="R17" s="64">
        <f t="shared" si="1"/>
        <v>0</v>
      </c>
      <c r="S17" s="64">
        <f t="shared" si="1"/>
        <v>0</v>
      </c>
      <c r="T17" s="64">
        <f t="shared" si="1"/>
        <v>0</v>
      </c>
      <c r="U17" s="64">
        <f t="shared" si="1"/>
        <v>0</v>
      </c>
      <c r="V17" s="64">
        <f t="shared" si="1"/>
        <v>0</v>
      </c>
      <c r="W17" s="64">
        <f t="shared" si="1"/>
        <v>0</v>
      </c>
      <c r="X17" s="64">
        <f t="shared" si="1"/>
        <v>0</v>
      </c>
      <c r="Y17" s="64">
        <f t="shared" si="1"/>
        <v>0</v>
      </c>
      <c r="Z17" s="59"/>
    </row>
    <row r="18" spans="1:26" outlineLevel="1" x14ac:dyDescent="0.35">
      <c r="A18" s="65" t="s">
        <v>336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outlineLevel="1" x14ac:dyDescent="0.35">
      <c r="A19" s="32" t="s">
        <v>80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70">
        <f>SUM(B19:W19)</f>
        <v>0</v>
      </c>
    </row>
    <row r="20" spans="1:26" outlineLevel="1" x14ac:dyDescent="0.35">
      <c r="A20" s="32" t="s">
        <v>81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59"/>
    </row>
    <row r="21" spans="1:26" outlineLevel="1" x14ac:dyDescent="0.35">
      <c r="A21" s="32" t="s">
        <v>82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59"/>
    </row>
    <row r="22" spans="1:26" outlineLevel="1" x14ac:dyDescent="0.35">
      <c r="A22" s="32" t="s">
        <v>83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59"/>
    </row>
    <row r="23" spans="1:26" outlineLevel="1" x14ac:dyDescent="0.35">
      <c r="A23" s="63" t="s">
        <v>85</v>
      </c>
      <c r="B23" s="64">
        <f>+(B22-B20)/30</f>
        <v>0</v>
      </c>
      <c r="C23" s="64">
        <f t="shared" ref="C23" si="2">+(C22-C20)/30</f>
        <v>0</v>
      </c>
      <c r="D23" s="64"/>
      <c r="E23" s="64">
        <f t="shared" ref="E23:Y23" si="3">+(E22-E20)/30</f>
        <v>0</v>
      </c>
      <c r="F23" s="64">
        <f t="shared" si="3"/>
        <v>0</v>
      </c>
      <c r="G23" s="64">
        <f t="shared" si="3"/>
        <v>0</v>
      </c>
      <c r="H23" s="64">
        <f t="shared" si="3"/>
        <v>0</v>
      </c>
      <c r="I23" s="64">
        <f t="shared" si="3"/>
        <v>0</v>
      </c>
      <c r="J23" s="64">
        <f t="shared" si="3"/>
        <v>0</v>
      </c>
      <c r="K23" s="64">
        <f t="shared" si="3"/>
        <v>0</v>
      </c>
      <c r="L23" s="64">
        <f t="shared" si="3"/>
        <v>0</v>
      </c>
      <c r="M23" s="64">
        <f t="shared" si="3"/>
        <v>0</v>
      </c>
      <c r="N23" s="64">
        <f t="shared" si="3"/>
        <v>0</v>
      </c>
      <c r="O23" s="64">
        <f t="shared" si="3"/>
        <v>0</v>
      </c>
      <c r="P23" s="64">
        <f t="shared" si="3"/>
        <v>0</v>
      </c>
      <c r="Q23" s="64">
        <f t="shared" si="3"/>
        <v>0</v>
      </c>
      <c r="R23" s="64">
        <f t="shared" si="3"/>
        <v>0</v>
      </c>
      <c r="S23" s="64">
        <f t="shared" si="3"/>
        <v>0</v>
      </c>
      <c r="T23" s="64">
        <f t="shared" si="3"/>
        <v>0</v>
      </c>
      <c r="U23" s="64">
        <f t="shared" si="3"/>
        <v>0</v>
      </c>
      <c r="V23" s="64">
        <f t="shared" si="3"/>
        <v>0</v>
      </c>
      <c r="W23" s="64">
        <f t="shared" si="3"/>
        <v>0</v>
      </c>
      <c r="X23" s="64">
        <f t="shared" si="3"/>
        <v>0</v>
      </c>
      <c r="Y23" s="64">
        <f t="shared" si="3"/>
        <v>0</v>
      </c>
      <c r="Z23" s="59"/>
    </row>
    <row r="24" spans="1:26" outlineLevel="1" x14ac:dyDescent="0.35">
      <c r="A24" s="65" t="s">
        <v>337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outlineLevel="1" x14ac:dyDescent="0.35">
      <c r="A25" s="32" t="s">
        <v>80</v>
      </c>
      <c r="B25" s="62">
        <v>0.66</v>
      </c>
      <c r="C25" s="62">
        <v>0.63</v>
      </c>
      <c r="D25" s="62">
        <v>0.63</v>
      </c>
      <c r="E25" s="62">
        <v>0.66</v>
      </c>
      <c r="F25" s="62">
        <v>0.63</v>
      </c>
      <c r="G25" s="62">
        <v>0.63</v>
      </c>
      <c r="H25" s="62">
        <v>0.69</v>
      </c>
      <c r="I25" s="62">
        <v>0.66</v>
      </c>
      <c r="J25" s="62">
        <v>0.66</v>
      </c>
      <c r="K25" s="62">
        <v>1.0880000000000001</v>
      </c>
      <c r="L25" s="62">
        <v>1.65</v>
      </c>
      <c r="M25" s="62">
        <v>1.63</v>
      </c>
      <c r="N25" s="62">
        <v>0.6</v>
      </c>
      <c r="O25" s="62">
        <v>0.6</v>
      </c>
      <c r="P25" s="62">
        <v>0.82</v>
      </c>
      <c r="Q25" s="62">
        <v>0.6</v>
      </c>
      <c r="R25" s="62">
        <v>0.6</v>
      </c>
      <c r="S25" s="62">
        <v>0.6</v>
      </c>
      <c r="T25" s="62">
        <v>0.6</v>
      </c>
      <c r="U25" s="62">
        <v>0.6</v>
      </c>
      <c r="V25" s="62">
        <v>0.72</v>
      </c>
      <c r="W25" s="62">
        <v>0.6</v>
      </c>
      <c r="X25" s="62">
        <v>0.69</v>
      </c>
      <c r="Y25" s="62">
        <v>0.55000000000000004</v>
      </c>
      <c r="Z25" s="70">
        <f>SUM(B25:W25)</f>
        <v>16.558</v>
      </c>
    </row>
    <row r="26" spans="1:26" outlineLevel="1" x14ac:dyDescent="0.35">
      <c r="A26" s="32" t="s">
        <v>81</v>
      </c>
      <c r="B26" s="60">
        <v>45870</v>
      </c>
      <c r="C26" s="60">
        <v>45870</v>
      </c>
      <c r="D26" s="60">
        <v>45870</v>
      </c>
      <c r="E26" s="60">
        <v>45870</v>
      </c>
      <c r="F26" s="60">
        <v>45870</v>
      </c>
      <c r="G26" s="60">
        <v>45870</v>
      </c>
      <c r="H26" s="60">
        <v>45870</v>
      </c>
      <c r="I26" s="60">
        <v>45870</v>
      </c>
      <c r="J26" s="60">
        <v>45870</v>
      </c>
      <c r="K26" s="60">
        <v>45870</v>
      </c>
      <c r="L26" s="60">
        <v>45870</v>
      </c>
      <c r="M26" s="60">
        <v>45870</v>
      </c>
      <c r="N26" s="60">
        <v>45870</v>
      </c>
      <c r="O26" s="60">
        <v>45870</v>
      </c>
      <c r="P26" s="60">
        <v>45870</v>
      </c>
      <c r="Q26" s="60">
        <v>45870</v>
      </c>
      <c r="R26" s="60">
        <v>45870</v>
      </c>
      <c r="S26" s="60">
        <v>45870</v>
      </c>
      <c r="T26" s="60">
        <v>45870</v>
      </c>
      <c r="U26" s="60">
        <v>45870</v>
      </c>
      <c r="V26" s="60">
        <v>45870</v>
      </c>
      <c r="W26" s="60">
        <v>45870</v>
      </c>
      <c r="X26" s="60">
        <v>45870</v>
      </c>
      <c r="Y26" s="60">
        <v>45870</v>
      </c>
      <c r="Z26" s="59"/>
    </row>
    <row r="27" spans="1:26" outlineLevel="1" x14ac:dyDescent="0.35">
      <c r="A27" s="32" t="s">
        <v>82</v>
      </c>
      <c r="B27" s="60">
        <v>45940</v>
      </c>
      <c r="C27" s="60">
        <v>45940</v>
      </c>
      <c r="D27" s="60">
        <v>45940</v>
      </c>
      <c r="E27" s="60">
        <v>45940</v>
      </c>
      <c r="F27" s="60">
        <v>45940</v>
      </c>
      <c r="G27" s="60">
        <v>45940</v>
      </c>
      <c r="H27" s="60">
        <v>45940</v>
      </c>
      <c r="I27" s="60">
        <v>45940</v>
      </c>
      <c r="J27" s="60">
        <v>45940</v>
      </c>
      <c r="K27" s="60">
        <v>45940</v>
      </c>
      <c r="L27" s="60">
        <v>45940</v>
      </c>
      <c r="M27" s="60">
        <v>45940</v>
      </c>
      <c r="N27" s="60">
        <v>45940</v>
      </c>
      <c r="O27" s="60">
        <v>45940</v>
      </c>
      <c r="P27" s="60">
        <v>45940</v>
      </c>
      <c r="Q27" s="60">
        <v>45940</v>
      </c>
      <c r="R27" s="60">
        <v>45940</v>
      </c>
      <c r="S27" s="60">
        <v>45940</v>
      </c>
      <c r="T27" s="60">
        <v>45940</v>
      </c>
      <c r="U27" s="60">
        <v>45940</v>
      </c>
      <c r="V27" s="60">
        <v>45940</v>
      </c>
      <c r="W27" s="60">
        <v>45940</v>
      </c>
      <c r="X27" s="60">
        <v>45940</v>
      </c>
      <c r="Y27" s="60">
        <v>45940</v>
      </c>
      <c r="Z27" s="59"/>
    </row>
    <row r="28" spans="1:26" outlineLevel="1" x14ac:dyDescent="0.35">
      <c r="A28" s="32" t="s">
        <v>83</v>
      </c>
      <c r="B28" s="60">
        <v>46172</v>
      </c>
      <c r="C28" s="60">
        <v>46172</v>
      </c>
      <c r="D28" s="60">
        <v>46172</v>
      </c>
      <c r="E28" s="60">
        <v>46172</v>
      </c>
      <c r="F28" s="60">
        <v>46172</v>
      </c>
      <c r="G28" s="60">
        <v>46172</v>
      </c>
      <c r="H28" s="60">
        <v>46172</v>
      </c>
      <c r="I28" s="60">
        <v>46172</v>
      </c>
      <c r="J28" s="60">
        <v>46172</v>
      </c>
      <c r="K28" s="60">
        <v>46172</v>
      </c>
      <c r="L28" s="60">
        <v>46172</v>
      </c>
      <c r="M28" s="60">
        <v>46172</v>
      </c>
      <c r="N28" s="60">
        <v>46172</v>
      </c>
      <c r="O28" s="60">
        <v>46172</v>
      </c>
      <c r="P28" s="60">
        <v>46172</v>
      </c>
      <c r="Q28" s="60">
        <v>46172</v>
      </c>
      <c r="R28" s="60">
        <v>46172</v>
      </c>
      <c r="S28" s="60">
        <v>46172</v>
      </c>
      <c r="T28" s="60">
        <v>46172</v>
      </c>
      <c r="U28" s="60">
        <v>46172</v>
      </c>
      <c r="V28" s="60">
        <v>46172</v>
      </c>
      <c r="W28" s="60">
        <v>46172</v>
      </c>
      <c r="X28" s="60">
        <v>46172</v>
      </c>
      <c r="Y28" s="60">
        <v>46172</v>
      </c>
      <c r="Z28" s="59"/>
    </row>
    <row r="29" spans="1:26" outlineLevel="1" x14ac:dyDescent="0.35">
      <c r="A29" s="63" t="s">
        <v>85</v>
      </c>
      <c r="B29" s="64">
        <f>+(B28-B26)/30</f>
        <v>10.066666666666666</v>
      </c>
      <c r="C29" s="64">
        <f t="shared" ref="C29:Y29" si="4">+(C28-C26)/30</f>
        <v>10.066666666666666</v>
      </c>
      <c r="D29" s="64">
        <f t="shared" si="4"/>
        <v>10.066666666666666</v>
      </c>
      <c r="E29" s="64">
        <f t="shared" si="4"/>
        <v>10.066666666666666</v>
      </c>
      <c r="F29" s="64">
        <f t="shared" si="4"/>
        <v>10.066666666666666</v>
      </c>
      <c r="G29" s="64">
        <f t="shared" si="4"/>
        <v>10.066666666666666</v>
      </c>
      <c r="H29" s="64">
        <f t="shared" si="4"/>
        <v>10.066666666666666</v>
      </c>
      <c r="I29" s="64">
        <f t="shared" si="4"/>
        <v>10.066666666666666</v>
      </c>
      <c r="J29" s="64">
        <f t="shared" si="4"/>
        <v>10.066666666666666</v>
      </c>
      <c r="K29" s="64">
        <f t="shared" si="4"/>
        <v>10.066666666666666</v>
      </c>
      <c r="L29" s="64">
        <f t="shared" si="4"/>
        <v>10.066666666666666</v>
      </c>
      <c r="M29" s="64">
        <f t="shared" si="4"/>
        <v>10.066666666666666</v>
      </c>
      <c r="N29" s="64">
        <f t="shared" si="4"/>
        <v>10.066666666666666</v>
      </c>
      <c r="O29" s="64">
        <f t="shared" si="4"/>
        <v>10.066666666666666</v>
      </c>
      <c r="P29" s="64">
        <f t="shared" si="4"/>
        <v>10.066666666666666</v>
      </c>
      <c r="Q29" s="64">
        <f t="shared" si="4"/>
        <v>10.066666666666666</v>
      </c>
      <c r="R29" s="64">
        <f t="shared" si="4"/>
        <v>10.066666666666666</v>
      </c>
      <c r="S29" s="64">
        <f t="shared" si="4"/>
        <v>10.066666666666666</v>
      </c>
      <c r="T29" s="64">
        <f t="shared" si="4"/>
        <v>10.066666666666666</v>
      </c>
      <c r="U29" s="64">
        <f t="shared" si="4"/>
        <v>10.066666666666666</v>
      </c>
      <c r="V29" s="64">
        <f t="shared" si="4"/>
        <v>10.066666666666666</v>
      </c>
      <c r="W29" s="64">
        <f t="shared" si="4"/>
        <v>10.066666666666666</v>
      </c>
      <c r="X29" s="64">
        <f t="shared" si="4"/>
        <v>10.066666666666666</v>
      </c>
      <c r="Y29" s="64">
        <f t="shared" si="4"/>
        <v>10.066666666666666</v>
      </c>
      <c r="Z29" s="59"/>
    </row>
    <row r="30" spans="1:26" outlineLevel="1" x14ac:dyDescent="0.35">
      <c r="A30" s="65" t="s">
        <v>338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outlineLevel="1" x14ac:dyDescent="0.35">
      <c r="A31" s="32" t="s">
        <v>80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70">
        <f>SUM(B31:W31)</f>
        <v>0</v>
      </c>
    </row>
    <row r="32" spans="1:26" outlineLevel="1" x14ac:dyDescent="0.35">
      <c r="A32" s="32" t="s">
        <v>81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59"/>
    </row>
    <row r="33" spans="1:26" outlineLevel="1" x14ac:dyDescent="0.35">
      <c r="A33" s="32" t="s">
        <v>82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59"/>
    </row>
    <row r="34" spans="1:26" outlineLevel="1" x14ac:dyDescent="0.35">
      <c r="A34" s="32" t="s">
        <v>83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59"/>
    </row>
    <row r="35" spans="1:26" outlineLevel="1" x14ac:dyDescent="0.35">
      <c r="A35" s="63" t="s">
        <v>85</v>
      </c>
      <c r="B35" s="64">
        <f>+(B34-B32)/30</f>
        <v>0</v>
      </c>
      <c r="C35" s="64">
        <f t="shared" ref="C35:Y35" si="5">+(C34-C32)/30</f>
        <v>0</v>
      </c>
      <c r="D35" s="64">
        <f t="shared" si="5"/>
        <v>0</v>
      </c>
      <c r="E35" s="64">
        <f t="shared" si="5"/>
        <v>0</v>
      </c>
      <c r="F35" s="64">
        <f t="shared" si="5"/>
        <v>0</v>
      </c>
      <c r="G35" s="64">
        <f t="shared" si="5"/>
        <v>0</v>
      </c>
      <c r="H35" s="64">
        <f t="shared" si="5"/>
        <v>0</v>
      </c>
      <c r="I35" s="64">
        <f t="shared" si="5"/>
        <v>0</v>
      </c>
      <c r="J35" s="64">
        <f t="shared" si="5"/>
        <v>0</v>
      </c>
      <c r="K35" s="64">
        <f t="shared" si="5"/>
        <v>0</v>
      </c>
      <c r="L35" s="64">
        <f t="shared" si="5"/>
        <v>0</v>
      </c>
      <c r="M35" s="64">
        <f t="shared" si="5"/>
        <v>0</v>
      </c>
      <c r="N35" s="64">
        <f t="shared" si="5"/>
        <v>0</v>
      </c>
      <c r="O35" s="64">
        <f t="shared" si="5"/>
        <v>0</v>
      </c>
      <c r="P35" s="64">
        <f t="shared" si="5"/>
        <v>0</v>
      </c>
      <c r="Q35" s="64">
        <f t="shared" si="5"/>
        <v>0</v>
      </c>
      <c r="R35" s="64">
        <f t="shared" si="5"/>
        <v>0</v>
      </c>
      <c r="S35" s="64">
        <f t="shared" si="5"/>
        <v>0</v>
      </c>
      <c r="T35" s="64">
        <f t="shared" si="5"/>
        <v>0</v>
      </c>
      <c r="U35" s="64">
        <f t="shared" si="5"/>
        <v>0</v>
      </c>
      <c r="V35" s="64">
        <f t="shared" si="5"/>
        <v>0</v>
      </c>
      <c r="W35" s="64">
        <f t="shared" si="5"/>
        <v>0</v>
      </c>
      <c r="X35" s="64">
        <f t="shared" si="5"/>
        <v>0</v>
      </c>
      <c r="Y35" s="64">
        <f t="shared" si="5"/>
        <v>0</v>
      </c>
      <c r="Z35" s="59"/>
    </row>
    <row r="36" spans="1:26" outlineLevel="1" x14ac:dyDescent="0.35">
      <c r="A36" s="65" t="s">
        <v>339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outlineLevel="1" x14ac:dyDescent="0.35">
      <c r="A37" s="32" t="s">
        <v>80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70">
        <f>SUM(B37:W37)</f>
        <v>0</v>
      </c>
    </row>
    <row r="38" spans="1:26" outlineLevel="1" x14ac:dyDescent="0.35">
      <c r="A38" s="32" t="s">
        <v>81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59"/>
    </row>
    <row r="39" spans="1:26" outlineLevel="1" x14ac:dyDescent="0.35">
      <c r="A39" s="32" t="s">
        <v>82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59"/>
    </row>
    <row r="40" spans="1:26" outlineLevel="1" x14ac:dyDescent="0.35">
      <c r="A40" s="32" t="s">
        <v>83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59"/>
    </row>
    <row r="41" spans="1:26" outlineLevel="1" x14ac:dyDescent="0.35">
      <c r="A41" s="63" t="s">
        <v>85</v>
      </c>
      <c r="B41" s="64">
        <f>+(B40-B38)/30</f>
        <v>0</v>
      </c>
      <c r="C41" s="64">
        <f t="shared" ref="C41:Y41" si="6">+(C40-C38)/30</f>
        <v>0</v>
      </c>
      <c r="D41" s="64">
        <f t="shared" si="6"/>
        <v>0</v>
      </c>
      <c r="E41" s="64">
        <f t="shared" si="6"/>
        <v>0</v>
      </c>
      <c r="F41" s="64">
        <f t="shared" si="6"/>
        <v>0</v>
      </c>
      <c r="G41" s="64">
        <f t="shared" si="6"/>
        <v>0</v>
      </c>
      <c r="H41" s="64">
        <f t="shared" si="6"/>
        <v>0</v>
      </c>
      <c r="I41" s="64">
        <f t="shared" si="6"/>
        <v>0</v>
      </c>
      <c r="J41" s="64">
        <f t="shared" si="6"/>
        <v>0</v>
      </c>
      <c r="K41" s="64">
        <f t="shared" si="6"/>
        <v>0</v>
      </c>
      <c r="L41" s="64">
        <f t="shared" si="6"/>
        <v>0</v>
      </c>
      <c r="M41" s="64">
        <f t="shared" si="6"/>
        <v>0</v>
      </c>
      <c r="N41" s="64">
        <f t="shared" si="6"/>
        <v>0</v>
      </c>
      <c r="O41" s="64">
        <f t="shared" si="6"/>
        <v>0</v>
      </c>
      <c r="P41" s="64">
        <f t="shared" si="6"/>
        <v>0</v>
      </c>
      <c r="Q41" s="64">
        <f t="shared" si="6"/>
        <v>0</v>
      </c>
      <c r="R41" s="64">
        <f t="shared" si="6"/>
        <v>0</v>
      </c>
      <c r="S41" s="64">
        <f t="shared" si="6"/>
        <v>0</v>
      </c>
      <c r="T41" s="64">
        <f t="shared" si="6"/>
        <v>0</v>
      </c>
      <c r="U41" s="64">
        <f t="shared" si="6"/>
        <v>0</v>
      </c>
      <c r="V41" s="64">
        <f t="shared" si="6"/>
        <v>0</v>
      </c>
      <c r="W41" s="64">
        <f t="shared" si="6"/>
        <v>0</v>
      </c>
      <c r="X41" s="64">
        <f t="shared" si="6"/>
        <v>0</v>
      </c>
      <c r="Y41" s="64">
        <f t="shared" si="6"/>
        <v>0</v>
      </c>
      <c r="Z41" s="5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E5C9-C9E1-4565-8010-5FE75769BE5A}">
  <sheetPr>
    <tabColor rgb="FF92D050"/>
  </sheetPr>
  <dimension ref="A1:AE41"/>
  <sheetViews>
    <sheetView topLeftCell="G1" zoomScale="90" zoomScaleNormal="90" workbookViewId="0">
      <selection activeCell="B4" sqref="B4:AD5"/>
    </sheetView>
  </sheetViews>
  <sheetFormatPr baseColWidth="10" defaultColWidth="11.46484375" defaultRowHeight="11.65" outlineLevelRow="1" x14ac:dyDescent="0.35"/>
  <cols>
    <col min="1" max="1" width="31.796875" style="32" customWidth="1"/>
    <col min="2" max="31" width="8" style="32" customWidth="1"/>
    <col min="32" max="16384" width="11.46484375" style="32"/>
  </cols>
  <sheetData>
    <row r="1" spans="1:31" ht="46.9" thickBot="1" x14ac:dyDescent="0.4">
      <c r="A1" s="68" t="s">
        <v>368</v>
      </c>
    </row>
    <row r="3" spans="1:31" x14ac:dyDescent="0.35">
      <c r="A3" s="58" t="s">
        <v>369</v>
      </c>
      <c r="B3" s="67"/>
      <c r="C3" s="67">
        <f>+AE7+AE13+AE19+AE25+AE31+AE37</f>
        <v>26.09</v>
      </c>
    </row>
    <row r="4" spans="1:31" s="229" customFormat="1" x14ac:dyDescent="0.45">
      <c r="A4" s="230" t="s">
        <v>362</v>
      </c>
      <c r="B4" s="230">
        <v>0.93</v>
      </c>
      <c r="C4" s="230">
        <v>0.93</v>
      </c>
      <c r="D4" s="230">
        <v>0.98</v>
      </c>
      <c r="E4" s="230">
        <v>0.98</v>
      </c>
      <c r="F4" s="230">
        <v>1.02</v>
      </c>
      <c r="G4" s="230">
        <v>0.93</v>
      </c>
      <c r="H4" s="230">
        <v>0.88</v>
      </c>
      <c r="I4" s="230">
        <v>0.78</v>
      </c>
      <c r="J4" s="230">
        <v>0.9</v>
      </c>
      <c r="K4" s="230">
        <v>1.08</v>
      </c>
      <c r="L4" s="230">
        <v>1.08</v>
      </c>
      <c r="M4" s="230">
        <v>1.08</v>
      </c>
      <c r="N4" s="230">
        <v>1.31</v>
      </c>
      <c r="O4" s="230">
        <v>0.85</v>
      </c>
      <c r="P4" s="230">
        <v>0.72</v>
      </c>
      <c r="Q4" s="230">
        <v>0.54</v>
      </c>
      <c r="R4" s="230">
        <v>0.31</v>
      </c>
      <c r="S4" s="230">
        <v>0.85</v>
      </c>
      <c r="T4" s="230">
        <v>0.84</v>
      </c>
      <c r="U4" s="230">
        <v>0.96</v>
      </c>
      <c r="V4" s="230">
        <v>1.04</v>
      </c>
      <c r="W4" s="230">
        <v>0.6</v>
      </c>
      <c r="X4" s="230">
        <v>0.72</v>
      </c>
      <c r="Y4" s="230">
        <v>0.7</v>
      </c>
      <c r="Z4" s="230">
        <v>0.72</v>
      </c>
      <c r="AA4" s="230">
        <v>1.03</v>
      </c>
      <c r="AB4" s="230">
        <v>1.3</v>
      </c>
      <c r="AC4" s="230">
        <v>1.1299999999999999</v>
      </c>
      <c r="AD4" s="230">
        <v>0.9</v>
      </c>
      <c r="AE4" s="230">
        <f>SUM(B4:AD4)</f>
        <v>26.09</v>
      </c>
    </row>
    <row r="5" spans="1:31" s="57" customFormat="1" x14ac:dyDescent="0.35">
      <c r="B5" s="57" t="s">
        <v>340</v>
      </c>
      <c r="C5" s="57" t="s">
        <v>341</v>
      </c>
      <c r="D5" s="57" t="s">
        <v>342</v>
      </c>
      <c r="E5" s="57" t="s">
        <v>343</v>
      </c>
      <c r="F5" s="57" t="s">
        <v>344</v>
      </c>
      <c r="G5" s="57" t="s">
        <v>345</v>
      </c>
      <c r="H5" s="57" t="s">
        <v>346</v>
      </c>
      <c r="I5" s="57" t="s">
        <v>347</v>
      </c>
      <c r="J5" s="57" t="s">
        <v>348</v>
      </c>
      <c r="K5" s="57" t="s">
        <v>349</v>
      </c>
      <c r="L5" s="57" t="s">
        <v>350</v>
      </c>
      <c r="M5" s="57" t="s">
        <v>351</v>
      </c>
      <c r="N5" s="57" t="s">
        <v>352</v>
      </c>
      <c r="O5" s="57" t="s">
        <v>353</v>
      </c>
      <c r="P5" s="57" t="s">
        <v>354</v>
      </c>
      <c r="Q5" s="57" t="s">
        <v>355</v>
      </c>
      <c r="R5" s="57" t="s">
        <v>356</v>
      </c>
      <c r="S5" s="57" t="s">
        <v>357</v>
      </c>
      <c r="T5" s="57" t="s">
        <v>358</v>
      </c>
      <c r="U5" s="57" t="s">
        <v>359</v>
      </c>
      <c r="V5" s="57" t="s">
        <v>360</v>
      </c>
      <c r="W5" s="57" t="s">
        <v>361</v>
      </c>
      <c r="X5" s="57" t="s">
        <v>366</v>
      </c>
      <c r="Y5" s="57" t="s">
        <v>367</v>
      </c>
      <c r="Z5" s="57" t="s">
        <v>457</v>
      </c>
      <c r="AA5" s="57" t="s">
        <v>458</v>
      </c>
      <c r="AB5" s="57" t="s">
        <v>459</v>
      </c>
      <c r="AC5" s="57" t="s">
        <v>460</v>
      </c>
      <c r="AD5" s="57" t="s">
        <v>461</v>
      </c>
      <c r="AE5" s="57" t="s">
        <v>84</v>
      </c>
    </row>
    <row r="6" spans="1:31" x14ac:dyDescent="0.35">
      <c r="A6" s="65" t="s">
        <v>334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</row>
    <row r="7" spans="1:31" x14ac:dyDescent="0.35">
      <c r="A7" s="32" t="s">
        <v>80</v>
      </c>
      <c r="AE7" s="70"/>
    </row>
    <row r="8" spans="1:31" x14ac:dyDescent="0.35">
      <c r="A8" s="32" t="s">
        <v>81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59"/>
    </row>
    <row r="9" spans="1:31" x14ac:dyDescent="0.35">
      <c r="A9" s="32" t="s">
        <v>82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59"/>
    </row>
    <row r="10" spans="1:31" x14ac:dyDescent="0.35">
      <c r="A10" s="32" t="s">
        <v>83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59"/>
    </row>
    <row r="11" spans="1:31" x14ac:dyDescent="0.35">
      <c r="A11" s="63" t="s">
        <v>85</v>
      </c>
      <c r="B11" s="64">
        <f>+(B10-B8)/30</f>
        <v>0</v>
      </c>
      <c r="C11" s="64">
        <f t="shared" ref="C11:AD11" si="0">+(C10-C8)/30</f>
        <v>0</v>
      </c>
      <c r="D11" s="64">
        <f t="shared" si="0"/>
        <v>0</v>
      </c>
      <c r="E11" s="64">
        <f t="shared" si="0"/>
        <v>0</v>
      </c>
      <c r="F11" s="64">
        <f t="shared" si="0"/>
        <v>0</v>
      </c>
      <c r="G11" s="64">
        <f t="shared" si="0"/>
        <v>0</v>
      </c>
      <c r="H11" s="64">
        <f t="shared" si="0"/>
        <v>0</v>
      </c>
      <c r="I11" s="64">
        <f t="shared" si="0"/>
        <v>0</v>
      </c>
      <c r="J11" s="64">
        <f t="shared" si="0"/>
        <v>0</v>
      </c>
      <c r="K11" s="64">
        <f t="shared" si="0"/>
        <v>0</v>
      </c>
      <c r="L11" s="64">
        <f t="shared" si="0"/>
        <v>0</v>
      </c>
      <c r="M11" s="64">
        <f t="shared" si="0"/>
        <v>0</v>
      </c>
      <c r="N11" s="64">
        <f t="shared" si="0"/>
        <v>0</v>
      </c>
      <c r="O11" s="64">
        <f t="shared" si="0"/>
        <v>0</v>
      </c>
      <c r="P11" s="64">
        <f t="shared" si="0"/>
        <v>0</v>
      </c>
      <c r="Q11" s="64">
        <f t="shared" si="0"/>
        <v>0</v>
      </c>
      <c r="R11" s="64">
        <f t="shared" si="0"/>
        <v>0</v>
      </c>
      <c r="S11" s="64">
        <f t="shared" si="0"/>
        <v>0</v>
      </c>
      <c r="T11" s="64">
        <f t="shared" si="0"/>
        <v>0</v>
      </c>
      <c r="U11" s="64">
        <f t="shared" si="0"/>
        <v>0</v>
      </c>
      <c r="V11" s="64">
        <f t="shared" si="0"/>
        <v>0</v>
      </c>
      <c r="W11" s="64">
        <f t="shared" si="0"/>
        <v>0</v>
      </c>
      <c r="X11" s="64">
        <f t="shared" si="0"/>
        <v>0</v>
      </c>
      <c r="Y11" s="64">
        <f t="shared" si="0"/>
        <v>0</v>
      </c>
      <c r="Z11" s="64">
        <f t="shared" si="0"/>
        <v>0</v>
      </c>
      <c r="AA11" s="64">
        <f t="shared" si="0"/>
        <v>0</v>
      </c>
      <c r="AB11" s="64">
        <f t="shared" si="0"/>
        <v>0</v>
      </c>
      <c r="AC11" s="64">
        <f t="shared" si="0"/>
        <v>0</v>
      </c>
      <c r="AD11" s="64">
        <f t="shared" si="0"/>
        <v>0</v>
      </c>
      <c r="AE11" s="59"/>
    </row>
    <row r="12" spans="1:31" outlineLevel="1" x14ac:dyDescent="0.35">
      <c r="A12" s="65" t="s">
        <v>335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</row>
    <row r="13" spans="1:31" outlineLevel="1" x14ac:dyDescent="0.35">
      <c r="A13" s="32" t="s">
        <v>80</v>
      </c>
      <c r="B13" s="62">
        <v>0.93</v>
      </c>
      <c r="C13" s="62">
        <v>0.93</v>
      </c>
      <c r="D13" s="62">
        <v>0.98</v>
      </c>
      <c r="E13" s="62">
        <v>0.98</v>
      </c>
      <c r="F13" s="62">
        <v>1.02</v>
      </c>
      <c r="G13" s="62">
        <v>0.93</v>
      </c>
      <c r="H13" s="62">
        <v>0.88</v>
      </c>
      <c r="I13" s="62">
        <v>0.78</v>
      </c>
      <c r="J13" s="62">
        <v>0.9</v>
      </c>
      <c r="K13" s="62">
        <v>1.08</v>
      </c>
      <c r="L13" s="62">
        <v>1.08</v>
      </c>
      <c r="M13" s="62">
        <v>1.08</v>
      </c>
      <c r="N13" s="62">
        <v>1.31</v>
      </c>
      <c r="O13" s="62">
        <v>0.85</v>
      </c>
      <c r="P13" s="62">
        <v>0.72</v>
      </c>
      <c r="Q13" s="62">
        <v>0.54</v>
      </c>
      <c r="R13" s="62">
        <v>0.31</v>
      </c>
      <c r="S13" s="62">
        <v>0.85</v>
      </c>
      <c r="T13" s="62">
        <v>0.84</v>
      </c>
      <c r="U13" s="62">
        <v>0.96</v>
      </c>
      <c r="V13" s="62">
        <v>1.04</v>
      </c>
      <c r="W13" s="62">
        <v>0.6</v>
      </c>
      <c r="X13" s="62">
        <v>0.72</v>
      </c>
      <c r="Y13" s="62">
        <v>0.7</v>
      </c>
      <c r="Z13" s="62">
        <v>0.72</v>
      </c>
      <c r="AA13" s="62">
        <v>1.03</v>
      </c>
      <c r="AB13" s="62">
        <v>1.3</v>
      </c>
      <c r="AC13" s="62">
        <v>1.1299999999999999</v>
      </c>
      <c r="AD13" s="62">
        <v>0.9</v>
      </c>
      <c r="AE13" s="70">
        <f>SUM(B13:AD13)</f>
        <v>26.09</v>
      </c>
    </row>
    <row r="14" spans="1:31" outlineLevel="1" x14ac:dyDescent="0.35">
      <c r="A14" s="32" t="s">
        <v>81</v>
      </c>
      <c r="B14" s="60">
        <v>45870</v>
      </c>
      <c r="C14" s="60">
        <v>45870</v>
      </c>
      <c r="D14" s="60">
        <v>45870</v>
      </c>
      <c r="E14" s="60">
        <v>45870</v>
      </c>
      <c r="F14" s="60">
        <v>45870</v>
      </c>
      <c r="G14" s="60">
        <v>45870</v>
      </c>
      <c r="H14" s="60">
        <v>45870</v>
      </c>
      <c r="I14" s="60">
        <v>45870</v>
      </c>
      <c r="J14" s="60">
        <v>45870</v>
      </c>
      <c r="K14" s="60">
        <v>45870</v>
      </c>
      <c r="L14" s="60">
        <v>45870</v>
      </c>
      <c r="M14" s="60">
        <v>45870</v>
      </c>
      <c r="N14" s="60">
        <v>45870</v>
      </c>
      <c r="O14" s="60">
        <v>45870</v>
      </c>
      <c r="P14" s="60">
        <v>45870</v>
      </c>
      <c r="Q14" s="60">
        <v>45870</v>
      </c>
      <c r="R14" s="60">
        <v>45870</v>
      </c>
      <c r="S14" s="60">
        <v>45870</v>
      </c>
      <c r="T14" s="60">
        <v>45870</v>
      </c>
      <c r="U14" s="60">
        <v>45870</v>
      </c>
      <c r="V14" s="60">
        <v>45870</v>
      </c>
      <c r="W14" s="60">
        <v>45870</v>
      </c>
      <c r="X14" s="60">
        <v>45870</v>
      </c>
      <c r="Y14" s="60">
        <v>45870</v>
      </c>
      <c r="Z14" s="60">
        <v>45870</v>
      </c>
      <c r="AA14" s="60">
        <v>45870</v>
      </c>
      <c r="AB14" s="60">
        <v>45870</v>
      </c>
      <c r="AC14" s="60">
        <v>45870</v>
      </c>
      <c r="AD14" s="60">
        <v>45870</v>
      </c>
      <c r="AE14" s="59"/>
    </row>
    <row r="15" spans="1:31" outlineLevel="1" x14ac:dyDescent="0.35">
      <c r="A15" s="32" t="s">
        <v>82</v>
      </c>
      <c r="B15" s="60">
        <v>45940</v>
      </c>
      <c r="C15" s="60">
        <v>45940</v>
      </c>
      <c r="D15" s="60">
        <v>45940</v>
      </c>
      <c r="E15" s="60">
        <v>45940</v>
      </c>
      <c r="F15" s="60">
        <v>45940</v>
      </c>
      <c r="G15" s="60">
        <v>45940</v>
      </c>
      <c r="H15" s="60">
        <v>45940</v>
      </c>
      <c r="I15" s="60">
        <v>45940</v>
      </c>
      <c r="J15" s="60">
        <v>45940</v>
      </c>
      <c r="K15" s="60">
        <v>45940</v>
      </c>
      <c r="L15" s="60">
        <v>45940</v>
      </c>
      <c r="M15" s="60">
        <v>45940</v>
      </c>
      <c r="N15" s="60">
        <v>45940</v>
      </c>
      <c r="O15" s="60">
        <v>45940</v>
      </c>
      <c r="P15" s="60">
        <v>45940</v>
      </c>
      <c r="Q15" s="60">
        <v>45940</v>
      </c>
      <c r="R15" s="60">
        <v>45940</v>
      </c>
      <c r="S15" s="60">
        <v>45940</v>
      </c>
      <c r="T15" s="60">
        <v>45940</v>
      </c>
      <c r="U15" s="60">
        <v>45940</v>
      </c>
      <c r="V15" s="60">
        <v>45940</v>
      </c>
      <c r="W15" s="60">
        <v>45940</v>
      </c>
      <c r="X15" s="60">
        <v>45940</v>
      </c>
      <c r="Y15" s="60">
        <v>45940</v>
      </c>
      <c r="Z15" s="60">
        <v>45940</v>
      </c>
      <c r="AA15" s="60">
        <v>45940</v>
      </c>
      <c r="AB15" s="60">
        <v>45940</v>
      </c>
      <c r="AC15" s="60">
        <v>45940</v>
      </c>
      <c r="AD15" s="60">
        <v>45940</v>
      </c>
      <c r="AE15" s="59"/>
    </row>
    <row r="16" spans="1:31" outlineLevel="1" x14ac:dyDescent="0.35">
      <c r="A16" s="32" t="s">
        <v>83</v>
      </c>
      <c r="B16" s="60">
        <v>46172</v>
      </c>
      <c r="C16" s="60">
        <v>46172</v>
      </c>
      <c r="D16" s="60">
        <v>46172</v>
      </c>
      <c r="E16" s="60">
        <v>46172</v>
      </c>
      <c r="F16" s="60">
        <v>46172</v>
      </c>
      <c r="G16" s="60">
        <v>46172</v>
      </c>
      <c r="H16" s="60">
        <v>46172</v>
      </c>
      <c r="I16" s="60">
        <v>46172</v>
      </c>
      <c r="J16" s="60">
        <v>46172</v>
      </c>
      <c r="K16" s="60">
        <v>46172</v>
      </c>
      <c r="L16" s="60">
        <v>46172</v>
      </c>
      <c r="M16" s="60">
        <v>46172</v>
      </c>
      <c r="N16" s="60">
        <v>46172</v>
      </c>
      <c r="O16" s="60">
        <v>46172</v>
      </c>
      <c r="P16" s="60">
        <v>46172</v>
      </c>
      <c r="Q16" s="60">
        <v>46172</v>
      </c>
      <c r="R16" s="60">
        <v>46172</v>
      </c>
      <c r="S16" s="60">
        <v>46172</v>
      </c>
      <c r="T16" s="60">
        <v>46172</v>
      </c>
      <c r="U16" s="60">
        <v>46172</v>
      </c>
      <c r="V16" s="60">
        <v>46172</v>
      </c>
      <c r="W16" s="60">
        <v>46172</v>
      </c>
      <c r="X16" s="60">
        <v>46172</v>
      </c>
      <c r="Y16" s="60">
        <v>46172</v>
      </c>
      <c r="Z16" s="60">
        <v>46172</v>
      </c>
      <c r="AA16" s="60">
        <v>46172</v>
      </c>
      <c r="AB16" s="60">
        <v>46172</v>
      </c>
      <c r="AC16" s="60">
        <v>46172</v>
      </c>
      <c r="AD16" s="60">
        <v>46172</v>
      </c>
      <c r="AE16" s="59"/>
    </row>
    <row r="17" spans="1:31" outlineLevel="1" x14ac:dyDescent="0.35">
      <c r="A17" s="63" t="s">
        <v>85</v>
      </c>
      <c r="B17" s="64">
        <f>+(B16-B14)/30</f>
        <v>10.066666666666666</v>
      </c>
      <c r="C17" s="64">
        <f t="shared" ref="C17:AD17" si="1">+(C16-C14)/30</f>
        <v>10.066666666666666</v>
      </c>
      <c r="D17" s="64">
        <f t="shared" si="1"/>
        <v>10.066666666666666</v>
      </c>
      <c r="E17" s="64">
        <f t="shared" si="1"/>
        <v>10.066666666666666</v>
      </c>
      <c r="F17" s="64">
        <f t="shared" si="1"/>
        <v>10.066666666666666</v>
      </c>
      <c r="G17" s="64">
        <f t="shared" si="1"/>
        <v>10.066666666666666</v>
      </c>
      <c r="H17" s="64">
        <f t="shared" si="1"/>
        <v>10.066666666666666</v>
      </c>
      <c r="I17" s="64">
        <f t="shared" si="1"/>
        <v>10.066666666666666</v>
      </c>
      <c r="J17" s="64">
        <f t="shared" si="1"/>
        <v>10.066666666666666</v>
      </c>
      <c r="K17" s="64">
        <f t="shared" si="1"/>
        <v>10.066666666666666</v>
      </c>
      <c r="L17" s="64">
        <f t="shared" si="1"/>
        <v>10.066666666666666</v>
      </c>
      <c r="M17" s="64">
        <f t="shared" si="1"/>
        <v>10.066666666666666</v>
      </c>
      <c r="N17" s="64">
        <f t="shared" si="1"/>
        <v>10.066666666666666</v>
      </c>
      <c r="O17" s="64">
        <f t="shared" si="1"/>
        <v>10.066666666666666</v>
      </c>
      <c r="P17" s="64">
        <f t="shared" si="1"/>
        <v>10.066666666666666</v>
      </c>
      <c r="Q17" s="64">
        <f t="shared" si="1"/>
        <v>10.066666666666666</v>
      </c>
      <c r="R17" s="64">
        <f t="shared" si="1"/>
        <v>10.066666666666666</v>
      </c>
      <c r="S17" s="64">
        <f t="shared" si="1"/>
        <v>10.066666666666666</v>
      </c>
      <c r="T17" s="64">
        <f t="shared" si="1"/>
        <v>10.066666666666666</v>
      </c>
      <c r="U17" s="64">
        <f t="shared" si="1"/>
        <v>10.066666666666666</v>
      </c>
      <c r="V17" s="64">
        <f t="shared" si="1"/>
        <v>10.066666666666666</v>
      </c>
      <c r="W17" s="64">
        <f t="shared" si="1"/>
        <v>10.066666666666666</v>
      </c>
      <c r="X17" s="64">
        <f t="shared" si="1"/>
        <v>10.066666666666666</v>
      </c>
      <c r="Y17" s="64">
        <f t="shared" si="1"/>
        <v>10.066666666666666</v>
      </c>
      <c r="Z17" s="64">
        <f t="shared" si="1"/>
        <v>10.066666666666666</v>
      </c>
      <c r="AA17" s="64">
        <f t="shared" si="1"/>
        <v>10.066666666666666</v>
      </c>
      <c r="AB17" s="64">
        <f t="shared" si="1"/>
        <v>10.066666666666666</v>
      </c>
      <c r="AC17" s="64">
        <f t="shared" si="1"/>
        <v>10.066666666666666</v>
      </c>
      <c r="AD17" s="64">
        <f t="shared" si="1"/>
        <v>10.066666666666666</v>
      </c>
      <c r="AE17" s="59"/>
    </row>
    <row r="18" spans="1:31" outlineLevel="1" x14ac:dyDescent="0.35">
      <c r="A18" s="65" t="s">
        <v>336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</row>
    <row r="19" spans="1:31" outlineLevel="1" x14ac:dyDescent="0.35">
      <c r="A19" s="32" t="s">
        <v>80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70">
        <f>SUM(B19:AD19)</f>
        <v>0</v>
      </c>
    </row>
    <row r="20" spans="1:31" outlineLevel="1" x14ac:dyDescent="0.35">
      <c r="A20" s="32" t="s">
        <v>81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59"/>
    </row>
    <row r="21" spans="1:31" outlineLevel="1" x14ac:dyDescent="0.35">
      <c r="A21" s="32" t="s">
        <v>82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59"/>
    </row>
    <row r="22" spans="1:31" outlineLevel="1" x14ac:dyDescent="0.35">
      <c r="A22" s="32" t="s">
        <v>83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59"/>
    </row>
    <row r="23" spans="1:31" outlineLevel="1" x14ac:dyDescent="0.35">
      <c r="A23" s="63" t="s">
        <v>85</v>
      </c>
      <c r="B23" s="64">
        <f>+(B22-B20)/30</f>
        <v>0</v>
      </c>
      <c r="C23" s="64">
        <f t="shared" ref="C23" si="2">+(C22-C20)/30</f>
        <v>0</v>
      </c>
      <c r="D23" s="64"/>
      <c r="E23" s="64">
        <f t="shared" ref="E23:AD23" si="3">+(E22-E20)/30</f>
        <v>0</v>
      </c>
      <c r="F23" s="64">
        <f t="shared" si="3"/>
        <v>0</v>
      </c>
      <c r="G23" s="64">
        <f t="shared" si="3"/>
        <v>0</v>
      </c>
      <c r="H23" s="64">
        <f t="shared" si="3"/>
        <v>0</v>
      </c>
      <c r="I23" s="64">
        <f t="shared" si="3"/>
        <v>0</v>
      </c>
      <c r="J23" s="64">
        <f t="shared" si="3"/>
        <v>0</v>
      </c>
      <c r="K23" s="64">
        <f t="shared" si="3"/>
        <v>0</v>
      </c>
      <c r="L23" s="64">
        <f t="shared" si="3"/>
        <v>0</v>
      </c>
      <c r="M23" s="64">
        <f t="shared" si="3"/>
        <v>0</v>
      </c>
      <c r="N23" s="64">
        <f t="shared" si="3"/>
        <v>0</v>
      </c>
      <c r="O23" s="64">
        <f t="shared" si="3"/>
        <v>0</v>
      </c>
      <c r="P23" s="64">
        <f t="shared" si="3"/>
        <v>0</v>
      </c>
      <c r="Q23" s="64">
        <f t="shared" si="3"/>
        <v>0</v>
      </c>
      <c r="R23" s="64">
        <f t="shared" si="3"/>
        <v>0</v>
      </c>
      <c r="S23" s="64">
        <f t="shared" si="3"/>
        <v>0</v>
      </c>
      <c r="T23" s="64">
        <f t="shared" si="3"/>
        <v>0</v>
      </c>
      <c r="U23" s="64">
        <f t="shared" si="3"/>
        <v>0</v>
      </c>
      <c r="V23" s="64">
        <f t="shared" si="3"/>
        <v>0</v>
      </c>
      <c r="W23" s="64">
        <f t="shared" si="3"/>
        <v>0</v>
      </c>
      <c r="X23" s="64">
        <f t="shared" si="3"/>
        <v>0</v>
      </c>
      <c r="Y23" s="64">
        <f t="shared" si="3"/>
        <v>0</v>
      </c>
      <c r="Z23" s="64">
        <f t="shared" si="3"/>
        <v>0</v>
      </c>
      <c r="AA23" s="64">
        <f t="shared" si="3"/>
        <v>0</v>
      </c>
      <c r="AB23" s="64">
        <f t="shared" si="3"/>
        <v>0</v>
      </c>
      <c r="AC23" s="64">
        <f t="shared" si="3"/>
        <v>0</v>
      </c>
      <c r="AD23" s="64">
        <f t="shared" si="3"/>
        <v>0</v>
      </c>
      <c r="AE23" s="59"/>
    </row>
    <row r="24" spans="1:31" outlineLevel="1" x14ac:dyDescent="0.35">
      <c r="A24" s="65" t="s">
        <v>337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</row>
    <row r="25" spans="1:31" outlineLevel="1" x14ac:dyDescent="0.35">
      <c r="A25" s="32" t="s">
        <v>80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70">
        <f>SUM(B25:AD25)</f>
        <v>0</v>
      </c>
    </row>
    <row r="26" spans="1:31" outlineLevel="1" x14ac:dyDescent="0.35">
      <c r="A26" s="32" t="s">
        <v>81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59"/>
    </row>
    <row r="27" spans="1:31" outlineLevel="1" x14ac:dyDescent="0.35">
      <c r="A27" s="32" t="s">
        <v>82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59"/>
    </row>
    <row r="28" spans="1:31" outlineLevel="1" x14ac:dyDescent="0.35">
      <c r="A28" s="32" t="s">
        <v>83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59"/>
    </row>
    <row r="29" spans="1:31" outlineLevel="1" x14ac:dyDescent="0.35">
      <c r="A29" s="63" t="s">
        <v>85</v>
      </c>
      <c r="B29" s="64">
        <f>+(B28-B26)/30</f>
        <v>0</v>
      </c>
      <c r="C29" s="64">
        <f t="shared" ref="C29:AD29" si="4">+(C28-C26)/30</f>
        <v>0</v>
      </c>
      <c r="D29" s="64">
        <f t="shared" si="4"/>
        <v>0</v>
      </c>
      <c r="E29" s="64">
        <f t="shared" si="4"/>
        <v>0</v>
      </c>
      <c r="F29" s="64">
        <f t="shared" si="4"/>
        <v>0</v>
      </c>
      <c r="G29" s="64">
        <f t="shared" si="4"/>
        <v>0</v>
      </c>
      <c r="H29" s="64">
        <f t="shared" si="4"/>
        <v>0</v>
      </c>
      <c r="I29" s="64">
        <f t="shared" si="4"/>
        <v>0</v>
      </c>
      <c r="J29" s="64">
        <f t="shared" si="4"/>
        <v>0</v>
      </c>
      <c r="K29" s="64">
        <f t="shared" si="4"/>
        <v>0</v>
      </c>
      <c r="L29" s="64">
        <f t="shared" si="4"/>
        <v>0</v>
      </c>
      <c r="M29" s="64">
        <f t="shared" si="4"/>
        <v>0</v>
      </c>
      <c r="N29" s="64">
        <f t="shared" si="4"/>
        <v>0</v>
      </c>
      <c r="O29" s="64">
        <f t="shared" si="4"/>
        <v>0</v>
      </c>
      <c r="P29" s="64">
        <f t="shared" si="4"/>
        <v>0</v>
      </c>
      <c r="Q29" s="64">
        <f t="shared" si="4"/>
        <v>0</v>
      </c>
      <c r="R29" s="64">
        <f t="shared" si="4"/>
        <v>0</v>
      </c>
      <c r="S29" s="64">
        <f t="shared" si="4"/>
        <v>0</v>
      </c>
      <c r="T29" s="64">
        <f t="shared" si="4"/>
        <v>0</v>
      </c>
      <c r="U29" s="64">
        <f t="shared" si="4"/>
        <v>0</v>
      </c>
      <c r="V29" s="64">
        <f t="shared" si="4"/>
        <v>0</v>
      </c>
      <c r="W29" s="64">
        <f t="shared" si="4"/>
        <v>0</v>
      </c>
      <c r="X29" s="64">
        <f t="shared" si="4"/>
        <v>0</v>
      </c>
      <c r="Y29" s="64">
        <f t="shared" si="4"/>
        <v>0</v>
      </c>
      <c r="Z29" s="64">
        <f t="shared" si="4"/>
        <v>0</v>
      </c>
      <c r="AA29" s="64">
        <f t="shared" si="4"/>
        <v>0</v>
      </c>
      <c r="AB29" s="64">
        <f t="shared" si="4"/>
        <v>0</v>
      </c>
      <c r="AC29" s="64">
        <f t="shared" si="4"/>
        <v>0</v>
      </c>
      <c r="AD29" s="64">
        <f t="shared" si="4"/>
        <v>0</v>
      </c>
      <c r="AE29" s="59"/>
    </row>
    <row r="30" spans="1:31" outlineLevel="1" x14ac:dyDescent="0.35">
      <c r="A30" s="65" t="s">
        <v>338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outlineLevel="1" x14ac:dyDescent="0.35">
      <c r="A31" s="32" t="s">
        <v>80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70">
        <f>SUM(D31:AD31)</f>
        <v>0</v>
      </c>
    </row>
    <row r="32" spans="1:31" outlineLevel="1" x14ac:dyDescent="0.35">
      <c r="A32" s="32" t="s">
        <v>81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59"/>
    </row>
    <row r="33" spans="1:31" outlineLevel="1" x14ac:dyDescent="0.35">
      <c r="A33" s="32" t="s">
        <v>82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59"/>
    </row>
    <row r="34" spans="1:31" outlineLevel="1" x14ac:dyDescent="0.35">
      <c r="A34" s="32" t="s">
        <v>83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59"/>
    </row>
    <row r="35" spans="1:31" outlineLevel="1" x14ac:dyDescent="0.35">
      <c r="A35" s="63" t="s">
        <v>85</v>
      </c>
      <c r="B35" s="64">
        <f>+(B34-B32)/30</f>
        <v>0</v>
      </c>
      <c r="C35" s="64">
        <f t="shared" ref="C35:AD35" si="5">+(C34-C32)/30</f>
        <v>0</v>
      </c>
      <c r="D35" s="64">
        <f t="shared" si="5"/>
        <v>0</v>
      </c>
      <c r="E35" s="64">
        <f t="shared" si="5"/>
        <v>0</v>
      </c>
      <c r="F35" s="64">
        <f t="shared" si="5"/>
        <v>0</v>
      </c>
      <c r="G35" s="64">
        <f t="shared" si="5"/>
        <v>0</v>
      </c>
      <c r="H35" s="64">
        <f t="shared" si="5"/>
        <v>0</v>
      </c>
      <c r="I35" s="64">
        <f t="shared" si="5"/>
        <v>0</v>
      </c>
      <c r="J35" s="64">
        <f t="shared" si="5"/>
        <v>0</v>
      </c>
      <c r="K35" s="64">
        <f t="shared" si="5"/>
        <v>0</v>
      </c>
      <c r="L35" s="64">
        <f t="shared" si="5"/>
        <v>0</v>
      </c>
      <c r="M35" s="64">
        <f t="shared" si="5"/>
        <v>0</v>
      </c>
      <c r="N35" s="64">
        <f t="shared" si="5"/>
        <v>0</v>
      </c>
      <c r="O35" s="64">
        <f t="shared" si="5"/>
        <v>0</v>
      </c>
      <c r="P35" s="64">
        <f t="shared" si="5"/>
        <v>0</v>
      </c>
      <c r="Q35" s="64">
        <f t="shared" si="5"/>
        <v>0</v>
      </c>
      <c r="R35" s="64">
        <f t="shared" si="5"/>
        <v>0</v>
      </c>
      <c r="S35" s="64">
        <f t="shared" si="5"/>
        <v>0</v>
      </c>
      <c r="T35" s="64">
        <f t="shared" si="5"/>
        <v>0</v>
      </c>
      <c r="U35" s="64">
        <f t="shared" si="5"/>
        <v>0</v>
      </c>
      <c r="V35" s="64">
        <f t="shared" si="5"/>
        <v>0</v>
      </c>
      <c r="W35" s="64">
        <f t="shared" si="5"/>
        <v>0</v>
      </c>
      <c r="X35" s="64">
        <f t="shared" si="5"/>
        <v>0</v>
      </c>
      <c r="Y35" s="64">
        <f t="shared" si="5"/>
        <v>0</v>
      </c>
      <c r="Z35" s="64">
        <f t="shared" si="5"/>
        <v>0</v>
      </c>
      <c r="AA35" s="64">
        <f t="shared" si="5"/>
        <v>0</v>
      </c>
      <c r="AB35" s="64">
        <f t="shared" si="5"/>
        <v>0</v>
      </c>
      <c r="AC35" s="64">
        <f t="shared" si="5"/>
        <v>0</v>
      </c>
      <c r="AD35" s="64">
        <f t="shared" si="5"/>
        <v>0</v>
      </c>
      <c r="AE35" s="59"/>
    </row>
    <row r="36" spans="1:31" outlineLevel="1" x14ac:dyDescent="0.35">
      <c r="A36" s="65" t="s">
        <v>339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</row>
    <row r="37" spans="1:31" outlineLevel="1" x14ac:dyDescent="0.35">
      <c r="A37" s="32" t="s">
        <v>80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70">
        <f>SUM(D37:AD37)</f>
        <v>0</v>
      </c>
    </row>
    <row r="38" spans="1:31" outlineLevel="1" x14ac:dyDescent="0.35">
      <c r="A38" s="32" t="s">
        <v>81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59"/>
    </row>
    <row r="39" spans="1:31" outlineLevel="1" x14ac:dyDescent="0.35">
      <c r="A39" s="32" t="s">
        <v>82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59"/>
    </row>
    <row r="40" spans="1:31" outlineLevel="1" x14ac:dyDescent="0.35">
      <c r="A40" s="32" t="s">
        <v>83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59"/>
    </row>
    <row r="41" spans="1:31" outlineLevel="1" x14ac:dyDescent="0.35">
      <c r="A41" s="63" t="s">
        <v>85</v>
      </c>
      <c r="B41" s="64">
        <f>+(B40-B38)/30</f>
        <v>0</v>
      </c>
      <c r="C41" s="64">
        <f t="shared" ref="C41:AD41" si="6">+(C40-C38)/30</f>
        <v>0</v>
      </c>
      <c r="D41" s="64">
        <f t="shared" si="6"/>
        <v>0</v>
      </c>
      <c r="E41" s="64">
        <f t="shared" si="6"/>
        <v>0</v>
      </c>
      <c r="F41" s="64">
        <f t="shared" si="6"/>
        <v>0</v>
      </c>
      <c r="G41" s="64">
        <f t="shared" si="6"/>
        <v>0</v>
      </c>
      <c r="H41" s="64">
        <f t="shared" si="6"/>
        <v>0</v>
      </c>
      <c r="I41" s="64">
        <f t="shared" si="6"/>
        <v>0</v>
      </c>
      <c r="J41" s="64">
        <f t="shared" si="6"/>
        <v>0</v>
      </c>
      <c r="K41" s="64">
        <f t="shared" si="6"/>
        <v>0</v>
      </c>
      <c r="L41" s="64">
        <f t="shared" si="6"/>
        <v>0</v>
      </c>
      <c r="M41" s="64">
        <f t="shared" si="6"/>
        <v>0</v>
      </c>
      <c r="N41" s="64">
        <f t="shared" si="6"/>
        <v>0</v>
      </c>
      <c r="O41" s="64">
        <f t="shared" si="6"/>
        <v>0</v>
      </c>
      <c r="P41" s="64">
        <f t="shared" si="6"/>
        <v>0</v>
      </c>
      <c r="Q41" s="64">
        <f t="shared" si="6"/>
        <v>0</v>
      </c>
      <c r="R41" s="64">
        <f t="shared" si="6"/>
        <v>0</v>
      </c>
      <c r="S41" s="64">
        <f t="shared" si="6"/>
        <v>0</v>
      </c>
      <c r="T41" s="64">
        <f t="shared" si="6"/>
        <v>0</v>
      </c>
      <c r="U41" s="64">
        <f t="shared" si="6"/>
        <v>0</v>
      </c>
      <c r="V41" s="64">
        <f t="shared" si="6"/>
        <v>0</v>
      </c>
      <c r="W41" s="64">
        <f t="shared" si="6"/>
        <v>0</v>
      </c>
      <c r="X41" s="64">
        <f t="shared" si="6"/>
        <v>0</v>
      </c>
      <c r="Y41" s="64">
        <f t="shared" si="6"/>
        <v>0</v>
      </c>
      <c r="Z41" s="64">
        <f t="shared" si="6"/>
        <v>0</v>
      </c>
      <c r="AA41" s="64">
        <f t="shared" si="6"/>
        <v>0</v>
      </c>
      <c r="AB41" s="64">
        <f t="shared" si="6"/>
        <v>0</v>
      </c>
      <c r="AC41" s="64">
        <f t="shared" si="6"/>
        <v>0</v>
      </c>
      <c r="AD41" s="64">
        <f t="shared" si="6"/>
        <v>0</v>
      </c>
      <c r="AE41" s="59"/>
    </row>
  </sheetData>
  <phoneticPr fontId="3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113"/>
  <sheetViews>
    <sheetView zoomScale="110" zoomScaleNormal="110" workbookViewId="0">
      <pane xSplit="1" topLeftCell="B1" activePane="topRight" state="frozen"/>
      <selection pane="topRight" sqref="A1:XFD1048576"/>
    </sheetView>
  </sheetViews>
  <sheetFormatPr baseColWidth="10" defaultColWidth="11.46484375" defaultRowHeight="11.65" x14ac:dyDescent="0.35"/>
  <cols>
    <col min="1" max="1" width="20.59765625" style="32" customWidth="1"/>
    <col min="2" max="14" width="10.59765625" style="32" customWidth="1"/>
    <col min="15" max="16384" width="11.46484375" style="32"/>
  </cols>
  <sheetData>
    <row r="1" spans="1:16" ht="35.25" thickBot="1" x14ac:dyDescent="0.4">
      <c r="A1" s="68" t="s">
        <v>310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</row>
    <row r="2" spans="1:16" x14ac:dyDescent="0.35"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</row>
    <row r="3" spans="1:16" s="57" customFormat="1" ht="12" thickBot="1" x14ac:dyDescent="0.4">
      <c r="B3" s="302">
        <f>+Synthèse!$B$2</f>
        <v>45839</v>
      </c>
      <c r="C3" s="302">
        <f>+B3+31</f>
        <v>45870</v>
      </c>
      <c r="D3" s="302">
        <f t="shared" ref="D3:M3" si="0">+C3+31</f>
        <v>45901</v>
      </c>
      <c r="E3" s="302">
        <f t="shared" si="0"/>
        <v>45932</v>
      </c>
      <c r="F3" s="302">
        <f t="shared" si="0"/>
        <v>45963</v>
      </c>
      <c r="G3" s="302">
        <f t="shared" si="0"/>
        <v>45994</v>
      </c>
      <c r="H3" s="302">
        <f t="shared" si="0"/>
        <v>46025</v>
      </c>
      <c r="I3" s="302">
        <f t="shared" si="0"/>
        <v>46056</v>
      </c>
      <c r="J3" s="302">
        <f t="shared" si="0"/>
        <v>46087</v>
      </c>
      <c r="K3" s="302">
        <f t="shared" si="0"/>
        <v>46118</v>
      </c>
      <c r="L3" s="302">
        <f t="shared" si="0"/>
        <v>46149</v>
      </c>
      <c r="M3" s="302">
        <f t="shared" si="0"/>
        <v>46180</v>
      </c>
      <c r="N3" s="303" t="s">
        <v>84</v>
      </c>
    </row>
    <row r="4" spans="1:16" s="57" customFormat="1" x14ac:dyDescent="0.35">
      <c r="A4" s="312" t="s">
        <v>472</v>
      </c>
      <c r="B4" s="327">
        <f>B7+B28+B49+B70+B91</f>
        <v>0</v>
      </c>
      <c r="C4" s="327">
        <f t="shared" ref="C4:N4" si="1">C7+C28+C49+C70+C91</f>
        <v>0</v>
      </c>
      <c r="D4" s="327">
        <f t="shared" si="1"/>
        <v>0</v>
      </c>
      <c r="E4" s="327">
        <f t="shared" si="1"/>
        <v>1044485</v>
      </c>
      <c r="F4" s="327">
        <f t="shared" si="1"/>
        <v>1323610</v>
      </c>
      <c r="G4" s="327">
        <f t="shared" si="1"/>
        <v>978770</v>
      </c>
      <c r="H4" s="327">
        <f t="shared" si="1"/>
        <v>978770</v>
      </c>
      <c r="I4" s="327">
        <f t="shared" si="1"/>
        <v>1240820</v>
      </c>
      <c r="J4" s="327">
        <f t="shared" si="1"/>
        <v>1034520</v>
      </c>
      <c r="K4" s="327">
        <f t="shared" si="1"/>
        <v>1034520</v>
      </c>
      <c r="L4" s="327">
        <f t="shared" si="1"/>
        <v>772470</v>
      </c>
      <c r="M4" s="327">
        <f t="shared" si="1"/>
        <v>427630</v>
      </c>
      <c r="N4" s="328">
        <f t="shared" si="1"/>
        <v>8835595</v>
      </c>
    </row>
    <row r="5" spans="1:16" s="57" customFormat="1" x14ac:dyDescent="0.35">
      <c r="A5" s="313" t="s">
        <v>87</v>
      </c>
      <c r="B5" s="324">
        <f>B8+B29+B50+B71+B92</f>
        <v>68.968000000000004</v>
      </c>
      <c r="C5" s="324">
        <f t="shared" ref="C5:N5" si="2">C8+C29+C50+C71+C92</f>
        <v>68.968000000000004</v>
      </c>
      <c r="D5" s="324">
        <f t="shared" si="2"/>
        <v>68.968000000000004</v>
      </c>
      <c r="E5" s="324">
        <f t="shared" si="2"/>
        <v>68.968000000000004</v>
      </c>
      <c r="F5" s="324">
        <f t="shared" si="2"/>
        <v>68.968000000000004</v>
      </c>
      <c r="G5" s="324">
        <f t="shared" si="2"/>
        <v>68.968000000000004</v>
      </c>
      <c r="H5" s="324">
        <f t="shared" si="2"/>
        <v>68.968000000000004</v>
      </c>
      <c r="I5" s="324">
        <f t="shared" si="2"/>
        <v>68.968000000000004</v>
      </c>
      <c r="J5" s="324">
        <f t="shared" si="2"/>
        <v>68.968000000000004</v>
      </c>
      <c r="K5" s="324">
        <f t="shared" si="2"/>
        <v>68.968000000000004</v>
      </c>
      <c r="L5" s="324">
        <f t="shared" si="2"/>
        <v>68.968000000000004</v>
      </c>
      <c r="M5" s="324">
        <f t="shared" si="2"/>
        <v>68.968000000000004</v>
      </c>
      <c r="N5" s="325">
        <f t="shared" si="2"/>
        <v>68.968000000000004</v>
      </c>
    </row>
    <row r="6" spans="1:16" s="57" customFormat="1" ht="12" thickBot="1" x14ac:dyDescent="0.4">
      <c r="A6" s="313" t="s">
        <v>470</v>
      </c>
      <c r="B6" s="324">
        <f t="shared" ref="B6:N6" si="3">+B4/B5</f>
        <v>0</v>
      </c>
      <c r="C6" s="324">
        <f t="shared" si="3"/>
        <v>0</v>
      </c>
      <c r="D6" s="324">
        <f t="shared" si="3"/>
        <v>0</v>
      </c>
      <c r="E6" s="324">
        <f t="shared" si="3"/>
        <v>15144.487298457254</v>
      </c>
      <c r="F6" s="324">
        <f t="shared" si="3"/>
        <v>19191.654100452382</v>
      </c>
      <c r="G6" s="324">
        <f t="shared" si="3"/>
        <v>14191.654100452382</v>
      </c>
      <c r="H6" s="324">
        <f t="shared" si="3"/>
        <v>14191.654100452382</v>
      </c>
      <c r="I6" s="324">
        <f t="shared" si="3"/>
        <v>17991.24231527665</v>
      </c>
      <c r="J6" s="324">
        <f t="shared" si="3"/>
        <v>15000</v>
      </c>
      <c r="K6" s="324">
        <f t="shared" si="3"/>
        <v>15000</v>
      </c>
      <c r="L6" s="324">
        <f t="shared" si="3"/>
        <v>11200.411785175733</v>
      </c>
      <c r="M6" s="324">
        <f t="shared" si="3"/>
        <v>6200.4117851757337</v>
      </c>
      <c r="N6" s="325">
        <f t="shared" si="3"/>
        <v>128111.51548544252</v>
      </c>
    </row>
    <row r="7" spans="1:16" s="57" customFormat="1" x14ac:dyDescent="0.35">
      <c r="A7" s="315" t="s">
        <v>471</v>
      </c>
      <c r="B7" s="329">
        <f>+B10+B13+B16+B19+B22+B25</f>
        <v>0</v>
      </c>
      <c r="C7" s="329">
        <f>+C10+C13+C16+C19+C22+C25</f>
        <v>0</v>
      </c>
      <c r="D7" s="329">
        <f t="shared" ref="D7:M7" si="4">+D10+D13+D16+D19+D22+D25</f>
        <v>0</v>
      </c>
      <c r="E7" s="329">
        <f>+E10+E13+E16+E19+E22+E25</f>
        <v>0</v>
      </c>
      <c r="F7" s="329">
        <f t="shared" si="4"/>
        <v>307000.00000000006</v>
      </c>
      <c r="G7" s="329">
        <f t="shared" si="4"/>
        <v>230250.00000000006</v>
      </c>
      <c r="H7" s="329">
        <f t="shared" si="4"/>
        <v>230250.00000000006</v>
      </c>
      <c r="I7" s="329">
        <f t="shared" si="4"/>
        <v>307000.00000000006</v>
      </c>
      <c r="J7" s="329">
        <f t="shared" si="4"/>
        <v>230250.00000000006</v>
      </c>
      <c r="K7" s="329">
        <f t="shared" si="4"/>
        <v>230250.00000000006</v>
      </c>
      <c r="L7" s="329">
        <f t="shared" si="4"/>
        <v>153500.00000000003</v>
      </c>
      <c r="M7" s="329">
        <f t="shared" si="4"/>
        <v>76750.000000000015</v>
      </c>
      <c r="N7" s="330">
        <f>SUM(B7:M7)</f>
        <v>1765250.0000000002</v>
      </c>
    </row>
    <row r="8" spans="1:16" s="57" customFormat="1" x14ac:dyDescent="0.35">
      <c r="A8" s="318" t="s">
        <v>87</v>
      </c>
      <c r="B8" s="326">
        <f>'Plan de culture 104 '!$C$3</f>
        <v>15.350000000000003</v>
      </c>
      <c r="C8" s="326">
        <f>'Plan de culture 104 '!$C$3</f>
        <v>15.350000000000003</v>
      </c>
      <c r="D8" s="326">
        <f>'Plan de culture 104 '!$C$3</f>
        <v>15.350000000000003</v>
      </c>
      <c r="E8" s="326">
        <f>'Plan de culture 104 '!$C$3</f>
        <v>15.350000000000003</v>
      </c>
      <c r="F8" s="326">
        <f>'Plan de culture 104 '!$C$3</f>
        <v>15.350000000000003</v>
      </c>
      <c r="G8" s="326">
        <f>'Plan de culture 104 '!$C$3</f>
        <v>15.350000000000003</v>
      </c>
      <c r="H8" s="326">
        <f>'Plan de culture 104 '!$C$3</f>
        <v>15.350000000000003</v>
      </c>
      <c r="I8" s="326">
        <f>'Plan de culture 104 '!$C$3</f>
        <v>15.350000000000003</v>
      </c>
      <c r="J8" s="326">
        <f>'Plan de culture 104 '!$C$3</f>
        <v>15.350000000000003</v>
      </c>
      <c r="K8" s="326">
        <f>'Plan de culture 104 '!$C$3</f>
        <v>15.350000000000003</v>
      </c>
      <c r="L8" s="326">
        <f>'Plan de culture 104 '!$C$3</f>
        <v>15.350000000000003</v>
      </c>
      <c r="M8" s="326">
        <f>'Plan de culture 104 '!$C$3</f>
        <v>15.350000000000003</v>
      </c>
      <c r="N8" s="326">
        <f>'Plan de culture 104 '!$C$3</f>
        <v>15.350000000000003</v>
      </c>
    </row>
    <row r="9" spans="1:16" s="57" customFormat="1" ht="12" thickBot="1" x14ac:dyDescent="0.4">
      <c r="A9" s="321" t="s">
        <v>470</v>
      </c>
      <c r="B9" s="323">
        <f>+B7/B8</f>
        <v>0</v>
      </c>
      <c r="C9" s="323">
        <f t="shared" ref="C9:M9" si="5">+C7/C8</f>
        <v>0</v>
      </c>
      <c r="D9" s="323">
        <f t="shared" si="5"/>
        <v>0</v>
      </c>
      <c r="E9" s="323">
        <f t="shared" si="5"/>
        <v>0</v>
      </c>
      <c r="F9" s="323">
        <f t="shared" si="5"/>
        <v>20000</v>
      </c>
      <c r="G9" s="323">
        <f t="shared" si="5"/>
        <v>15000</v>
      </c>
      <c r="H9" s="323">
        <f t="shared" si="5"/>
        <v>15000</v>
      </c>
      <c r="I9" s="323">
        <f t="shared" si="5"/>
        <v>20000</v>
      </c>
      <c r="J9" s="323">
        <f t="shared" si="5"/>
        <v>15000</v>
      </c>
      <c r="K9" s="323">
        <f t="shared" si="5"/>
        <v>15000</v>
      </c>
      <c r="L9" s="323">
        <f t="shared" si="5"/>
        <v>10000</v>
      </c>
      <c r="M9" s="323">
        <f t="shared" si="5"/>
        <v>5000</v>
      </c>
      <c r="N9" s="322">
        <f>SUM(B9:M9)</f>
        <v>115000</v>
      </c>
    </row>
    <row r="10" spans="1:16" x14ac:dyDescent="0.35">
      <c r="A10" s="308" t="s">
        <v>86</v>
      </c>
      <c r="B10" s="296">
        <f>B12*B11</f>
        <v>0</v>
      </c>
      <c r="C10" s="296">
        <f t="shared" ref="C10:M10" si="6">C12*C11</f>
        <v>0</v>
      </c>
      <c r="D10" s="296">
        <f t="shared" si="6"/>
        <v>0</v>
      </c>
      <c r="E10" s="296">
        <f t="shared" si="6"/>
        <v>0</v>
      </c>
      <c r="F10" s="296">
        <f t="shared" si="6"/>
        <v>307000.00000000006</v>
      </c>
      <c r="G10" s="296">
        <f t="shared" si="6"/>
        <v>230250.00000000006</v>
      </c>
      <c r="H10" s="296">
        <f t="shared" si="6"/>
        <v>230250.00000000006</v>
      </c>
      <c r="I10" s="296">
        <f t="shared" si="6"/>
        <v>307000.00000000006</v>
      </c>
      <c r="J10" s="296">
        <f t="shared" si="6"/>
        <v>230250.00000000006</v>
      </c>
      <c r="K10" s="296">
        <f t="shared" si="6"/>
        <v>230250.00000000006</v>
      </c>
      <c r="L10" s="296">
        <f t="shared" si="6"/>
        <v>153500.00000000003</v>
      </c>
      <c r="M10" s="296">
        <f t="shared" si="6"/>
        <v>76750.000000000015</v>
      </c>
      <c r="N10" s="280">
        <f>SUM(B10:M10)</f>
        <v>1765250.0000000002</v>
      </c>
    </row>
    <row r="11" spans="1:16" x14ac:dyDescent="0.35">
      <c r="A11" s="309" t="s">
        <v>87</v>
      </c>
      <c r="B11" s="298">
        <f>+'Plan de culture 104 '!$X$7</f>
        <v>15.350000000000003</v>
      </c>
      <c r="C11" s="298">
        <f>+'Plan de culture 104 '!$X$7</f>
        <v>15.350000000000003</v>
      </c>
      <c r="D11" s="298">
        <f>+'Plan de culture 104 '!$X$7</f>
        <v>15.350000000000003</v>
      </c>
      <c r="E11" s="298">
        <f>+'Plan de culture 104 '!$X$7</f>
        <v>15.350000000000003</v>
      </c>
      <c r="F11" s="298">
        <f>+'Plan de culture 104 '!$X$7</f>
        <v>15.350000000000003</v>
      </c>
      <c r="G11" s="298">
        <f>+'Plan de culture 104 '!$X$7</f>
        <v>15.350000000000003</v>
      </c>
      <c r="H11" s="298">
        <f>+'Plan de culture 104 '!$X$7</f>
        <v>15.350000000000003</v>
      </c>
      <c r="I11" s="298">
        <f>+'Plan de culture 104 '!$X$7</f>
        <v>15.350000000000003</v>
      </c>
      <c r="J11" s="298">
        <f>+'Plan de culture 104 '!$X$7</f>
        <v>15.350000000000003</v>
      </c>
      <c r="K11" s="298">
        <f>+'Plan de culture 104 '!$X$7</f>
        <v>15.350000000000003</v>
      </c>
      <c r="L11" s="298">
        <f>+'Plan de culture 104 '!$X$7</f>
        <v>15.350000000000003</v>
      </c>
      <c r="M11" s="298">
        <f>+'Plan de culture 104 '!$X$7</f>
        <v>15.350000000000003</v>
      </c>
      <c r="N11" s="279">
        <f>+'Plan de culture 104 '!$X$7</f>
        <v>15.350000000000003</v>
      </c>
    </row>
    <row r="12" spans="1:16" x14ac:dyDescent="0.35">
      <c r="A12" s="309" t="s">
        <v>470</v>
      </c>
      <c r="B12" s="297">
        <v>0</v>
      </c>
      <c r="C12" s="297">
        <v>0</v>
      </c>
      <c r="D12" s="297">
        <v>0</v>
      </c>
      <c r="E12" s="298"/>
      <c r="F12" s="298">
        <v>20000</v>
      </c>
      <c r="G12" s="298">
        <v>15000</v>
      </c>
      <c r="H12" s="298">
        <v>15000</v>
      </c>
      <c r="I12" s="298">
        <v>20000</v>
      </c>
      <c r="J12" s="298">
        <v>15000</v>
      </c>
      <c r="K12" s="298">
        <v>15000</v>
      </c>
      <c r="L12" s="298">
        <v>10000</v>
      </c>
      <c r="M12" s="298">
        <v>5000</v>
      </c>
      <c r="N12" s="279">
        <f>+N10/N11</f>
        <v>114999.99999999999</v>
      </c>
    </row>
    <row r="13" spans="1:16" x14ac:dyDescent="0.35">
      <c r="A13" s="308" t="s">
        <v>88</v>
      </c>
      <c r="B13" s="296">
        <f>B15*B14</f>
        <v>0</v>
      </c>
      <c r="C13" s="296">
        <f t="shared" ref="C13:M13" si="7">C15*C14</f>
        <v>0</v>
      </c>
      <c r="D13" s="296">
        <f t="shared" si="7"/>
        <v>0</v>
      </c>
      <c r="E13" s="296">
        <f t="shared" si="7"/>
        <v>0</v>
      </c>
      <c r="F13" s="296">
        <f t="shared" si="7"/>
        <v>0</v>
      </c>
      <c r="G13" s="296">
        <f t="shared" si="7"/>
        <v>0</v>
      </c>
      <c r="H13" s="296">
        <f t="shared" si="7"/>
        <v>0</v>
      </c>
      <c r="I13" s="296">
        <f t="shared" si="7"/>
        <v>0</v>
      </c>
      <c r="J13" s="296">
        <f t="shared" si="7"/>
        <v>0</v>
      </c>
      <c r="K13" s="296">
        <f t="shared" si="7"/>
        <v>0</v>
      </c>
      <c r="L13" s="296">
        <f t="shared" si="7"/>
        <v>0</v>
      </c>
      <c r="M13" s="296">
        <f t="shared" si="7"/>
        <v>0</v>
      </c>
      <c r="N13" s="280">
        <f>SUM(B13:M13)</f>
        <v>0</v>
      </c>
    </row>
    <row r="14" spans="1:16" x14ac:dyDescent="0.35">
      <c r="A14" s="309" t="s">
        <v>87</v>
      </c>
      <c r="B14" s="298">
        <f>+'Plan de culture 104 '!$X$13</f>
        <v>0</v>
      </c>
      <c r="C14" s="298">
        <f>+'Plan de culture 104 '!$X$13</f>
        <v>0</v>
      </c>
      <c r="D14" s="298">
        <f>+'Plan de culture 104 '!$X$13</f>
        <v>0</v>
      </c>
      <c r="E14" s="298">
        <f>+'Plan de culture 104 '!$X$13</f>
        <v>0</v>
      </c>
      <c r="F14" s="298">
        <f>+'Plan de culture 104 '!$X$13</f>
        <v>0</v>
      </c>
      <c r="G14" s="298">
        <f>+'Plan de culture 104 '!$X$13</f>
        <v>0</v>
      </c>
      <c r="H14" s="298">
        <f>+'Plan de culture 104 '!$X$13</f>
        <v>0</v>
      </c>
      <c r="I14" s="298">
        <f>+'Plan de culture 104 '!$X$13</f>
        <v>0</v>
      </c>
      <c r="J14" s="298">
        <f>+'Plan de culture 104 '!$X$13</f>
        <v>0</v>
      </c>
      <c r="K14" s="298">
        <f>+'Plan de culture 104 '!$X$13</f>
        <v>0</v>
      </c>
      <c r="L14" s="298">
        <f>+'Plan de culture 104 '!$X$13</f>
        <v>0</v>
      </c>
      <c r="M14" s="298">
        <f>+'Plan de culture 104 '!$X$13</f>
        <v>0</v>
      </c>
      <c r="N14" s="279">
        <f>+'Plan de culture 104 '!$X$13</f>
        <v>0</v>
      </c>
    </row>
    <row r="15" spans="1:16" x14ac:dyDescent="0.35">
      <c r="A15" s="309" t="s">
        <v>470</v>
      </c>
      <c r="B15" s="297">
        <v>0</v>
      </c>
      <c r="C15" s="297">
        <v>0</v>
      </c>
      <c r="D15" s="297">
        <v>0</v>
      </c>
      <c r="E15" s="297">
        <v>0</v>
      </c>
      <c r="F15" s="297">
        <v>0</v>
      </c>
      <c r="G15" s="297">
        <v>0</v>
      </c>
      <c r="H15" s="297">
        <v>0</v>
      </c>
      <c r="I15" s="297">
        <v>0</v>
      </c>
      <c r="J15" s="297">
        <v>0</v>
      </c>
      <c r="K15" s="297">
        <v>0</v>
      </c>
      <c r="L15" s="297">
        <v>0</v>
      </c>
      <c r="M15" s="297">
        <v>0</v>
      </c>
      <c r="N15" s="279" t="e">
        <f>+N13/N14</f>
        <v>#DIV/0!</v>
      </c>
    </row>
    <row r="16" spans="1:16" x14ac:dyDescent="0.35">
      <c r="A16" s="308" t="s">
        <v>370</v>
      </c>
      <c r="B16" s="296">
        <f>B18*B17</f>
        <v>0</v>
      </c>
      <c r="C16" s="296">
        <f t="shared" ref="C16" si="8">C18*C17</f>
        <v>0</v>
      </c>
      <c r="D16" s="296">
        <f t="shared" ref="D16" si="9">D18*D17</f>
        <v>0</v>
      </c>
      <c r="E16" s="296">
        <f t="shared" ref="E16" si="10">E18*E17</f>
        <v>0</v>
      </c>
      <c r="F16" s="296">
        <f t="shared" ref="F16" si="11">F18*F17</f>
        <v>0</v>
      </c>
      <c r="G16" s="296">
        <f t="shared" ref="G16" si="12">G18*G17</f>
        <v>0</v>
      </c>
      <c r="H16" s="296">
        <f t="shared" ref="H16" si="13">H18*H17</f>
        <v>0</v>
      </c>
      <c r="I16" s="296">
        <f t="shared" ref="I16" si="14">I18*I17</f>
        <v>0</v>
      </c>
      <c r="J16" s="296">
        <f t="shared" ref="J16" si="15">J18*J17</f>
        <v>0</v>
      </c>
      <c r="K16" s="296">
        <f t="shared" ref="K16" si="16">K18*K17</f>
        <v>0</v>
      </c>
      <c r="L16" s="296">
        <f t="shared" ref="L16" si="17">L18*L17</f>
        <v>0</v>
      </c>
      <c r="M16" s="296">
        <f t="shared" ref="M16" si="18">M18*M17</f>
        <v>0</v>
      </c>
      <c r="N16" s="280">
        <f>SUM(B16:M16)</f>
        <v>0</v>
      </c>
      <c r="P16" s="61"/>
    </row>
    <row r="17" spans="1:16" x14ac:dyDescent="0.35">
      <c r="A17" s="309" t="s">
        <v>87</v>
      </c>
      <c r="B17" s="298">
        <f>+'Plan de culture 104 '!$X$19</f>
        <v>0</v>
      </c>
      <c r="C17" s="298">
        <f>+'Plan de culture 104 '!$X$19</f>
        <v>0</v>
      </c>
      <c r="D17" s="298">
        <f>+'Plan de culture 104 '!$X$19</f>
        <v>0</v>
      </c>
      <c r="E17" s="298">
        <f>+'Plan de culture 104 '!$X$19</f>
        <v>0</v>
      </c>
      <c r="F17" s="298">
        <f>+'Plan de culture 104 '!$X$19</f>
        <v>0</v>
      </c>
      <c r="G17" s="298">
        <f>+'Plan de culture 104 '!$X$19</f>
        <v>0</v>
      </c>
      <c r="H17" s="298">
        <f>+'Plan de culture 104 '!$X$19</f>
        <v>0</v>
      </c>
      <c r="I17" s="298">
        <f>+'Plan de culture 104 '!$X$19</f>
        <v>0</v>
      </c>
      <c r="J17" s="298">
        <f>+'Plan de culture 104 '!$X$19</f>
        <v>0</v>
      </c>
      <c r="K17" s="298">
        <f>+'Plan de culture 104 '!$X$19</f>
        <v>0</v>
      </c>
      <c r="L17" s="298">
        <f>+'Plan de culture 104 '!$X$19</f>
        <v>0</v>
      </c>
      <c r="M17" s="298">
        <f>+'Plan de culture 104 '!$X$19</f>
        <v>0</v>
      </c>
      <c r="N17" s="279">
        <f>+'Plan de culture 104 '!$X$19</f>
        <v>0</v>
      </c>
    </row>
    <row r="18" spans="1:16" x14ac:dyDescent="0.35">
      <c r="A18" s="309" t="s">
        <v>470</v>
      </c>
      <c r="B18" s="297">
        <v>0</v>
      </c>
      <c r="C18" s="297">
        <v>0</v>
      </c>
      <c r="D18" s="297">
        <v>0</v>
      </c>
      <c r="E18" s="297">
        <v>0</v>
      </c>
      <c r="F18" s="297">
        <v>0</v>
      </c>
      <c r="G18" s="297">
        <v>0</v>
      </c>
      <c r="H18" s="297">
        <v>0</v>
      </c>
      <c r="I18" s="297">
        <v>0</v>
      </c>
      <c r="J18" s="297">
        <v>0</v>
      </c>
      <c r="K18" s="297">
        <v>0</v>
      </c>
      <c r="L18" s="297">
        <v>0</v>
      </c>
      <c r="M18" s="297">
        <v>0</v>
      </c>
      <c r="N18" s="279" t="e">
        <f>+N16/N17</f>
        <v>#DIV/0!</v>
      </c>
    </row>
    <row r="19" spans="1:16" x14ac:dyDescent="0.35">
      <c r="A19" s="308" t="s">
        <v>89</v>
      </c>
      <c r="B19" s="296">
        <f>B21*B20</f>
        <v>0</v>
      </c>
      <c r="C19" s="296">
        <f t="shared" ref="C19:M19" si="19">C21*C20</f>
        <v>0</v>
      </c>
      <c r="D19" s="296">
        <f t="shared" si="19"/>
        <v>0</v>
      </c>
      <c r="E19" s="296">
        <f t="shared" si="19"/>
        <v>0</v>
      </c>
      <c r="F19" s="296">
        <f t="shared" si="19"/>
        <v>0</v>
      </c>
      <c r="G19" s="296">
        <f t="shared" si="19"/>
        <v>0</v>
      </c>
      <c r="H19" s="296">
        <f t="shared" si="19"/>
        <v>0</v>
      </c>
      <c r="I19" s="296">
        <f t="shared" si="19"/>
        <v>0</v>
      </c>
      <c r="J19" s="296">
        <f t="shared" si="19"/>
        <v>0</v>
      </c>
      <c r="K19" s="296">
        <f t="shared" si="19"/>
        <v>0</v>
      </c>
      <c r="L19" s="296">
        <f t="shared" si="19"/>
        <v>0</v>
      </c>
      <c r="M19" s="296">
        <f t="shared" si="19"/>
        <v>0</v>
      </c>
      <c r="N19" s="280">
        <f>SUM(B19:M19)</f>
        <v>0</v>
      </c>
      <c r="P19" s="61"/>
    </row>
    <row r="20" spans="1:16" x14ac:dyDescent="0.35">
      <c r="A20" s="309" t="s">
        <v>87</v>
      </c>
      <c r="B20" s="298">
        <f>+'Plan de culture 104 '!$X$25</f>
        <v>0</v>
      </c>
      <c r="C20" s="298">
        <f>+'Plan de culture 104 '!$X$25</f>
        <v>0</v>
      </c>
      <c r="D20" s="298">
        <f>+'Plan de culture 104 '!$X$25</f>
        <v>0</v>
      </c>
      <c r="E20" s="298">
        <f>+'Plan de culture 104 '!$X$25</f>
        <v>0</v>
      </c>
      <c r="F20" s="298">
        <f>+'Plan de culture 104 '!$X$25</f>
        <v>0</v>
      </c>
      <c r="G20" s="298">
        <f>+'Plan de culture 104 '!$X$25</f>
        <v>0</v>
      </c>
      <c r="H20" s="298">
        <f>+'Plan de culture 104 '!$X$25</f>
        <v>0</v>
      </c>
      <c r="I20" s="298">
        <f>+'Plan de culture 104 '!$X$25</f>
        <v>0</v>
      </c>
      <c r="J20" s="298">
        <f>+'Plan de culture 104 '!$X$25</f>
        <v>0</v>
      </c>
      <c r="K20" s="298">
        <f>+'Plan de culture 104 '!$X$25</f>
        <v>0</v>
      </c>
      <c r="L20" s="298">
        <f>+'Plan de culture 104 '!$X$25</f>
        <v>0</v>
      </c>
      <c r="M20" s="298">
        <f>+'Plan de culture 104 '!$X$25</f>
        <v>0</v>
      </c>
      <c r="N20" s="279">
        <f>+'Plan de culture 104 '!$X$25</f>
        <v>0</v>
      </c>
    </row>
    <row r="21" spans="1:16" x14ac:dyDescent="0.35">
      <c r="A21" s="309" t="s">
        <v>470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79" t="e">
        <f>+N19/N20</f>
        <v>#DIV/0!</v>
      </c>
    </row>
    <row r="22" spans="1:16" x14ac:dyDescent="0.35">
      <c r="A22" s="308" t="s">
        <v>371</v>
      </c>
      <c r="B22" s="296">
        <f>B24*B23</f>
        <v>0</v>
      </c>
      <c r="C22" s="296">
        <f t="shared" ref="C22:M22" si="20">C24*C23</f>
        <v>0</v>
      </c>
      <c r="D22" s="296">
        <f t="shared" si="20"/>
        <v>0</v>
      </c>
      <c r="E22" s="296">
        <f t="shared" si="20"/>
        <v>0</v>
      </c>
      <c r="F22" s="296">
        <f t="shared" si="20"/>
        <v>0</v>
      </c>
      <c r="G22" s="296">
        <f t="shared" si="20"/>
        <v>0</v>
      </c>
      <c r="H22" s="296">
        <f t="shared" si="20"/>
        <v>0</v>
      </c>
      <c r="I22" s="296">
        <f t="shared" si="20"/>
        <v>0</v>
      </c>
      <c r="J22" s="296">
        <f t="shared" si="20"/>
        <v>0</v>
      </c>
      <c r="K22" s="296">
        <f t="shared" si="20"/>
        <v>0</v>
      </c>
      <c r="L22" s="296">
        <f t="shared" si="20"/>
        <v>0</v>
      </c>
      <c r="M22" s="296">
        <f t="shared" si="20"/>
        <v>0</v>
      </c>
      <c r="N22" s="280">
        <f>SUM(B22:M22)</f>
        <v>0</v>
      </c>
      <c r="P22" s="61"/>
    </row>
    <row r="23" spans="1:16" x14ac:dyDescent="0.35">
      <c r="A23" s="309" t="s">
        <v>87</v>
      </c>
      <c r="B23" s="298">
        <f>+'Plan de culture 104 '!$X$31</f>
        <v>0</v>
      </c>
      <c r="C23" s="298">
        <f>+'Plan de culture 104 '!$X$31</f>
        <v>0</v>
      </c>
      <c r="D23" s="298">
        <f>+'Plan de culture 104 '!$X$31</f>
        <v>0</v>
      </c>
      <c r="E23" s="298">
        <f>+'Plan de culture 104 '!$X$31</f>
        <v>0</v>
      </c>
      <c r="F23" s="298">
        <f>+'Plan de culture 104 '!$X$31</f>
        <v>0</v>
      </c>
      <c r="G23" s="298">
        <f>+'Plan de culture 104 '!$X$31</f>
        <v>0</v>
      </c>
      <c r="H23" s="298">
        <f>+'Plan de culture 104 '!$X$31</f>
        <v>0</v>
      </c>
      <c r="I23" s="298">
        <f>+'Plan de culture 104 '!$X$31</f>
        <v>0</v>
      </c>
      <c r="J23" s="298">
        <f>+'Plan de culture 104 '!$X$31</f>
        <v>0</v>
      </c>
      <c r="K23" s="298">
        <f>+'Plan de culture 104 '!$X$31</f>
        <v>0</v>
      </c>
      <c r="L23" s="298">
        <f>+'Plan de culture 104 '!$X$31</f>
        <v>0</v>
      </c>
      <c r="M23" s="298">
        <f>+'Plan de culture 104 '!$X$31</f>
        <v>0</v>
      </c>
      <c r="N23" s="279">
        <f>+'Plan de culture 104 '!$X$31</f>
        <v>0</v>
      </c>
    </row>
    <row r="24" spans="1:16" x14ac:dyDescent="0.35">
      <c r="A24" s="309" t="s">
        <v>470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79" t="e">
        <f>+N22/N23</f>
        <v>#DIV/0!</v>
      </c>
    </row>
    <row r="25" spans="1:16" x14ac:dyDescent="0.35">
      <c r="A25" s="308" t="s">
        <v>372</v>
      </c>
      <c r="B25" s="296">
        <f>B27*B26</f>
        <v>0</v>
      </c>
      <c r="C25" s="296">
        <f t="shared" ref="C25:M25" si="21">C27*C26</f>
        <v>0</v>
      </c>
      <c r="D25" s="296">
        <f t="shared" si="21"/>
        <v>0</v>
      </c>
      <c r="E25" s="296">
        <f t="shared" si="21"/>
        <v>0</v>
      </c>
      <c r="F25" s="296">
        <f t="shared" si="21"/>
        <v>0</v>
      </c>
      <c r="G25" s="296">
        <f t="shared" si="21"/>
        <v>0</v>
      </c>
      <c r="H25" s="296">
        <f t="shared" si="21"/>
        <v>0</v>
      </c>
      <c r="I25" s="296">
        <f t="shared" si="21"/>
        <v>0</v>
      </c>
      <c r="J25" s="296">
        <f t="shared" si="21"/>
        <v>0</v>
      </c>
      <c r="K25" s="296">
        <f t="shared" si="21"/>
        <v>0</v>
      </c>
      <c r="L25" s="296">
        <f t="shared" si="21"/>
        <v>0</v>
      </c>
      <c r="M25" s="296">
        <f t="shared" si="21"/>
        <v>0</v>
      </c>
      <c r="N25" s="280">
        <f>SUM(B25:M25)</f>
        <v>0</v>
      </c>
      <c r="P25" s="61"/>
    </row>
    <row r="26" spans="1:16" x14ac:dyDescent="0.35">
      <c r="A26" s="309" t="s">
        <v>87</v>
      </c>
      <c r="B26" s="298">
        <f>+'Plan de culture 104 '!$X$37</f>
        <v>0</v>
      </c>
      <c r="C26" s="298">
        <f>+'Plan de culture 104 '!$X$37</f>
        <v>0</v>
      </c>
      <c r="D26" s="298">
        <f>+'Plan de culture 104 '!$X$37</f>
        <v>0</v>
      </c>
      <c r="E26" s="298">
        <f>+'Plan de culture 104 '!$X$37</f>
        <v>0</v>
      </c>
      <c r="F26" s="298">
        <f>+'Plan de culture 104 '!$X$37</f>
        <v>0</v>
      </c>
      <c r="G26" s="298">
        <f>+'Plan de culture 104 '!$X$37</f>
        <v>0</v>
      </c>
      <c r="H26" s="298">
        <f>+'Plan de culture 104 '!$X$37</f>
        <v>0</v>
      </c>
      <c r="I26" s="298">
        <f>+'Plan de culture 104 '!$X$37</f>
        <v>0</v>
      </c>
      <c r="J26" s="298">
        <f>+'Plan de culture 104 '!$X$37</f>
        <v>0</v>
      </c>
      <c r="K26" s="298">
        <f>+'Plan de culture 104 '!$X$37</f>
        <v>0</v>
      </c>
      <c r="L26" s="298">
        <f>+'Plan de culture 104 '!$X$37</f>
        <v>0</v>
      </c>
      <c r="M26" s="298">
        <f>+'Plan de culture 104 '!$X$37</f>
        <v>0</v>
      </c>
      <c r="N26" s="279">
        <f>+'Plan de culture 104 '!$X$37</f>
        <v>0</v>
      </c>
    </row>
    <row r="27" spans="1:16" ht="12" thickBot="1" x14ac:dyDescent="0.4">
      <c r="A27" s="309" t="s">
        <v>470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79" t="e">
        <f>+N25/N26</f>
        <v>#DIV/0!</v>
      </c>
    </row>
    <row r="28" spans="1:16" x14ac:dyDescent="0.35">
      <c r="A28" s="315" t="s">
        <v>476</v>
      </c>
      <c r="B28" s="329">
        <f>+B31+B34+B37+B40+B43+B46</f>
        <v>0</v>
      </c>
      <c r="C28" s="329">
        <f t="shared" ref="C28:M28" si="22">+C31+C34+C37+C40+C43+C46</f>
        <v>0</v>
      </c>
      <c r="D28" s="329">
        <f t="shared" si="22"/>
        <v>0</v>
      </c>
      <c r="E28" s="329">
        <f t="shared" si="22"/>
        <v>107900.00000000001</v>
      </c>
      <c r="F28" s="329">
        <f t="shared" si="22"/>
        <v>107900.00000000001</v>
      </c>
      <c r="G28" s="329">
        <f t="shared" si="22"/>
        <v>80925</v>
      </c>
      <c r="H28" s="329">
        <f t="shared" si="22"/>
        <v>80925</v>
      </c>
      <c r="I28" s="329">
        <f t="shared" si="22"/>
        <v>107900.00000000001</v>
      </c>
      <c r="J28" s="329">
        <f t="shared" si="22"/>
        <v>80925</v>
      </c>
      <c r="K28" s="329">
        <f t="shared" si="22"/>
        <v>80925</v>
      </c>
      <c r="L28" s="329">
        <f t="shared" si="22"/>
        <v>53950.000000000007</v>
      </c>
      <c r="M28" s="329">
        <f t="shared" si="22"/>
        <v>26975.000000000004</v>
      </c>
      <c r="N28" s="330">
        <f>SUM(B28:M28)</f>
        <v>728325</v>
      </c>
    </row>
    <row r="29" spans="1:16" x14ac:dyDescent="0.35">
      <c r="A29" s="318" t="s">
        <v>87</v>
      </c>
      <c r="B29" s="326">
        <f>'Plan de culture 105'!$C$3</f>
        <v>5.3950000000000005</v>
      </c>
      <c r="C29" s="326">
        <f>'Plan de culture 105'!$C$3</f>
        <v>5.3950000000000005</v>
      </c>
      <c r="D29" s="326">
        <f>'Plan de culture 105'!$C$3</f>
        <v>5.3950000000000005</v>
      </c>
      <c r="E29" s="326">
        <f>'Plan de culture 105'!$C$3</f>
        <v>5.3950000000000005</v>
      </c>
      <c r="F29" s="326">
        <f>'Plan de culture 105'!$C$3</f>
        <v>5.3950000000000005</v>
      </c>
      <c r="G29" s="326">
        <f>'Plan de culture 105'!$C$3</f>
        <v>5.3950000000000005</v>
      </c>
      <c r="H29" s="326">
        <f>'Plan de culture 105'!$C$3</f>
        <v>5.3950000000000005</v>
      </c>
      <c r="I29" s="326">
        <f>'Plan de culture 105'!$C$3</f>
        <v>5.3950000000000005</v>
      </c>
      <c r="J29" s="326">
        <f>'Plan de culture 105'!$C$3</f>
        <v>5.3950000000000005</v>
      </c>
      <c r="K29" s="326">
        <f>'Plan de culture 105'!$C$3</f>
        <v>5.3950000000000005</v>
      </c>
      <c r="L29" s="326">
        <f>'Plan de culture 105'!$C$3</f>
        <v>5.3950000000000005</v>
      </c>
      <c r="M29" s="326">
        <f>'Plan de culture 105'!$C$3</f>
        <v>5.3950000000000005</v>
      </c>
      <c r="N29" s="326">
        <f>'Plan de culture 105'!$C$3</f>
        <v>5.3950000000000005</v>
      </c>
    </row>
    <row r="30" spans="1:16" ht="12" thickBot="1" x14ac:dyDescent="0.4">
      <c r="A30" s="321" t="s">
        <v>470</v>
      </c>
      <c r="B30" s="323">
        <f>+(B28/1000)/B29</f>
        <v>0</v>
      </c>
      <c r="C30" s="323">
        <f t="shared" ref="C30" si="23">+(C28/1000)/C29</f>
        <v>0</v>
      </c>
      <c r="D30" s="323">
        <f t="shared" ref="D30" si="24">+(D28/1000)/D29</f>
        <v>0</v>
      </c>
      <c r="E30" s="323">
        <f t="shared" ref="E30" si="25">+(E28/1000)/E29</f>
        <v>20.000000000000004</v>
      </c>
      <c r="F30" s="323">
        <f t="shared" ref="F30" si="26">+(F28/1000)/F29</f>
        <v>20.000000000000004</v>
      </c>
      <c r="G30" s="323">
        <f t="shared" ref="G30" si="27">+(G28/1000)/G29</f>
        <v>14.999999999999998</v>
      </c>
      <c r="H30" s="323">
        <f t="shared" ref="H30" si="28">+(H28/1000)/H29</f>
        <v>14.999999999999998</v>
      </c>
      <c r="I30" s="323">
        <f t="shared" ref="I30" si="29">+(I28/1000)/I29</f>
        <v>20.000000000000004</v>
      </c>
      <c r="J30" s="323">
        <f t="shared" ref="J30" si="30">+(J28/1000)/J29</f>
        <v>14.999999999999998</v>
      </c>
      <c r="K30" s="323">
        <f t="shared" ref="K30" si="31">+(K28/1000)/K29</f>
        <v>14.999999999999998</v>
      </c>
      <c r="L30" s="323">
        <f t="shared" ref="L30" si="32">+(L28/1000)/L29</f>
        <v>10.000000000000002</v>
      </c>
      <c r="M30" s="323">
        <f t="shared" ref="M30" si="33">+(M28/1000)/M29</f>
        <v>5.0000000000000009</v>
      </c>
      <c r="N30" s="322">
        <f t="shared" ref="N30" si="34">+(N28/1000)/N29</f>
        <v>135</v>
      </c>
    </row>
    <row r="31" spans="1:16" collapsed="1" x14ac:dyDescent="0.35">
      <c r="A31" s="308" t="s">
        <v>86</v>
      </c>
      <c r="B31" s="296">
        <f>B33*B32</f>
        <v>0</v>
      </c>
      <c r="C31" s="296">
        <f t="shared" ref="C31:M31" si="35">C33*C32</f>
        <v>0</v>
      </c>
      <c r="D31" s="296">
        <f t="shared" si="35"/>
        <v>0</v>
      </c>
      <c r="E31" s="296">
        <f t="shared" si="35"/>
        <v>0</v>
      </c>
      <c r="F31" s="296">
        <f t="shared" si="35"/>
        <v>0</v>
      </c>
      <c r="G31" s="296">
        <f t="shared" si="35"/>
        <v>0</v>
      </c>
      <c r="H31" s="296">
        <f t="shared" si="35"/>
        <v>0</v>
      </c>
      <c r="I31" s="296">
        <f t="shared" si="35"/>
        <v>0</v>
      </c>
      <c r="J31" s="296">
        <f t="shared" si="35"/>
        <v>0</v>
      </c>
      <c r="K31" s="296">
        <f t="shared" si="35"/>
        <v>0</v>
      </c>
      <c r="L31" s="296">
        <f t="shared" si="35"/>
        <v>0</v>
      </c>
      <c r="M31" s="296">
        <f t="shared" si="35"/>
        <v>0</v>
      </c>
      <c r="N31" s="280">
        <f>SUM(B31:M31)</f>
        <v>0</v>
      </c>
    </row>
    <row r="32" spans="1:16" x14ac:dyDescent="0.35">
      <c r="A32" s="309" t="s">
        <v>87</v>
      </c>
      <c r="B32" s="298">
        <f>+'Plan de culture 105'!$I$7</f>
        <v>0</v>
      </c>
      <c r="C32" s="298">
        <f>+'Plan de culture 105'!$I$7</f>
        <v>0</v>
      </c>
      <c r="D32" s="298">
        <f>+'Plan de culture 105'!$I$7</f>
        <v>0</v>
      </c>
      <c r="E32" s="298">
        <f>+'Plan de culture 105'!$I$7</f>
        <v>0</v>
      </c>
      <c r="F32" s="298">
        <f>+'Plan de culture 105'!$I$7</f>
        <v>0</v>
      </c>
      <c r="G32" s="298">
        <f>+'Plan de culture 105'!$I$7</f>
        <v>0</v>
      </c>
      <c r="H32" s="298">
        <f>+'Plan de culture 105'!$I$7</f>
        <v>0</v>
      </c>
      <c r="I32" s="298">
        <f>+'Plan de culture 105'!$I$7</f>
        <v>0</v>
      </c>
      <c r="J32" s="298">
        <f>+'Plan de culture 105'!$I$7</f>
        <v>0</v>
      </c>
      <c r="K32" s="298">
        <f>+'Plan de culture 105'!$I$7</f>
        <v>0</v>
      </c>
      <c r="L32" s="298">
        <f>+'Plan de culture 105'!$I$7</f>
        <v>0</v>
      </c>
      <c r="M32" s="298">
        <f>+'Plan de culture 105'!$I$7</f>
        <v>0</v>
      </c>
      <c r="N32" s="279">
        <f>+'Plan de culture 105'!$I$7</f>
        <v>0</v>
      </c>
    </row>
    <row r="33" spans="1:14" x14ac:dyDescent="0.35">
      <c r="A33" s="309" t="s">
        <v>470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79" t="e">
        <f>+N31/N32</f>
        <v>#DIV/0!</v>
      </c>
    </row>
    <row r="34" spans="1:14" collapsed="1" x14ac:dyDescent="0.35">
      <c r="A34" s="308" t="s">
        <v>88</v>
      </c>
      <c r="B34" s="296">
        <f>B36*B35</f>
        <v>0</v>
      </c>
      <c r="C34" s="296">
        <f t="shared" ref="C34:M34" si="36">C36*C35</f>
        <v>0</v>
      </c>
      <c r="D34" s="296">
        <f t="shared" si="36"/>
        <v>0</v>
      </c>
      <c r="E34" s="296">
        <f t="shared" si="36"/>
        <v>107900.00000000001</v>
      </c>
      <c r="F34" s="296">
        <f t="shared" si="36"/>
        <v>107900.00000000001</v>
      </c>
      <c r="G34" s="296">
        <f t="shared" si="36"/>
        <v>80925</v>
      </c>
      <c r="H34" s="296">
        <f t="shared" si="36"/>
        <v>80925</v>
      </c>
      <c r="I34" s="296">
        <f t="shared" si="36"/>
        <v>107900.00000000001</v>
      </c>
      <c r="J34" s="296">
        <f t="shared" si="36"/>
        <v>80925</v>
      </c>
      <c r="K34" s="296">
        <f t="shared" si="36"/>
        <v>80925</v>
      </c>
      <c r="L34" s="296">
        <f t="shared" si="36"/>
        <v>53950.000000000007</v>
      </c>
      <c r="M34" s="296">
        <f t="shared" si="36"/>
        <v>26975.000000000004</v>
      </c>
      <c r="N34" s="280">
        <f>SUM(B34:M34)</f>
        <v>728325</v>
      </c>
    </row>
    <row r="35" spans="1:14" x14ac:dyDescent="0.35">
      <c r="A35" s="309" t="s">
        <v>87</v>
      </c>
      <c r="B35" s="298">
        <f>+'Plan de culture 105'!$I$13</f>
        <v>5.3950000000000005</v>
      </c>
      <c r="C35" s="298">
        <f>+'Plan de culture 105'!$I$13</f>
        <v>5.3950000000000005</v>
      </c>
      <c r="D35" s="298">
        <f>+'Plan de culture 105'!$I$13</f>
        <v>5.3950000000000005</v>
      </c>
      <c r="E35" s="298">
        <f>+'Plan de culture 105'!$I$13</f>
        <v>5.3950000000000005</v>
      </c>
      <c r="F35" s="298">
        <f>+'Plan de culture 105'!$I$13</f>
        <v>5.3950000000000005</v>
      </c>
      <c r="G35" s="298">
        <f>+'Plan de culture 105'!$I$13</f>
        <v>5.3950000000000005</v>
      </c>
      <c r="H35" s="298">
        <f>+'Plan de culture 105'!$I$13</f>
        <v>5.3950000000000005</v>
      </c>
      <c r="I35" s="298">
        <f>+'Plan de culture 105'!$I$13</f>
        <v>5.3950000000000005</v>
      </c>
      <c r="J35" s="298">
        <f>+'Plan de culture 105'!$I$13</f>
        <v>5.3950000000000005</v>
      </c>
      <c r="K35" s="298">
        <f>+'Plan de culture 105'!$I$13</f>
        <v>5.3950000000000005</v>
      </c>
      <c r="L35" s="298">
        <f>+'Plan de culture 105'!$I$13</f>
        <v>5.3950000000000005</v>
      </c>
      <c r="M35" s="298">
        <f>+'Plan de culture 105'!$I$13</f>
        <v>5.3950000000000005</v>
      </c>
      <c r="N35" s="279">
        <f>+'Plan de culture 105'!$I$13</f>
        <v>5.3950000000000005</v>
      </c>
    </row>
    <row r="36" spans="1:14" x14ac:dyDescent="0.35">
      <c r="A36" s="309" t="s">
        <v>470</v>
      </c>
      <c r="B36" s="297">
        <v>0</v>
      </c>
      <c r="C36" s="297">
        <v>0</v>
      </c>
      <c r="D36" s="297">
        <v>0</v>
      </c>
      <c r="E36" s="298">
        <v>20000</v>
      </c>
      <c r="F36" s="298">
        <v>20000</v>
      </c>
      <c r="G36" s="298">
        <v>15000</v>
      </c>
      <c r="H36" s="298">
        <v>15000</v>
      </c>
      <c r="I36" s="298">
        <v>20000</v>
      </c>
      <c r="J36" s="298">
        <v>15000</v>
      </c>
      <c r="K36" s="298">
        <v>15000</v>
      </c>
      <c r="L36" s="298">
        <v>10000</v>
      </c>
      <c r="M36" s="298">
        <v>5000</v>
      </c>
      <c r="N36" s="279">
        <f>+N34/N35</f>
        <v>135000</v>
      </c>
    </row>
    <row r="37" spans="1:14" x14ac:dyDescent="0.35">
      <c r="A37" s="308" t="s">
        <v>370</v>
      </c>
      <c r="B37" s="296">
        <f>B39*B38</f>
        <v>0</v>
      </c>
      <c r="C37" s="296">
        <f t="shared" ref="C37:M37" si="37">C39*C38</f>
        <v>0</v>
      </c>
      <c r="D37" s="296">
        <f t="shared" si="37"/>
        <v>0</v>
      </c>
      <c r="E37" s="296">
        <f t="shared" si="37"/>
        <v>0</v>
      </c>
      <c r="F37" s="296">
        <f t="shared" si="37"/>
        <v>0</v>
      </c>
      <c r="G37" s="296">
        <f t="shared" si="37"/>
        <v>0</v>
      </c>
      <c r="H37" s="296">
        <f t="shared" si="37"/>
        <v>0</v>
      </c>
      <c r="I37" s="296">
        <f t="shared" si="37"/>
        <v>0</v>
      </c>
      <c r="J37" s="296">
        <f t="shared" si="37"/>
        <v>0</v>
      </c>
      <c r="K37" s="296">
        <f t="shared" si="37"/>
        <v>0</v>
      </c>
      <c r="L37" s="296">
        <f t="shared" si="37"/>
        <v>0</v>
      </c>
      <c r="M37" s="296">
        <f t="shared" si="37"/>
        <v>0</v>
      </c>
      <c r="N37" s="280">
        <f>SUM(B37:M37)</f>
        <v>0</v>
      </c>
    </row>
    <row r="38" spans="1:14" x14ac:dyDescent="0.35">
      <c r="A38" s="309" t="s">
        <v>87</v>
      </c>
      <c r="B38" s="298">
        <f>+'Plan de culture 105'!$I$19</f>
        <v>0</v>
      </c>
      <c r="C38" s="298">
        <f>+'Plan de culture 105'!$I$19</f>
        <v>0</v>
      </c>
      <c r="D38" s="298">
        <f>+'Plan de culture 105'!$I$19</f>
        <v>0</v>
      </c>
      <c r="E38" s="298">
        <f>+'Plan de culture 105'!$I$19</f>
        <v>0</v>
      </c>
      <c r="F38" s="298">
        <f>+'Plan de culture 105'!$I$19</f>
        <v>0</v>
      </c>
      <c r="G38" s="298">
        <f>+'Plan de culture 105'!$I$19</f>
        <v>0</v>
      </c>
      <c r="H38" s="298">
        <f>+'Plan de culture 105'!$I$19</f>
        <v>0</v>
      </c>
      <c r="I38" s="298">
        <f>+'Plan de culture 105'!$I$19</f>
        <v>0</v>
      </c>
      <c r="J38" s="298">
        <f>+'Plan de culture 105'!$I$19</f>
        <v>0</v>
      </c>
      <c r="K38" s="298">
        <f>+'Plan de culture 105'!$I$19</f>
        <v>0</v>
      </c>
      <c r="L38" s="298">
        <f>+'Plan de culture 105'!$I$19</f>
        <v>0</v>
      </c>
      <c r="M38" s="298">
        <f>+'Plan de culture 105'!$I$19</f>
        <v>0</v>
      </c>
      <c r="N38" s="279">
        <f>+'Plan de culture 105'!$I$19</f>
        <v>0</v>
      </c>
    </row>
    <row r="39" spans="1:14" x14ac:dyDescent="0.35">
      <c r="A39" s="309" t="s">
        <v>470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79" t="e">
        <f>+N37/N38</f>
        <v>#DIV/0!</v>
      </c>
    </row>
    <row r="40" spans="1:14" collapsed="1" x14ac:dyDescent="0.35">
      <c r="A40" s="308" t="s">
        <v>89</v>
      </c>
      <c r="B40" s="296">
        <f>B42*B41</f>
        <v>0</v>
      </c>
      <c r="C40" s="296">
        <f t="shared" ref="C40:M40" si="38">C42*C41</f>
        <v>0</v>
      </c>
      <c r="D40" s="296">
        <f t="shared" si="38"/>
        <v>0</v>
      </c>
      <c r="E40" s="296">
        <f t="shared" si="38"/>
        <v>0</v>
      </c>
      <c r="F40" s="296">
        <f t="shared" si="38"/>
        <v>0</v>
      </c>
      <c r="G40" s="296">
        <f t="shared" si="38"/>
        <v>0</v>
      </c>
      <c r="H40" s="296">
        <f t="shared" si="38"/>
        <v>0</v>
      </c>
      <c r="I40" s="296">
        <f t="shared" si="38"/>
        <v>0</v>
      </c>
      <c r="J40" s="296">
        <f t="shared" si="38"/>
        <v>0</v>
      </c>
      <c r="K40" s="296">
        <f t="shared" si="38"/>
        <v>0</v>
      </c>
      <c r="L40" s="296">
        <f t="shared" si="38"/>
        <v>0</v>
      </c>
      <c r="M40" s="296">
        <f t="shared" si="38"/>
        <v>0</v>
      </c>
      <c r="N40" s="280">
        <f>SUM(B40:M40)</f>
        <v>0</v>
      </c>
    </row>
    <row r="41" spans="1:14" x14ac:dyDescent="0.35">
      <c r="A41" s="309" t="s">
        <v>87</v>
      </c>
      <c r="B41" s="298">
        <f>+'Plan de culture 105'!$I$25</f>
        <v>0</v>
      </c>
      <c r="C41" s="298">
        <f>+'Plan de culture 105'!$I$25</f>
        <v>0</v>
      </c>
      <c r="D41" s="298">
        <f>+'Plan de culture 105'!$I$25</f>
        <v>0</v>
      </c>
      <c r="E41" s="298">
        <f>+'Plan de culture 105'!$I$25</f>
        <v>0</v>
      </c>
      <c r="F41" s="298">
        <f>+'Plan de culture 105'!$I$25</f>
        <v>0</v>
      </c>
      <c r="G41" s="298">
        <f>+'Plan de culture 105'!$I$25</f>
        <v>0</v>
      </c>
      <c r="H41" s="298">
        <f>+'Plan de culture 105'!$I$25</f>
        <v>0</v>
      </c>
      <c r="I41" s="298">
        <f>+'Plan de culture 105'!$I$25</f>
        <v>0</v>
      </c>
      <c r="J41" s="298">
        <f>+'Plan de culture 105'!$I$25</f>
        <v>0</v>
      </c>
      <c r="K41" s="298">
        <f>+'Plan de culture 105'!$I$25</f>
        <v>0</v>
      </c>
      <c r="L41" s="298">
        <f>+'Plan de culture 105'!$I$25</f>
        <v>0</v>
      </c>
      <c r="M41" s="298">
        <f>+'Plan de culture 105'!$I$25</f>
        <v>0</v>
      </c>
      <c r="N41" s="279">
        <f>+'Plan de culture 105'!$I$25</f>
        <v>0</v>
      </c>
    </row>
    <row r="42" spans="1:14" x14ac:dyDescent="0.35">
      <c r="A42" s="309" t="s">
        <v>470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79" t="e">
        <f>+N40/N41</f>
        <v>#DIV/0!</v>
      </c>
    </row>
    <row r="43" spans="1:14" x14ac:dyDescent="0.35">
      <c r="A43" s="308" t="s">
        <v>371</v>
      </c>
      <c r="B43" s="296">
        <f>B45*B44</f>
        <v>0</v>
      </c>
      <c r="C43" s="296">
        <f t="shared" ref="C43:M43" si="39">C45*C44</f>
        <v>0</v>
      </c>
      <c r="D43" s="296">
        <f t="shared" si="39"/>
        <v>0</v>
      </c>
      <c r="E43" s="296">
        <f t="shared" si="39"/>
        <v>0</v>
      </c>
      <c r="F43" s="296">
        <f t="shared" si="39"/>
        <v>0</v>
      </c>
      <c r="G43" s="296">
        <f t="shared" si="39"/>
        <v>0</v>
      </c>
      <c r="H43" s="296">
        <f t="shared" si="39"/>
        <v>0</v>
      </c>
      <c r="I43" s="296">
        <f t="shared" si="39"/>
        <v>0</v>
      </c>
      <c r="J43" s="296">
        <f t="shared" si="39"/>
        <v>0</v>
      </c>
      <c r="K43" s="296">
        <f t="shared" si="39"/>
        <v>0</v>
      </c>
      <c r="L43" s="296">
        <f t="shared" si="39"/>
        <v>0</v>
      </c>
      <c r="M43" s="296">
        <f t="shared" si="39"/>
        <v>0</v>
      </c>
      <c r="N43" s="280">
        <f>SUM(B43:M43)</f>
        <v>0</v>
      </c>
    </row>
    <row r="44" spans="1:14" x14ac:dyDescent="0.35">
      <c r="A44" s="309" t="s">
        <v>87</v>
      </c>
      <c r="B44" s="298">
        <f>+'Plan de culture 105'!$I$31</f>
        <v>0</v>
      </c>
      <c r="C44" s="298">
        <f>+'Plan de culture 105'!$I$31</f>
        <v>0</v>
      </c>
      <c r="D44" s="298">
        <f>+'Plan de culture 105'!$I$31</f>
        <v>0</v>
      </c>
      <c r="E44" s="298">
        <f>+'Plan de culture 105'!$I$31</f>
        <v>0</v>
      </c>
      <c r="F44" s="298">
        <f>+'Plan de culture 105'!$I$31</f>
        <v>0</v>
      </c>
      <c r="G44" s="298">
        <f>+'Plan de culture 105'!$I$31</f>
        <v>0</v>
      </c>
      <c r="H44" s="298">
        <f>+'Plan de culture 105'!$I$31</f>
        <v>0</v>
      </c>
      <c r="I44" s="298">
        <f>+'Plan de culture 105'!$I$31</f>
        <v>0</v>
      </c>
      <c r="J44" s="298">
        <f>+'Plan de culture 105'!$I$31</f>
        <v>0</v>
      </c>
      <c r="K44" s="298">
        <f>+'Plan de culture 105'!$I$31</f>
        <v>0</v>
      </c>
      <c r="L44" s="298">
        <f>+'Plan de culture 105'!$I$31</f>
        <v>0</v>
      </c>
      <c r="M44" s="298">
        <f>+'Plan de culture 105'!$I$31</f>
        <v>0</v>
      </c>
      <c r="N44" s="279">
        <f>+'Plan de culture 105'!$I$31</f>
        <v>0</v>
      </c>
    </row>
    <row r="45" spans="1:14" x14ac:dyDescent="0.35">
      <c r="A45" s="309" t="s">
        <v>470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79" t="e">
        <f>+N43/N44</f>
        <v>#DIV/0!</v>
      </c>
    </row>
    <row r="46" spans="1:14" x14ac:dyDescent="0.35">
      <c r="A46" s="308" t="s">
        <v>372</v>
      </c>
      <c r="B46" s="296">
        <f>B48*B47</f>
        <v>0</v>
      </c>
      <c r="C46" s="296">
        <f t="shared" ref="C46:M46" si="40">C48*C47</f>
        <v>0</v>
      </c>
      <c r="D46" s="296">
        <f t="shared" si="40"/>
        <v>0</v>
      </c>
      <c r="E46" s="296">
        <f t="shared" si="40"/>
        <v>0</v>
      </c>
      <c r="F46" s="296">
        <f t="shared" si="40"/>
        <v>0</v>
      </c>
      <c r="G46" s="296">
        <f t="shared" si="40"/>
        <v>0</v>
      </c>
      <c r="H46" s="296">
        <f t="shared" si="40"/>
        <v>0</v>
      </c>
      <c r="I46" s="296">
        <f t="shared" si="40"/>
        <v>0</v>
      </c>
      <c r="J46" s="296">
        <f t="shared" si="40"/>
        <v>0</v>
      </c>
      <c r="K46" s="296">
        <f t="shared" si="40"/>
        <v>0</v>
      </c>
      <c r="L46" s="296">
        <f t="shared" si="40"/>
        <v>0</v>
      </c>
      <c r="M46" s="296">
        <f t="shared" si="40"/>
        <v>0</v>
      </c>
      <c r="N46" s="280">
        <f>SUM(B46:M46)</f>
        <v>0</v>
      </c>
    </row>
    <row r="47" spans="1:14" x14ac:dyDescent="0.35">
      <c r="A47" s="309" t="s">
        <v>87</v>
      </c>
      <c r="B47" s="298">
        <f>+'Plan de culture 105'!$I$37</f>
        <v>0</v>
      </c>
      <c r="C47" s="298">
        <f>+'Plan de culture 105'!$I$37</f>
        <v>0</v>
      </c>
      <c r="D47" s="298">
        <f>+'Plan de culture 105'!$I$37</f>
        <v>0</v>
      </c>
      <c r="E47" s="298">
        <f>+'Plan de culture 105'!$I$37</f>
        <v>0</v>
      </c>
      <c r="F47" s="298">
        <f>+'Plan de culture 105'!$I$37</f>
        <v>0</v>
      </c>
      <c r="G47" s="298">
        <f>+'Plan de culture 105'!$I$37</f>
        <v>0</v>
      </c>
      <c r="H47" s="298">
        <f>+'Plan de culture 105'!$I$37</f>
        <v>0</v>
      </c>
      <c r="I47" s="298">
        <f>+'Plan de culture 105'!$I$37</f>
        <v>0</v>
      </c>
      <c r="J47" s="298">
        <f>+'Plan de culture 105'!$I$37</f>
        <v>0</v>
      </c>
      <c r="K47" s="298">
        <f>+'Plan de culture 105'!$I$37</f>
        <v>0</v>
      </c>
      <c r="L47" s="298">
        <f>+'Plan de culture 105'!$I$37</f>
        <v>0</v>
      </c>
      <c r="M47" s="298">
        <f>+'Plan de culture 105'!$I$37</f>
        <v>0</v>
      </c>
      <c r="N47" s="279">
        <f>+'Plan de culture 105'!$I$37</f>
        <v>0</v>
      </c>
    </row>
    <row r="48" spans="1:14" ht="12" thickBot="1" x14ac:dyDescent="0.4">
      <c r="A48" s="309" t="s">
        <v>470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79" t="e">
        <f>+N46/N47</f>
        <v>#DIV/0!</v>
      </c>
    </row>
    <row r="49" spans="1:14" x14ac:dyDescent="0.35">
      <c r="A49" s="315" t="s">
        <v>475</v>
      </c>
      <c r="B49" s="329">
        <f>+B52+B55+B58+B61+B64+B67</f>
        <v>0</v>
      </c>
      <c r="C49" s="329">
        <f t="shared" ref="C49:M49" si="41">+C52+C55+C58+C61+C64+C67</f>
        <v>0</v>
      </c>
      <c r="D49" s="329">
        <f t="shared" si="41"/>
        <v>0</v>
      </c>
      <c r="E49" s="329">
        <f t="shared" si="41"/>
        <v>83625</v>
      </c>
      <c r="F49" s="329">
        <f t="shared" si="41"/>
        <v>55750</v>
      </c>
      <c r="G49" s="329">
        <f t="shared" si="41"/>
        <v>27875</v>
      </c>
      <c r="H49" s="329">
        <f t="shared" si="41"/>
        <v>27875</v>
      </c>
      <c r="I49" s="329">
        <f t="shared" si="41"/>
        <v>55750</v>
      </c>
      <c r="J49" s="329">
        <f t="shared" si="41"/>
        <v>83625</v>
      </c>
      <c r="K49" s="329">
        <f t="shared" si="41"/>
        <v>83625</v>
      </c>
      <c r="L49" s="329">
        <f t="shared" si="41"/>
        <v>55750</v>
      </c>
      <c r="M49" s="329">
        <f t="shared" si="41"/>
        <v>27875</v>
      </c>
      <c r="N49" s="330">
        <f>SUM(B49:M49)</f>
        <v>501750</v>
      </c>
    </row>
    <row r="50" spans="1:14" x14ac:dyDescent="0.35">
      <c r="A50" s="318" t="s">
        <v>87</v>
      </c>
      <c r="B50" s="326">
        <f>'Plan de culture 106'!$C$3</f>
        <v>5.5750000000000002</v>
      </c>
      <c r="C50" s="326">
        <f>'Plan de culture 106'!$C$3</f>
        <v>5.5750000000000002</v>
      </c>
      <c r="D50" s="326">
        <f>'Plan de culture 106'!$C$3</f>
        <v>5.5750000000000002</v>
      </c>
      <c r="E50" s="326">
        <f>'Plan de culture 106'!$C$3</f>
        <v>5.5750000000000002</v>
      </c>
      <c r="F50" s="326">
        <f>'Plan de culture 106'!$C$3</f>
        <v>5.5750000000000002</v>
      </c>
      <c r="G50" s="326">
        <f>'Plan de culture 106'!$C$3</f>
        <v>5.5750000000000002</v>
      </c>
      <c r="H50" s="326">
        <f>'Plan de culture 106'!$C$3</f>
        <v>5.5750000000000002</v>
      </c>
      <c r="I50" s="326">
        <f>'Plan de culture 106'!$C$3</f>
        <v>5.5750000000000002</v>
      </c>
      <c r="J50" s="326">
        <f>'Plan de culture 106'!$C$3</f>
        <v>5.5750000000000002</v>
      </c>
      <c r="K50" s="326">
        <f>'Plan de culture 106'!$C$3</f>
        <v>5.5750000000000002</v>
      </c>
      <c r="L50" s="326">
        <f>'Plan de culture 106'!$C$3</f>
        <v>5.5750000000000002</v>
      </c>
      <c r="M50" s="326">
        <f>'Plan de culture 106'!$C$3</f>
        <v>5.5750000000000002</v>
      </c>
      <c r="N50" s="326">
        <f>'Plan de culture 106'!$C$3</f>
        <v>5.5750000000000002</v>
      </c>
    </row>
    <row r="51" spans="1:14" ht="12" thickBot="1" x14ac:dyDescent="0.4">
      <c r="A51" s="321" t="s">
        <v>470</v>
      </c>
      <c r="B51" s="323">
        <f>+(B49/1000)/B50</f>
        <v>0</v>
      </c>
      <c r="C51" s="323">
        <f t="shared" ref="C51" si="42">+(C49/1000)/C50</f>
        <v>0</v>
      </c>
      <c r="D51" s="323">
        <f t="shared" ref="D51" si="43">+(D49/1000)/D50</f>
        <v>0</v>
      </c>
      <c r="E51" s="323">
        <f t="shared" ref="E51" si="44">+(E49/1000)/E50</f>
        <v>15</v>
      </c>
      <c r="F51" s="323">
        <f t="shared" ref="F51" si="45">+(F49/1000)/F50</f>
        <v>10</v>
      </c>
      <c r="G51" s="323">
        <f t="shared" ref="G51" si="46">+(G49/1000)/G50</f>
        <v>5</v>
      </c>
      <c r="H51" s="323">
        <f t="shared" ref="H51" si="47">+(H49/1000)/H50</f>
        <v>5</v>
      </c>
      <c r="I51" s="323">
        <f t="shared" ref="I51" si="48">+(I49/1000)/I50</f>
        <v>10</v>
      </c>
      <c r="J51" s="323">
        <f t="shared" ref="J51" si="49">+(J49/1000)/J50</f>
        <v>15</v>
      </c>
      <c r="K51" s="323">
        <f t="shared" ref="K51" si="50">+(K49/1000)/K50</f>
        <v>15</v>
      </c>
      <c r="L51" s="323">
        <f t="shared" ref="L51" si="51">+(L49/1000)/L50</f>
        <v>10</v>
      </c>
      <c r="M51" s="323">
        <f t="shared" ref="M51" si="52">+(M49/1000)/M50</f>
        <v>5</v>
      </c>
      <c r="N51" s="322">
        <f t="shared" ref="N51" si="53">+(N49/1000)/N50</f>
        <v>90</v>
      </c>
    </row>
    <row r="52" spans="1:14" x14ac:dyDescent="0.35">
      <c r="A52" s="308" t="s">
        <v>86</v>
      </c>
      <c r="B52" s="296">
        <f>B54*B53</f>
        <v>0</v>
      </c>
      <c r="C52" s="296">
        <f t="shared" ref="C52:M52" si="54">C54*C53</f>
        <v>0</v>
      </c>
      <c r="D52" s="296">
        <f t="shared" si="54"/>
        <v>0</v>
      </c>
      <c r="E52" s="296">
        <f t="shared" si="54"/>
        <v>0</v>
      </c>
      <c r="F52" s="296">
        <f t="shared" si="54"/>
        <v>0</v>
      </c>
      <c r="G52" s="296">
        <f t="shared" si="54"/>
        <v>0</v>
      </c>
      <c r="H52" s="296">
        <f t="shared" si="54"/>
        <v>0</v>
      </c>
      <c r="I52" s="296">
        <f t="shared" si="54"/>
        <v>0</v>
      </c>
      <c r="J52" s="296">
        <f t="shared" si="54"/>
        <v>0</v>
      </c>
      <c r="K52" s="296">
        <f t="shared" si="54"/>
        <v>0</v>
      </c>
      <c r="L52" s="296">
        <f t="shared" si="54"/>
        <v>0</v>
      </c>
      <c r="M52" s="296">
        <f t="shared" si="54"/>
        <v>0</v>
      </c>
      <c r="N52" s="280">
        <f>SUM(B52:M52)</f>
        <v>0</v>
      </c>
    </row>
    <row r="53" spans="1:14" x14ac:dyDescent="0.35">
      <c r="A53" s="309" t="s">
        <v>87</v>
      </c>
      <c r="B53" s="298">
        <f>+'Plan de culture 106'!$J$7</f>
        <v>0</v>
      </c>
      <c r="C53" s="298">
        <f>+'Plan de culture 106'!$J$7</f>
        <v>0</v>
      </c>
      <c r="D53" s="298">
        <f>+'Plan de culture 106'!$J$7</f>
        <v>0</v>
      </c>
      <c r="E53" s="298">
        <f>+'Plan de culture 106'!$J$7</f>
        <v>0</v>
      </c>
      <c r="F53" s="298">
        <f>+'Plan de culture 106'!$J$7</f>
        <v>0</v>
      </c>
      <c r="G53" s="298">
        <f>+'Plan de culture 106'!$J$7</f>
        <v>0</v>
      </c>
      <c r="H53" s="298">
        <f>+'Plan de culture 106'!$J$7</f>
        <v>0</v>
      </c>
      <c r="I53" s="298">
        <f>+'Plan de culture 106'!$J$7</f>
        <v>0</v>
      </c>
      <c r="J53" s="298">
        <f>+'Plan de culture 106'!$J$7</f>
        <v>0</v>
      </c>
      <c r="K53" s="298">
        <f>+'Plan de culture 106'!$J$7</f>
        <v>0</v>
      </c>
      <c r="L53" s="298">
        <f>+'Plan de culture 106'!$J$7</f>
        <v>0</v>
      </c>
      <c r="M53" s="298">
        <f>+'Plan de culture 106'!$J$7</f>
        <v>0</v>
      </c>
      <c r="N53" s="279">
        <f>+'Plan de culture 106'!$J$7</f>
        <v>0</v>
      </c>
    </row>
    <row r="54" spans="1:14" x14ac:dyDescent="0.35">
      <c r="A54" s="309" t="s">
        <v>470</v>
      </c>
      <c r="B54" s="297">
        <v>0</v>
      </c>
      <c r="C54" s="297">
        <v>0</v>
      </c>
      <c r="D54" s="297">
        <v>0</v>
      </c>
      <c r="E54" s="297">
        <v>0</v>
      </c>
      <c r="F54" s="297">
        <v>0</v>
      </c>
      <c r="G54" s="297">
        <v>0</v>
      </c>
      <c r="H54" s="297">
        <v>0</v>
      </c>
      <c r="I54" s="297">
        <v>0</v>
      </c>
      <c r="J54" s="297">
        <v>0</v>
      </c>
      <c r="K54" s="297">
        <v>0</v>
      </c>
      <c r="L54" s="297">
        <v>0</v>
      </c>
      <c r="M54" s="297">
        <v>0</v>
      </c>
      <c r="N54" s="279" t="e">
        <f>+N52/N53</f>
        <v>#DIV/0!</v>
      </c>
    </row>
    <row r="55" spans="1:14" x14ac:dyDescent="0.35">
      <c r="A55" s="308" t="s">
        <v>88</v>
      </c>
      <c r="B55" s="296">
        <f>B57*B56</f>
        <v>0</v>
      </c>
      <c r="C55" s="296">
        <f t="shared" ref="C55:M55" si="55">C57*C56</f>
        <v>0</v>
      </c>
      <c r="D55" s="296">
        <f t="shared" si="55"/>
        <v>0</v>
      </c>
      <c r="E55" s="296">
        <f t="shared" si="55"/>
        <v>0</v>
      </c>
      <c r="F55" s="296">
        <f t="shared" si="55"/>
        <v>0</v>
      </c>
      <c r="G55" s="296">
        <f t="shared" si="55"/>
        <v>0</v>
      </c>
      <c r="H55" s="296">
        <f t="shared" si="55"/>
        <v>0</v>
      </c>
      <c r="I55" s="296">
        <f t="shared" si="55"/>
        <v>0</v>
      </c>
      <c r="J55" s="296">
        <f t="shared" si="55"/>
        <v>0</v>
      </c>
      <c r="K55" s="296">
        <f t="shared" si="55"/>
        <v>0</v>
      </c>
      <c r="L55" s="296">
        <f t="shared" si="55"/>
        <v>0</v>
      </c>
      <c r="M55" s="296">
        <f t="shared" si="55"/>
        <v>0</v>
      </c>
      <c r="N55" s="280">
        <f>SUM(B55:M55)</f>
        <v>0</v>
      </c>
    </row>
    <row r="56" spans="1:14" x14ac:dyDescent="0.35">
      <c r="A56" s="309" t="s">
        <v>87</v>
      </c>
      <c r="B56" s="298">
        <f>+'Plan de culture 106'!$J$13</f>
        <v>0</v>
      </c>
      <c r="C56" s="298">
        <f>+'Plan de culture 106'!$J$13</f>
        <v>0</v>
      </c>
      <c r="D56" s="298">
        <f>+'Plan de culture 106'!$J$13</f>
        <v>0</v>
      </c>
      <c r="E56" s="298">
        <f>+'Plan de culture 106'!$J$13</f>
        <v>0</v>
      </c>
      <c r="F56" s="298">
        <f>+'Plan de culture 106'!$J$13</f>
        <v>0</v>
      </c>
      <c r="G56" s="298">
        <f>+'Plan de culture 106'!$J$13</f>
        <v>0</v>
      </c>
      <c r="H56" s="298">
        <f>+'Plan de culture 106'!$J$13</f>
        <v>0</v>
      </c>
      <c r="I56" s="298">
        <f>+'Plan de culture 106'!$J$13</f>
        <v>0</v>
      </c>
      <c r="J56" s="298">
        <f>+'Plan de culture 106'!$J$13</f>
        <v>0</v>
      </c>
      <c r="K56" s="298">
        <f>+'Plan de culture 106'!$J$13</f>
        <v>0</v>
      </c>
      <c r="L56" s="298">
        <f>+'Plan de culture 106'!$J$13</f>
        <v>0</v>
      </c>
      <c r="M56" s="298">
        <f>+'Plan de culture 106'!$J$13</f>
        <v>0</v>
      </c>
      <c r="N56" s="279">
        <f>+'Plan de culture 106'!$J$13</f>
        <v>0</v>
      </c>
    </row>
    <row r="57" spans="1:14" x14ac:dyDescent="0.35">
      <c r="A57" s="309" t="s">
        <v>470</v>
      </c>
      <c r="B57" s="297">
        <v>0</v>
      </c>
      <c r="C57" s="297">
        <v>0</v>
      </c>
      <c r="D57" s="297">
        <v>0</v>
      </c>
      <c r="E57" s="297">
        <v>0</v>
      </c>
      <c r="F57" s="297">
        <v>0</v>
      </c>
      <c r="G57" s="297">
        <v>0</v>
      </c>
      <c r="H57" s="297">
        <v>0</v>
      </c>
      <c r="I57" s="297">
        <v>0</v>
      </c>
      <c r="J57" s="297">
        <v>0</v>
      </c>
      <c r="K57" s="297">
        <v>0</v>
      </c>
      <c r="L57" s="297">
        <v>0</v>
      </c>
      <c r="M57" s="297">
        <v>0</v>
      </c>
      <c r="N57" s="279" t="e">
        <f>+N55/N56</f>
        <v>#DIV/0!</v>
      </c>
    </row>
    <row r="58" spans="1:14" x14ac:dyDescent="0.35">
      <c r="A58" s="308" t="s">
        <v>370</v>
      </c>
      <c r="B58" s="296">
        <f>B60*B59</f>
        <v>0</v>
      </c>
      <c r="C58" s="296">
        <f t="shared" ref="C58:M58" si="56">C60*C59</f>
        <v>0</v>
      </c>
      <c r="D58" s="296">
        <f t="shared" si="56"/>
        <v>0</v>
      </c>
      <c r="E58" s="296">
        <f t="shared" si="56"/>
        <v>83625</v>
      </c>
      <c r="F58" s="296">
        <f t="shared" si="56"/>
        <v>55750</v>
      </c>
      <c r="G58" s="296">
        <f t="shared" si="56"/>
        <v>27875</v>
      </c>
      <c r="H58" s="296">
        <f t="shared" si="56"/>
        <v>27875</v>
      </c>
      <c r="I58" s="296">
        <f t="shared" si="56"/>
        <v>55750</v>
      </c>
      <c r="J58" s="296">
        <f t="shared" si="56"/>
        <v>83625</v>
      </c>
      <c r="K58" s="296">
        <f t="shared" si="56"/>
        <v>83625</v>
      </c>
      <c r="L58" s="296">
        <f t="shared" si="56"/>
        <v>55750</v>
      </c>
      <c r="M58" s="296">
        <f t="shared" si="56"/>
        <v>27875</v>
      </c>
      <c r="N58" s="280">
        <f>SUM(B58:M58)</f>
        <v>501750</v>
      </c>
    </row>
    <row r="59" spans="1:14" x14ac:dyDescent="0.35">
      <c r="A59" s="309" t="s">
        <v>87</v>
      </c>
      <c r="B59" s="298">
        <f>+'Plan de culture 106'!$J$19</f>
        <v>5.5750000000000002</v>
      </c>
      <c r="C59" s="298">
        <f>+'Plan de culture 106'!$J$19</f>
        <v>5.5750000000000002</v>
      </c>
      <c r="D59" s="298">
        <f>+'Plan de culture 106'!$J$19</f>
        <v>5.5750000000000002</v>
      </c>
      <c r="E59" s="298">
        <f>+'Plan de culture 106'!$J$19</f>
        <v>5.5750000000000002</v>
      </c>
      <c r="F59" s="298">
        <f>+'Plan de culture 106'!$J$19</f>
        <v>5.5750000000000002</v>
      </c>
      <c r="G59" s="298">
        <f>+'Plan de culture 106'!$J$19</f>
        <v>5.5750000000000002</v>
      </c>
      <c r="H59" s="298">
        <f>+'Plan de culture 106'!$J$19</f>
        <v>5.5750000000000002</v>
      </c>
      <c r="I59" s="298">
        <f>+'Plan de culture 106'!$J$19</f>
        <v>5.5750000000000002</v>
      </c>
      <c r="J59" s="298">
        <f>+'Plan de culture 106'!$J$19</f>
        <v>5.5750000000000002</v>
      </c>
      <c r="K59" s="298">
        <f>+'Plan de culture 106'!$J$19</f>
        <v>5.5750000000000002</v>
      </c>
      <c r="L59" s="298">
        <f>+'Plan de culture 106'!$J$19</f>
        <v>5.5750000000000002</v>
      </c>
      <c r="M59" s="298">
        <f>+'Plan de culture 106'!$J$19</f>
        <v>5.5750000000000002</v>
      </c>
      <c r="N59" s="279">
        <f>+'Plan de culture 106'!$J$19</f>
        <v>5.5750000000000002</v>
      </c>
    </row>
    <row r="60" spans="1:14" x14ac:dyDescent="0.35">
      <c r="A60" s="309" t="s">
        <v>470</v>
      </c>
      <c r="B60" s="297">
        <v>0</v>
      </c>
      <c r="C60" s="297">
        <v>0</v>
      </c>
      <c r="D60" s="297">
        <v>0</v>
      </c>
      <c r="E60" s="298">
        <v>15000</v>
      </c>
      <c r="F60" s="298">
        <v>10000</v>
      </c>
      <c r="G60" s="298">
        <v>5000</v>
      </c>
      <c r="H60" s="298">
        <v>5000</v>
      </c>
      <c r="I60" s="298">
        <v>10000</v>
      </c>
      <c r="J60" s="298">
        <v>15000</v>
      </c>
      <c r="K60" s="298">
        <v>15000</v>
      </c>
      <c r="L60" s="298">
        <v>10000</v>
      </c>
      <c r="M60" s="298">
        <v>5000</v>
      </c>
      <c r="N60" s="279">
        <f>+N58/N59</f>
        <v>90000</v>
      </c>
    </row>
    <row r="61" spans="1:14" x14ac:dyDescent="0.35">
      <c r="A61" s="308" t="s">
        <v>89</v>
      </c>
      <c r="B61" s="296">
        <f>B63*B62</f>
        <v>0</v>
      </c>
      <c r="C61" s="296">
        <f t="shared" ref="C61:M61" si="57">C63*C62</f>
        <v>0</v>
      </c>
      <c r="D61" s="296">
        <f t="shared" si="57"/>
        <v>0</v>
      </c>
      <c r="E61" s="296">
        <f t="shared" si="57"/>
        <v>0</v>
      </c>
      <c r="F61" s="296">
        <f t="shared" si="57"/>
        <v>0</v>
      </c>
      <c r="G61" s="296">
        <f t="shared" si="57"/>
        <v>0</v>
      </c>
      <c r="H61" s="296">
        <f t="shared" si="57"/>
        <v>0</v>
      </c>
      <c r="I61" s="296">
        <f t="shared" si="57"/>
        <v>0</v>
      </c>
      <c r="J61" s="296">
        <f t="shared" si="57"/>
        <v>0</v>
      </c>
      <c r="K61" s="296">
        <f t="shared" si="57"/>
        <v>0</v>
      </c>
      <c r="L61" s="296">
        <f t="shared" si="57"/>
        <v>0</v>
      </c>
      <c r="M61" s="296">
        <f t="shared" si="57"/>
        <v>0</v>
      </c>
      <c r="N61" s="280">
        <f>SUM(B61:M61)</f>
        <v>0</v>
      </c>
    </row>
    <row r="62" spans="1:14" x14ac:dyDescent="0.35">
      <c r="A62" s="309" t="s">
        <v>87</v>
      </c>
      <c r="B62" s="298">
        <f>+'Plan de culture 106'!$J$25</f>
        <v>0</v>
      </c>
      <c r="C62" s="298">
        <f>+'Plan de culture 106'!$J$25</f>
        <v>0</v>
      </c>
      <c r="D62" s="298">
        <f>+'Plan de culture 106'!$J$25</f>
        <v>0</v>
      </c>
      <c r="E62" s="298">
        <f>+'Plan de culture 106'!$J$25</f>
        <v>0</v>
      </c>
      <c r="F62" s="298">
        <f>+'Plan de culture 106'!$J$25</f>
        <v>0</v>
      </c>
      <c r="G62" s="298">
        <f>+'Plan de culture 106'!$J$25</f>
        <v>0</v>
      </c>
      <c r="H62" s="298">
        <f>+'Plan de culture 106'!$J$25</f>
        <v>0</v>
      </c>
      <c r="I62" s="298">
        <f>+'Plan de culture 106'!$J$25</f>
        <v>0</v>
      </c>
      <c r="J62" s="298">
        <f>+'Plan de culture 106'!$J$25</f>
        <v>0</v>
      </c>
      <c r="K62" s="298">
        <f>+'Plan de culture 106'!$J$25</f>
        <v>0</v>
      </c>
      <c r="L62" s="298">
        <f>+'Plan de culture 106'!$J$25</f>
        <v>0</v>
      </c>
      <c r="M62" s="298">
        <f>+'Plan de culture 106'!$J$25</f>
        <v>0</v>
      </c>
      <c r="N62" s="279">
        <f>+'Plan de culture 106'!$J$25</f>
        <v>0</v>
      </c>
    </row>
    <row r="63" spans="1:14" x14ac:dyDescent="0.35">
      <c r="A63" s="309" t="s">
        <v>470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79" t="e">
        <f>+N61/N62</f>
        <v>#DIV/0!</v>
      </c>
    </row>
    <row r="64" spans="1:14" x14ac:dyDescent="0.35">
      <c r="A64" s="308" t="s">
        <v>371</v>
      </c>
      <c r="B64" s="296">
        <f>B66*B65</f>
        <v>0</v>
      </c>
      <c r="C64" s="296">
        <f t="shared" ref="C64:M64" si="58">C66*C65</f>
        <v>0</v>
      </c>
      <c r="D64" s="296">
        <f t="shared" si="58"/>
        <v>0</v>
      </c>
      <c r="E64" s="296">
        <f t="shared" si="58"/>
        <v>0</v>
      </c>
      <c r="F64" s="296">
        <f t="shared" si="58"/>
        <v>0</v>
      </c>
      <c r="G64" s="296">
        <f t="shared" si="58"/>
        <v>0</v>
      </c>
      <c r="H64" s="296">
        <f t="shared" si="58"/>
        <v>0</v>
      </c>
      <c r="I64" s="296">
        <f t="shared" si="58"/>
        <v>0</v>
      </c>
      <c r="J64" s="296">
        <f t="shared" si="58"/>
        <v>0</v>
      </c>
      <c r="K64" s="296">
        <f t="shared" si="58"/>
        <v>0</v>
      </c>
      <c r="L64" s="296">
        <f t="shared" si="58"/>
        <v>0</v>
      </c>
      <c r="M64" s="296">
        <f t="shared" si="58"/>
        <v>0</v>
      </c>
      <c r="N64" s="280">
        <f>SUM(B64:M64)</f>
        <v>0</v>
      </c>
    </row>
    <row r="65" spans="1:14" x14ac:dyDescent="0.35">
      <c r="A65" s="309" t="s">
        <v>87</v>
      </c>
      <c r="B65" s="298">
        <f>+'Plan de culture 106'!$J$31</f>
        <v>0</v>
      </c>
      <c r="C65" s="298">
        <f>+'Plan de culture 106'!$J$31</f>
        <v>0</v>
      </c>
      <c r="D65" s="298">
        <f>+'Plan de culture 106'!$J$31</f>
        <v>0</v>
      </c>
      <c r="E65" s="298">
        <f>+'Plan de culture 106'!$J$31</f>
        <v>0</v>
      </c>
      <c r="F65" s="298">
        <f>+'Plan de culture 106'!$J$31</f>
        <v>0</v>
      </c>
      <c r="G65" s="298">
        <f>+'Plan de culture 106'!$J$31</f>
        <v>0</v>
      </c>
      <c r="H65" s="298">
        <f>+'Plan de culture 106'!$J$31</f>
        <v>0</v>
      </c>
      <c r="I65" s="298">
        <f>+'Plan de culture 106'!$J$31</f>
        <v>0</v>
      </c>
      <c r="J65" s="298">
        <f>+'Plan de culture 106'!$J$31</f>
        <v>0</v>
      </c>
      <c r="K65" s="298">
        <f>+'Plan de culture 106'!$J$31</f>
        <v>0</v>
      </c>
      <c r="L65" s="298">
        <f>+'Plan de culture 106'!$J$31</f>
        <v>0</v>
      </c>
      <c r="M65" s="298">
        <f>+'Plan de culture 106'!$J$31</f>
        <v>0</v>
      </c>
      <c r="N65" s="279">
        <f>+'Plan de culture 106'!$J$31</f>
        <v>0</v>
      </c>
    </row>
    <row r="66" spans="1:14" x14ac:dyDescent="0.35">
      <c r="A66" s="309" t="s">
        <v>470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79" t="e">
        <f>+N64/N65</f>
        <v>#DIV/0!</v>
      </c>
    </row>
    <row r="67" spans="1:14" x14ac:dyDescent="0.35">
      <c r="A67" s="308" t="s">
        <v>372</v>
      </c>
      <c r="B67" s="296">
        <f>B69*B68</f>
        <v>0</v>
      </c>
      <c r="C67" s="296">
        <f t="shared" ref="C67:M67" si="59">C69*C68</f>
        <v>0</v>
      </c>
      <c r="D67" s="296">
        <f t="shared" si="59"/>
        <v>0</v>
      </c>
      <c r="E67" s="296">
        <f t="shared" si="59"/>
        <v>0</v>
      </c>
      <c r="F67" s="296">
        <f t="shared" si="59"/>
        <v>0</v>
      </c>
      <c r="G67" s="296">
        <f t="shared" si="59"/>
        <v>0</v>
      </c>
      <c r="H67" s="296">
        <f t="shared" si="59"/>
        <v>0</v>
      </c>
      <c r="I67" s="296">
        <f t="shared" si="59"/>
        <v>0</v>
      </c>
      <c r="J67" s="296">
        <f t="shared" si="59"/>
        <v>0</v>
      </c>
      <c r="K67" s="296">
        <f t="shared" si="59"/>
        <v>0</v>
      </c>
      <c r="L67" s="296">
        <f t="shared" si="59"/>
        <v>0</v>
      </c>
      <c r="M67" s="296">
        <f t="shared" si="59"/>
        <v>0</v>
      </c>
      <c r="N67" s="280">
        <f>SUM(B67:M67)</f>
        <v>0</v>
      </c>
    </row>
    <row r="68" spans="1:14" x14ac:dyDescent="0.35">
      <c r="A68" s="309" t="s">
        <v>87</v>
      </c>
      <c r="B68" s="298">
        <f>+'Plan de culture 106'!$J$37</f>
        <v>0</v>
      </c>
      <c r="C68" s="298">
        <f>+'Plan de culture 106'!$J$37</f>
        <v>0</v>
      </c>
      <c r="D68" s="298">
        <f>+'Plan de culture 106'!$J$37</f>
        <v>0</v>
      </c>
      <c r="E68" s="298">
        <f>+'Plan de culture 106'!$J$37</f>
        <v>0</v>
      </c>
      <c r="F68" s="298">
        <f>+'Plan de culture 106'!$J$37</f>
        <v>0</v>
      </c>
      <c r="G68" s="298">
        <f>+'Plan de culture 106'!$J$37</f>
        <v>0</v>
      </c>
      <c r="H68" s="298">
        <f>+'Plan de culture 106'!$J$37</f>
        <v>0</v>
      </c>
      <c r="I68" s="298">
        <f>+'Plan de culture 106'!$J$37</f>
        <v>0</v>
      </c>
      <c r="J68" s="298">
        <f>+'Plan de culture 106'!$J$37</f>
        <v>0</v>
      </c>
      <c r="K68" s="298">
        <f>+'Plan de culture 106'!$J$37</f>
        <v>0</v>
      </c>
      <c r="L68" s="298">
        <f>+'Plan de culture 106'!$J$37</f>
        <v>0</v>
      </c>
      <c r="M68" s="298">
        <f>+'Plan de culture 106'!$J$37</f>
        <v>0</v>
      </c>
      <c r="N68" s="279">
        <f>+'Plan de culture 106'!$J$37</f>
        <v>0</v>
      </c>
    </row>
    <row r="69" spans="1:14" ht="12" thickBot="1" x14ac:dyDescent="0.4">
      <c r="A69" s="309" t="s">
        <v>470</v>
      </c>
      <c r="B69" s="297">
        <v>0</v>
      </c>
      <c r="C69" s="297">
        <v>0</v>
      </c>
      <c r="D69" s="297">
        <v>0</v>
      </c>
      <c r="E69" s="297">
        <v>0</v>
      </c>
      <c r="F69" s="297">
        <v>0</v>
      </c>
      <c r="G69" s="297">
        <v>0</v>
      </c>
      <c r="H69" s="297">
        <v>0</v>
      </c>
      <c r="I69" s="297">
        <v>0</v>
      </c>
      <c r="J69" s="297">
        <v>0</v>
      </c>
      <c r="K69" s="297">
        <v>0</v>
      </c>
      <c r="L69" s="297">
        <v>0</v>
      </c>
      <c r="M69" s="297">
        <v>0</v>
      </c>
      <c r="N69" s="279" t="e">
        <f>+N67/N68</f>
        <v>#DIV/0!</v>
      </c>
    </row>
    <row r="70" spans="1:14" x14ac:dyDescent="0.35">
      <c r="A70" s="315" t="s">
        <v>474</v>
      </c>
      <c r="B70" s="329">
        <f>+B73+B76+B79+B82+B85+B88</f>
        <v>0</v>
      </c>
      <c r="C70" s="329">
        <f t="shared" ref="C70:M70" si="60">+C73+C76+C79+C82+C85+C88</f>
        <v>0</v>
      </c>
      <c r="D70" s="329">
        <f>+D73+D76+D79+D82+D85+D88</f>
        <v>0</v>
      </c>
      <c r="E70" s="329">
        <f t="shared" si="60"/>
        <v>331160</v>
      </c>
      <c r="F70" s="329">
        <f t="shared" si="60"/>
        <v>331160</v>
      </c>
      <c r="G70" s="329">
        <f t="shared" si="60"/>
        <v>248370</v>
      </c>
      <c r="H70" s="329">
        <f t="shared" si="60"/>
        <v>248370</v>
      </c>
      <c r="I70" s="329">
        <f t="shared" si="60"/>
        <v>248370</v>
      </c>
      <c r="J70" s="329">
        <f t="shared" si="60"/>
        <v>248370</v>
      </c>
      <c r="K70" s="329">
        <f t="shared" si="60"/>
        <v>248370</v>
      </c>
      <c r="L70" s="329">
        <f t="shared" si="60"/>
        <v>248370</v>
      </c>
      <c r="M70" s="329">
        <f t="shared" si="60"/>
        <v>165580</v>
      </c>
      <c r="N70" s="330">
        <f>SUM(B70:M70)</f>
        <v>2318120</v>
      </c>
    </row>
    <row r="71" spans="1:14" x14ac:dyDescent="0.35">
      <c r="A71" s="318" t="s">
        <v>87</v>
      </c>
      <c r="B71" s="326">
        <f>'Plan de culture 107'!$C$3</f>
        <v>16.558</v>
      </c>
      <c r="C71" s="326">
        <f>'Plan de culture 107'!$C$3</f>
        <v>16.558</v>
      </c>
      <c r="D71" s="326">
        <f>'Plan de culture 107'!$C$3</f>
        <v>16.558</v>
      </c>
      <c r="E71" s="326">
        <f>'Plan de culture 107'!$C$3</f>
        <v>16.558</v>
      </c>
      <c r="F71" s="326">
        <f>'Plan de culture 107'!$C$3</f>
        <v>16.558</v>
      </c>
      <c r="G71" s="326">
        <f>'Plan de culture 107'!$C$3</f>
        <v>16.558</v>
      </c>
      <c r="H71" s="326">
        <f>'Plan de culture 107'!$C$3</f>
        <v>16.558</v>
      </c>
      <c r="I71" s="326">
        <f>'Plan de culture 107'!$C$3</f>
        <v>16.558</v>
      </c>
      <c r="J71" s="326">
        <f>'Plan de culture 107'!$C$3</f>
        <v>16.558</v>
      </c>
      <c r="K71" s="326">
        <f>'Plan de culture 107'!$C$3</f>
        <v>16.558</v>
      </c>
      <c r="L71" s="326">
        <f>'Plan de culture 107'!$C$3</f>
        <v>16.558</v>
      </c>
      <c r="M71" s="326">
        <f>'Plan de culture 107'!$C$3</f>
        <v>16.558</v>
      </c>
      <c r="N71" s="326">
        <f>'Plan de culture 107'!$C$3</f>
        <v>16.558</v>
      </c>
    </row>
    <row r="72" spans="1:14" ht="12" thickBot="1" x14ac:dyDescent="0.4">
      <c r="A72" s="321" t="s">
        <v>470</v>
      </c>
      <c r="B72" s="323">
        <f>+(B70/1000)/B71</f>
        <v>0</v>
      </c>
      <c r="C72" s="323">
        <f t="shared" ref="C72" si="61">+(C70/1000)/C71</f>
        <v>0</v>
      </c>
      <c r="D72" s="323">
        <f t="shared" ref="D72" si="62">+(D70/1000)/D71</f>
        <v>0</v>
      </c>
      <c r="E72" s="323">
        <f t="shared" ref="E72" si="63">+(E70/1000)/E71</f>
        <v>20</v>
      </c>
      <c r="F72" s="323">
        <f t="shared" ref="F72" si="64">+(F70/1000)/F71</f>
        <v>20</v>
      </c>
      <c r="G72" s="323">
        <f t="shared" ref="G72" si="65">+(G70/1000)/G71</f>
        <v>15</v>
      </c>
      <c r="H72" s="323">
        <f t="shared" ref="H72" si="66">+(H70/1000)/H71</f>
        <v>15</v>
      </c>
      <c r="I72" s="323">
        <f t="shared" ref="I72" si="67">+(I70/1000)/I71</f>
        <v>15</v>
      </c>
      <c r="J72" s="323">
        <f t="shared" ref="J72" si="68">+(J70/1000)/J71</f>
        <v>15</v>
      </c>
      <c r="K72" s="323">
        <f t="shared" ref="K72" si="69">+(K70/1000)/K71</f>
        <v>15</v>
      </c>
      <c r="L72" s="323">
        <f t="shared" ref="L72" si="70">+(L70/1000)/L71</f>
        <v>15</v>
      </c>
      <c r="M72" s="323">
        <f t="shared" ref="M72" si="71">+(M70/1000)/M71</f>
        <v>10</v>
      </c>
      <c r="N72" s="322">
        <f t="shared" ref="N72" si="72">+(N70/1000)/N71</f>
        <v>140</v>
      </c>
    </row>
    <row r="73" spans="1:14" x14ac:dyDescent="0.35">
      <c r="A73" s="308" t="s">
        <v>86</v>
      </c>
      <c r="B73" s="296">
        <f>B75*B74</f>
        <v>0</v>
      </c>
      <c r="C73" s="296">
        <f t="shared" ref="C73:M73" si="73">C75*C74</f>
        <v>0</v>
      </c>
      <c r="D73" s="296">
        <f t="shared" si="73"/>
        <v>0</v>
      </c>
      <c r="E73" s="296">
        <f t="shared" si="73"/>
        <v>0</v>
      </c>
      <c r="F73" s="296">
        <f t="shared" si="73"/>
        <v>0</v>
      </c>
      <c r="G73" s="296">
        <f t="shared" si="73"/>
        <v>0</v>
      </c>
      <c r="H73" s="296">
        <f t="shared" si="73"/>
        <v>0</v>
      </c>
      <c r="I73" s="296">
        <f t="shared" si="73"/>
        <v>0</v>
      </c>
      <c r="J73" s="296">
        <f t="shared" si="73"/>
        <v>0</v>
      </c>
      <c r="K73" s="296">
        <f t="shared" si="73"/>
        <v>0</v>
      </c>
      <c r="L73" s="296">
        <f t="shared" si="73"/>
        <v>0</v>
      </c>
      <c r="M73" s="296">
        <f t="shared" si="73"/>
        <v>0</v>
      </c>
      <c r="N73" s="280">
        <f>SUM(B73:M73)</f>
        <v>0</v>
      </c>
    </row>
    <row r="74" spans="1:14" x14ac:dyDescent="0.35">
      <c r="A74" s="309" t="s">
        <v>87</v>
      </c>
      <c r="B74" s="298">
        <f>+'Plan de culture 107'!$Z$7</f>
        <v>0</v>
      </c>
      <c r="C74" s="298">
        <f>+'Plan de culture 107'!$Z$7</f>
        <v>0</v>
      </c>
      <c r="D74" s="298">
        <f>+'Plan de culture 107'!$Z$7</f>
        <v>0</v>
      </c>
      <c r="E74" s="298">
        <f>+'Plan de culture 107'!$Z$7</f>
        <v>0</v>
      </c>
      <c r="F74" s="298">
        <f>+'Plan de culture 107'!$Z$7</f>
        <v>0</v>
      </c>
      <c r="G74" s="298">
        <f>+'Plan de culture 107'!$Z$7</f>
        <v>0</v>
      </c>
      <c r="H74" s="298">
        <f>+'Plan de culture 107'!$Z$7</f>
        <v>0</v>
      </c>
      <c r="I74" s="298">
        <f>+'Plan de culture 107'!$Z$7</f>
        <v>0</v>
      </c>
      <c r="J74" s="298">
        <f>+'Plan de culture 107'!$Z$7</f>
        <v>0</v>
      </c>
      <c r="K74" s="298">
        <f>+'Plan de culture 107'!$Z$7</f>
        <v>0</v>
      </c>
      <c r="L74" s="298">
        <f>+'Plan de culture 107'!$Z$7</f>
        <v>0</v>
      </c>
      <c r="M74" s="298">
        <f>+'Plan de culture 107'!$Z$7</f>
        <v>0</v>
      </c>
      <c r="N74" s="279">
        <f>+'Plan de culture 107'!$Z$7</f>
        <v>0</v>
      </c>
    </row>
    <row r="75" spans="1:14" x14ac:dyDescent="0.35">
      <c r="A75" s="309" t="s">
        <v>470</v>
      </c>
      <c r="B75" s="297">
        <v>0</v>
      </c>
      <c r="C75" s="297">
        <v>0</v>
      </c>
      <c r="D75" s="297">
        <v>0</v>
      </c>
      <c r="E75" s="297">
        <v>0</v>
      </c>
      <c r="F75" s="297">
        <v>0</v>
      </c>
      <c r="G75" s="297">
        <v>0</v>
      </c>
      <c r="H75" s="297">
        <v>0</v>
      </c>
      <c r="I75" s="297">
        <v>0</v>
      </c>
      <c r="J75" s="297">
        <v>0</v>
      </c>
      <c r="K75" s="297">
        <v>0</v>
      </c>
      <c r="L75" s="297">
        <v>0</v>
      </c>
      <c r="M75" s="297">
        <v>0</v>
      </c>
      <c r="N75" s="279" t="e">
        <f>+N73/N74</f>
        <v>#DIV/0!</v>
      </c>
    </row>
    <row r="76" spans="1:14" x14ac:dyDescent="0.35">
      <c r="A76" s="308" t="s">
        <v>88</v>
      </c>
      <c r="B76" s="296">
        <f>B78*B77</f>
        <v>0</v>
      </c>
      <c r="C76" s="296">
        <f t="shared" ref="C76:M76" si="74">C78*C77</f>
        <v>0</v>
      </c>
      <c r="D76" s="296">
        <f t="shared" si="74"/>
        <v>0</v>
      </c>
      <c r="E76" s="296">
        <f t="shared" si="74"/>
        <v>0</v>
      </c>
      <c r="F76" s="296">
        <f t="shared" si="74"/>
        <v>0</v>
      </c>
      <c r="G76" s="296">
        <f t="shared" si="74"/>
        <v>0</v>
      </c>
      <c r="H76" s="296">
        <f t="shared" si="74"/>
        <v>0</v>
      </c>
      <c r="I76" s="296">
        <f t="shared" si="74"/>
        <v>0</v>
      </c>
      <c r="J76" s="296">
        <f t="shared" si="74"/>
        <v>0</v>
      </c>
      <c r="K76" s="296">
        <f t="shared" si="74"/>
        <v>0</v>
      </c>
      <c r="L76" s="296">
        <f t="shared" si="74"/>
        <v>0</v>
      </c>
      <c r="M76" s="296">
        <f t="shared" si="74"/>
        <v>0</v>
      </c>
      <c r="N76" s="280">
        <f>SUM(B76:M76)</f>
        <v>0</v>
      </c>
    </row>
    <row r="77" spans="1:14" x14ac:dyDescent="0.35">
      <c r="A77" s="309" t="s">
        <v>87</v>
      </c>
      <c r="B77" s="298">
        <f>+'Plan de culture 107'!$Z$13</f>
        <v>0</v>
      </c>
      <c r="C77" s="298">
        <f>+'Plan de culture 107'!$Z$13</f>
        <v>0</v>
      </c>
      <c r="D77" s="298">
        <f>+'Plan de culture 107'!$Z$13</f>
        <v>0</v>
      </c>
      <c r="E77" s="298">
        <f>+'Plan de culture 107'!$Z$13</f>
        <v>0</v>
      </c>
      <c r="F77" s="298">
        <f>+'Plan de culture 107'!$Z$13</f>
        <v>0</v>
      </c>
      <c r="G77" s="298">
        <f>+'Plan de culture 107'!$Z$13</f>
        <v>0</v>
      </c>
      <c r="H77" s="298">
        <f>+'Plan de culture 107'!$Z$13</f>
        <v>0</v>
      </c>
      <c r="I77" s="298">
        <f>+'Plan de culture 107'!$Z$13</f>
        <v>0</v>
      </c>
      <c r="J77" s="298">
        <f>+'Plan de culture 107'!$Z$13</f>
        <v>0</v>
      </c>
      <c r="K77" s="298">
        <f>+'Plan de culture 107'!$Z$13</f>
        <v>0</v>
      </c>
      <c r="L77" s="298">
        <f>+'Plan de culture 107'!$Z$13</f>
        <v>0</v>
      </c>
      <c r="M77" s="298">
        <f>+'Plan de culture 107'!$Z$13</f>
        <v>0</v>
      </c>
      <c r="N77" s="279">
        <f>+'Plan de culture 107'!$Z$13</f>
        <v>0</v>
      </c>
    </row>
    <row r="78" spans="1:14" x14ac:dyDescent="0.35">
      <c r="A78" s="309" t="s">
        <v>470</v>
      </c>
      <c r="B78" s="297">
        <v>0</v>
      </c>
      <c r="C78" s="297">
        <v>0</v>
      </c>
      <c r="D78" s="297">
        <v>0</v>
      </c>
      <c r="E78" s="297">
        <v>0</v>
      </c>
      <c r="F78" s="297">
        <v>0</v>
      </c>
      <c r="G78" s="297">
        <v>0</v>
      </c>
      <c r="H78" s="297">
        <v>0</v>
      </c>
      <c r="I78" s="297">
        <v>0</v>
      </c>
      <c r="J78" s="297">
        <v>0</v>
      </c>
      <c r="K78" s="297">
        <v>0</v>
      </c>
      <c r="L78" s="297">
        <v>0</v>
      </c>
      <c r="M78" s="297">
        <v>0</v>
      </c>
      <c r="N78" s="279" t="e">
        <f>+N76/N77</f>
        <v>#DIV/0!</v>
      </c>
    </row>
    <row r="79" spans="1:14" x14ac:dyDescent="0.35">
      <c r="A79" s="308" t="s">
        <v>370</v>
      </c>
      <c r="B79" s="296">
        <f>B81*B80</f>
        <v>0</v>
      </c>
      <c r="C79" s="296">
        <f t="shared" ref="C79:M79" si="75">C81*C80</f>
        <v>0</v>
      </c>
      <c r="D79" s="296">
        <f t="shared" si="75"/>
        <v>0</v>
      </c>
      <c r="E79" s="296">
        <f t="shared" si="75"/>
        <v>0</v>
      </c>
      <c r="F79" s="296">
        <f t="shared" si="75"/>
        <v>0</v>
      </c>
      <c r="G79" s="296">
        <f t="shared" si="75"/>
        <v>0</v>
      </c>
      <c r="H79" s="296">
        <f t="shared" si="75"/>
        <v>0</v>
      </c>
      <c r="I79" s="296">
        <f t="shared" si="75"/>
        <v>0</v>
      </c>
      <c r="J79" s="296">
        <f t="shared" si="75"/>
        <v>0</v>
      </c>
      <c r="K79" s="296">
        <f t="shared" si="75"/>
        <v>0</v>
      </c>
      <c r="L79" s="296">
        <f t="shared" si="75"/>
        <v>0</v>
      </c>
      <c r="M79" s="296">
        <f t="shared" si="75"/>
        <v>0</v>
      </c>
      <c r="N79" s="280">
        <f>SUM(B79:M79)</f>
        <v>0</v>
      </c>
    </row>
    <row r="80" spans="1:14" x14ac:dyDescent="0.35">
      <c r="A80" s="309" t="s">
        <v>87</v>
      </c>
      <c r="B80" s="298">
        <f>+'Plan de culture 107'!$Z$19</f>
        <v>0</v>
      </c>
      <c r="C80" s="298">
        <f>+'Plan de culture 107'!$Z$19</f>
        <v>0</v>
      </c>
      <c r="D80" s="298">
        <f>+'Plan de culture 107'!$Z$19</f>
        <v>0</v>
      </c>
      <c r="E80" s="298">
        <f>+'Plan de culture 107'!$Z$19</f>
        <v>0</v>
      </c>
      <c r="F80" s="298">
        <f>+'Plan de culture 107'!$Z$19</f>
        <v>0</v>
      </c>
      <c r="G80" s="298">
        <f>+'Plan de culture 107'!$Z$19</f>
        <v>0</v>
      </c>
      <c r="H80" s="298">
        <f>+'Plan de culture 107'!$Z$19</f>
        <v>0</v>
      </c>
      <c r="I80" s="298">
        <f>+'Plan de culture 107'!$Z$19</f>
        <v>0</v>
      </c>
      <c r="J80" s="298">
        <f>+'Plan de culture 107'!$Z$19</f>
        <v>0</v>
      </c>
      <c r="K80" s="298">
        <f>+'Plan de culture 107'!$Z$19</f>
        <v>0</v>
      </c>
      <c r="L80" s="298">
        <f>+'Plan de culture 107'!$Z$19</f>
        <v>0</v>
      </c>
      <c r="M80" s="298">
        <f>+'Plan de culture 107'!$Z$19</f>
        <v>0</v>
      </c>
      <c r="N80" s="279">
        <f>+'Plan de culture 107'!$Z$19</f>
        <v>0</v>
      </c>
    </row>
    <row r="81" spans="1:14" x14ac:dyDescent="0.35">
      <c r="A81" s="309" t="s">
        <v>470</v>
      </c>
      <c r="B81" s="297">
        <v>0</v>
      </c>
      <c r="C81" s="297">
        <v>0</v>
      </c>
      <c r="D81" s="297">
        <v>0</v>
      </c>
      <c r="E81" s="297">
        <v>0</v>
      </c>
      <c r="F81" s="297">
        <v>0</v>
      </c>
      <c r="G81" s="297">
        <v>0</v>
      </c>
      <c r="H81" s="297">
        <v>0</v>
      </c>
      <c r="I81" s="297">
        <v>0</v>
      </c>
      <c r="J81" s="297">
        <v>0</v>
      </c>
      <c r="K81" s="297">
        <v>0</v>
      </c>
      <c r="L81" s="297">
        <v>0</v>
      </c>
      <c r="M81" s="297">
        <v>0</v>
      </c>
      <c r="N81" s="279" t="e">
        <f>+N79/N80</f>
        <v>#DIV/0!</v>
      </c>
    </row>
    <row r="82" spans="1:14" x14ac:dyDescent="0.35">
      <c r="A82" s="308" t="s">
        <v>89</v>
      </c>
      <c r="B82" s="296">
        <f>B84*B83</f>
        <v>0</v>
      </c>
      <c r="C82" s="296">
        <f t="shared" ref="C82:M82" si="76">C84*C83</f>
        <v>0</v>
      </c>
      <c r="D82" s="296">
        <f t="shared" si="76"/>
        <v>0</v>
      </c>
      <c r="E82" s="296">
        <f t="shared" si="76"/>
        <v>331160</v>
      </c>
      <c r="F82" s="296">
        <f t="shared" si="76"/>
        <v>331160</v>
      </c>
      <c r="G82" s="296">
        <f t="shared" si="76"/>
        <v>248370</v>
      </c>
      <c r="H82" s="296">
        <f t="shared" si="76"/>
        <v>248370</v>
      </c>
      <c r="I82" s="296">
        <f t="shared" si="76"/>
        <v>248370</v>
      </c>
      <c r="J82" s="296">
        <f t="shared" si="76"/>
        <v>248370</v>
      </c>
      <c r="K82" s="296">
        <f t="shared" si="76"/>
        <v>248370</v>
      </c>
      <c r="L82" s="296">
        <f t="shared" si="76"/>
        <v>248370</v>
      </c>
      <c r="M82" s="296">
        <f t="shared" si="76"/>
        <v>165580</v>
      </c>
      <c r="N82" s="280">
        <f>SUM(B82:M82)</f>
        <v>2318120</v>
      </c>
    </row>
    <row r="83" spans="1:14" x14ac:dyDescent="0.35">
      <c r="A83" s="309" t="s">
        <v>87</v>
      </c>
      <c r="B83" s="298">
        <f>+'Plan de culture 107'!$Z$25</f>
        <v>16.558</v>
      </c>
      <c r="C83" s="298">
        <f>+'Plan de culture 107'!$Z$25</f>
        <v>16.558</v>
      </c>
      <c r="D83" s="298">
        <f>+'Plan de culture 107'!$Z$25</f>
        <v>16.558</v>
      </c>
      <c r="E83" s="298">
        <f>+'Plan de culture 107'!$Z$25</f>
        <v>16.558</v>
      </c>
      <c r="F83" s="298">
        <f>+'Plan de culture 107'!$Z$25</f>
        <v>16.558</v>
      </c>
      <c r="G83" s="298">
        <f>+'Plan de culture 107'!$Z$25</f>
        <v>16.558</v>
      </c>
      <c r="H83" s="298">
        <f>+'Plan de culture 107'!$Z$25</f>
        <v>16.558</v>
      </c>
      <c r="I83" s="298">
        <f>+'Plan de culture 107'!$Z$25</f>
        <v>16.558</v>
      </c>
      <c r="J83" s="298">
        <f>+'Plan de culture 107'!$Z$25</f>
        <v>16.558</v>
      </c>
      <c r="K83" s="298">
        <f>+'Plan de culture 107'!$Z$25</f>
        <v>16.558</v>
      </c>
      <c r="L83" s="298">
        <f>+'Plan de culture 107'!$Z$25</f>
        <v>16.558</v>
      </c>
      <c r="M83" s="298">
        <f>+'Plan de culture 107'!$Z$25</f>
        <v>16.558</v>
      </c>
      <c r="N83" s="279">
        <f>+'Plan de culture 107'!$Z$25</f>
        <v>16.558</v>
      </c>
    </row>
    <row r="84" spans="1:14" x14ac:dyDescent="0.35">
      <c r="A84" s="309" t="s">
        <v>470</v>
      </c>
      <c r="B84" s="297">
        <v>0</v>
      </c>
      <c r="C84" s="297">
        <v>0</v>
      </c>
      <c r="D84" s="297">
        <v>0</v>
      </c>
      <c r="E84" s="298">
        <v>20000</v>
      </c>
      <c r="F84" s="298">
        <v>20000</v>
      </c>
      <c r="G84" s="298">
        <v>15000</v>
      </c>
      <c r="H84" s="298">
        <v>15000</v>
      </c>
      <c r="I84" s="298">
        <v>15000</v>
      </c>
      <c r="J84" s="298">
        <v>15000</v>
      </c>
      <c r="K84" s="298">
        <v>15000</v>
      </c>
      <c r="L84" s="298">
        <v>15000</v>
      </c>
      <c r="M84" s="298">
        <v>10000</v>
      </c>
      <c r="N84" s="279">
        <f>+N82/N83</f>
        <v>140000</v>
      </c>
    </row>
    <row r="85" spans="1:14" x14ac:dyDescent="0.35">
      <c r="A85" s="308" t="s">
        <v>371</v>
      </c>
      <c r="B85" s="296">
        <f>B87*B86</f>
        <v>0</v>
      </c>
      <c r="C85" s="296">
        <f t="shared" ref="C85:M85" si="77">C87*C86</f>
        <v>0</v>
      </c>
      <c r="D85" s="296">
        <f t="shared" si="77"/>
        <v>0</v>
      </c>
      <c r="E85" s="296">
        <f t="shared" si="77"/>
        <v>0</v>
      </c>
      <c r="F85" s="296">
        <f t="shared" si="77"/>
        <v>0</v>
      </c>
      <c r="G85" s="296">
        <f t="shared" si="77"/>
        <v>0</v>
      </c>
      <c r="H85" s="296">
        <f t="shared" si="77"/>
        <v>0</v>
      </c>
      <c r="I85" s="296">
        <f t="shared" si="77"/>
        <v>0</v>
      </c>
      <c r="J85" s="296">
        <f t="shared" si="77"/>
        <v>0</v>
      </c>
      <c r="K85" s="296">
        <f t="shared" si="77"/>
        <v>0</v>
      </c>
      <c r="L85" s="296">
        <f t="shared" si="77"/>
        <v>0</v>
      </c>
      <c r="M85" s="296">
        <f t="shared" si="77"/>
        <v>0</v>
      </c>
      <c r="N85" s="280">
        <f>SUM(B85:M85)</f>
        <v>0</v>
      </c>
    </row>
    <row r="86" spans="1:14" x14ac:dyDescent="0.35">
      <c r="A86" s="309" t="s">
        <v>87</v>
      </c>
      <c r="B86" s="298">
        <f>+'Plan de culture 107'!$Z$31</f>
        <v>0</v>
      </c>
      <c r="C86" s="298">
        <f>+'Plan de culture 107'!$Z$31</f>
        <v>0</v>
      </c>
      <c r="D86" s="298">
        <f>+'Plan de culture 107'!$Z$31</f>
        <v>0</v>
      </c>
      <c r="E86" s="298">
        <f>+'Plan de culture 107'!$Z$31</f>
        <v>0</v>
      </c>
      <c r="F86" s="298">
        <f>+'Plan de culture 107'!$Z$31</f>
        <v>0</v>
      </c>
      <c r="G86" s="298">
        <f>+'Plan de culture 107'!$Z$31</f>
        <v>0</v>
      </c>
      <c r="H86" s="298">
        <f>+'Plan de culture 107'!$Z$31</f>
        <v>0</v>
      </c>
      <c r="I86" s="298">
        <f>+'Plan de culture 107'!$Z$31</f>
        <v>0</v>
      </c>
      <c r="J86" s="298">
        <f>+'Plan de culture 107'!$Z$31</f>
        <v>0</v>
      </c>
      <c r="K86" s="298">
        <f>+'Plan de culture 107'!$Z$31</f>
        <v>0</v>
      </c>
      <c r="L86" s="298">
        <f>+'Plan de culture 107'!$Z$31</f>
        <v>0</v>
      </c>
      <c r="M86" s="298">
        <f>+'Plan de culture 107'!$Z$31</f>
        <v>0</v>
      </c>
      <c r="N86" s="279">
        <f>+'Plan de culture 107'!$Z$31</f>
        <v>0</v>
      </c>
    </row>
    <row r="87" spans="1:14" x14ac:dyDescent="0.35">
      <c r="A87" s="309" t="s">
        <v>470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79" t="e">
        <f>+N85/N86</f>
        <v>#DIV/0!</v>
      </c>
    </row>
    <row r="88" spans="1:14" x14ac:dyDescent="0.35">
      <c r="A88" s="308" t="s">
        <v>372</v>
      </c>
      <c r="B88" s="296">
        <f>B90*B89</f>
        <v>0</v>
      </c>
      <c r="C88" s="296">
        <f t="shared" ref="C88:M88" si="78">C90*C89</f>
        <v>0</v>
      </c>
      <c r="D88" s="296">
        <f t="shared" si="78"/>
        <v>0</v>
      </c>
      <c r="E88" s="296">
        <f t="shared" si="78"/>
        <v>0</v>
      </c>
      <c r="F88" s="296">
        <f t="shared" si="78"/>
        <v>0</v>
      </c>
      <c r="G88" s="296">
        <f t="shared" si="78"/>
        <v>0</v>
      </c>
      <c r="H88" s="296">
        <f t="shared" si="78"/>
        <v>0</v>
      </c>
      <c r="I88" s="296">
        <f t="shared" si="78"/>
        <v>0</v>
      </c>
      <c r="J88" s="296">
        <f t="shared" si="78"/>
        <v>0</v>
      </c>
      <c r="K88" s="296">
        <f t="shared" si="78"/>
        <v>0</v>
      </c>
      <c r="L88" s="296">
        <f t="shared" si="78"/>
        <v>0</v>
      </c>
      <c r="M88" s="296">
        <f t="shared" si="78"/>
        <v>0</v>
      </c>
      <c r="N88" s="280">
        <f>SUM(B88:M88)</f>
        <v>0</v>
      </c>
    </row>
    <row r="89" spans="1:14" x14ac:dyDescent="0.35">
      <c r="A89" s="309" t="s">
        <v>87</v>
      </c>
      <c r="B89" s="298">
        <f>+'Plan de culture 107'!$Z$37</f>
        <v>0</v>
      </c>
      <c r="C89" s="298">
        <f>+'Plan de culture 107'!$Z$37</f>
        <v>0</v>
      </c>
      <c r="D89" s="298">
        <f>+'Plan de culture 107'!$Z$37</f>
        <v>0</v>
      </c>
      <c r="E89" s="298">
        <f>+'Plan de culture 107'!$Z$37</f>
        <v>0</v>
      </c>
      <c r="F89" s="298">
        <f>+'Plan de culture 107'!$Z$37</f>
        <v>0</v>
      </c>
      <c r="G89" s="298">
        <f>+'Plan de culture 107'!$Z$37</f>
        <v>0</v>
      </c>
      <c r="H89" s="298">
        <f>+'Plan de culture 107'!$Z$37</f>
        <v>0</v>
      </c>
      <c r="I89" s="298">
        <f>+'Plan de culture 107'!$Z$37</f>
        <v>0</v>
      </c>
      <c r="J89" s="298">
        <f>+'Plan de culture 107'!$Z$37</f>
        <v>0</v>
      </c>
      <c r="K89" s="298">
        <f>+'Plan de culture 107'!$Z$37</f>
        <v>0</v>
      </c>
      <c r="L89" s="298">
        <f>+'Plan de culture 107'!$Z$37</f>
        <v>0</v>
      </c>
      <c r="M89" s="298">
        <f>+'Plan de culture 107'!$Z$37</f>
        <v>0</v>
      </c>
      <c r="N89" s="279">
        <f>+'Plan de culture 107'!$Z$37</f>
        <v>0</v>
      </c>
    </row>
    <row r="90" spans="1:14" ht="12" thickBot="1" x14ac:dyDescent="0.4">
      <c r="A90" s="309" t="s">
        <v>470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79" t="e">
        <f>+N88/N89</f>
        <v>#DIV/0!</v>
      </c>
    </row>
    <row r="91" spans="1:14" x14ac:dyDescent="0.35">
      <c r="A91" s="315" t="s">
        <v>473</v>
      </c>
      <c r="B91" s="329">
        <f>+B94+B97+B100+B103+B106+B109</f>
        <v>0</v>
      </c>
      <c r="C91" s="329">
        <f t="shared" ref="C91:M91" si="79">+C94+C97+C100+C103+C106+C109</f>
        <v>0</v>
      </c>
      <c r="D91" s="329">
        <f t="shared" si="79"/>
        <v>0</v>
      </c>
      <c r="E91" s="329">
        <f t="shared" si="79"/>
        <v>521800</v>
      </c>
      <c r="F91" s="329">
        <f t="shared" si="79"/>
        <v>521800</v>
      </c>
      <c r="G91" s="329">
        <f t="shared" si="79"/>
        <v>391350</v>
      </c>
      <c r="H91" s="329">
        <f t="shared" si="79"/>
        <v>391350</v>
      </c>
      <c r="I91" s="329">
        <f t="shared" si="79"/>
        <v>521800</v>
      </c>
      <c r="J91" s="329">
        <f t="shared" si="79"/>
        <v>391350</v>
      </c>
      <c r="K91" s="329">
        <f t="shared" si="79"/>
        <v>391350</v>
      </c>
      <c r="L91" s="329">
        <f t="shared" si="79"/>
        <v>260900</v>
      </c>
      <c r="M91" s="329">
        <f t="shared" si="79"/>
        <v>130450</v>
      </c>
      <c r="N91" s="330">
        <f>SUM(B91:M91)</f>
        <v>3522150</v>
      </c>
    </row>
    <row r="92" spans="1:14" x14ac:dyDescent="0.35">
      <c r="A92" s="318" t="s">
        <v>87</v>
      </c>
      <c r="B92" s="326">
        <f>'Plan de culture 114'!$C$3</f>
        <v>26.09</v>
      </c>
      <c r="C92" s="326">
        <f>'Plan de culture 114'!$C$3</f>
        <v>26.09</v>
      </c>
      <c r="D92" s="326">
        <f>'Plan de culture 114'!$C$3</f>
        <v>26.09</v>
      </c>
      <c r="E92" s="326">
        <f>'Plan de culture 114'!$C$3</f>
        <v>26.09</v>
      </c>
      <c r="F92" s="326">
        <f>'Plan de culture 114'!$C$3</f>
        <v>26.09</v>
      </c>
      <c r="G92" s="326">
        <f>'Plan de culture 114'!$C$3</f>
        <v>26.09</v>
      </c>
      <c r="H92" s="326">
        <f>'Plan de culture 114'!$C$3</f>
        <v>26.09</v>
      </c>
      <c r="I92" s="326">
        <f>'Plan de culture 114'!$C$3</f>
        <v>26.09</v>
      </c>
      <c r="J92" s="326">
        <f>'Plan de culture 114'!$C$3</f>
        <v>26.09</v>
      </c>
      <c r="K92" s="326">
        <f>'Plan de culture 114'!$C$3</f>
        <v>26.09</v>
      </c>
      <c r="L92" s="326">
        <f>'Plan de culture 114'!$C$3</f>
        <v>26.09</v>
      </c>
      <c r="M92" s="326">
        <f>'Plan de culture 114'!$C$3</f>
        <v>26.09</v>
      </c>
      <c r="N92" s="326">
        <f>'Plan de culture 114'!$C$3</f>
        <v>26.09</v>
      </c>
    </row>
    <row r="93" spans="1:14" ht="12" thickBot="1" x14ac:dyDescent="0.4">
      <c r="A93" s="321" t="s">
        <v>470</v>
      </c>
      <c r="B93" s="323">
        <f>+(B91/1000)/B92</f>
        <v>0</v>
      </c>
      <c r="C93" s="323">
        <f t="shared" ref="C93" si="80">+(C91/1000)/C92</f>
        <v>0</v>
      </c>
      <c r="D93" s="323">
        <f t="shared" ref="D93" si="81">+(D91/1000)/D92</f>
        <v>0</v>
      </c>
      <c r="E93" s="323">
        <f t="shared" ref="E93" si="82">+(E91/1000)/E92</f>
        <v>20</v>
      </c>
      <c r="F93" s="323">
        <f t="shared" ref="F93" si="83">+(F91/1000)/F92</f>
        <v>20</v>
      </c>
      <c r="G93" s="323">
        <f t="shared" ref="G93" si="84">+(G91/1000)/G92</f>
        <v>15.000000000000002</v>
      </c>
      <c r="H93" s="323">
        <f t="shared" ref="H93" si="85">+(H91/1000)/H92</f>
        <v>15.000000000000002</v>
      </c>
      <c r="I93" s="323">
        <f t="shared" ref="I93" si="86">+(I91/1000)/I92</f>
        <v>20</v>
      </c>
      <c r="J93" s="323">
        <f t="shared" ref="J93" si="87">+(J91/1000)/J92</f>
        <v>15.000000000000002</v>
      </c>
      <c r="K93" s="323">
        <f t="shared" ref="K93" si="88">+(K91/1000)/K92</f>
        <v>15.000000000000002</v>
      </c>
      <c r="L93" s="323">
        <f t="shared" ref="L93" si="89">+(L91/1000)/L92</f>
        <v>10</v>
      </c>
      <c r="M93" s="323">
        <f t="shared" ref="M93" si="90">+(M91/1000)/M92</f>
        <v>5</v>
      </c>
      <c r="N93" s="322">
        <f t="shared" ref="N93" si="91">+(N91/1000)/N92</f>
        <v>135</v>
      </c>
    </row>
    <row r="94" spans="1:14" x14ac:dyDescent="0.35">
      <c r="A94" s="308" t="s">
        <v>86</v>
      </c>
      <c r="B94" s="296">
        <f>B96*B95</f>
        <v>0</v>
      </c>
      <c r="C94" s="296">
        <f t="shared" ref="C94:M94" si="92">C96*C95</f>
        <v>0</v>
      </c>
      <c r="D94" s="296">
        <f t="shared" si="92"/>
        <v>0</v>
      </c>
      <c r="E94" s="296">
        <f t="shared" si="92"/>
        <v>0</v>
      </c>
      <c r="F94" s="296">
        <f t="shared" si="92"/>
        <v>0</v>
      </c>
      <c r="G94" s="296">
        <f t="shared" si="92"/>
        <v>0</v>
      </c>
      <c r="H94" s="296">
        <f t="shared" si="92"/>
        <v>0</v>
      </c>
      <c r="I94" s="296">
        <f t="shared" si="92"/>
        <v>0</v>
      </c>
      <c r="J94" s="296">
        <f t="shared" si="92"/>
        <v>0</v>
      </c>
      <c r="K94" s="296">
        <f t="shared" si="92"/>
        <v>0</v>
      </c>
      <c r="L94" s="296">
        <f t="shared" si="92"/>
        <v>0</v>
      </c>
      <c r="M94" s="296">
        <f t="shared" si="92"/>
        <v>0</v>
      </c>
      <c r="N94" s="280">
        <f>SUM(B94:M94)</f>
        <v>0</v>
      </c>
    </row>
    <row r="95" spans="1:14" x14ac:dyDescent="0.35">
      <c r="A95" s="309" t="s">
        <v>87</v>
      </c>
      <c r="B95" s="298">
        <f>+'Plan de culture 114'!$AE$7</f>
        <v>0</v>
      </c>
      <c r="C95" s="298">
        <f>+'Plan de culture 114'!$AE$7</f>
        <v>0</v>
      </c>
      <c r="D95" s="298">
        <f>+'Plan de culture 114'!$AE$7</f>
        <v>0</v>
      </c>
      <c r="E95" s="298">
        <f>+'Plan de culture 114'!$AE$7</f>
        <v>0</v>
      </c>
      <c r="F95" s="298">
        <f>+'Plan de culture 114'!$AE$7</f>
        <v>0</v>
      </c>
      <c r="G95" s="298">
        <f>+'Plan de culture 114'!$AE$7</f>
        <v>0</v>
      </c>
      <c r="H95" s="298">
        <f>+'Plan de culture 114'!$AE$7</f>
        <v>0</v>
      </c>
      <c r="I95" s="298">
        <f>+'Plan de culture 114'!$AE$7</f>
        <v>0</v>
      </c>
      <c r="J95" s="298">
        <f>+'Plan de culture 114'!$AE$7</f>
        <v>0</v>
      </c>
      <c r="K95" s="298">
        <f>+'Plan de culture 114'!$AE$7</f>
        <v>0</v>
      </c>
      <c r="L95" s="298">
        <f>+'Plan de culture 114'!$AE$7</f>
        <v>0</v>
      </c>
      <c r="M95" s="298">
        <f>+'Plan de culture 114'!$AE$7</f>
        <v>0</v>
      </c>
      <c r="N95" s="279">
        <f>+'Plan de culture 114'!$AE$7</f>
        <v>0</v>
      </c>
    </row>
    <row r="96" spans="1:14" x14ac:dyDescent="0.35">
      <c r="A96" s="309" t="s">
        <v>470</v>
      </c>
      <c r="B96" s="297">
        <v>0</v>
      </c>
      <c r="C96" s="297">
        <v>0</v>
      </c>
      <c r="D96" s="297">
        <v>0</v>
      </c>
      <c r="E96" s="297">
        <v>0</v>
      </c>
      <c r="F96" s="297">
        <v>0</v>
      </c>
      <c r="G96" s="297">
        <v>0</v>
      </c>
      <c r="H96" s="297">
        <v>0</v>
      </c>
      <c r="I96" s="297">
        <v>0</v>
      </c>
      <c r="J96" s="297">
        <v>0</v>
      </c>
      <c r="K96" s="297">
        <v>0</v>
      </c>
      <c r="L96" s="297">
        <v>0</v>
      </c>
      <c r="M96" s="297">
        <v>0</v>
      </c>
      <c r="N96" s="279" t="e">
        <f>+N94/N95</f>
        <v>#DIV/0!</v>
      </c>
    </row>
    <row r="97" spans="1:26" x14ac:dyDescent="0.35">
      <c r="A97" s="308" t="s">
        <v>88</v>
      </c>
      <c r="B97" s="296">
        <f>B99*B98</f>
        <v>0</v>
      </c>
      <c r="C97" s="296">
        <f t="shared" ref="C97:M97" si="93">C99*C98</f>
        <v>0</v>
      </c>
      <c r="D97" s="296">
        <f t="shared" si="93"/>
        <v>0</v>
      </c>
      <c r="E97" s="296">
        <f t="shared" si="93"/>
        <v>521800</v>
      </c>
      <c r="F97" s="296">
        <f t="shared" si="93"/>
        <v>521800</v>
      </c>
      <c r="G97" s="296">
        <f t="shared" si="93"/>
        <v>391350</v>
      </c>
      <c r="H97" s="296">
        <f t="shared" si="93"/>
        <v>391350</v>
      </c>
      <c r="I97" s="296">
        <f t="shared" si="93"/>
        <v>521800</v>
      </c>
      <c r="J97" s="296">
        <f t="shared" si="93"/>
        <v>391350</v>
      </c>
      <c r="K97" s="296">
        <f t="shared" si="93"/>
        <v>391350</v>
      </c>
      <c r="L97" s="296">
        <f t="shared" si="93"/>
        <v>260900</v>
      </c>
      <c r="M97" s="296">
        <f t="shared" si="93"/>
        <v>130450</v>
      </c>
      <c r="N97" s="280">
        <f>SUM(B97:M97)</f>
        <v>3522150</v>
      </c>
    </row>
    <row r="98" spans="1:26" x14ac:dyDescent="0.35">
      <c r="A98" s="309" t="s">
        <v>87</v>
      </c>
      <c r="B98" s="298">
        <f>+'Plan de culture 114'!$AE$13</f>
        <v>26.09</v>
      </c>
      <c r="C98" s="298">
        <f>+'Plan de culture 114'!$AE$13</f>
        <v>26.09</v>
      </c>
      <c r="D98" s="298">
        <f>+'Plan de culture 114'!$AE$13</f>
        <v>26.09</v>
      </c>
      <c r="E98" s="298">
        <f>+'Plan de culture 114'!$AE$13</f>
        <v>26.09</v>
      </c>
      <c r="F98" s="298">
        <f>+'Plan de culture 114'!$AE$13</f>
        <v>26.09</v>
      </c>
      <c r="G98" s="298">
        <f>+'Plan de culture 114'!$AE$13</f>
        <v>26.09</v>
      </c>
      <c r="H98" s="298">
        <f>+'Plan de culture 114'!$AE$13</f>
        <v>26.09</v>
      </c>
      <c r="I98" s="298">
        <f>+'Plan de culture 114'!$AE$13</f>
        <v>26.09</v>
      </c>
      <c r="J98" s="298">
        <f>+'Plan de culture 114'!$AE$13</f>
        <v>26.09</v>
      </c>
      <c r="K98" s="298">
        <f>+'Plan de culture 114'!$AE$13</f>
        <v>26.09</v>
      </c>
      <c r="L98" s="298">
        <f>+'Plan de culture 114'!$AE$13</f>
        <v>26.09</v>
      </c>
      <c r="M98" s="298">
        <f>+'Plan de culture 114'!$AE$13</f>
        <v>26.09</v>
      </c>
      <c r="N98" s="279">
        <f>+'Plan de culture 114'!$AE$13</f>
        <v>26.09</v>
      </c>
    </row>
    <row r="99" spans="1:26" x14ac:dyDescent="0.35">
      <c r="A99" s="309" t="s">
        <v>470</v>
      </c>
      <c r="B99" s="297">
        <v>0</v>
      </c>
      <c r="C99" s="297">
        <v>0</v>
      </c>
      <c r="D99" s="297">
        <v>0</v>
      </c>
      <c r="E99" s="298">
        <v>20000</v>
      </c>
      <c r="F99" s="298">
        <v>20000</v>
      </c>
      <c r="G99" s="298">
        <v>15000</v>
      </c>
      <c r="H99" s="298">
        <v>15000</v>
      </c>
      <c r="I99" s="298">
        <v>20000</v>
      </c>
      <c r="J99" s="298">
        <v>15000</v>
      </c>
      <c r="K99" s="298">
        <v>15000</v>
      </c>
      <c r="L99" s="298">
        <v>10000</v>
      </c>
      <c r="M99" s="298">
        <v>5000</v>
      </c>
      <c r="N99" s="279">
        <f>+N97/N98</f>
        <v>135000</v>
      </c>
    </row>
    <row r="100" spans="1:26" x14ac:dyDescent="0.35">
      <c r="A100" s="308" t="s">
        <v>370</v>
      </c>
      <c r="B100" s="296">
        <f>B102*B101</f>
        <v>0</v>
      </c>
      <c r="C100" s="296">
        <f t="shared" ref="C100:M100" si="94">C102*C101</f>
        <v>0</v>
      </c>
      <c r="D100" s="296">
        <f t="shared" si="94"/>
        <v>0</v>
      </c>
      <c r="E100" s="296">
        <f t="shared" si="94"/>
        <v>0</v>
      </c>
      <c r="F100" s="296">
        <f t="shared" si="94"/>
        <v>0</v>
      </c>
      <c r="G100" s="296">
        <f t="shared" si="94"/>
        <v>0</v>
      </c>
      <c r="H100" s="296">
        <f t="shared" si="94"/>
        <v>0</v>
      </c>
      <c r="I100" s="296">
        <f t="shared" si="94"/>
        <v>0</v>
      </c>
      <c r="J100" s="296">
        <f t="shared" si="94"/>
        <v>0</v>
      </c>
      <c r="K100" s="296">
        <f t="shared" si="94"/>
        <v>0</v>
      </c>
      <c r="L100" s="296">
        <f t="shared" si="94"/>
        <v>0</v>
      </c>
      <c r="M100" s="296">
        <f t="shared" si="94"/>
        <v>0</v>
      </c>
      <c r="N100" s="280">
        <f>SUM(B100:M100)</f>
        <v>0</v>
      </c>
    </row>
    <row r="101" spans="1:26" x14ac:dyDescent="0.35">
      <c r="A101" s="309" t="s">
        <v>87</v>
      </c>
      <c r="B101" s="298">
        <f>+'Plan de culture 114'!$AE$19</f>
        <v>0</v>
      </c>
      <c r="C101" s="298">
        <f>+'Plan de culture 114'!$AE$19</f>
        <v>0</v>
      </c>
      <c r="D101" s="298">
        <f>+'Plan de culture 114'!$AE$19</f>
        <v>0</v>
      </c>
      <c r="E101" s="298">
        <f>+'Plan de culture 114'!$AE$19</f>
        <v>0</v>
      </c>
      <c r="F101" s="298">
        <f>+'Plan de culture 114'!$AE$19</f>
        <v>0</v>
      </c>
      <c r="G101" s="298">
        <f>+'Plan de culture 114'!$AE$19</f>
        <v>0</v>
      </c>
      <c r="H101" s="298">
        <f>+'Plan de culture 114'!$AE$19</f>
        <v>0</v>
      </c>
      <c r="I101" s="298">
        <f>+'Plan de culture 114'!$AE$19</f>
        <v>0</v>
      </c>
      <c r="J101" s="298">
        <f>+'Plan de culture 114'!$AE$19</f>
        <v>0</v>
      </c>
      <c r="K101" s="298">
        <f>+'Plan de culture 114'!$AE$19</f>
        <v>0</v>
      </c>
      <c r="L101" s="298">
        <f>+'Plan de culture 114'!$AE$19</f>
        <v>0</v>
      </c>
      <c r="M101" s="298">
        <f>+'Plan de culture 114'!$AE$19</f>
        <v>0</v>
      </c>
      <c r="N101" s="279">
        <f>+'Plan de culture 114'!$AE$19</f>
        <v>0</v>
      </c>
    </row>
    <row r="102" spans="1:26" x14ac:dyDescent="0.35">
      <c r="A102" s="309" t="s">
        <v>470</v>
      </c>
      <c r="B102" s="297">
        <v>0</v>
      </c>
      <c r="C102" s="297">
        <v>0</v>
      </c>
      <c r="D102" s="297">
        <v>0</v>
      </c>
      <c r="E102" s="297">
        <v>0</v>
      </c>
      <c r="F102" s="297">
        <v>0</v>
      </c>
      <c r="G102" s="297">
        <v>0</v>
      </c>
      <c r="H102" s="297">
        <v>0</v>
      </c>
      <c r="I102" s="297">
        <v>0</v>
      </c>
      <c r="J102" s="297">
        <v>0</v>
      </c>
      <c r="K102" s="297">
        <v>0</v>
      </c>
      <c r="L102" s="297">
        <v>0</v>
      </c>
      <c r="M102" s="297">
        <v>0</v>
      </c>
      <c r="N102" s="279" t="e">
        <f>+N100/N101</f>
        <v>#DIV/0!</v>
      </c>
    </row>
    <row r="103" spans="1:26" x14ac:dyDescent="0.35">
      <c r="A103" s="308" t="s">
        <v>89</v>
      </c>
      <c r="B103" s="296">
        <f>B105*B104</f>
        <v>0</v>
      </c>
      <c r="C103" s="296">
        <f t="shared" ref="C103:M103" si="95">C105*C104</f>
        <v>0</v>
      </c>
      <c r="D103" s="296">
        <f t="shared" si="95"/>
        <v>0</v>
      </c>
      <c r="E103" s="296">
        <f t="shared" si="95"/>
        <v>0</v>
      </c>
      <c r="F103" s="296">
        <f t="shared" si="95"/>
        <v>0</v>
      </c>
      <c r="G103" s="296">
        <f t="shared" si="95"/>
        <v>0</v>
      </c>
      <c r="H103" s="296">
        <f t="shared" si="95"/>
        <v>0</v>
      </c>
      <c r="I103" s="296">
        <f t="shared" si="95"/>
        <v>0</v>
      </c>
      <c r="J103" s="296">
        <f t="shared" si="95"/>
        <v>0</v>
      </c>
      <c r="K103" s="296">
        <f t="shared" si="95"/>
        <v>0</v>
      </c>
      <c r="L103" s="296">
        <f t="shared" si="95"/>
        <v>0</v>
      </c>
      <c r="M103" s="296">
        <f t="shared" si="95"/>
        <v>0</v>
      </c>
      <c r="N103" s="280">
        <f>SUM(B103:M103)</f>
        <v>0</v>
      </c>
    </row>
    <row r="104" spans="1:26" x14ac:dyDescent="0.35">
      <c r="A104" s="309" t="s">
        <v>87</v>
      </c>
      <c r="B104" s="298">
        <f>+'Plan de culture 114'!$AE$25</f>
        <v>0</v>
      </c>
      <c r="C104" s="298">
        <f>+'Plan de culture 114'!$AE$25</f>
        <v>0</v>
      </c>
      <c r="D104" s="298">
        <f>+'Plan de culture 114'!$AE$25</f>
        <v>0</v>
      </c>
      <c r="E104" s="298">
        <f>+'Plan de culture 114'!$AE$25</f>
        <v>0</v>
      </c>
      <c r="F104" s="298">
        <f>+'Plan de culture 114'!$AE$25</f>
        <v>0</v>
      </c>
      <c r="G104" s="298">
        <f>+'Plan de culture 114'!$AE$25</f>
        <v>0</v>
      </c>
      <c r="H104" s="298">
        <f>+'Plan de culture 114'!$AE$25</f>
        <v>0</v>
      </c>
      <c r="I104" s="298">
        <f>+'Plan de culture 114'!$AE$25</f>
        <v>0</v>
      </c>
      <c r="J104" s="298">
        <f>+'Plan de culture 114'!$AE$25</f>
        <v>0</v>
      </c>
      <c r="K104" s="298">
        <f>+'Plan de culture 114'!$AE$25</f>
        <v>0</v>
      </c>
      <c r="L104" s="298">
        <f>+'Plan de culture 114'!$AE$25</f>
        <v>0</v>
      </c>
      <c r="M104" s="298">
        <f>+'Plan de culture 114'!$AE$25</f>
        <v>0</v>
      </c>
      <c r="N104" s="279">
        <f>+'Plan de culture 114'!$AE$25</f>
        <v>0</v>
      </c>
    </row>
    <row r="105" spans="1:26" x14ac:dyDescent="0.35">
      <c r="A105" s="309" t="s">
        <v>470</v>
      </c>
      <c r="B105" s="297">
        <v>0</v>
      </c>
      <c r="C105" s="297">
        <v>0</v>
      </c>
      <c r="D105" s="297">
        <v>0</v>
      </c>
      <c r="E105" s="297">
        <v>0</v>
      </c>
      <c r="F105" s="297">
        <v>0</v>
      </c>
      <c r="G105" s="297">
        <v>0</v>
      </c>
      <c r="H105" s="297">
        <v>0</v>
      </c>
      <c r="I105" s="297">
        <v>0</v>
      </c>
      <c r="J105" s="297">
        <v>0</v>
      </c>
      <c r="K105" s="297">
        <v>0</v>
      </c>
      <c r="L105" s="297">
        <v>0</v>
      </c>
      <c r="M105" s="297">
        <v>0</v>
      </c>
      <c r="N105" s="279" t="e">
        <f>+N103/N104</f>
        <v>#DIV/0!</v>
      </c>
    </row>
    <row r="106" spans="1:26" x14ac:dyDescent="0.35">
      <c r="A106" s="308" t="s">
        <v>371</v>
      </c>
      <c r="B106" s="296">
        <f>B108*B107</f>
        <v>0</v>
      </c>
      <c r="C106" s="296">
        <f t="shared" ref="C106:M106" si="96">C108*C107</f>
        <v>0</v>
      </c>
      <c r="D106" s="296">
        <f t="shared" si="96"/>
        <v>0</v>
      </c>
      <c r="E106" s="296">
        <f t="shared" si="96"/>
        <v>0</v>
      </c>
      <c r="F106" s="296">
        <f t="shared" si="96"/>
        <v>0</v>
      </c>
      <c r="G106" s="296">
        <f t="shared" si="96"/>
        <v>0</v>
      </c>
      <c r="H106" s="296">
        <f t="shared" si="96"/>
        <v>0</v>
      </c>
      <c r="I106" s="296">
        <f t="shared" si="96"/>
        <v>0</v>
      </c>
      <c r="J106" s="296">
        <f t="shared" si="96"/>
        <v>0</v>
      </c>
      <c r="K106" s="296">
        <f t="shared" si="96"/>
        <v>0</v>
      </c>
      <c r="L106" s="296">
        <f t="shared" si="96"/>
        <v>0</v>
      </c>
      <c r="M106" s="296">
        <f t="shared" si="96"/>
        <v>0</v>
      </c>
      <c r="N106" s="280">
        <f>SUM(B106:M106)</f>
        <v>0</v>
      </c>
    </row>
    <row r="107" spans="1:26" x14ac:dyDescent="0.35">
      <c r="A107" s="309" t="s">
        <v>87</v>
      </c>
      <c r="B107" s="298">
        <f>+'Plan de culture 114'!$AE$31</f>
        <v>0</v>
      </c>
      <c r="C107" s="298">
        <f>+'Plan de culture 114'!$AE$31</f>
        <v>0</v>
      </c>
      <c r="D107" s="298">
        <f>+'Plan de culture 114'!$AE$31</f>
        <v>0</v>
      </c>
      <c r="E107" s="298">
        <f>+'Plan de culture 114'!$AE$31</f>
        <v>0</v>
      </c>
      <c r="F107" s="298">
        <f>+'Plan de culture 114'!$AE$31</f>
        <v>0</v>
      </c>
      <c r="G107" s="298">
        <f>+'Plan de culture 114'!$AE$31</f>
        <v>0</v>
      </c>
      <c r="H107" s="298">
        <f>+'Plan de culture 114'!$AE$31</f>
        <v>0</v>
      </c>
      <c r="I107" s="298">
        <f>+'Plan de culture 114'!$AE$31</f>
        <v>0</v>
      </c>
      <c r="J107" s="298">
        <f>+'Plan de culture 114'!$AE$31</f>
        <v>0</v>
      </c>
      <c r="K107" s="298">
        <f>+'Plan de culture 114'!$AE$31</f>
        <v>0</v>
      </c>
      <c r="L107" s="298">
        <f>+'Plan de culture 114'!$AE$31</f>
        <v>0</v>
      </c>
      <c r="M107" s="298">
        <f>+'Plan de culture 114'!$AE$31</f>
        <v>0</v>
      </c>
      <c r="N107" s="279">
        <f>+'Plan de culture 114'!$AE$31</f>
        <v>0</v>
      </c>
    </row>
    <row r="108" spans="1:26" x14ac:dyDescent="0.35">
      <c r="A108" s="309" t="s">
        <v>470</v>
      </c>
      <c r="B108" s="297">
        <v>0</v>
      </c>
      <c r="C108" s="297">
        <v>0</v>
      </c>
      <c r="D108" s="297">
        <v>0</v>
      </c>
      <c r="E108" s="297">
        <v>0</v>
      </c>
      <c r="F108" s="297">
        <v>0</v>
      </c>
      <c r="G108" s="297">
        <v>0</v>
      </c>
      <c r="H108" s="297">
        <v>0</v>
      </c>
      <c r="I108" s="297">
        <v>0</v>
      </c>
      <c r="J108" s="297">
        <v>0</v>
      </c>
      <c r="K108" s="297">
        <v>0</v>
      </c>
      <c r="L108" s="297">
        <v>0</v>
      </c>
      <c r="M108" s="297">
        <v>0</v>
      </c>
      <c r="N108" s="279" t="e">
        <f>+N106/N107</f>
        <v>#DIV/0!</v>
      </c>
    </row>
    <row r="109" spans="1:26" x14ac:dyDescent="0.35">
      <c r="A109" s="308" t="s">
        <v>372</v>
      </c>
      <c r="B109" s="296">
        <f>B111*B110</f>
        <v>0</v>
      </c>
      <c r="C109" s="296">
        <f t="shared" ref="C109:M109" si="97">C111*C110</f>
        <v>0</v>
      </c>
      <c r="D109" s="296">
        <f t="shared" si="97"/>
        <v>0</v>
      </c>
      <c r="E109" s="296">
        <f t="shared" si="97"/>
        <v>0</v>
      </c>
      <c r="F109" s="296">
        <f t="shared" si="97"/>
        <v>0</v>
      </c>
      <c r="G109" s="296">
        <f t="shared" si="97"/>
        <v>0</v>
      </c>
      <c r="H109" s="296">
        <f t="shared" si="97"/>
        <v>0</v>
      </c>
      <c r="I109" s="296">
        <f t="shared" si="97"/>
        <v>0</v>
      </c>
      <c r="J109" s="296">
        <f t="shared" si="97"/>
        <v>0</v>
      </c>
      <c r="K109" s="296">
        <f t="shared" si="97"/>
        <v>0</v>
      </c>
      <c r="L109" s="296">
        <f t="shared" si="97"/>
        <v>0</v>
      </c>
      <c r="M109" s="296">
        <f t="shared" si="97"/>
        <v>0</v>
      </c>
      <c r="N109" s="280">
        <f>SUM(B109:M109)</f>
        <v>0</v>
      </c>
    </row>
    <row r="110" spans="1:26" x14ac:dyDescent="0.35">
      <c r="A110" s="309" t="s">
        <v>87</v>
      </c>
      <c r="B110" s="298">
        <f>+'Plan de culture 114'!$AE$37</f>
        <v>0</v>
      </c>
      <c r="C110" s="298">
        <f>+'Plan de culture 114'!$AE$37</f>
        <v>0</v>
      </c>
      <c r="D110" s="298">
        <f>+'Plan de culture 114'!$AE$37</f>
        <v>0</v>
      </c>
      <c r="E110" s="298">
        <f>+'Plan de culture 114'!$AE$37</f>
        <v>0</v>
      </c>
      <c r="F110" s="298">
        <f>+'Plan de culture 114'!$AE$37</f>
        <v>0</v>
      </c>
      <c r="G110" s="298">
        <f>+'Plan de culture 114'!$AE$37</f>
        <v>0</v>
      </c>
      <c r="H110" s="298">
        <f>+'Plan de culture 114'!$AE$37</f>
        <v>0</v>
      </c>
      <c r="I110" s="298">
        <f>+'Plan de culture 114'!$AE$37</f>
        <v>0</v>
      </c>
      <c r="J110" s="298">
        <f>+'Plan de culture 114'!$AE$37</f>
        <v>0</v>
      </c>
      <c r="K110" s="298">
        <f>+'Plan de culture 114'!$AE$37</f>
        <v>0</v>
      </c>
      <c r="L110" s="298">
        <f>+'Plan de culture 114'!$AE$37</f>
        <v>0</v>
      </c>
      <c r="M110" s="298">
        <f>+'Plan de culture 114'!$AE$37</f>
        <v>0</v>
      </c>
      <c r="N110" s="279">
        <f>+'Plan de culture 114'!$AE$37</f>
        <v>0</v>
      </c>
    </row>
    <row r="111" spans="1:26" ht="12" thickBot="1" x14ac:dyDescent="0.4">
      <c r="A111" s="310" t="s">
        <v>470</v>
      </c>
      <c r="B111" s="299">
        <v>0</v>
      </c>
      <c r="C111" s="299">
        <v>0</v>
      </c>
      <c r="D111" s="299">
        <v>0</v>
      </c>
      <c r="E111" s="299">
        <v>0</v>
      </c>
      <c r="F111" s="299">
        <v>0</v>
      </c>
      <c r="G111" s="299">
        <v>0</v>
      </c>
      <c r="H111" s="299">
        <v>0</v>
      </c>
      <c r="I111" s="299">
        <v>0</v>
      </c>
      <c r="J111" s="299">
        <v>0</v>
      </c>
      <c r="K111" s="299">
        <v>0</v>
      </c>
      <c r="L111" s="299">
        <v>0</v>
      </c>
      <c r="M111" s="299">
        <v>0</v>
      </c>
      <c r="N111" s="300" t="e">
        <f>+N109/N110</f>
        <v>#DIV/0!</v>
      </c>
    </row>
    <row r="112" spans="1:26" x14ac:dyDescent="0.35"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40"/>
    </row>
    <row r="113" spans="14:26" x14ac:dyDescent="0.35">
      <c r="N113" s="277"/>
      <c r="O113" s="277"/>
      <c r="P113" s="277"/>
      <c r="Q113" s="278"/>
      <c r="R113" s="278"/>
      <c r="S113" s="278"/>
      <c r="T113" s="278"/>
      <c r="U113" s="278"/>
      <c r="V113" s="278"/>
      <c r="W113" s="278"/>
      <c r="X113" s="278"/>
      <c r="Y113" s="278"/>
      <c r="Z113" s="27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B847-4D21-4772-9864-AA47CCA48C3D}">
  <sheetPr>
    <tabColor rgb="FF92D050"/>
  </sheetPr>
  <dimension ref="A1:Z113"/>
  <sheetViews>
    <sheetView workbookViewId="0">
      <selection activeCell="B11" sqref="B11"/>
    </sheetView>
  </sheetViews>
  <sheetFormatPr baseColWidth="10" defaultColWidth="11.46484375" defaultRowHeight="11.65" x14ac:dyDescent="0.35"/>
  <cols>
    <col min="1" max="1" width="20.59765625" style="32" customWidth="1"/>
    <col min="2" max="14" width="10.59765625" style="32" customWidth="1"/>
    <col min="15" max="16384" width="11.46484375" style="32"/>
  </cols>
  <sheetData>
    <row r="1" spans="1:16" ht="34.9" x14ac:dyDescent="0.35">
      <c r="A1" s="314" t="s">
        <v>481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</row>
    <row r="2" spans="1:16" x14ac:dyDescent="0.35"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</row>
    <row r="3" spans="1:16" s="57" customFormat="1" ht="12" thickBot="1" x14ac:dyDescent="0.4">
      <c r="B3" s="302">
        <f>+Synthèse!$B$2</f>
        <v>45839</v>
      </c>
      <c r="C3" s="302">
        <f>+B3+31</f>
        <v>45870</v>
      </c>
      <c r="D3" s="302">
        <f t="shared" ref="D3:M3" si="0">+C3+31</f>
        <v>45901</v>
      </c>
      <c r="E3" s="302">
        <f t="shared" si="0"/>
        <v>45932</v>
      </c>
      <c r="F3" s="302">
        <f t="shared" si="0"/>
        <v>45963</v>
      </c>
      <c r="G3" s="302">
        <f t="shared" si="0"/>
        <v>45994</v>
      </c>
      <c r="H3" s="302">
        <f t="shared" si="0"/>
        <v>46025</v>
      </c>
      <c r="I3" s="302">
        <f t="shared" si="0"/>
        <v>46056</v>
      </c>
      <c r="J3" s="302">
        <f t="shared" si="0"/>
        <v>46087</v>
      </c>
      <c r="K3" s="302">
        <f t="shared" si="0"/>
        <v>46118</v>
      </c>
      <c r="L3" s="302">
        <f t="shared" si="0"/>
        <v>46149</v>
      </c>
      <c r="M3" s="302">
        <f t="shared" si="0"/>
        <v>46180</v>
      </c>
      <c r="N3" s="303" t="s">
        <v>84</v>
      </c>
    </row>
    <row r="4" spans="1:16" s="57" customFormat="1" x14ac:dyDescent="0.35">
      <c r="A4" s="312" t="s">
        <v>472</v>
      </c>
      <c r="B4" s="304">
        <f>B7+B28+B49+B70+B91</f>
        <v>0</v>
      </c>
      <c r="C4" s="304">
        <f t="shared" ref="C4:N5" si="1">C7+C28+C49+C70+C91</f>
        <v>0</v>
      </c>
      <c r="D4" s="304">
        <f t="shared" si="1"/>
        <v>0</v>
      </c>
      <c r="E4" s="304">
        <f t="shared" si="1"/>
        <v>168264.5</v>
      </c>
      <c r="F4" s="304">
        <f t="shared" si="1"/>
        <v>165477</v>
      </c>
      <c r="G4" s="304">
        <f t="shared" si="1"/>
        <v>122714</v>
      </c>
      <c r="H4" s="304">
        <f t="shared" si="1"/>
        <v>122714</v>
      </c>
      <c r="I4" s="304">
        <f t="shared" si="1"/>
        <v>148919</v>
      </c>
      <c r="J4" s="304">
        <f t="shared" si="1"/>
        <v>128289</v>
      </c>
      <c r="K4" s="304">
        <f t="shared" si="1"/>
        <v>128289</v>
      </c>
      <c r="L4" s="304">
        <f t="shared" si="1"/>
        <v>102084</v>
      </c>
      <c r="M4" s="304">
        <f t="shared" si="1"/>
        <v>59321</v>
      </c>
      <c r="N4" s="304">
        <f t="shared" si="1"/>
        <v>1146071.5</v>
      </c>
    </row>
    <row r="5" spans="1:16" s="57" customFormat="1" x14ac:dyDescent="0.35">
      <c r="A5" s="313" t="s">
        <v>87</v>
      </c>
      <c r="B5" s="257">
        <f>B8+B29+B50+B71+B92</f>
        <v>68.968000000000004</v>
      </c>
      <c r="C5" s="257">
        <f t="shared" si="1"/>
        <v>68.968000000000004</v>
      </c>
      <c r="D5" s="257">
        <f t="shared" si="1"/>
        <v>68.968000000000004</v>
      </c>
      <c r="E5" s="257">
        <f t="shared" si="1"/>
        <v>68.968000000000004</v>
      </c>
      <c r="F5" s="257">
        <f t="shared" si="1"/>
        <v>68.968000000000004</v>
      </c>
      <c r="G5" s="257">
        <f t="shared" si="1"/>
        <v>68.968000000000004</v>
      </c>
      <c r="H5" s="257">
        <f t="shared" si="1"/>
        <v>68.968000000000004</v>
      </c>
      <c r="I5" s="257">
        <f t="shared" si="1"/>
        <v>68.968000000000004</v>
      </c>
      <c r="J5" s="257">
        <f t="shared" si="1"/>
        <v>68.968000000000004</v>
      </c>
      <c r="K5" s="257">
        <f t="shared" si="1"/>
        <v>68.968000000000004</v>
      </c>
      <c r="L5" s="257">
        <f t="shared" si="1"/>
        <v>68.968000000000004</v>
      </c>
      <c r="M5" s="257">
        <f t="shared" si="1"/>
        <v>68.968000000000004</v>
      </c>
      <c r="N5" s="257">
        <f t="shared" si="1"/>
        <v>48.222999999999999</v>
      </c>
    </row>
    <row r="6" spans="1:16" s="57" customFormat="1" ht="12" thickBot="1" x14ac:dyDescent="0.4">
      <c r="A6" s="313" t="s">
        <v>470</v>
      </c>
      <c r="B6" s="305">
        <f t="shared" ref="B6:N6" si="2">+B4/B5</f>
        <v>0</v>
      </c>
      <c r="C6" s="305">
        <f t="shared" si="2"/>
        <v>0</v>
      </c>
      <c r="D6" s="305">
        <f t="shared" si="2"/>
        <v>0</v>
      </c>
      <c r="E6" s="305">
        <f t="shared" si="2"/>
        <v>2439.7474190929124</v>
      </c>
      <c r="F6" s="305">
        <f t="shared" si="2"/>
        <v>2399.3301241155318</v>
      </c>
      <c r="G6" s="305">
        <f t="shared" si="2"/>
        <v>1779.2889455979584</v>
      </c>
      <c r="H6" s="305">
        <f t="shared" si="2"/>
        <v>1779.2889455979584</v>
      </c>
      <c r="I6" s="305">
        <f t="shared" si="2"/>
        <v>2159.2477670803851</v>
      </c>
      <c r="J6" s="305">
        <f t="shared" si="2"/>
        <v>1860.1235355527201</v>
      </c>
      <c r="K6" s="305">
        <f t="shared" si="2"/>
        <v>1860.1235355527201</v>
      </c>
      <c r="L6" s="305">
        <f t="shared" si="2"/>
        <v>1480.1647140702935</v>
      </c>
      <c r="M6" s="305">
        <f t="shared" si="2"/>
        <v>860.12353555272011</v>
      </c>
      <c r="N6" s="305">
        <f t="shared" si="2"/>
        <v>23766.076353607201</v>
      </c>
    </row>
    <row r="7" spans="1:16" s="57" customFormat="1" x14ac:dyDescent="0.35">
      <c r="A7" s="315" t="s">
        <v>471</v>
      </c>
      <c r="B7" s="316">
        <f>+B10+B13+B16+B19+B22+B25</f>
        <v>0</v>
      </c>
      <c r="C7" s="316">
        <f>+C10+C13+C16+C19+C22+C25</f>
        <v>0</v>
      </c>
      <c r="D7" s="316">
        <f t="shared" ref="D7:M7" si="3">+D10+D13+D16+D19+D22+D25</f>
        <v>0</v>
      </c>
      <c r="E7" s="316">
        <f>+E10+E13+E16+E19+E22+E25</f>
        <v>30700.000000000007</v>
      </c>
      <c r="F7" s="316">
        <f t="shared" si="3"/>
        <v>30700.000000000007</v>
      </c>
      <c r="G7" s="316">
        <f t="shared" si="3"/>
        <v>23025.000000000004</v>
      </c>
      <c r="H7" s="316">
        <f t="shared" si="3"/>
        <v>23025.000000000004</v>
      </c>
      <c r="I7" s="316">
        <f t="shared" si="3"/>
        <v>30700.000000000007</v>
      </c>
      <c r="J7" s="316">
        <f t="shared" si="3"/>
        <v>23025.000000000004</v>
      </c>
      <c r="K7" s="316">
        <f t="shared" si="3"/>
        <v>23025.000000000004</v>
      </c>
      <c r="L7" s="316">
        <f t="shared" si="3"/>
        <v>15350.000000000004</v>
      </c>
      <c r="M7" s="316">
        <f t="shared" si="3"/>
        <v>7675.0000000000018</v>
      </c>
      <c r="N7" s="317">
        <f>SUM(B7:M7)</f>
        <v>207225.00000000003</v>
      </c>
    </row>
    <row r="8" spans="1:16" s="57" customFormat="1" x14ac:dyDescent="0.35">
      <c r="A8" s="318" t="s">
        <v>87</v>
      </c>
      <c r="B8" s="319">
        <f>+B11+B14+B17+B20+B23+B26</f>
        <v>15.350000000000003</v>
      </c>
      <c r="C8" s="319">
        <f t="shared" ref="C8:M8" si="4">+C11+C14+C17+C20+C23+C26</f>
        <v>15.350000000000003</v>
      </c>
      <c r="D8" s="319">
        <f t="shared" si="4"/>
        <v>15.350000000000003</v>
      </c>
      <c r="E8" s="319">
        <f t="shared" si="4"/>
        <v>15.350000000000003</v>
      </c>
      <c r="F8" s="319">
        <f t="shared" si="4"/>
        <v>15.350000000000003</v>
      </c>
      <c r="G8" s="319">
        <f t="shared" si="4"/>
        <v>15.350000000000003</v>
      </c>
      <c r="H8" s="319">
        <f t="shared" si="4"/>
        <v>15.350000000000003</v>
      </c>
      <c r="I8" s="319">
        <f t="shared" si="4"/>
        <v>15.350000000000003</v>
      </c>
      <c r="J8" s="319">
        <f t="shared" si="4"/>
        <v>15.350000000000003</v>
      </c>
      <c r="K8" s="319">
        <f t="shared" si="4"/>
        <v>15.350000000000003</v>
      </c>
      <c r="L8" s="319">
        <f t="shared" si="4"/>
        <v>15.350000000000003</v>
      </c>
      <c r="M8" s="319">
        <f t="shared" si="4"/>
        <v>15.350000000000003</v>
      </c>
      <c r="N8" s="320">
        <f>+'Plan de culture 104 '!B3</f>
        <v>0</v>
      </c>
    </row>
    <row r="9" spans="1:16" s="57" customFormat="1" ht="12" thickBot="1" x14ac:dyDescent="0.4">
      <c r="A9" s="321" t="s">
        <v>470</v>
      </c>
      <c r="B9" s="323">
        <f>+(B7/1000)/B8</f>
        <v>0</v>
      </c>
      <c r="C9" s="323">
        <f t="shared" ref="C9:D9" si="5">+(C7/1000)/C8</f>
        <v>0</v>
      </c>
      <c r="D9" s="323">
        <f t="shared" si="5"/>
        <v>0</v>
      </c>
      <c r="E9" s="323">
        <f>+E7/E8</f>
        <v>2000</v>
      </c>
      <c r="F9" s="323">
        <f t="shared" ref="F9:M9" si="6">+F7/F8</f>
        <v>2000</v>
      </c>
      <c r="G9" s="323">
        <f t="shared" si="6"/>
        <v>1500</v>
      </c>
      <c r="H9" s="323">
        <f t="shared" si="6"/>
        <v>1500</v>
      </c>
      <c r="I9" s="323">
        <f t="shared" si="6"/>
        <v>2000</v>
      </c>
      <c r="J9" s="323">
        <f t="shared" si="6"/>
        <v>1500</v>
      </c>
      <c r="K9" s="323">
        <f t="shared" si="6"/>
        <v>1500</v>
      </c>
      <c r="L9" s="323">
        <f t="shared" si="6"/>
        <v>1000</v>
      </c>
      <c r="M9" s="323">
        <f t="shared" si="6"/>
        <v>500</v>
      </c>
      <c r="N9" s="322">
        <f>SUM(B9:M9)</f>
        <v>13500</v>
      </c>
    </row>
    <row r="10" spans="1:16" x14ac:dyDescent="0.35">
      <c r="A10" s="308" t="s">
        <v>86</v>
      </c>
      <c r="B10" s="296">
        <f>B12*B11</f>
        <v>0</v>
      </c>
      <c r="C10" s="296">
        <f t="shared" ref="C10:M10" si="7">C12*C11</f>
        <v>0</v>
      </c>
      <c r="D10" s="296">
        <f t="shared" si="7"/>
        <v>0</v>
      </c>
      <c r="E10" s="296">
        <f t="shared" si="7"/>
        <v>30700.000000000007</v>
      </c>
      <c r="F10" s="296">
        <f t="shared" si="7"/>
        <v>30700.000000000007</v>
      </c>
      <c r="G10" s="296">
        <f t="shared" si="7"/>
        <v>23025.000000000004</v>
      </c>
      <c r="H10" s="296">
        <f t="shared" si="7"/>
        <v>23025.000000000004</v>
      </c>
      <c r="I10" s="296">
        <f t="shared" si="7"/>
        <v>30700.000000000007</v>
      </c>
      <c r="J10" s="296">
        <f t="shared" si="7"/>
        <v>23025.000000000004</v>
      </c>
      <c r="K10" s="296">
        <f t="shared" si="7"/>
        <v>23025.000000000004</v>
      </c>
      <c r="L10" s="296">
        <f t="shared" si="7"/>
        <v>15350.000000000004</v>
      </c>
      <c r="M10" s="296">
        <f t="shared" si="7"/>
        <v>7675.0000000000018</v>
      </c>
      <c r="N10" s="280">
        <f>SUM(B10:M10)</f>
        <v>207225.00000000003</v>
      </c>
    </row>
    <row r="11" spans="1:16" x14ac:dyDescent="0.35">
      <c r="A11" s="309" t="s">
        <v>87</v>
      </c>
      <c r="B11" s="239">
        <f>+'Plan de culture 104 '!$X$7</f>
        <v>15.350000000000003</v>
      </c>
      <c r="C11" s="239">
        <f>+'Plan de culture 104 '!$X$7</f>
        <v>15.350000000000003</v>
      </c>
      <c r="D11" s="239">
        <f>+'Plan de culture 104 '!$X$7</f>
        <v>15.350000000000003</v>
      </c>
      <c r="E11" s="239">
        <f>+'Plan de culture 104 '!$X$7</f>
        <v>15.350000000000003</v>
      </c>
      <c r="F11" s="239">
        <f>+'Plan de culture 104 '!$X$7</f>
        <v>15.350000000000003</v>
      </c>
      <c r="G11" s="239">
        <f>+'Plan de culture 104 '!$X$7</f>
        <v>15.350000000000003</v>
      </c>
      <c r="H11" s="239">
        <f>+'Plan de culture 104 '!$X$7</f>
        <v>15.350000000000003</v>
      </c>
      <c r="I11" s="239">
        <f>+'Plan de culture 104 '!$X$7</f>
        <v>15.350000000000003</v>
      </c>
      <c r="J11" s="239">
        <f>+'Plan de culture 104 '!$X$7</f>
        <v>15.350000000000003</v>
      </c>
      <c r="K11" s="239">
        <f>+'Plan de culture 104 '!$X$7</f>
        <v>15.350000000000003</v>
      </c>
      <c r="L11" s="239">
        <f>+'Plan de culture 104 '!$X$7</f>
        <v>15.350000000000003</v>
      </c>
      <c r="M11" s="239">
        <f>+'Plan de culture 104 '!$X$7</f>
        <v>15.350000000000003</v>
      </c>
      <c r="N11" s="240">
        <f>+'Plan de culture 104 '!$X$7</f>
        <v>15.350000000000003</v>
      </c>
    </row>
    <row r="12" spans="1:16" x14ac:dyDescent="0.35">
      <c r="A12" s="309" t="s">
        <v>470</v>
      </c>
      <c r="B12" s="297">
        <v>0</v>
      </c>
      <c r="C12" s="297">
        <v>0</v>
      </c>
      <c r="D12" s="297">
        <v>0</v>
      </c>
      <c r="E12" s="298">
        <v>2000</v>
      </c>
      <c r="F12" s="298">
        <v>2000</v>
      </c>
      <c r="G12" s="298">
        <v>1500</v>
      </c>
      <c r="H12" s="298">
        <v>1500</v>
      </c>
      <c r="I12" s="298">
        <v>2000</v>
      </c>
      <c r="J12" s="298">
        <v>1500</v>
      </c>
      <c r="K12" s="298">
        <v>1500</v>
      </c>
      <c r="L12" s="298">
        <v>1000</v>
      </c>
      <c r="M12" s="298">
        <v>500</v>
      </c>
      <c r="N12" s="279">
        <f>+N10/N11</f>
        <v>13499.999999999998</v>
      </c>
    </row>
    <row r="13" spans="1:16" x14ac:dyDescent="0.35">
      <c r="A13" s="308" t="s">
        <v>88</v>
      </c>
      <c r="B13" s="236">
        <f>B15*B14</f>
        <v>0</v>
      </c>
      <c r="C13" s="236">
        <f t="shared" ref="C13:M13" si="8">C15*C14</f>
        <v>0</v>
      </c>
      <c r="D13" s="236">
        <f t="shared" si="8"/>
        <v>0</v>
      </c>
      <c r="E13" s="236">
        <f t="shared" si="8"/>
        <v>0</v>
      </c>
      <c r="F13" s="236">
        <f t="shared" si="8"/>
        <v>0</v>
      </c>
      <c r="G13" s="236">
        <f t="shared" si="8"/>
        <v>0</v>
      </c>
      <c r="H13" s="236">
        <f t="shared" si="8"/>
        <v>0</v>
      </c>
      <c r="I13" s="236">
        <f t="shared" si="8"/>
        <v>0</v>
      </c>
      <c r="J13" s="236">
        <f t="shared" si="8"/>
        <v>0</v>
      </c>
      <c r="K13" s="236">
        <f t="shared" si="8"/>
        <v>0</v>
      </c>
      <c r="L13" s="236">
        <f t="shared" si="8"/>
        <v>0</v>
      </c>
      <c r="M13" s="236">
        <f t="shared" si="8"/>
        <v>0</v>
      </c>
      <c r="N13" s="237">
        <f>SUM(B13:M13)</f>
        <v>0</v>
      </c>
    </row>
    <row r="14" spans="1:16" x14ac:dyDescent="0.35">
      <c r="A14" s="309" t="s">
        <v>87</v>
      </c>
      <c r="B14" s="239">
        <f>+'Plan de culture 104 '!$X$13</f>
        <v>0</v>
      </c>
      <c r="C14" s="239">
        <f>+'Plan de culture 104 '!$X$13</f>
        <v>0</v>
      </c>
      <c r="D14" s="239">
        <f>+'Plan de culture 104 '!$X$13</f>
        <v>0</v>
      </c>
      <c r="E14" s="239">
        <f>+'Plan de culture 104 '!$X$13</f>
        <v>0</v>
      </c>
      <c r="F14" s="239">
        <f>+'Plan de culture 104 '!$X$13</f>
        <v>0</v>
      </c>
      <c r="G14" s="239">
        <f>+'Plan de culture 104 '!$X$13</f>
        <v>0</v>
      </c>
      <c r="H14" s="239">
        <f>+'Plan de culture 104 '!$X$13</f>
        <v>0</v>
      </c>
      <c r="I14" s="239">
        <f>+'Plan de culture 104 '!$X$13</f>
        <v>0</v>
      </c>
      <c r="J14" s="239">
        <f>+'Plan de culture 104 '!$X$13</f>
        <v>0</v>
      </c>
      <c r="K14" s="239">
        <f>+'Plan de culture 104 '!$X$13</f>
        <v>0</v>
      </c>
      <c r="L14" s="239">
        <f>+'Plan de culture 104 '!$X$13</f>
        <v>0</v>
      </c>
      <c r="M14" s="239">
        <f>+'Plan de culture 104 '!$X$13</f>
        <v>0</v>
      </c>
      <c r="N14" s="240">
        <f>+'Plan de culture 104 '!$X$13</f>
        <v>0</v>
      </c>
    </row>
    <row r="15" spans="1:16" x14ac:dyDescent="0.35">
      <c r="A15" s="309" t="s">
        <v>470</v>
      </c>
      <c r="B15" s="297">
        <v>0</v>
      </c>
      <c r="C15" s="297">
        <v>0</v>
      </c>
      <c r="D15" s="297">
        <v>0</v>
      </c>
      <c r="E15" s="297">
        <v>0</v>
      </c>
      <c r="F15" s="297">
        <v>0</v>
      </c>
      <c r="G15" s="297">
        <v>0</v>
      </c>
      <c r="H15" s="297">
        <v>0</v>
      </c>
      <c r="I15" s="297">
        <v>0</v>
      </c>
      <c r="J15" s="297">
        <v>0</v>
      </c>
      <c r="K15" s="297">
        <v>0</v>
      </c>
      <c r="L15" s="297">
        <v>0</v>
      </c>
      <c r="M15" s="297">
        <v>0</v>
      </c>
      <c r="N15" s="279" t="e">
        <f>+N13/N14</f>
        <v>#DIV/0!</v>
      </c>
    </row>
    <row r="16" spans="1:16" x14ac:dyDescent="0.35">
      <c r="A16" s="308" t="s">
        <v>370</v>
      </c>
      <c r="B16" s="236">
        <f>B18*B17</f>
        <v>0</v>
      </c>
      <c r="C16" s="236">
        <f t="shared" ref="C16:M16" si="9">C18*C17</f>
        <v>0</v>
      </c>
      <c r="D16" s="236">
        <f t="shared" si="9"/>
        <v>0</v>
      </c>
      <c r="E16" s="236">
        <f t="shared" si="9"/>
        <v>0</v>
      </c>
      <c r="F16" s="236">
        <f t="shared" si="9"/>
        <v>0</v>
      </c>
      <c r="G16" s="236">
        <f t="shared" si="9"/>
        <v>0</v>
      </c>
      <c r="H16" s="236">
        <f t="shared" si="9"/>
        <v>0</v>
      </c>
      <c r="I16" s="236">
        <f t="shared" si="9"/>
        <v>0</v>
      </c>
      <c r="J16" s="236">
        <f t="shared" si="9"/>
        <v>0</v>
      </c>
      <c r="K16" s="236">
        <f t="shared" si="9"/>
        <v>0</v>
      </c>
      <c r="L16" s="236">
        <f t="shared" si="9"/>
        <v>0</v>
      </c>
      <c r="M16" s="236">
        <f t="shared" si="9"/>
        <v>0</v>
      </c>
      <c r="N16" s="237">
        <f>SUM(B16:M16)</f>
        <v>0</v>
      </c>
      <c r="P16" s="61"/>
    </row>
    <row r="17" spans="1:16" x14ac:dyDescent="0.35">
      <c r="A17" s="309" t="s">
        <v>87</v>
      </c>
      <c r="B17" s="239">
        <f>+'Plan de culture 104 '!$X$19</f>
        <v>0</v>
      </c>
      <c r="C17" s="239">
        <f>+'Plan de culture 104 '!$X$19</f>
        <v>0</v>
      </c>
      <c r="D17" s="239">
        <f>+'Plan de culture 104 '!$X$19</f>
        <v>0</v>
      </c>
      <c r="E17" s="239">
        <f>+'Plan de culture 104 '!$X$19</f>
        <v>0</v>
      </c>
      <c r="F17" s="239">
        <f>+'Plan de culture 104 '!$X$19</f>
        <v>0</v>
      </c>
      <c r="G17" s="239">
        <f>+'Plan de culture 104 '!$X$19</f>
        <v>0</v>
      </c>
      <c r="H17" s="239">
        <f>+'Plan de culture 104 '!$X$19</f>
        <v>0</v>
      </c>
      <c r="I17" s="239">
        <f>+'Plan de culture 104 '!$X$19</f>
        <v>0</v>
      </c>
      <c r="J17" s="239">
        <f>+'Plan de culture 104 '!$X$19</f>
        <v>0</v>
      </c>
      <c r="K17" s="239">
        <f>+'Plan de culture 104 '!$X$19</f>
        <v>0</v>
      </c>
      <c r="L17" s="239">
        <f>+'Plan de culture 104 '!$X$19</f>
        <v>0</v>
      </c>
      <c r="M17" s="239">
        <f>+'Plan de culture 104 '!$X$19</f>
        <v>0</v>
      </c>
      <c r="N17" s="240">
        <f>+'Plan de culture 104 '!$X$19</f>
        <v>0</v>
      </c>
    </row>
    <row r="18" spans="1:16" x14ac:dyDescent="0.35">
      <c r="A18" s="309" t="s">
        <v>470</v>
      </c>
      <c r="B18" s="297">
        <v>0</v>
      </c>
      <c r="C18" s="297">
        <v>0</v>
      </c>
      <c r="D18" s="297">
        <v>0</v>
      </c>
      <c r="E18" s="297">
        <v>0</v>
      </c>
      <c r="F18" s="297">
        <v>0</v>
      </c>
      <c r="G18" s="297">
        <v>0</v>
      </c>
      <c r="H18" s="297">
        <v>0</v>
      </c>
      <c r="I18" s="297">
        <v>0</v>
      </c>
      <c r="J18" s="297">
        <v>0</v>
      </c>
      <c r="K18" s="297">
        <v>0</v>
      </c>
      <c r="L18" s="297">
        <v>0</v>
      </c>
      <c r="M18" s="297">
        <v>0</v>
      </c>
      <c r="N18" s="279" t="e">
        <f>+N16/N17</f>
        <v>#DIV/0!</v>
      </c>
    </row>
    <row r="19" spans="1:16" x14ac:dyDescent="0.35">
      <c r="A19" s="308" t="s">
        <v>89</v>
      </c>
      <c r="B19" s="236">
        <f>B21*B20</f>
        <v>0</v>
      </c>
      <c r="C19" s="236">
        <f t="shared" ref="C19:M19" si="10">C21*C20</f>
        <v>0</v>
      </c>
      <c r="D19" s="236">
        <f t="shared" si="10"/>
        <v>0</v>
      </c>
      <c r="E19" s="236">
        <f t="shared" si="10"/>
        <v>0</v>
      </c>
      <c r="F19" s="236">
        <f t="shared" si="10"/>
        <v>0</v>
      </c>
      <c r="G19" s="236">
        <f t="shared" si="10"/>
        <v>0</v>
      </c>
      <c r="H19" s="236">
        <f t="shared" si="10"/>
        <v>0</v>
      </c>
      <c r="I19" s="236">
        <f t="shared" si="10"/>
        <v>0</v>
      </c>
      <c r="J19" s="236">
        <f t="shared" si="10"/>
        <v>0</v>
      </c>
      <c r="K19" s="236">
        <f t="shared" si="10"/>
        <v>0</v>
      </c>
      <c r="L19" s="236">
        <f t="shared" si="10"/>
        <v>0</v>
      </c>
      <c r="M19" s="236">
        <f t="shared" si="10"/>
        <v>0</v>
      </c>
      <c r="N19" s="237">
        <f>SUM(B19:M19)</f>
        <v>0</v>
      </c>
      <c r="P19" s="61"/>
    </row>
    <row r="20" spans="1:16" x14ac:dyDescent="0.35">
      <c r="A20" s="309" t="s">
        <v>87</v>
      </c>
      <c r="B20" s="239">
        <f>+'Plan de culture 104 '!$X$25</f>
        <v>0</v>
      </c>
      <c r="C20" s="239">
        <f>+'Plan de culture 104 '!$X$25</f>
        <v>0</v>
      </c>
      <c r="D20" s="239">
        <f>+'Plan de culture 104 '!$X$25</f>
        <v>0</v>
      </c>
      <c r="E20" s="239">
        <f>+'Plan de culture 104 '!$X$25</f>
        <v>0</v>
      </c>
      <c r="F20" s="239">
        <f>+'Plan de culture 104 '!$X$25</f>
        <v>0</v>
      </c>
      <c r="G20" s="239">
        <f>+'Plan de culture 104 '!$X$25</f>
        <v>0</v>
      </c>
      <c r="H20" s="239">
        <f>+'Plan de culture 104 '!$X$25</f>
        <v>0</v>
      </c>
      <c r="I20" s="239">
        <f>+'Plan de culture 104 '!$X$25</f>
        <v>0</v>
      </c>
      <c r="J20" s="239">
        <f>+'Plan de culture 104 '!$X$25</f>
        <v>0</v>
      </c>
      <c r="K20" s="239">
        <f>+'Plan de culture 104 '!$X$25</f>
        <v>0</v>
      </c>
      <c r="L20" s="239">
        <f>+'Plan de culture 104 '!$X$25</f>
        <v>0</v>
      </c>
      <c r="M20" s="239">
        <f>+'Plan de culture 104 '!$X$25</f>
        <v>0</v>
      </c>
      <c r="N20" s="240">
        <f>+'Plan de culture 104 '!$X$25</f>
        <v>0</v>
      </c>
    </row>
    <row r="21" spans="1:16" x14ac:dyDescent="0.35">
      <c r="A21" s="309" t="s">
        <v>470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79" t="e">
        <f>+N19/N20</f>
        <v>#DIV/0!</v>
      </c>
    </row>
    <row r="22" spans="1:16" x14ac:dyDescent="0.35">
      <c r="A22" s="308" t="s">
        <v>371</v>
      </c>
      <c r="B22" s="236">
        <f>B24*B23</f>
        <v>0</v>
      </c>
      <c r="C22" s="236">
        <f t="shared" ref="C22:M22" si="11">C24*C23</f>
        <v>0</v>
      </c>
      <c r="D22" s="236">
        <f t="shared" si="11"/>
        <v>0</v>
      </c>
      <c r="E22" s="236">
        <f t="shared" si="11"/>
        <v>0</v>
      </c>
      <c r="F22" s="236">
        <f t="shared" si="11"/>
        <v>0</v>
      </c>
      <c r="G22" s="236">
        <f t="shared" si="11"/>
        <v>0</v>
      </c>
      <c r="H22" s="236">
        <f t="shared" si="11"/>
        <v>0</v>
      </c>
      <c r="I22" s="236">
        <f t="shared" si="11"/>
        <v>0</v>
      </c>
      <c r="J22" s="236">
        <f t="shared" si="11"/>
        <v>0</v>
      </c>
      <c r="K22" s="236">
        <f t="shared" si="11"/>
        <v>0</v>
      </c>
      <c r="L22" s="236">
        <f t="shared" si="11"/>
        <v>0</v>
      </c>
      <c r="M22" s="236">
        <f t="shared" si="11"/>
        <v>0</v>
      </c>
      <c r="N22" s="237">
        <f>SUM(B22:M22)</f>
        <v>0</v>
      </c>
      <c r="P22" s="61"/>
    </row>
    <row r="23" spans="1:16" x14ac:dyDescent="0.35">
      <c r="A23" s="309" t="s">
        <v>87</v>
      </c>
      <c r="B23" s="239">
        <f>+'Plan de culture 104 '!$X$31</f>
        <v>0</v>
      </c>
      <c r="C23" s="239">
        <f>+'Plan de culture 104 '!$X$31</f>
        <v>0</v>
      </c>
      <c r="D23" s="239">
        <f>+'Plan de culture 104 '!$X$31</f>
        <v>0</v>
      </c>
      <c r="E23" s="239">
        <f>+'Plan de culture 104 '!$X$31</f>
        <v>0</v>
      </c>
      <c r="F23" s="239">
        <f>+'Plan de culture 104 '!$X$31</f>
        <v>0</v>
      </c>
      <c r="G23" s="239">
        <f>+'Plan de culture 104 '!$X$31</f>
        <v>0</v>
      </c>
      <c r="H23" s="239">
        <f>+'Plan de culture 104 '!$X$31</f>
        <v>0</v>
      </c>
      <c r="I23" s="239">
        <f>+'Plan de culture 104 '!$X$31</f>
        <v>0</v>
      </c>
      <c r="J23" s="239">
        <f>+'Plan de culture 104 '!$X$31</f>
        <v>0</v>
      </c>
      <c r="K23" s="239">
        <f>+'Plan de culture 104 '!$X$31</f>
        <v>0</v>
      </c>
      <c r="L23" s="239">
        <f>+'Plan de culture 104 '!$X$31</f>
        <v>0</v>
      </c>
      <c r="M23" s="239">
        <f>+'Plan de culture 104 '!$X$31</f>
        <v>0</v>
      </c>
      <c r="N23" s="240">
        <f>+'Plan de culture 104 '!$X$31</f>
        <v>0</v>
      </c>
    </row>
    <row r="24" spans="1:16" x14ac:dyDescent="0.35">
      <c r="A24" s="309" t="s">
        <v>470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79" t="e">
        <f>+N22/N23</f>
        <v>#DIV/0!</v>
      </c>
    </row>
    <row r="25" spans="1:16" x14ac:dyDescent="0.35">
      <c r="A25" s="308" t="s">
        <v>372</v>
      </c>
      <c r="B25" s="236">
        <f>B27*B26</f>
        <v>0</v>
      </c>
      <c r="C25" s="236">
        <f t="shared" ref="C25:M25" si="12">C27*C26</f>
        <v>0</v>
      </c>
      <c r="D25" s="236">
        <f t="shared" si="12"/>
        <v>0</v>
      </c>
      <c r="E25" s="236">
        <f t="shared" si="12"/>
        <v>0</v>
      </c>
      <c r="F25" s="236">
        <f t="shared" si="12"/>
        <v>0</v>
      </c>
      <c r="G25" s="236">
        <f t="shared" si="12"/>
        <v>0</v>
      </c>
      <c r="H25" s="236">
        <f t="shared" si="12"/>
        <v>0</v>
      </c>
      <c r="I25" s="236">
        <f t="shared" si="12"/>
        <v>0</v>
      </c>
      <c r="J25" s="236">
        <f t="shared" si="12"/>
        <v>0</v>
      </c>
      <c r="K25" s="236">
        <f t="shared" si="12"/>
        <v>0</v>
      </c>
      <c r="L25" s="236">
        <f t="shared" si="12"/>
        <v>0</v>
      </c>
      <c r="M25" s="236">
        <f t="shared" si="12"/>
        <v>0</v>
      </c>
      <c r="N25" s="237">
        <f>SUM(B25:M25)</f>
        <v>0</v>
      </c>
      <c r="P25" s="61"/>
    </row>
    <row r="26" spans="1:16" x14ac:dyDescent="0.35">
      <c r="A26" s="309" t="s">
        <v>87</v>
      </c>
      <c r="B26" s="239">
        <f>+'Plan de culture 104 '!$X$37</f>
        <v>0</v>
      </c>
      <c r="C26" s="239">
        <f>+'Plan de culture 104 '!$X$37</f>
        <v>0</v>
      </c>
      <c r="D26" s="239">
        <f>+'Plan de culture 104 '!$X$37</f>
        <v>0</v>
      </c>
      <c r="E26" s="239">
        <f>+'Plan de culture 104 '!$X$37</f>
        <v>0</v>
      </c>
      <c r="F26" s="239">
        <f>+'Plan de culture 104 '!$X$37</f>
        <v>0</v>
      </c>
      <c r="G26" s="239">
        <f>+'Plan de culture 104 '!$X$37</f>
        <v>0</v>
      </c>
      <c r="H26" s="239">
        <f>+'Plan de culture 104 '!$X$37</f>
        <v>0</v>
      </c>
      <c r="I26" s="239">
        <f>+'Plan de culture 104 '!$X$37</f>
        <v>0</v>
      </c>
      <c r="J26" s="239">
        <f>+'Plan de culture 104 '!$X$37</f>
        <v>0</v>
      </c>
      <c r="K26" s="239">
        <f>+'Plan de culture 104 '!$X$37</f>
        <v>0</v>
      </c>
      <c r="L26" s="239">
        <f>+'Plan de culture 104 '!$X$37</f>
        <v>0</v>
      </c>
      <c r="M26" s="239">
        <f>+'Plan de culture 104 '!$X$37</f>
        <v>0</v>
      </c>
      <c r="N26" s="240">
        <f>+'Plan de culture 104 '!$X$37</f>
        <v>0</v>
      </c>
    </row>
    <row r="27" spans="1:16" ht="12" thickBot="1" x14ac:dyDescent="0.4">
      <c r="A27" s="310" t="s">
        <v>470</v>
      </c>
      <c r="B27" s="299">
        <v>0</v>
      </c>
      <c r="C27" s="299">
        <v>0</v>
      </c>
      <c r="D27" s="299">
        <v>0</v>
      </c>
      <c r="E27" s="299">
        <v>0</v>
      </c>
      <c r="F27" s="299">
        <v>0</v>
      </c>
      <c r="G27" s="299">
        <v>0</v>
      </c>
      <c r="H27" s="299">
        <v>0</v>
      </c>
      <c r="I27" s="299">
        <v>0</v>
      </c>
      <c r="J27" s="299">
        <v>0</v>
      </c>
      <c r="K27" s="299">
        <v>0</v>
      </c>
      <c r="L27" s="299">
        <v>0</v>
      </c>
      <c r="M27" s="299">
        <v>0</v>
      </c>
      <c r="N27" s="300" t="e">
        <f>+N25/N26</f>
        <v>#DIV/0!</v>
      </c>
    </row>
    <row r="28" spans="1:16" x14ac:dyDescent="0.35">
      <c r="A28" s="315" t="s">
        <v>476</v>
      </c>
      <c r="B28" s="316">
        <f>+B31+B34+B37+B40+B43+B46</f>
        <v>0</v>
      </c>
      <c r="C28" s="316">
        <f t="shared" ref="C28:M29" si="13">+C31+C34+C37+C40+C43+C46</f>
        <v>0</v>
      </c>
      <c r="D28" s="316">
        <f t="shared" si="13"/>
        <v>0</v>
      </c>
      <c r="E28" s="316">
        <f t="shared" si="13"/>
        <v>10790.000000000002</v>
      </c>
      <c r="F28" s="316">
        <f t="shared" si="13"/>
        <v>10790.000000000002</v>
      </c>
      <c r="G28" s="316">
        <f t="shared" si="13"/>
        <v>8092.5000000000009</v>
      </c>
      <c r="H28" s="316">
        <f t="shared" si="13"/>
        <v>8092.5000000000009</v>
      </c>
      <c r="I28" s="316">
        <f t="shared" si="13"/>
        <v>10790.000000000002</v>
      </c>
      <c r="J28" s="316">
        <f t="shared" si="13"/>
        <v>8092.5000000000009</v>
      </c>
      <c r="K28" s="316">
        <f t="shared" si="13"/>
        <v>8092.5000000000009</v>
      </c>
      <c r="L28" s="316">
        <f t="shared" si="13"/>
        <v>5395.0000000000009</v>
      </c>
      <c r="M28" s="316">
        <f t="shared" si="13"/>
        <v>2697.5000000000005</v>
      </c>
      <c r="N28" s="317">
        <f>SUM(B28:M28)</f>
        <v>72832.500000000015</v>
      </c>
    </row>
    <row r="29" spans="1:16" x14ac:dyDescent="0.35">
      <c r="A29" s="318" t="s">
        <v>87</v>
      </c>
      <c r="B29" s="319">
        <f>+B32+B35+B38+B41+B44+B47</f>
        <v>5.3950000000000005</v>
      </c>
      <c r="C29" s="319">
        <f t="shared" si="13"/>
        <v>5.3950000000000005</v>
      </c>
      <c r="D29" s="319">
        <f t="shared" si="13"/>
        <v>5.3950000000000005</v>
      </c>
      <c r="E29" s="319">
        <f t="shared" si="13"/>
        <v>5.3950000000000005</v>
      </c>
      <c r="F29" s="319">
        <f t="shared" si="13"/>
        <v>5.3950000000000005</v>
      </c>
      <c r="G29" s="319">
        <f t="shared" si="13"/>
        <v>5.3950000000000005</v>
      </c>
      <c r="H29" s="319">
        <f t="shared" si="13"/>
        <v>5.3950000000000005</v>
      </c>
      <c r="I29" s="319">
        <f t="shared" si="13"/>
        <v>5.3950000000000005</v>
      </c>
      <c r="J29" s="319">
        <f t="shared" si="13"/>
        <v>5.3950000000000005</v>
      </c>
      <c r="K29" s="319">
        <f t="shared" si="13"/>
        <v>5.3950000000000005</v>
      </c>
      <c r="L29" s="319">
        <f t="shared" si="13"/>
        <v>5.3950000000000005</v>
      </c>
      <c r="M29" s="319">
        <f t="shared" si="13"/>
        <v>5.3950000000000005</v>
      </c>
      <c r="N29" s="320">
        <f>+'Plan de culture 105'!$B$3</f>
        <v>0</v>
      </c>
    </row>
    <row r="30" spans="1:16" ht="12" thickBot="1" x14ac:dyDescent="0.4">
      <c r="A30" s="321" t="s">
        <v>470</v>
      </c>
      <c r="B30" s="323">
        <f>+(B28/1000)/B29</f>
        <v>0</v>
      </c>
      <c r="C30" s="323">
        <f t="shared" ref="C30:N30" si="14">+(C28/1000)/C29</f>
        <v>0</v>
      </c>
      <c r="D30" s="323">
        <f t="shared" si="14"/>
        <v>0</v>
      </c>
      <c r="E30" s="323">
        <f t="shared" si="14"/>
        <v>2.0000000000000004</v>
      </c>
      <c r="F30" s="323">
        <f t="shared" si="14"/>
        <v>2.0000000000000004</v>
      </c>
      <c r="G30" s="323">
        <f t="shared" si="14"/>
        <v>1.5</v>
      </c>
      <c r="H30" s="323">
        <f t="shared" si="14"/>
        <v>1.5</v>
      </c>
      <c r="I30" s="323">
        <f t="shared" si="14"/>
        <v>2.0000000000000004</v>
      </c>
      <c r="J30" s="323">
        <f t="shared" si="14"/>
        <v>1.5</v>
      </c>
      <c r="K30" s="323">
        <f t="shared" si="14"/>
        <v>1.5</v>
      </c>
      <c r="L30" s="323">
        <f t="shared" si="14"/>
        <v>1.0000000000000002</v>
      </c>
      <c r="M30" s="323">
        <f t="shared" si="14"/>
        <v>0.50000000000000011</v>
      </c>
      <c r="N30" s="322" t="e">
        <f t="shared" si="14"/>
        <v>#DIV/0!</v>
      </c>
    </row>
    <row r="31" spans="1:16" collapsed="1" x14ac:dyDescent="0.35">
      <c r="A31" s="308" t="s">
        <v>86</v>
      </c>
      <c r="B31" s="296">
        <f>B33*B32</f>
        <v>0</v>
      </c>
      <c r="C31" s="296">
        <f t="shared" ref="C31:M31" si="15">C33*C32</f>
        <v>0</v>
      </c>
      <c r="D31" s="296">
        <f t="shared" si="15"/>
        <v>0</v>
      </c>
      <c r="E31" s="296">
        <f t="shared" si="15"/>
        <v>0</v>
      </c>
      <c r="F31" s="296">
        <f t="shared" si="15"/>
        <v>0</v>
      </c>
      <c r="G31" s="296">
        <f t="shared" si="15"/>
        <v>0</v>
      </c>
      <c r="H31" s="296">
        <f t="shared" si="15"/>
        <v>0</v>
      </c>
      <c r="I31" s="296">
        <f t="shared" si="15"/>
        <v>0</v>
      </c>
      <c r="J31" s="296">
        <f t="shared" si="15"/>
        <v>0</v>
      </c>
      <c r="K31" s="296">
        <f t="shared" si="15"/>
        <v>0</v>
      </c>
      <c r="L31" s="296">
        <f t="shared" si="15"/>
        <v>0</v>
      </c>
      <c r="M31" s="296">
        <f t="shared" si="15"/>
        <v>0</v>
      </c>
      <c r="N31" s="280">
        <f>SUM(B31:M31)</f>
        <v>0</v>
      </c>
    </row>
    <row r="32" spans="1:16" x14ac:dyDescent="0.35">
      <c r="A32" s="309" t="s">
        <v>87</v>
      </c>
      <c r="B32" s="239">
        <f>+'Plan de culture 105'!$I$7</f>
        <v>0</v>
      </c>
      <c r="C32" s="239">
        <f>+'Plan de culture 105'!$I$7</f>
        <v>0</v>
      </c>
      <c r="D32" s="239">
        <f>+'Plan de culture 105'!$I$7</f>
        <v>0</v>
      </c>
      <c r="E32" s="239">
        <f>+'Plan de culture 105'!$I$7</f>
        <v>0</v>
      </c>
      <c r="F32" s="239">
        <f>+'Plan de culture 105'!$I$7</f>
        <v>0</v>
      </c>
      <c r="G32" s="239">
        <f>+'Plan de culture 105'!$I$7</f>
        <v>0</v>
      </c>
      <c r="H32" s="239">
        <f>+'Plan de culture 105'!$I$7</f>
        <v>0</v>
      </c>
      <c r="I32" s="239">
        <f>+'Plan de culture 105'!$I$7</f>
        <v>0</v>
      </c>
      <c r="J32" s="239">
        <f>+'Plan de culture 105'!$I$7</f>
        <v>0</v>
      </c>
      <c r="K32" s="239">
        <f>+'Plan de culture 105'!$I$7</f>
        <v>0</v>
      </c>
      <c r="L32" s="239">
        <f>+'Plan de culture 105'!$I$7</f>
        <v>0</v>
      </c>
      <c r="M32" s="239">
        <f>+'Plan de culture 105'!$I$7</f>
        <v>0</v>
      </c>
      <c r="N32" s="240">
        <f>+'Plan de culture 105'!$I$7</f>
        <v>0</v>
      </c>
    </row>
    <row r="33" spans="1:14" x14ac:dyDescent="0.35">
      <c r="A33" s="309" t="s">
        <v>470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79" t="e">
        <f>+N31/N32</f>
        <v>#DIV/0!</v>
      </c>
    </row>
    <row r="34" spans="1:14" collapsed="1" x14ac:dyDescent="0.35">
      <c r="A34" s="308" t="s">
        <v>88</v>
      </c>
      <c r="B34" s="236">
        <f>B36*B35</f>
        <v>0</v>
      </c>
      <c r="C34" s="236">
        <f t="shared" ref="C34:M34" si="16">C36*C35</f>
        <v>0</v>
      </c>
      <c r="D34" s="236">
        <f t="shared" si="16"/>
        <v>0</v>
      </c>
      <c r="E34" s="236">
        <f t="shared" si="16"/>
        <v>10790.000000000002</v>
      </c>
      <c r="F34" s="236">
        <f t="shared" si="16"/>
        <v>10790.000000000002</v>
      </c>
      <c r="G34" s="236">
        <f t="shared" si="16"/>
        <v>8092.5000000000009</v>
      </c>
      <c r="H34" s="236">
        <f t="shared" si="16"/>
        <v>8092.5000000000009</v>
      </c>
      <c r="I34" s="236">
        <f t="shared" si="16"/>
        <v>10790.000000000002</v>
      </c>
      <c r="J34" s="236">
        <f t="shared" si="16"/>
        <v>8092.5000000000009</v>
      </c>
      <c r="K34" s="236">
        <f t="shared" si="16"/>
        <v>8092.5000000000009</v>
      </c>
      <c r="L34" s="236">
        <f t="shared" si="16"/>
        <v>5395.0000000000009</v>
      </c>
      <c r="M34" s="236">
        <f t="shared" si="16"/>
        <v>2697.5000000000005</v>
      </c>
      <c r="N34" s="237">
        <f>SUM(B34:M34)</f>
        <v>72832.500000000015</v>
      </c>
    </row>
    <row r="35" spans="1:14" x14ac:dyDescent="0.35">
      <c r="A35" s="309" t="s">
        <v>87</v>
      </c>
      <c r="B35" s="239">
        <f>+'Plan de culture 105'!$I$13</f>
        <v>5.3950000000000005</v>
      </c>
      <c r="C35" s="239">
        <f>+'Plan de culture 105'!$I$13</f>
        <v>5.3950000000000005</v>
      </c>
      <c r="D35" s="239">
        <f>+'Plan de culture 105'!$I$13</f>
        <v>5.3950000000000005</v>
      </c>
      <c r="E35" s="239">
        <f>+'Plan de culture 105'!$I$13</f>
        <v>5.3950000000000005</v>
      </c>
      <c r="F35" s="239">
        <f>+'Plan de culture 105'!$I$13</f>
        <v>5.3950000000000005</v>
      </c>
      <c r="G35" s="239">
        <f>+'Plan de culture 105'!$I$13</f>
        <v>5.3950000000000005</v>
      </c>
      <c r="H35" s="239">
        <f>+'Plan de culture 105'!$I$13</f>
        <v>5.3950000000000005</v>
      </c>
      <c r="I35" s="239">
        <f>+'Plan de culture 105'!$I$13</f>
        <v>5.3950000000000005</v>
      </c>
      <c r="J35" s="239">
        <f>+'Plan de culture 105'!$I$13</f>
        <v>5.3950000000000005</v>
      </c>
      <c r="K35" s="239">
        <f>+'Plan de culture 105'!$I$13</f>
        <v>5.3950000000000005</v>
      </c>
      <c r="L35" s="239">
        <f>+'Plan de culture 105'!$I$13</f>
        <v>5.3950000000000005</v>
      </c>
      <c r="M35" s="239">
        <f>+'Plan de culture 105'!$I$13</f>
        <v>5.3950000000000005</v>
      </c>
      <c r="N35" s="240">
        <f>+'Plan de culture 105'!$I$13</f>
        <v>5.3950000000000005</v>
      </c>
    </row>
    <row r="36" spans="1:14" x14ac:dyDescent="0.35">
      <c r="A36" s="309" t="s">
        <v>470</v>
      </c>
      <c r="B36" s="297">
        <v>0</v>
      </c>
      <c r="C36" s="297">
        <v>0</v>
      </c>
      <c r="D36" s="297">
        <v>0</v>
      </c>
      <c r="E36" s="298">
        <v>2000</v>
      </c>
      <c r="F36" s="298">
        <v>2000</v>
      </c>
      <c r="G36" s="298">
        <v>1500</v>
      </c>
      <c r="H36" s="298">
        <v>1500</v>
      </c>
      <c r="I36" s="298">
        <v>2000</v>
      </c>
      <c r="J36" s="298">
        <v>1500</v>
      </c>
      <c r="K36" s="298">
        <v>1500</v>
      </c>
      <c r="L36" s="298">
        <v>1000</v>
      </c>
      <c r="M36" s="298">
        <v>500</v>
      </c>
      <c r="N36" s="279">
        <f>+N34/N35</f>
        <v>13500.000000000002</v>
      </c>
    </row>
    <row r="37" spans="1:14" x14ac:dyDescent="0.35">
      <c r="A37" s="308" t="s">
        <v>370</v>
      </c>
      <c r="B37" s="236">
        <f>B39*B38</f>
        <v>0</v>
      </c>
      <c r="C37" s="236">
        <f t="shared" ref="C37:M37" si="17">C39*C38</f>
        <v>0</v>
      </c>
      <c r="D37" s="236">
        <f t="shared" si="17"/>
        <v>0</v>
      </c>
      <c r="E37" s="236">
        <f t="shared" si="17"/>
        <v>0</v>
      </c>
      <c r="F37" s="236">
        <f t="shared" si="17"/>
        <v>0</v>
      </c>
      <c r="G37" s="236">
        <f t="shared" si="17"/>
        <v>0</v>
      </c>
      <c r="H37" s="236">
        <f t="shared" si="17"/>
        <v>0</v>
      </c>
      <c r="I37" s="236">
        <f t="shared" si="17"/>
        <v>0</v>
      </c>
      <c r="J37" s="236">
        <f t="shared" si="17"/>
        <v>0</v>
      </c>
      <c r="K37" s="236">
        <f t="shared" si="17"/>
        <v>0</v>
      </c>
      <c r="L37" s="236">
        <f t="shared" si="17"/>
        <v>0</v>
      </c>
      <c r="M37" s="236">
        <f t="shared" si="17"/>
        <v>0</v>
      </c>
      <c r="N37" s="237">
        <f>SUM(B37:M37)</f>
        <v>0</v>
      </c>
    </row>
    <row r="38" spans="1:14" x14ac:dyDescent="0.35">
      <c r="A38" s="309" t="s">
        <v>87</v>
      </c>
      <c r="B38" s="239">
        <f>+'Plan de culture 105'!$I$19</f>
        <v>0</v>
      </c>
      <c r="C38" s="239">
        <f>+'Plan de culture 105'!$I$19</f>
        <v>0</v>
      </c>
      <c r="D38" s="239">
        <f>+'Plan de culture 105'!$I$19</f>
        <v>0</v>
      </c>
      <c r="E38" s="239">
        <f>+'Plan de culture 105'!$I$19</f>
        <v>0</v>
      </c>
      <c r="F38" s="239">
        <f>+'Plan de culture 105'!$I$19</f>
        <v>0</v>
      </c>
      <c r="G38" s="239">
        <f>+'Plan de culture 105'!$I$19</f>
        <v>0</v>
      </c>
      <c r="H38" s="239">
        <f>+'Plan de culture 105'!$I$19</f>
        <v>0</v>
      </c>
      <c r="I38" s="239">
        <f>+'Plan de culture 105'!$I$19</f>
        <v>0</v>
      </c>
      <c r="J38" s="239">
        <f>+'Plan de culture 105'!$I$19</f>
        <v>0</v>
      </c>
      <c r="K38" s="239">
        <f>+'Plan de culture 105'!$I$19</f>
        <v>0</v>
      </c>
      <c r="L38" s="239">
        <f>+'Plan de culture 105'!$I$19</f>
        <v>0</v>
      </c>
      <c r="M38" s="239">
        <f>+'Plan de culture 105'!$I$19</f>
        <v>0</v>
      </c>
      <c r="N38" s="240">
        <f>+'Plan de culture 105'!$I$19</f>
        <v>0</v>
      </c>
    </row>
    <row r="39" spans="1:14" x14ac:dyDescent="0.35">
      <c r="A39" s="309" t="s">
        <v>470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79" t="e">
        <f>+N37/N38</f>
        <v>#DIV/0!</v>
      </c>
    </row>
    <row r="40" spans="1:14" collapsed="1" x14ac:dyDescent="0.35">
      <c r="A40" s="308" t="s">
        <v>89</v>
      </c>
      <c r="B40" s="236">
        <f>B42*B41</f>
        <v>0</v>
      </c>
      <c r="C40" s="236">
        <f t="shared" ref="C40:M40" si="18">C42*C41</f>
        <v>0</v>
      </c>
      <c r="D40" s="236">
        <f t="shared" si="18"/>
        <v>0</v>
      </c>
      <c r="E40" s="236">
        <f t="shared" si="18"/>
        <v>0</v>
      </c>
      <c r="F40" s="236">
        <f t="shared" si="18"/>
        <v>0</v>
      </c>
      <c r="G40" s="236">
        <f t="shared" si="18"/>
        <v>0</v>
      </c>
      <c r="H40" s="236">
        <f t="shared" si="18"/>
        <v>0</v>
      </c>
      <c r="I40" s="236">
        <f t="shared" si="18"/>
        <v>0</v>
      </c>
      <c r="J40" s="236">
        <f t="shared" si="18"/>
        <v>0</v>
      </c>
      <c r="K40" s="236">
        <f t="shared" si="18"/>
        <v>0</v>
      </c>
      <c r="L40" s="236">
        <f t="shared" si="18"/>
        <v>0</v>
      </c>
      <c r="M40" s="236">
        <f t="shared" si="18"/>
        <v>0</v>
      </c>
      <c r="N40" s="237">
        <f>SUM(B40:M40)</f>
        <v>0</v>
      </c>
    </row>
    <row r="41" spans="1:14" x14ac:dyDescent="0.35">
      <c r="A41" s="309" t="s">
        <v>87</v>
      </c>
      <c r="B41" s="239">
        <f>+'Plan de culture 105'!$I$25</f>
        <v>0</v>
      </c>
      <c r="C41" s="239">
        <f>+'Plan de culture 105'!$I$25</f>
        <v>0</v>
      </c>
      <c r="D41" s="239">
        <f>+'Plan de culture 105'!$I$25</f>
        <v>0</v>
      </c>
      <c r="E41" s="239">
        <f>+'Plan de culture 105'!$I$25</f>
        <v>0</v>
      </c>
      <c r="F41" s="239">
        <f>+'Plan de culture 105'!$I$25</f>
        <v>0</v>
      </c>
      <c r="G41" s="239">
        <f>+'Plan de culture 105'!$I$25</f>
        <v>0</v>
      </c>
      <c r="H41" s="239">
        <f>+'Plan de culture 105'!$I$25</f>
        <v>0</v>
      </c>
      <c r="I41" s="239">
        <f>+'Plan de culture 105'!$I$25</f>
        <v>0</v>
      </c>
      <c r="J41" s="239">
        <f>+'Plan de culture 105'!$I$25</f>
        <v>0</v>
      </c>
      <c r="K41" s="239">
        <f>+'Plan de culture 105'!$I$25</f>
        <v>0</v>
      </c>
      <c r="L41" s="239">
        <f>+'Plan de culture 105'!$I$25</f>
        <v>0</v>
      </c>
      <c r="M41" s="239">
        <f>+'Plan de culture 105'!$I$25</f>
        <v>0</v>
      </c>
      <c r="N41" s="240">
        <f>+'Plan de culture 105'!$I$25</f>
        <v>0</v>
      </c>
    </row>
    <row r="42" spans="1:14" x14ac:dyDescent="0.35">
      <c r="A42" s="309" t="s">
        <v>470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79" t="e">
        <f>+N40/N41</f>
        <v>#DIV/0!</v>
      </c>
    </row>
    <row r="43" spans="1:14" x14ac:dyDescent="0.35">
      <c r="A43" s="308" t="s">
        <v>371</v>
      </c>
      <c r="B43" s="236">
        <f>B45*B44</f>
        <v>0</v>
      </c>
      <c r="C43" s="236">
        <f t="shared" ref="C43:M43" si="19">C45*C44</f>
        <v>0</v>
      </c>
      <c r="D43" s="236">
        <f t="shared" si="19"/>
        <v>0</v>
      </c>
      <c r="E43" s="236">
        <f t="shared" si="19"/>
        <v>0</v>
      </c>
      <c r="F43" s="236">
        <f t="shared" si="19"/>
        <v>0</v>
      </c>
      <c r="G43" s="236">
        <f t="shared" si="19"/>
        <v>0</v>
      </c>
      <c r="H43" s="236">
        <f t="shared" si="19"/>
        <v>0</v>
      </c>
      <c r="I43" s="236">
        <f t="shared" si="19"/>
        <v>0</v>
      </c>
      <c r="J43" s="236">
        <f t="shared" si="19"/>
        <v>0</v>
      </c>
      <c r="K43" s="236">
        <f t="shared" si="19"/>
        <v>0</v>
      </c>
      <c r="L43" s="236">
        <f t="shared" si="19"/>
        <v>0</v>
      </c>
      <c r="M43" s="236">
        <f t="shared" si="19"/>
        <v>0</v>
      </c>
      <c r="N43" s="237">
        <f>SUM(B43:M43)</f>
        <v>0</v>
      </c>
    </row>
    <row r="44" spans="1:14" x14ac:dyDescent="0.35">
      <c r="A44" s="309" t="s">
        <v>87</v>
      </c>
      <c r="B44" s="239">
        <f>+'Plan de culture 105'!$I$31</f>
        <v>0</v>
      </c>
      <c r="C44" s="239">
        <f>+'Plan de culture 105'!$I$31</f>
        <v>0</v>
      </c>
      <c r="D44" s="239">
        <f>+'Plan de culture 105'!$I$31</f>
        <v>0</v>
      </c>
      <c r="E44" s="239">
        <f>+'Plan de culture 105'!$I$31</f>
        <v>0</v>
      </c>
      <c r="F44" s="239">
        <f>+'Plan de culture 105'!$I$31</f>
        <v>0</v>
      </c>
      <c r="G44" s="239">
        <f>+'Plan de culture 105'!$I$31</f>
        <v>0</v>
      </c>
      <c r="H44" s="239">
        <f>+'Plan de culture 105'!$I$31</f>
        <v>0</v>
      </c>
      <c r="I44" s="239">
        <f>+'Plan de culture 105'!$I$31</f>
        <v>0</v>
      </c>
      <c r="J44" s="239">
        <f>+'Plan de culture 105'!$I$31</f>
        <v>0</v>
      </c>
      <c r="K44" s="239">
        <f>+'Plan de culture 105'!$I$31</f>
        <v>0</v>
      </c>
      <c r="L44" s="239">
        <f>+'Plan de culture 105'!$I$31</f>
        <v>0</v>
      </c>
      <c r="M44" s="239">
        <f>+'Plan de culture 105'!$I$31</f>
        <v>0</v>
      </c>
      <c r="N44" s="240">
        <f>+'Plan de culture 105'!$I$31</f>
        <v>0</v>
      </c>
    </row>
    <row r="45" spans="1:14" x14ac:dyDescent="0.35">
      <c r="A45" s="309" t="s">
        <v>470</v>
      </c>
      <c r="B45" s="297">
        <v>0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0</v>
      </c>
      <c r="N45" s="279" t="e">
        <f>+N43/N44</f>
        <v>#DIV/0!</v>
      </c>
    </row>
    <row r="46" spans="1:14" x14ac:dyDescent="0.35">
      <c r="A46" s="308" t="s">
        <v>372</v>
      </c>
      <c r="B46" s="236">
        <f>B48*B47</f>
        <v>0</v>
      </c>
      <c r="C46" s="236">
        <f t="shared" ref="C46:M46" si="20">C48*C47</f>
        <v>0</v>
      </c>
      <c r="D46" s="236">
        <f t="shared" si="20"/>
        <v>0</v>
      </c>
      <c r="E46" s="236">
        <f t="shared" si="20"/>
        <v>0</v>
      </c>
      <c r="F46" s="236">
        <f t="shared" si="20"/>
        <v>0</v>
      </c>
      <c r="G46" s="236">
        <f t="shared" si="20"/>
        <v>0</v>
      </c>
      <c r="H46" s="236">
        <f t="shared" si="20"/>
        <v>0</v>
      </c>
      <c r="I46" s="236">
        <f t="shared" si="20"/>
        <v>0</v>
      </c>
      <c r="J46" s="236">
        <f t="shared" si="20"/>
        <v>0</v>
      </c>
      <c r="K46" s="236">
        <f t="shared" si="20"/>
        <v>0</v>
      </c>
      <c r="L46" s="236">
        <f t="shared" si="20"/>
        <v>0</v>
      </c>
      <c r="M46" s="236">
        <f t="shared" si="20"/>
        <v>0</v>
      </c>
      <c r="N46" s="237">
        <f>SUM(B46:M46)</f>
        <v>0</v>
      </c>
    </row>
    <row r="47" spans="1:14" x14ac:dyDescent="0.35">
      <c r="A47" s="309" t="s">
        <v>87</v>
      </c>
      <c r="B47" s="239">
        <f>+'Plan de culture 105'!$I$37</f>
        <v>0</v>
      </c>
      <c r="C47" s="239">
        <f>+'Plan de culture 105'!$I$37</f>
        <v>0</v>
      </c>
      <c r="D47" s="239">
        <f>+'Plan de culture 105'!$I$37</f>
        <v>0</v>
      </c>
      <c r="E47" s="239">
        <f>+'Plan de culture 105'!$I$37</f>
        <v>0</v>
      </c>
      <c r="F47" s="239">
        <f>+'Plan de culture 105'!$I$37</f>
        <v>0</v>
      </c>
      <c r="G47" s="239">
        <f>+'Plan de culture 105'!$I$37</f>
        <v>0</v>
      </c>
      <c r="H47" s="239">
        <f>+'Plan de culture 105'!$I$37</f>
        <v>0</v>
      </c>
      <c r="I47" s="239">
        <f>+'Plan de culture 105'!$I$37</f>
        <v>0</v>
      </c>
      <c r="J47" s="239">
        <f>+'Plan de culture 105'!$I$37</f>
        <v>0</v>
      </c>
      <c r="K47" s="239">
        <f>+'Plan de culture 105'!$I$37</f>
        <v>0</v>
      </c>
      <c r="L47" s="239">
        <f>+'Plan de culture 105'!$I$37</f>
        <v>0</v>
      </c>
      <c r="M47" s="239">
        <f>+'Plan de culture 105'!$I$37</f>
        <v>0</v>
      </c>
      <c r="N47" s="240">
        <f>+'Plan de culture 105'!$I$37</f>
        <v>0</v>
      </c>
    </row>
    <row r="48" spans="1:14" ht="12" thickBot="1" x14ac:dyDescent="0.4">
      <c r="A48" s="310" t="s">
        <v>470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79" t="e">
        <f>+N46/N47</f>
        <v>#DIV/0!</v>
      </c>
    </row>
    <row r="49" spans="1:14" x14ac:dyDescent="0.35">
      <c r="A49" s="315" t="s">
        <v>475</v>
      </c>
      <c r="B49" s="316">
        <f>+B52+B55+B58+B61+B64+B67</f>
        <v>0</v>
      </c>
      <c r="C49" s="316">
        <f t="shared" ref="C49:M50" si="21">+C52+C55+C58+C61+C64+C67</f>
        <v>0</v>
      </c>
      <c r="D49" s="316">
        <f t="shared" si="21"/>
        <v>0</v>
      </c>
      <c r="E49" s="316">
        <f t="shared" si="21"/>
        <v>8362.5</v>
      </c>
      <c r="F49" s="316">
        <f t="shared" si="21"/>
        <v>5575</v>
      </c>
      <c r="G49" s="316">
        <f t="shared" si="21"/>
        <v>2787.5</v>
      </c>
      <c r="H49" s="316">
        <f t="shared" si="21"/>
        <v>2787.5</v>
      </c>
      <c r="I49" s="316">
        <f t="shared" si="21"/>
        <v>5575</v>
      </c>
      <c r="J49" s="316">
        <f t="shared" si="21"/>
        <v>8362.5</v>
      </c>
      <c r="K49" s="316">
        <f t="shared" si="21"/>
        <v>8362.5</v>
      </c>
      <c r="L49" s="316">
        <f t="shared" si="21"/>
        <v>5575</v>
      </c>
      <c r="M49" s="316">
        <f t="shared" si="21"/>
        <v>2787.5</v>
      </c>
      <c r="N49" s="317">
        <f>SUM(B49:M49)</f>
        <v>50175</v>
      </c>
    </row>
    <row r="50" spans="1:14" x14ac:dyDescent="0.35">
      <c r="A50" s="318" t="s">
        <v>87</v>
      </c>
      <c r="B50" s="319">
        <f>+B53+B56+B59+B62+B65+B68</f>
        <v>5.5750000000000002</v>
      </c>
      <c r="C50" s="319">
        <f t="shared" si="21"/>
        <v>5.5750000000000002</v>
      </c>
      <c r="D50" s="319">
        <f t="shared" si="21"/>
        <v>5.5750000000000002</v>
      </c>
      <c r="E50" s="319">
        <f t="shared" si="21"/>
        <v>5.5750000000000002</v>
      </c>
      <c r="F50" s="319">
        <f t="shared" si="21"/>
        <v>5.5750000000000002</v>
      </c>
      <c r="G50" s="319">
        <f t="shared" si="21"/>
        <v>5.5750000000000002</v>
      </c>
      <c r="H50" s="319">
        <f t="shared" si="21"/>
        <v>5.5750000000000002</v>
      </c>
      <c r="I50" s="319">
        <f t="shared" si="21"/>
        <v>5.5750000000000002</v>
      </c>
      <c r="J50" s="319">
        <f t="shared" si="21"/>
        <v>5.5750000000000002</v>
      </c>
      <c r="K50" s="319">
        <f t="shared" si="21"/>
        <v>5.5750000000000002</v>
      </c>
      <c r="L50" s="319">
        <f t="shared" si="21"/>
        <v>5.5750000000000002</v>
      </c>
      <c r="M50" s="319">
        <f t="shared" si="21"/>
        <v>5.5750000000000002</v>
      </c>
      <c r="N50" s="320">
        <f>+'Plan de culture 106'!$C$3</f>
        <v>5.5750000000000002</v>
      </c>
    </row>
    <row r="51" spans="1:14" ht="12" thickBot="1" x14ac:dyDescent="0.4">
      <c r="A51" s="321" t="s">
        <v>470</v>
      </c>
      <c r="B51" s="323">
        <f>+(B49/1000)/B50</f>
        <v>0</v>
      </c>
      <c r="C51" s="323">
        <f t="shared" ref="C51:N51" si="22">+(C49/1000)/C50</f>
        <v>0</v>
      </c>
      <c r="D51" s="323">
        <f t="shared" si="22"/>
        <v>0</v>
      </c>
      <c r="E51" s="323">
        <f t="shared" si="22"/>
        <v>1.5</v>
      </c>
      <c r="F51" s="323">
        <f t="shared" si="22"/>
        <v>1</v>
      </c>
      <c r="G51" s="323">
        <f t="shared" si="22"/>
        <v>0.5</v>
      </c>
      <c r="H51" s="323">
        <f t="shared" si="22"/>
        <v>0.5</v>
      </c>
      <c r="I51" s="323">
        <f t="shared" si="22"/>
        <v>1</v>
      </c>
      <c r="J51" s="323">
        <f t="shared" si="22"/>
        <v>1.5</v>
      </c>
      <c r="K51" s="323">
        <f t="shared" si="22"/>
        <v>1.5</v>
      </c>
      <c r="L51" s="323">
        <f t="shared" si="22"/>
        <v>1</v>
      </c>
      <c r="M51" s="323">
        <f t="shared" si="22"/>
        <v>0.5</v>
      </c>
      <c r="N51" s="322">
        <f t="shared" si="22"/>
        <v>9</v>
      </c>
    </row>
    <row r="52" spans="1:14" x14ac:dyDescent="0.35">
      <c r="A52" s="308" t="s">
        <v>86</v>
      </c>
      <c r="B52" s="296">
        <f>B54*B53</f>
        <v>0</v>
      </c>
      <c r="C52" s="296">
        <f t="shared" ref="C52:M52" si="23">C54*C53</f>
        <v>0</v>
      </c>
      <c r="D52" s="296">
        <f t="shared" si="23"/>
        <v>0</v>
      </c>
      <c r="E52" s="296">
        <f t="shared" si="23"/>
        <v>0</v>
      </c>
      <c r="F52" s="296">
        <f t="shared" si="23"/>
        <v>0</v>
      </c>
      <c r="G52" s="296">
        <f t="shared" si="23"/>
        <v>0</v>
      </c>
      <c r="H52" s="296">
        <f t="shared" si="23"/>
        <v>0</v>
      </c>
      <c r="I52" s="296">
        <f t="shared" si="23"/>
        <v>0</v>
      </c>
      <c r="J52" s="296">
        <f t="shared" si="23"/>
        <v>0</v>
      </c>
      <c r="K52" s="296">
        <f t="shared" si="23"/>
        <v>0</v>
      </c>
      <c r="L52" s="296">
        <f t="shared" si="23"/>
        <v>0</v>
      </c>
      <c r="M52" s="296">
        <f t="shared" si="23"/>
        <v>0</v>
      </c>
      <c r="N52" s="280">
        <f>SUM(B52:M52)</f>
        <v>0</v>
      </c>
    </row>
    <row r="53" spans="1:14" x14ac:dyDescent="0.35">
      <c r="A53" s="309" t="s">
        <v>87</v>
      </c>
      <c r="B53" s="239">
        <f>+'Plan de culture 106'!$J$7</f>
        <v>0</v>
      </c>
      <c r="C53" s="239">
        <f>+'Plan de culture 106'!$J$7</f>
        <v>0</v>
      </c>
      <c r="D53" s="239">
        <f>+'Plan de culture 106'!$J$7</f>
        <v>0</v>
      </c>
      <c r="E53" s="239">
        <f>+'Plan de culture 106'!$J$7</f>
        <v>0</v>
      </c>
      <c r="F53" s="239">
        <f>+'Plan de culture 106'!$J$7</f>
        <v>0</v>
      </c>
      <c r="G53" s="239">
        <f>+'Plan de culture 106'!$J$7</f>
        <v>0</v>
      </c>
      <c r="H53" s="239">
        <f>+'Plan de culture 106'!$J$7</f>
        <v>0</v>
      </c>
      <c r="I53" s="239">
        <f>+'Plan de culture 106'!$J$7</f>
        <v>0</v>
      </c>
      <c r="J53" s="239">
        <f>+'Plan de culture 106'!$J$7</f>
        <v>0</v>
      </c>
      <c r="K53" s="239">
        <f>+'Plan de culture 106'!$J$7</f>
        <v>0</v>
      </c>
      <c r="L53" s="239">
        <f>+'Plan de culture 106'!$J$7</f>
        <v>0</v>
      </c>
      <c r="M53" s="239">
        <f>+'Plan de culture 106'!$J$7</f>
        <v>0</v>
      </c>
      <c r="N53" s="240">
        <f>+'Plan de culture 106'!$J$7</f>
        <v>0</v>
      </c>
    </row>
    <row r="54" spans="1:14" x14ac:dyDescent="0.35">
      <c r="A54" s="309" t="s">
        <v>470</v>
      </c>
      <c r="B54" s="297">
        <v>0</v>
      </c>
      <c r="C54" s="297">
        <v>0</v>
      </c>
      <c r="D54" s="297">
        <v>0</v>
      </c>
      <c r="E54" s="297">
        <v>0</v>
      </c>
      <c r="F54" s="297">
        <v>0</v>
      </c>
      <c r="G54" s="297">
        <v>0</v>
      </c>
      <c r="H54" s="297">
        <v>0</v>
      </c>
      <c r="I54" s="297">
        <v>0</v>
      </c>
      <c r="J54" s="297">
        <v>0</v>
      </c>
      <c r="K54" s="297">
        <v>0</v>
      </c>
      <c r="L54" s="297">
        <v>0</v>
      </c>
      <c r="M54" s="297">
        <v>0</v>
      </c>
      <c r="N54" s="279" t="e">
        <f>+N52/N53</f>
        <v>#DIV/0!</v>
      </c>
    </row>
    <row r="55" spans="1:14" x14ac:dyDescent="0.35">
      <c r="A55" s="308" t="s">
        <v>88</v>
      </c>
      <c r="B55" s="236">
        <f>B57*B56</f>
        <v>0</v>
      </c>
      <c r="C55" s="236">
        <f t="shared" ref="C55:M55" si="24">C57*C56</f>
        <v>0</v>
      </c>
      <c r="D55" s="236">
        <f t="shared" si="24"/>
        <v>0</v>
      </c>
      <c r="E55" s="236">
        <f t="shared" si="24"/>
        <v>0</v>
      </c>
      <c r="F55" s="236">
        <f t="shared" si="24"/>
        <v>0</v>
      </c>
      <c r="G55" s="236">
        <f t="shared" si="24"/>
        <v>0</v>
      </c>
      <c r="H55" s="236">
        <f t="shared" si="24"/>
        <v>0</v>
      </c>
      <c r="I55" s="236">
        <f t="shared" si="24"/>
        <v>0</v>
      </c>
      <c r="J55" s="236">
        <f t="shared" si="24"/>
        <v>0</v>
      </c>
      <c r="K55" s="236">
        <f t="shared" si="24"/>
        <v>0</v>
      </c>
      <c r="L55" s="236">
        <f t="shared" si="24"/>
        <v>0</v>
      </c>
      <c r="M55" s="236">
        <f t="shared" si="24"/>
        <v>0</v>
      </c>
      <c r="N55" s="237">
        <f>SUM(B55:M55)</f>
        <v>0</v>
      </c>
    </row>
    <row r="56" spans="1:14" x14ac:dyDescent="0.35">
      <c r="A56" s="309" t="s">
        <v>87</v>
      </c>
      <c r="B56" s="239">
        <f>+'Plan de culture 106'!$J$13</f>
        <v>0</v>
      </c>
      <c r="C56" s="239">
        <f>+'Plan de culture 106'!$J$13</f>
        <v>0</v>
      </c>
      <c r="D56" s="239">
        <f>+'Plan de culture 106'!$J$13</f>
        <v>0</v>
      </c>
      <c r="E56" s="239">
        <f>+'Plan de culture 106'!$J$13</f>
        <v>0</v>
      </c>
      <c r="F56" s="239">
        <f>+'Plan de culture 106'!$J$13</f>
        <v>0</v>
      </c>
      <c r="G56" s="239">
        <f>+'Plan de culture 106'!$J$13</f>
        <v>0</v>
      </c>
      <c r="H56" s="239">
        <f>+'Plan de culture 106'!$J$13</f>
        <v>0</v>
      </c>
      <c r="I56" s="239">
        <f>+'Plan de culture 106'!$J$13</f>
        <v>0</v>
      </c>
      <c r="J56" s="239">
        <f>+'Plan de culture 106'!$J$13</f>
        <v>0</v>
      </c>
      <c r="K56" s="239">
        <f>+'Plan de culture 106'!$J$13</f>
        <v>0</v>
      </c>
      <c r="L56" s="239">
        <f>+'Plan de culture 106'!$J$13</f>
        <v>0</v>
      </c>
      <c r="M56" s="239">
        <f>+'Plan de culture 106'!$J$13</f>
        <v>0</v>
      </c>
      <c r="N56" s="240">
        <f>+'Plan de culture 106'!$J$13</f>
        <v>0</v>
      </c>
    </row>
    <row r="57" spans="1:14" x14ac:dyDescent="0.35">
      <c r="A57" s="309" t="s">
        <v>470</v>
      </c>
      <c r="B57" s="297">
        <v>0</v>
      </c>
      <c r="C57" s="297">
        <v>0</v>
      </c>
      <c r="D57" s="297">
        <v>0</v>
      </c>
      <c r="E57" s="297">
        <v>0</v>
      </c>
      <c r="F57" s="297">
        <v>0</v>
      </c>
      <c r="G57" s="297">
        <v>0</v>
      </c>
      <c r="H57" s="297">
        <v>0</v>
      </c>
      <c r="I57" s="297">
        <v>0</v>
      </c>
      <c r="J57" s="297">
        <v>0</v>
      </c>
      <c r="K57" s="297">
        <v>0</v>
      </c>
      <c r="L57" s="297">
        <v>0</v>
      </c>
      <c r="M57" s="297">
        <v>0</v>
      </c>
      <c r="N57" s="279" t="e">
        <f>+N55/N56</f>
        <v>#DIV/0!</v>
      </c>
    </row>
    <row r="58" spans="1:14" x14ac:dyDescent="0.35">
      <c r="A58" s="308" t="s">
        <v>370</v>
      </c>
      <c r="B58" s="236">
        <f>B60*B59</f>
        <v>0</v>
      </c>
      <c r="C58" s="236">
        <f t="shared" ref="C58:M58" si="25">C60*C59</f>
        <v>0</v>
      </c>
      <c r="D58" s="236">
        <f t="shared" si="25"/>
        <v>0</v>
      </c>
      <c r="E58" s="236">
        <f t="shared" si="25"/>
        <v>8362.5</v>
      </c>
      <c r="F58" s="236">
        <f t="shared" si="25"/>
        <v>5575</v>
      </c>
      <c r="G58" s="236">
        <f t="shared" si="25"/>
        <v>2787.5</v>
      </c>
      <c r="H58" s="236">
        <f t="shared" si="25"/>
        <v>2787.5</v>
      </c>
      <c r="I58" s="236">
        <f t="shared" si="25"/>
        <v>5575</v>
      </c>
      <c r="J58" s="236">
        <f t="shared" si="25"/>
        <v>8362.5</v>
      </c>
      <c r="K58" s="236">
        <f t="shared" si="25"/>
        <v>8362.5</v>
      </c>
      <c r="L58" s="236">
        <f t="shared" si="25"/>
        <v>5575</v>
      </c>
      <c r="M58" s="236">
        <f t="shared" si="25"/>
        <v>2787.5</v>
      </c>
      <c r="N58" s="237">
        <f>SUM(B58:M58)</f>
        <v>50175</v>
      </c>
    </row>
    <row r="59" spans="1:14" x14ac:dyDescent="0.35">
      <c r="A59" s="309" t="s">
        <v>87</v>
      </c>
      <c r="B59" s="239">
        <f>+'Plan de culture 106'!$J$19</f>
        <v>5.5750000000000002</v>
      </c>
      <c r="C59" s="239">
        <f>+'Plan de culture 106'!$J$19</f>
        <v>5.5750000000000002</v>
      </c>
      <c r="D59" s="239">
        <f>+'Plan de culture 106'!$J$19</f>
        <v>5.5750000000000002</v>
      </c>
      <c r="E59" s="239">
        <f>+'Plan de culture 106'!$J$19</f>
        <v>5.5750000000000002</v>
      </c>
      <c r="F59" s="239">
        <f>+'Plan de culture 106'!$J$19</f>
        <v>5.5750000000000002</v>
      </c>
      <c r="G59" s="239">
        <f>+'Plan de culture 106'!$J$19</f>
        <v>5.5750000000000002</v>
      </c>
      <c r="H59" s="239">
        <f>+'Plan de culture 106'!$J$19</f>
        <v>5.5750000000000002</v>
      </c>
      <c r="I59" s="239">
        <f>+'Plan de culture 106'!$J$19</f>
        <v>5.5750000000000002</v>
      </c>
      <c r="J59" s="239">
        <f>+'Plan de culture 106'!$J$19</f>
        <v>5.5750000000000002</v>
      </c>
      <c r="K59" s="239">
        <f>+'Plan de culture 106'!$J$19</f>
        <v>5.5750000000000002</v>
      </c>
      <c r="L59" s="239">
        <f>+'Plan de culture 106'!$J$19</f>
        <v>5.5750000000000002</v>
      </c>
      <c r="M59" s="239">
        <f>+'Plan de culture 106'!$J$19</f>
        <v>5.5750000000000002</v>
      </c>
      <c r="N59" s="240">
        <f>+'Plan de culture 106'!$J$19</f>
        <v>5.5750000000000002</v>
      </c>
    </row>
    <row r="60" spans="1:14" x14ac:dyDescent="0.35">
      <c r="A60" s="309" t="s">
        <v>470</v>
      </c>
      <c r="B60" s="297">
        <v>0</v>
      </c>
      <c r="C60" s="297">
        <v>0</v>
      </c>
      <c r="D60" s="297">
        <v>0</v>
      </c>
      <c r="E60" s="298">
        <v>1500</v>
      </c>
      <c r="F60" s="298">
        <v>1000</v>
      </c>
      <c r="G60" s="298">
        <v>500</v>
      </c>
      <c r="H60" s="298">
        <v>500</v>
      </c>
      <c r="I60" s="298">
        <v>1000</v>
      </c>
      <c r="J60" s="298">
        <v>1500</v>
      </c>
      <c r="K60" s="298">
        <v>1500</v>
      </c>
      <c r="L60" s="298">
        <v>1000</v>
      </c>
      <c r="M60" s="298">
        <v>500</v>
      </c>
      <c r="N60" s="279">
        <f>+N58/N59</f>
        <v>9000</v>
      </c>
    </row>
    <row r="61" spans="1:14" x14ac:dyDescent="0.35">
      <c r="A61" s="308" t="s">
        <v>89</v>
      </c>
      <c r="B61" s="236">
        <f>B63*B62</f>
        <v>0</v>
      </c>
      <c r="C61" s="236">
        <f t="shared" ref="C61:M61" si="26">C63*C62</f>
        <v>0</v>
      </c>
      <c r="D61" s="236">
        <f t="shared" si="26"/>
        <v>0</v>
      </c>
      <c r="E61" s="236">
        <f t="shared" si="26"/>
        <v>0</v>
      </c>
      <c r="F61" s="236">
        <f t="shared" si="26"/>
        <v>0</v>
      </c>
      <c r="G61" s="236">
        <f t="shared" si="26"/>
        <v>0</v>
      </c>
      <c r="H61" s="236">
        <f t="shared" si="26"/>
        <v>0</v>
      </c>
      <c r="I61" s="236">
        <f t="shared" si="26"/>
        <v>0</v>
      </c>
      <c r="J61" s="236">
        <f t="shared" si="26"/>
        <v>0</v>
      </c>
      <c r="K61" s="236">
        <f t="shared" si="26"/>
        <v>0</v>
      </c>
      <c r="L61" s="236">
        <f t="shared" si="26"/>
        <v>0</v>
      </c>
      <c r="M61" s="236">
        <f t="shared" si="26"/>
        <v>0</v>
      </c>
      <c r="N61" s="237">
        <f>SUM(B61:M61)</f>
        <v>0</v>
      </c>
    </row>
    <row r="62" spans="1:14" x14ac:dyDescent="0.35">
      <c r="A62" s="309" t="s">
        <v>87</v>
      </c>
      <c r="B62" s="239">
        <f>+'Plan de culture 106'!$J$25</f>
        <v>0</v>
      </c>
      <c r="C62" s="239">
        <f>+'Plan de culture 106'!$J$25</f>
        <v>0</v>
      </c>
      <c r="D62" s="239">
        <f>+'Plan de culture 106'!$J$25</f>
        <v>0</v>
      </c>
      <c r="E62" s="239">
        <f>+'Plan de culture 106'!$J$25</f>
        <v>0</v>
      </c>
      <c r="F62" s="239">
        <f>+'Plan de culture 106'!$J$25</f>
        <v>0</v>
      </c>
      <c r="G62" s="239">
        <f>+'Plan de culture 106'!$J$25</f>
        <v>0</v>
      </c>
      <c r="H62" s="239">
        <f>+'Plan de culture 106'!$J$25</f>
        <v>0</v>
      </c>
      <c r="I62" s="239">
        <f>+'Plan de culture 106'!$J$25</f>
        <v>0</v>
      </c>
      <c r="J62" s="239">
        <f>+'Plan de culture 106'!$J$25</f>
        <v>0</v>
      </c>
      <c r="K62" s="239">
        <f>+'Plan de culture 106'!$J$25</f>
        <v>0</v>
      </c>
      <c r="L62" s="239">
        <f>+'Plan de culture 106'!$J$25</f>
        <v>0</v>
      </c>
      <c r="M62" s="239">
        <f>+'Plan de culture 106'!$J$25</f>
        <v>0</v>
      </c>
      <c r="N62" s="240">
        <f>+'Plan de culture 106'!$J$25</f>
        <v>0</v>
      </c>
    </row>
    <row r="63" spans="1:14" x14ac:dyDescent="0.35">
      <c r="A63" s="309" t="s">
        <v>470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79" t="e">
        <f>+N61/N62</f>
        <v>#DIV/0!</v>
      </c>
    </row>
    <row r="64" spans="1:14" x14ac:dyDescent="0.35">
      <c r="A64" s="308" t="s">
        <v>371</v>
      </c>
      <c r="B64" s="236">
        <f>B66*B65</f>
        <v>0</v>
      </c>
      <c r="C64" s="236">
        <f t="shared" ref="C64:M64" si="27">C66*C65</f>
        <v>0</v>
      </c>
      <c r="D64" s="236">
        <f t="shared" si="27"/>
        <v>0</v>
      </c>
      <c r="E64" s="236">
        <f t="shared" si="27"/>
        <v>0</v>
      </c>
      <c r="F64" s="236">
        <f t="shared" si="27"/>
        <v>0</v>
      </c>
      <c r="G64" s="236">
        <f t="shared" si="27"/>
        <v>0</v>
      </c>
      <c r="H64" s="236">
        <f t="shared" si="27"/>
        <v>0</v>
      </c>
      <c r="I64" s="236">
        <f t="shared" si="27"/>
        <v>0</v>
      </c>
      <c r="J64" s="236">
        <f t="shared" si="27"/>
        <v>0</v>
      </c>
      <c r="K64" s="236">
        <f t="shared" si="27"/>
        <v>0</v>
      </c>
      <c r="L64" s="236">
        <f t="shared" si="27"/>
        <v>0</v>
      </c>
      <c r="M64" s="236">
        <f t="shared" si="27"/>
        <v>0</v>
      </c>
      <c r="N64" s="237">
        <f>SUM(B64:M64)</f>
        <v>0</v>
      </c>
    </row>
    <row r="65" spans="1:14" x14ac:dyDescent="0.35">
      <c r="A65" s="309" t="s">
        <v>87</v>
      </c>
      <c r="B65" s="239">
        <f>+'Plan de culture 106'!$J$31</f>
        <v>0</v>
      </c>
      <c r="C65" s="239">
        <f>+'Plan de culture 106'!$J$31</f>
        <v>0</v>
      </c>
      <c r="D65" s="239">
        <f>+'Plan de culture 106'!$J$31</f>
        <v>0</v>
      </c>
      <c r="E65" s="239">
        <f>+'Plan de culture 106'!$J$31</f>
        <v>0</v>
      </c>
      <c r="F65" s="239">
        <f>+'Plan de culture 106'!$J$31</f>
        <v>0</v>
      </c>
      <c r="G65" s="239">
        <f>+'Plan de culture 106'!$J$31</f>
        <v>0</v>
      </c>
      <c r="H65" s="239">
        <f>+'Plan de culture 106'!$J$31</f>
        <v>0</v>
      </c>
      <c r="I65" s="239">
        <f>+'Plan de culture 106'!$J$31</f>
        <v>0</v>
      </c>
      <c r="J65" s="239">
        <f>+'Plan de culture 106'!$J$31</f>
        <v>0</v>
      </c>
      <c r="K65" s="239">
        <f>+'Plan de culture 106'!$J$31</f>
        <v>0</v>
      </c>
      <c r="L65" s="239">
        <f>+'Plan de culture 106'!$J$31</f>
        <v>0</v>
      </c>
      <c r="M65" s="239">
        <f>+'Plan de culture 106'!$J$31</f>
        <v>0</v>
      </c>
      <c r="N65" s="240">
        <f>+'Plan de culture 106'!$J$31</f>
        <v>0</v>
      </c>
    </row>
    <row r="66" spans="1:14" x14ac:dyDescent="0.35">
      <c r="A66" s="309" t="s">
        <v>470</v>
      </c>
      <c r="B66" s="297">
        <v>0</v>
      </c>
      <c r="C66" s="297">
        <v>0</v>
      </c>
      <c r="D66" s="297">
        <v>0</v>
      </c>
      <c r="E66" s="297">
        <v>0</v>
      </c>
      <c r="F66" s="297">
        <v>0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0</v>
      </c>
      <c r="M66" s="297">
        <v>0</v>
      </c>
      <c r="N66" s="279" t="e">
        <f>+N64/N65</f>
        <v>#DIV/0!</v>
      </c>
    </row>
    <row r="67" spans="1:14" x14ac:dyDescent="0.35">
      <c r="A67" s="308" t="s">
        <v>372</v>
      </c>
      <c r="B67" s="236">
        <f>B69*B68</f>
        <v>0</v>
      </c>
      <c r="C67" s="236">
        <f t="shared" ref="C67:M67" si="28">C69*C68</f>
        <v>0</v>
      </c>
      <c r="D67" s="236">
        <f t="shared" si="28"/>
        <v>0</v>
      </c>
      <c r="E67" s="236">
        <f t="shared" si="28"/>
        <v>0</v>
      </c>
      <c r="F67" s="236">
        <f t="shared" si="28"/>
        <v>0</v>
      </c>
      <c r="G67" s="236">
        <f t="shared" si="28"/>
        <v>0</v>
      </c>
      <c r="H67" s="236">
        <f t="shared" si="28"/>
        <v>0</v>
      </c>
      <c r="I67" s="236">
        <f t="shared" si="28"/>
        <v>0</v>
      </c>
      <c r="J67" s="236">
        <f t="shared" si="28"/>
        <v>0</v>
      </c>
      <c r="K67" s="236">
        <f t="shared" si="28"/>
        <v>0</v>
      </c>
      <c r="L67" s="236">
        <f t="shared" si="28"/>
        <v>0</v>
      </c>
      <c r="M67" s="236">
        <f t="shared" si="28"/>
        <v>0</v>
      </c>
      <c r="N67" s="237">
        <f>SUM(B67:M67)</f>
        <v>0</v>
      </c>
    </row>
    <row r="68" spans="1:14" x14ac:dyDescent="0.35">
      <c r="A68" s="309" t="s">
        <v>87</v>
      </c>
      <c r="B68" s="239">
        <f>+'Plan de culture 106'!$J$37</f>
        <v>0</v>
      </c>
      <c r="C68" s="239">
        <f>+'Plan de culture 106'!$J$37</f>
        <v>0</v>
      </c>
      <c r="D68" s="239">
        <f>+'Plan de culture 106'!$J$37</f>
        <v>0</v>
      </c>
      <c r="E68" s="239">
        <f>+'Plan de culture 106'!$J$37</f>
        <v>0</v>
      </c>
      <c r="F68" s="239">
        <f>+'Plan de culture 106'!$J$37</f>
        <v>0</v>
      </c>
      <c r="G68" s="239">
        <f>+'Plan de culture 106'!$J$37</f>
        <v>0</v>
      </c>
      <c r="H68" s="239">
        <f>+'Plan de culture 106'!$J$37</f>
        <v>0</v>
      </c>
      <c r="I68" s="239">
        <f>+'Plan de culture 106'!$J$37</f>
        <v>0</v>
      </c>
      <c r="J68" s="239">
        <f>+'Plan de culture 106'!$J$37</f>
        <v>0</v>
      </c>
      <c r="K68" s="239">
        <f>+'Plan de culture 106'!$J$37</f>
        <v>0</v>
      </c>
      <c r="L68" s="239">
        <f>+'Plan de culture 106'!$J$37</f>
        <v>0</v>
      </c>
      <c r="M68" s="239">
        <f>+'Plan de culture 106'!$J$37</f>
        <v>0</v>
      </c>
      <c r="N68" s="240">
        <f>+'Plan de culture 106'!$J$37</f>
        <v>0</v>
      </c>
    </row>
    <row r="69" spans="1:14" ht="12" thickBot="1" x14ac:dyDescent="0.4">
      <c r="A69" s="310" t="s">
        <v>470</v>
      </c>
      <c r="B69" s="297">
        <v>0</v>
      </c>
      <c r="C69" s="297">
        <v>0</v>
      </c>
      <c r="D69" s="297">
        <v>0</v>
      </c>
      <c r="E69" s="297">
        <v>0</v>
      </c>
      <c r="F69" s="297">
        <v>0</v>
      </c>
      <c r="G69" s="297">
        <v>0</v>
      </c>
      <c r="H69" s="297">
        <v>0</v>
      </c>
      <c r="I69" s="297">
        <v>0</v>
      </c>
      <c r="J69" s="297">
        <v>0</v>
      </c>
      <c r="K69" s="297">
        <v>0</v>
      </c>
      <c r="L69" s="297">
        <v>0</v>
      </c>
      <c r="M69" s="297">
        <v>0</v>
      </c>
      <c r="N69" s="279" t="e">
        <f>+N67/N68</f>
        <v>#DIV/0!</v>
      </c>
    </row>
    <row r="70" spans="1:14" x14ac:dyDescent="0.35">
      <c r="A70" s="315" t="s">
        <v>474</v>
      </c>
      <c r="B70" s="316">
        <f>+B73+B76+B79+B82+B85+B88</f>
        <v>0</v>
      </c>
      <c r="C70" s="316">
        <f t="shared" ref="C70:M71" si="29">+C73+C76+C79+C82+C85+C88</f>
        <v>0</v>
      </c>
      <c r="D70" s="316">
        <f>+D73+D76+D79+D82+D85+D88</f>
        <v>0</v>
      </c>
      <c r="E70" s="316">
        <f t="shared" si="29"/>
        <v>66232</v>
      </c>
      <c r="F70" s="316">
        <f t="shared" si="29"/>
        <v>66232</v>
      </c>
      <c r="G70" s="316">
        <f t="shared" si="29"/>
        <v>49674</v>
      </c>
      <c r="H70" s="316">
        <f t="shared" si="29"/>
        <v>49674</v>
      </c>
      <c r="I70" s="316">
        <f t="shared" si="29"/>
        <v>49674</v>
      </c>
      <c r="J70" s="316">
        <f t="shared" si="29"/>
        <v>49674</v>
      </c>
      <c r="K70" s="316">
        <f t="shared" si="29"/>
        <v>49674</v>
      </c>
      <c r="L70" s="316">
        <f t="shared" si="29"/>
        <v>49674</v>
      </c>
      <c r="M70" s="316">
        <f t="shared" si="29"/>
        <v>33116</v>
      </c>
      <c r="N70" s="317">
        <f>SUM(B70:M70)</f>
        <v>463624</v>
      </c>
    </row>
    <row r="71" spans="1:14" x14ac:dyDescent="0.35">
      <c r="A71" s="318" t="s">
        <v>87</v>
      </c>
      <c r="B71" s="319">
        <f>+B74+B77+B80+B83+B86+B89</f>
        <v>16.558</v>
      </c>
      <c r="C71" s="319">
        <f t="shared" si="29"/>
        <v>16.558</v>
      </c>
      <c r="D71" s="319">
        <f t="shared" si="29"/>
        <v>16.558</v>
      </c>
      <c r="E71" s="319">
        <f t="shared" si="29"/>
        <v>16.558</v>
      </c>
      <c r="F71" s="319">
        <f t="shared" si="29"/>
        <v>16.558</v>
      </c>
      <c r="G71" s="319">
        <f t="shared" si="29"/>
        <v>16.558</v>
      </c>
      <c r="H71" s="319">
        <f t="shared" si="29"/>
        <v>16.558</v>
      </c>
      <c r="I71" s="319">
        <f t="shared" si="29"/>
        <v>16.558</v>
      </c>
      <c r="J71" s="319">
        <f t="shared" si="29"/>
        <v>16.558</v>
      </c>
      <c r="K71" s="319">
        <f t="shared" si="29"/>
        <v>16.558</v>
      </c>
      <c r="L71" s="319">
        <f t="shared" si="29"/>
        <v>16.558</v>
      </c>
      <c r="M71" s="319">
        <f t="shared" si="29"/>
        <v>16.558</v>
      </c>
      <c r="N71" s="320">
        <f>+'Plan de culture 107'!$C$3</f>
        <v>16.558</v>
      </c>
    </row>
    <row r="72" spans="1:14" ht="12" thickBot="1" x14ac:dyDescent="0.4">
      <c r="A72" s="321" t="s">
        <v>470</v>
      </c>
      <c r="B72" s="323">
        <f>+(B70/1000)/B71</f>
        <v>0</v>
      </c>
      <c r="C72" s="323">
        <f t="shared" ref="C72:N72" si="30">+(C70/1000)/C71</f>
        <v>0</v>
      </c>
      <c r="D72" s="323">
        <f t="shared" si="30"/>
        <v>0</v>
      </c>
      <c r="E72" s="323">
        <f t="shared" si="30"/>
        <v>4</v>
      </c>
      <c r="F72" s="323">
        <f t="shared" si="30"/>
        <v>4</v>
      </c>
      <c r="G72" s="323">
        <f t="shared" si="30"/>
        <v>3</v>
      </c>
      <c r="H72" s="323">
        <f t="shared" si="30"/>
        <v>3</v>
      </c>
      <c r="I72" s="323">
        <f t="shared" si="30"/>
        <v>3</v>
      </c>
      <c r="J72" s="323">
        <f t="shared" si="30"/>
        <v>3</v>
      </c>
      <c r="K72" s="323">
        <f t="shared" si="30"/>
        <v>3</v>
      </c>
      <c r="L72" s="323">
        <f t="shared" si="30"/>
        <v>3</v>
      </c>
      <c r="M72" s="323">
        <f t="shared" si="30"/>
        <v>2</v>
      </c>
      <c r="N72" s="322">
        <f t="shared" si="30"/>
        <v>28</v>
      </c>
    </row>
    <row r="73" spans="1:14" x14ac:dyDescent="0.35">
      <c r="A73" s="308" t="s">
        <v>86</v>
      </c>
      <c r="B73" s="296">
        <f>B75*B74</f>
        <v>0</v>
      </c>
      <c r="C73" s="296">
        <f t="shared" ref="C73:M73" si="31">C75*C74</f>
        <v>0</v>
      </c>
      <c r="D73" s="296">
        <f t="shared" si="31"/>
        <v>0</v>
      </c>
      <c r="E73" s="296">
        <f t="shared" si="31"/>
        <v>0</v>
      </c>
      <c r="F73" s="296">
        <f t="shared" si="31"/>
        <v>0</v>
      </c>
      <c r="G73" s="296">
        <f t="shared" si="31"/>
        <v>0</v>
      </c>
      <c r="H73" s="296">
        <f t="shared" si="31"/>
        <v>0</v>
      </c>
      <c r="I73" s="296">
        <f t="shared" si="31"/>
        <v>0</v>
      </c>
      <c r="J73" s="296">
        <f t="shared" si="31"/>
        <v>0</v>
      </c>
      <c r="K73" s="296">
        <f t="shared" si="31"/>
        <v>0</v>
      </c>
      <c r="L73" s="296">
        <f t="shared" si="31"/>
        <v>0</v>
      </c>
      <c r="M73" s="296">
        <f t="shared" si="31"/>
        <v>0</v>
      </c>
      <c r="N73" s="280">
        <f>SUM(B73:M73)</f>
        <v>0</v>
      </c>
    </row>
    <row r="74" spans="1:14" x14ac:dyDescent="0.35">
      <c r="A74" s="309" t="s">
        <v>87</v>
      </c>
      <c r="B74" s="239">
        <f>+'Plan de culture 107'!$Z$7</f>
        <v>0</v>
      </c>
      <c r="C74" s="239">
        <f>+'Plan de culture 107'!$Z$7</f>
        <v>0</v>
      </c>
      <c r="D74" s="239">
        <f>+'Plan de culture 107'!$Z$7</f>
        <v>0</v>
      </c>
      <c r="E74" s="239">
        <f>+'Plan de culture 107'!$Z$7</f>
        <v>0</v>
      </c>
      <c r="F74" s="239">
        <f>+'Plan de culture 107'!$Z$7</f>
        <v>0</v>
      </c>
      <c r="G74" s="239">
        <f>+'Plan de culture 107'!$Z$7</f>
        <v>0</v>
      </c>
      <c r="H74" s="239">
        <f>+'Plan de culture 107'!$Z$7</f>
        <v>0</v>
      </c>
      <c r="I74" s="239">
        <f>+'Plan de culture 107'!$Z$7</f>
        <v>0</v>
      </c>
      <c r="J74" s="239">
        <f>+'Plan de culture 107'!$Z$7</f>
        <v>0</v>
      </c>
      <c r="K74" s="239">
        <f>+'Plan de culture 107'!$Z$7</f>
        <v>0</v>
      </c>
      <c r="L74" s="239">
        <f>+'Plan de culture 107'!$Z$7</f>
        <v>0</v>
      </c>
      <c r="M74" s="239">
        <f>+'Plan de culture 107'!$Z$7</f>
        <v>0</v>
      </c>
      <c r="N74" s="240">
        <f>+'Plan de culture 107'!$Z$7</f>
        <v>0</v>
      </c>
    </row>
    <row r="75" spans="1:14" x14ac:dyDescent="0.35">
      <c r="A75" s="309" t="s">
        <v>470</v>
      </c>
      <c r="B75" s="297">
        <v>0</v>
      </c>
      <c r="C75" s="297">
        <v>0</v>
      </c>
      <c r="D75" s="297">
        <v>0</v>
      </c>
      <c r="E75" s="297">
        <v>0</v>
      </c>
      <c r="F75" s="297">
        <v>0</v>
      </c>
      <c r="G75" s="297">
        <v>0</v>
      </c>
      <c r="H75" s="297">
        <v>0</v>
      </c>
      <c r="I75" s="297">
        <v>0</v>
      </c>
      <c r="J75" s="297">
        <v>0</v>
      </c>
      <c r="K75" s="297">
        <v>0</v>
      </c>
      <c r="L75" s="297">
        <v>0</v>
      </c>
      <c r="M75" s="297">
        <v>0</v>
      </c>
      <c r="N75" s="279" t="e">
        <f>+N73/N74</f>
        <v>#DIV/0!</v>
      </c>
    </row>
    <row r="76" spans="1:14" x14ac:dyDescent="0.35">
      <c r="A76" s="308" t="s">
        <v>88</v>
      </c>
      <c r="B76" s="236">
        <f>B78*B77</f>
        <v>0</v>
      </c>
      <c r="C76" s="236">
        <f t="shared" ref="C76:M76" si="32">C78*C77</f>
        <v>0</v>
      </c>
      <c r="D76" s="236">
        <f t="shared" si="32"/>
        <v>0</v>
      </c>
      <c r="E76" s="236">
        <f t="shared" si="32"/>
        <v>0</v>
      </c>
      <c r="F76" s="236">
        <f t="shared" si="32"/>
        <v>0</v>
      </c>
      <c r="G76" s="236">
        <f t="shared" si="32"/>
        <v>0</v>
      </c>
      <c r="H76" s="236">
        <f t="shared" si="32"/>
        <v>0</v>
      </c>
      <c r="I76" s="236">
        <f t="shared" si="32"/>
        <v>0</v>
      </c>
      <c r="J76" s="236">
        <f t="shared" si="32"/>
        <v>0</v>
      </c>
      <c r="K76" s="236">
        <f t="shared" si="32"/>
        <v>0</v>
      </c>
      <c r="L76" s="236">
        <f t="shared" si="32"/>
        <v>0</v>
      </c>
      <c r="M76" s="236">
        <f t="shared" si="32"/>
        <v>0</v>
      </c>
      <c r="N76" s="237">
        <f>SUM(B76:M76)</f>
        <v>0</v>
      </c>
    </row>
    <row r="77" spans="1:14" x14ac:dyDescent="0.35">
      <c r="A77" s="309" t="s">
        <v>87</v>
      </c>
      <c r="B77" s="239">
        <f>+'Plan de culture 107'!$Z$13</f>
        <v>0</v>
      </c>
      <c r="C77" s="239">
        <f>+'Plan de culture 107'!$Z$13</f>
        <v>0</v>
      </c>
      <c r="D77" s="239">
        <f>+'Plan de culture 107'!$Z$13</f>
        <v>0</v>
      </c>
      <c r="E77" s="239">
        <f>+'Plan de culture 107'!$Z$13</f>
        <v>0</v>
      </c>
      <c r="F77" s="239">
        <f>+'Plan de culture 107'!$Z$13</f>
        <v>0</v>
      </c>
      <c r="G77" s="239">
        <f>+'Plan de culture 107'!$Z$13</f>
        <v>0</v>
      </c>
      <c r="H77" s="239">
        <f>+'Plan de culture 107'!$Z$13</f>
        <v>0</v>
      </c>
      <c r="I77" s="239">
        <f>+'Plan de culture 107'!$Z$13</f>
        <v>0</v>
      </c>
      <c r="J77" s="239">
        <f>+'Plan de culture 107'!$Z$13</f>
        <v>0</v>
      </c>
      <c r="K77" s="239">
        <f>+'Plan de culture 107'!$Z$13</f>
        <v>0</v>
      </c>
      <c r="L77" s="239">
        <f>+'Plan de culture 107'!$Z$13</f>
        <v>0</v>
      </c>
      <c r="M77" s="239">
        <f>+'Plan de culture 107'!$Z$13</f>
        <v>0</v>
      </c>
      <c r="N77" s="240">
        <f>+'Plan de culture 107'!$Z$13</f>
        <v>0</v>
      </c>
    </row>
    <row r="78" spans="1:14" x14ac:dyDescent="0.35">
      <c r="A78" s="309" t="s">
        <v>470</v>
      </c>
      <c r="B78" s="297">
        <v>0</v>
      </c>
      <c r="C78" s="297">
        <v>0</v>
      </c>
      <c r="D78" s="297">
        <v>0</v>
      </c>
      <c r="E78" s="297">
        <v>0</v>
      </c>
      <c r="F78" s="297">
        <v>0</v>
      </c>
      <c r="G78" s="297">
        <v>0</v>
      </c>
      <c r="H78" s="297">
        <v>0</v>
      </c>
      <c r="I78" s="297">
        <v>0</v>
      </c>
      <c r="J78" s="297">
        <v>0</v>
      </c>
      <c r="K78" s="297">
        <v>0</v>
      </c>
      <c r="L78" s="297">
        <v>0</v>
      </c>
      <c r="M78" s="297">
        <v>0</v>
      </c>
      <c r="N78" s="279" t="e">
        <f>+N76/N77</f>
        <v>#DIV/0!</v>
      </c>
    </row>
    <row r="79" spans="1:14" x14ac:dyDescent="0.35">
      <c r="A79" s="308" t="s">
        <v>370</v>
      </c>
      <c r="B79" s="236">
        <f>B81*B80</f>
        <v>0</v>
      </c>
      <c r="C79" s="236">
        <f t="shared" ref="C79:M79" si="33">C81*C80</f>
        <v>0</v>
      </c>
      <c r="D79" s="236">
        <f t="shared" si="33"/>
        <v>0</v>
      </c>
      <c r="E79" s="236">
        <f t="shared" si="33"/>
        <v>0</v>
      </c>
      <c r="F79" s="236">
        <f t="shared" si="33"/>
        <v>0</v>
      </c>
      <c r="G79" s="236">
        <f t="shared" si="33"/>
        <v>0</v>
      </c>
      <c r="H79" s="236">
        <f t="shared" si="33"/>
        <v>0</v>
      </c>
      <c r="I79" s="236">
        <f t="shared" si="33"/>
        <v>0</v>
      </c>
      <c r="J79" s="236">
        <f t="shared" si="33"/>
        <v>0</v>
      </c>
      <c r="K79" s="236">
        <f t="shared" si="33"/>
        <v>0</v>
      </c>
      <c r="L79" s="236">
        <f t="shared" si="33"/>
        <v>0</v>
      </c>
      <c r="M79" s="236">
        <f t="shared" si="33"/>
        <v>0</v>
      </c>
      <c r="N79" s="237">
        <f>SUM(B79:M79)</f>
        <v>0</v>
      </c>
    </row>
    <row r="80" spans="1:14" x14ac:dyDescent="0.35">
      <c r="A80" s="309" t="s">
        <v>87</v>
      </c>
      <c r="B80" s="239">
        <f>+'Plan de culture 107'!$Z$19</f>
        <v>0</v>
      </c>
      <c r="C80" s="239">
        <f>+'Plan de culture 107'!$Z$19</f>
        <v>0</v>
      </c>
      <c r="D80" s="239">
        <f>+'Plan de culture 107'!$Z$19</f>
        <v>0</v>
      </c>
      <c r="E80" s="239">
        <f>+'Plan de culture 107'!$Z$19</f>
        <v>0</v>
      </c>
      <c r="F80" s="239">
        <f>+'Plan de culture 107'!$Z$19</f>
        <v>0</v>
      </c>
      <c r="G80" s="239">
        <f>+'Plan de culture 107'!$Z$19</f>
        <v>0</v>
      </c>
      <c r="H80" s="239">
        <f>+'Plan de culture 107'!$Z$19</f>
        <v>0</v>
      </c>
      <c r="I80" s="239">
        <f>+'Plan de culture 107'!$Z$19</f>
        <v>0</v>
      </c>
      <c r="J80" s="239">
        <f>+'Plan de culture 107'!$Z$19</f>
        <v>0</v>
      </c>
      <c r="K80" s="239">
        <f>+'Plan de culture 107'!$Z$19</f>
        <v>0</v>
      </c>
      <c r="L80" s="239">
        <f>+'Plan de culture 107'!$Z$19</f>
        <v>0</v>
      </c>
      <c r="M80" s="239">
        <f>+'Plan de culture 107'!$Z$19</f>
        <v>0</v>
      </c>
      <c r="N80" s="240">
        <f>+'Plan de culture 107'!$Z$19</f>
        <v>0</v>
      </c>
    </row>
    <row r="81" spans="1:14" x14ac:dyDescent="0.35">
      <c r="A81" s="309" t="s">
        <v>470</v>
      </c>
      <c r="B81" s="297">
        <v>0</v>
      </c>
      <c r="C81" s="297">
        <v>0</v>
      </c>
      <c r="D81" s="297">
        <v>0</v>
      </c>
      <c r="E81" s="297">
        <v>0</v>
      </c>
      <c r="F81" s="297">
        <v>0</v>
      </c>
      <c r="G81" s="297">
        <v>0</v>
      </c>
      <c r="H81" s="297">
        <v>0</v>
      </c>
      <c r="I81" s="297">
        <v>0</v>
      </c>
      <c r="J81" s="297">
        <v>0</v>
      </c>
      <c r="K81" s="297">
        <v>0</v>
      </c>
      <c r="L81" s="297">
        <v>0</v>
      </c>
      <c r="M81" s="297">
        <v>0</v>
      </c>
      <c r="N81" s="279" t="e">
        <f>+N79/N80</f>
        <v>#DIV/0!</v>
      </c>
    </row>
    <row r="82" spans="1:14" x14ac:dyDescent="0.35">
      <c r="A82" s="308" t="s">
        <v>89</v>
      </c>
      <c r="B82" s="236">
        <f>B84*B83</f>
        <v>0</v>
      </c>
      <c r="C82" s="236">
        <f t="shared" ref="C82:M82" si="34">C84*C83</f>
        <v>0</v>
      </c>
      <c r="D82" s="236">
        <f t="shared" si="34"/>
        <v>0</v>
      </c>
      <c r="E82" s="236">
        <f t="shared" si="34"/>
        <v>66232</v>
      </c>
      <c r="F82" s="236">
        <f t="shared" si="34"/>
        <v>66232</v>
      </c>
      <c r="G82" s="236">
        <f t="shared" si="34"/>
        <v>49674</v>
      </c>
      <c r="H82" s="236">
        <f t="shared" si="34"/>
        <v>49674</v>
      </c>
      <c r="I82" s="236">
        <f t="shared" si="34"/>
        <v>49674</v>
      </c>
      <c r="J82" s="236">
        <f t="shared" si="34"/>
        <v>49674</v>
      </c>
      <c r="K82" s="236">
        <f t="shared" si="34"/>
        <v>49674</v>
      </c>
      <c r="L82" s="236">
        <f t="shared" si="34"/>
        <v>49674</v>
      </c>
      <c r="M82" s="236">
        <f t="shared" si="34"/>
        <v>33116</v>
      </c>
      <c r="N82" s="237">
        <f>SUM(B82:M82)</f>
        <v>463624</v>
      </c>
    </row>
    <row r="83" spans="1:14" x14ac:dyDescent="0.35">
      <c r="A83" s="309" t="s">
        <v>87</v>
      </c>
      <c r="B83" s="239">
        <f>+'Plan de culture 107'!$Z$25</f>
        <v>16.558</v>
      </c>
      <c r="C83" s="239">
        <f>+'Plan de culture 107'!$Z$25</f>
        <v>16.558</v>
      </c>
      <c r="D83" s="239">
        <f>+'Plan de culture 107'!$Z$25</f>
        <v>16.558</v>
      </c>
      <c r="E83" s="239">
        <f>+'Plan de culture 107'!$Z$25</f>
        <v>16.558</v>
      </c>
      <c r="F83" s="239">
        <f>+'Plan de culture 107'!$Z$25</f>
        <v>16.558</v>
      </c>
      <c r="G83" s="239">
        <f>+'Plan de culture 107'!$Z$25</f>
        <v>16.558</v>
      </c>
      <c r="H83" s="239">
        <f>+'Plan de culture 107'!$Z$25</f>
        <v>16.558</v>
      </c>
      <c r="I83" s="239">
        <f>+'Plan de culture 107'!$Z$25</f>
        <v>16.558</v>
      </c>
      <c r="J83" s="239">
        <f>+'Plan de culture 107'!$Z$25</f>
        <v>16.558</v>
      </c>
      <c r="K83" s="239">
        <f>+'Plan de culture 107'!$Z$25</f>
        <v>16.558</v>
      </c>
      <c r="L83" s="239">
        <f>+'Plan de culture 107'!$Z$25</f>
        <v>16.558</v>
      </c>
      <c r="M83" s="239">
        <f>+'Plan de culture 107'!$Z$25</f>
        <v>16.558</v>
      </c>
      <c r="N83" s="240">
        <f>+'Plan de culture 107'!$Z$25</f>
        <v>16.558</v>
      </c>
    </row>
    <row r="84" spans="1:14" x14ac:dyDescent="0.35">
      <c r="A84" s="309" t="s">
        <v>470</v>
      </c>
      <c r="B84" s="297">
        <v>0</v>
      </c>
      <c r="C84" s="297">
        <v>0</v>
      </c>
      <c r="D84" s="297">
        <v>0</v>
      </c>
      <c r="E84" s="298">
        <v>4000</v>
      </c>
      <c r="F84" s="298">
        <v>4000</v>
      </c>
      <c r="G84" s="298">
        <v>3000</v>
      </c>
      <c r="H84" s="298">
        <v>3000</v>
      </c>
      <c r="I84" s="298">
        <v>3000</v>
      </c>
      <c r="J84" s="298">
        <v>3000</v>
      </c>
      <c r="K84" s="298">
        <v>3000</v>
      </c>
      <c r="L84" s="298">
        <v>3000</v>
      </c>
      <c r="M84" s="298">
        <v>2000</v>
      </c>
      <c r="N84" s="279">
        <f>+N82/N83</f>
        <v>28000</v>
      </c>
    </row>
    <row r="85" spans="1:14" x14ac:dyDescent="0.35">
      <c r="A85" s="308" t="s">
        <v>371</v>
      </c>
      <c r="B85" s="236">
        <f>B87*B86</f>
        <v>0</v>
      </c>
      <c r="C85" s="236">
        <f t="shared" ref="C85:M85" si="35">C87*C86</f>
        <v>0</v>
      </c>
      <c r="D85" s="236">
        <f t="shared" si="35"/>
        <v>0</v>
      </c>
      <c r="E85" s="236">
        <f t="shared" si="35"/>
        <v>0</v>
      </c>
      <c r="F85" s="236">
        <f t="shared" si="35"/>
        <v>0</v>
      </c>
      <c r="G85" s="236">
        <f t="shared" si="35"/>
        <v>0</v>
      </c>
      <c r="H85" s="236">
        <f t="shared" si="35"/>
        <v>0</v>
      </c>
      <c r="I85" s="236">
        <f t="shared" si="35"/>
        <v>0</v>
      </c>
      <c r="J85" s="236">
        <f t="shared" si="35"/>
        <v>0</v>
      </c>
      <c r="K85" s="236">
        <f t="shared" si="35"/>
        <v>0</v>
      </c>
      <c r="L85" s="236">
        <f t="shared" si="35"/>
        <v>0</v>
      </c>
      <c r="M85" s="236">
        <f t="shared" si="35"/>
        <v>0</v>
      </c>
      <c r="N85" s="237">
        <f>SUM(B85:M85)</f>
        <v>0</v>
      </c>
    </row>
    <row r="86" spans="1:14" x14ac:dyDescent="0.35">
      <c r="A86" s="309" t="s">
        <v>87</v>
      </c>
      <c r="B86" s="239">
        <f>+'Plan de culture 107'!$Z$31</f>
        <v>0</v>
      </c>
      <c r="C86" s="239">
        <f>+'Plan de culture 107'!$Z$31</f>
        <v>0</v>
      </c>
      <c r="D86" s="239">
        <f>+'Plan de culture 107'!$Z$31</f>
        <v>0</v>
      </c>
      <c r="E86" s="239">
        <f>+'Plan de culture 107'!$Z$31</f>
        <v>0</v>
      </c>
      <c r="F86" s="239">
        <f>+'Plan de culture 107'!$Z$31</f>
        <v>0</v>
      </c>
      <c r="G86" s="239">
        <f>+'Plan de culture 107'!$Z$31</f>
        <v>0</v>
      </c>
      <c r="H86" s="239">
        <f>+'Plan de culture 107'!$Z$31</f>
        <v>0</v>
      </c>
      <c r="I86" s="239">
        <f>+'Plan de culture 107'!$Z$31</f>
        <v>0</v>
      </c>
      <c r="J86" s="239">
        <f>+'Plan de culture 107'!$Z$31</f>
        <v>0</v>
      </c>
      <c r="K86" s="239">
        <f>+'Plan de culture 107'!$Z$31</f>
        <v>0</v>
      </c>
      <c r="L86" s="239">
        <f>+'Plan de culture 107'!$Z$31</f>
        <v>0</v>
      </c>
      <c r="M86" s="239">
        <f>+'Plan de culture 107'!$Z$31</f>
        <v>0</v>
      </c>
      <c r="N86" s="240">
        <f>+'Plan de culture 107'!$Z$31</f>
        <v>0</v>
      </c>
    </row>
    <row r="87" spans="1:14" x14ac:dyDescent="0.35">
      <c r="A87" s="309" t="s">
        <v>470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79" t="e">
        <f>+N85/N86</f>
        <v>#DIV/0!</v>
      </c>
    </row>
    <row r="88" spans="1:14" x14ac:dyDescent="0.35">
      <c r="A88" s="308" t="s">
        <v>372</v>
      </c>
      <c r="B88" s="236">
        <f>B90*B89</f>
        <v>0</v>
      </c>
      <c r="C88" s="236">
        <f t="shared" ref="C88:M88" si="36">C90*C89</f>
        <v>0</v>
      </c>
      <c r="D88" s="236">
        <f t="shared" si="36"/>
        <v>0</v>
      </c>
      <c r="E88" s="236">
        <f t="shared" si="36"/>
        <v>0</v>
      </c>
      <c r="F88" s="236">
        <f t="shared" si="36"/>
        <v>0</v>
      </c>
      <c r="G88" s="236">
        <f t="shared" si="36"/>
        <v>0</v>
      </c>
      <c r="H88" s="236">
        <f t="shared" si="36"/>
        <v>0</v>
      </c>
      <c r="I88" s="236">
        <f t="shared" si="36"/>
        <v>0</v>
      </c>
      <c r="J88" s="236">
        <f t="shared" si="36"/>
        <v>0</v>
      </c>
      <c r="K88" s="236">
        <f t="shared" si="36"/>
        <v>0</v>
      </c>
      <c r="L88" s="236">
        <f t="shared" si="36"/>
        <v>0</v>
      </c>
      <c r="M88" s="236">
        <f t="shared" si="36"/>
        <v>0</v>
      </c>
      <c r="N88" s="237">
        <f>SUM(B88:M88)</f>
        <v>0</v>
      </c>
    </row>
    <row r="89" spans="1:14" x14ac:dyDescent="0.35">
      <c r="A89" s="309" t="s">
        <v>87</v>
      </c>
      <c r="B89" s="239">
        <f>+'Plan de culture 107'!$Z$37</f>
        <v>0</v>
      </c>
      <c r="C89" s="239">
        <f>+'Plan de culture 107'!$Z$37</f>
        <v>0</v>
      </c>
      <c r="D89" s="239">
        <f>+'Plan de culture 107'!$Z$37</f>
        <v>0</v>
      </c>
      <c r="E89" s="239">
        <f>+'Plan de culture 107'!$Z$37</f>
        <v>0</v>
      </c>
      <c r="F89" s="239">
        <f>+'Plan de culture 107'!$Z$37</f>
        <v>0</v>
      </c>
      <c r="G89" s="239">
        <f>+'Plan de culture 107'!$Z$37</f>
        <v>0</v>
      </c>
      <c r="H89" s="239">
        <f>+'Plan de culture 107'!$Z$37</f>
        <v>0</v>
      </c>
      <c r="I89" s="239">
        <f>+'Plan de culture 107'!$Z$37</f>
        <v>0</v>
      </c>
      <c r="J89" s="239">
        <f>+'Plan de culture 107'!$Z$37</f>
        <v>0</v>
      </c>
      <c r="K89" s="239">
        <f>+'Plan de culture 107'!$Z$37</f>
        <v>0</v>
      </c>
      <c r="L89" s="239">
        <f>+'Plan de culture 107'!$Z$37</f>
        <v>0</v>
      </c>
      <c r="M89" s="239">
        <f>+'Plan de culture 107'!$Z$37</f>
        <v>0</v>
      </c>
      <c r="N89" s="240">
        <f>+'Plan de culture 107'!$Z$37</f>
        <v>0</v>
      </c>
    </row>
    <row r="90" spans="1:14" ht="12" thickBot="1" x14ac:dyDescent="0.4">
      <c r="A90" s="310" t="s">
        <v>470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79" t="e">
        <f>+N88/N89</f>
        <v>#DIV/0!</v>
      </c>
    </row>
    <row r="91" spans="1:14" x14ac:dyDescent="0.35">
      <c r="A91" s="315" t="s">
        <v>473</v>
      </c>
      <c r="B91" s="316">
        <f>+B94+B97+B100+B103+B106+B109</f>
        <v>0</v>
      </c>
      <c r="C91" s="316">
        <f t="shared" ref="C91:M92" si="37">+C94+C97+C100+C103+C106+C109</f>
        <v>0</v>
      </c>
      <c r="D91" s="316">
        <f t="shared" si="37"/>
        <v>0</v>
      </c>
      <c r="E91" s="316">
        <f t="shared" si="37"/>
        <v>52180</v>
      </c>
      <c r="F91" s="316">
        <f t="shared" si="37"/>
        <v>52180</v>
      </c>
      <c r="G91" s="316">
        <f t="shared" si="37"/>
        <v>39135</v>
      </c>
      <c r="H91" s="316">
        <f t="shared" si="37"/>
        <v>39135</v>
      </c>
      <c r="I91" s="316">
        <f t="shared" si="37"/>
        <v>52180</v>
      </c>
      <c r="J91" s="316">
        <f t="shared" si="37"/>
        <v>39135</v>
      </c>
      <c r="K91" s="316">
        <f t="shared" si="37"/>
        <v>39135</v>
      </c>
      <c r="L91" s="316">
        <f t="shared" si="37"/>
        <v>26090</v>
      </c>
      <c r="M91" s="316">
        <f t="shared" si="37"/>
        <v>13045</v>
      </c>
      <c r="N91" s="317">
        <f>SUM(B91:M91)</f>
        <v>352215</v>
      </c>
    </row>
    <row r="92" spans="1:14" x14ac:dyDescent="0.35">
      <c r="A92" s="318" t="s">
        <v>87</v>
      </c>
      <c r="B92" s="319">
        <f>+B95+B98+B101+B104+B107+B110</f>
        <v>26.09</v>
      </c>
      <c r="C92" s="319">
        <f t="shared" si="37"/>
        <v>26.09</v>
      </c>
      <c r="D92" s="319">
        <f t="shared" si="37"/>
        <v>26.09</v>
      </c>
      <c r="E92" s="319">
        <f t="shared" si="37"/>
        <v>26.09</v>
      </c>
      <c r="F92" s="319">
        <f t="shared" si="37"/>
        <v>26.09</v>
      </c>
      <c r="G92" s="319">
        <f t="shared" si="37"/>
        <v>26.09</v>
      </c>
      <c r="H92" s="319">
        <f t="shared" si="37"/>
        <v>26.09</v>
      </c>
      <c r="I92" s="319">
        <f t="shared" si="37"/>
        <v>26.09</v>
      </c>
      <c r="J92" s="319">
        <f t="shared" si="37"/>
        <v>26.09</v>
      </c>
      <c r="K92" s="319">
        <f t="shared" si="37"/>
        <v>26.09</v>
      </c>
      <c r="L92" s="319">
        <f t="shared" si="37"/>
        <v>26.09</v>
      </c>
      <c r="M92" s="319">
        <f t="shared" si="37"/>
        <v>26.09</v>
      </c>
      <c r="N92" s="320">
        <f>+'Plan de culture 114'!$C$3</f>
        <v>26.09</v>
      </c>
    </row>
    <row r="93" spans="1:14" ht="12" thickBot="1" x14ac:dyDescent="0.4">
      <c r="A93" s="321" t="s">
        <v>470</v>
      </c>
      <c r="B93" s="323">
        <f>+(B91/1000)/B92</f>
        <v>0</v>
      </c>
      <c r="C93" s="323">
        <f t="shared" ref="C93:N93" si="38">+(C91/1000)/C92</f>
        <v>0</v>
      </c>
      <c r="D93" s="323">
        <f t="shared" si="38"/>
        <v>0</v>
      </c>
      <c r="E93" s="323">
        <f t="shared" si="38"/>
        <v>2</v>
      </c>
      <c r="F93" s="323">
        <f t="shared" si="38"/>
        <v>2</v>
      </c>
      <c r="G93" s="323">
        <f t="shared" si="38"/>
        <v>1.5</v>
      </c>
      <c r="H93" s="323">
        <f t="shared" si="38"/>
        <v>1.5</v>
      </c>
      <c r="I93" s="323">
        <f t="shared" si="38"/>
        <v>2</v>
      </c>
      <c r="J93" s="323">
        <f t="shared" si="38"/>
        <v>1.5</v>
      </c>
      <c r="K93" s="323">
        <f t="shared" si="38"/>
        <v>1.5</v>
      </c>
      <c r="L93" s="323">
        <f t="shared" si="38"/>
        <v>1</v>
      </c>
      <c r="M93" s="323">
        <f t="shared" si="38"/>
        <v>0.5</v>
      </c>
      <c r="N93" s="322">
        <f t="shared" si="38"/>
        <v>13.5</v>
      </c>
    </row>
    <row r="94" spans="1:14" x14ac:dyDescent="0.35">
      <c r="A94" s="308" t="s">
        <v>86</v>
      </c>
      <c r="B94" s="296">
        <f>B96*B95</f>
        <v>0</v>
      </c>
      <c r="C94" s="296">
        <f t="shared" ref="C94:M94" si="39">C96*C95</f>
        <v>0</v>
      </c>
      <c r="D94" s="296">
        <f t="shared" si="39"/>
        <v>0</v>
      </c>
      <c r="E94" s="296">
        <f t="shared" si="39"/>
        <v>0</v>
      </c>
      <c r="F94" s="296">
        <f t="shared" si="39"/>
        <v>0</v>
      </c>
      <c r="G94" s="296">
        <f t="shared" si="39"/>
        <v>0</v>
      </c>
      <c r="H94" s="296">
        <f t="shared" si="39"/>
        <v>0</v>
      </c>
      <c r="I94" s="296">
        <f t="shared" si="39"/>
        <v>0</v>
      </c>
      <c r="J94" s="296">
        <f t="shared" si="39"/>
        <v>0</v>
      </c>
      <c r="K94" s="296">
        <f t="shared" si="39"/>
        <v>0</v>
      </c>
      <c r="L94" s="296">
        <f t="shared" si="39"/>
        <v>0</v>
      </c>
      <c r="M94" s="296">
        <f t="shared" si="39"/>
        <v>0</v>
      </c>
      <c r="N94" s="280">
        <f>SUM(B94:M94)</f>
        <v>0</v>
      </c>
    </row>
    <row r="95" spans="1:14" x14ac:dyDescent="0.35">
      <c r="A95" s="309" t="s">
        <v>87</v>
      </c>
      <c r="B95" s="239">
        <f>+'Plan de culture 114'!$AE$7</f>
        <v>0</v>
      </c>
      <c r="C95" s="239">
        <f>+'Plan de culture 114'!$AE$7</f>
        <v>0</v>
      </c>
      <c r="D95" s="239">
        <f>+'Plan de culture 114'!$AE$7</f>
        <v>0</v>
      </c>
      <c r="E95" s="239">
        <f>+'Plan de culture 114'!$AE$7</f>
        <v>0</v>
      </c>
      <c r="F95" s="239">
        <f>+'Plan de culture 114'!$AE$7</f>
        <v>0</v>
      </c>
      <c r="G95" s="239">
        <f>+'Plan de culture 114'!$AE$7</f>
        <v>0</v>
      </c>
      <c r="H95" s="239">
        <f>+'Plan de culture 114'!$AE$7</f>
        <v>0</v>
      </c>
      <c r="I95" s="239">
        <f>+'Plan de culture 114'!$AE$7</f>
        <v>0</v>
      </c>
      <c r="J95" s="239">
        <f>+'Plan de culture 114'!$AE$7</f>
        <v>0</v>
      </c>
      <c r="K95" s="239">
        <f>+'Plan de culture 114'!$AE$7</f>
        <v>0</v>
      </c>
      <c r="L95" s="239">
        <f>+'Plan de culture 114'!$AE$7</f>
        <v>0</v>
      </c>
      <c r="M95" s="239">
        <f>+'Plan de culture 114'!$AE$7</f>
        <v>0</v>
      </c>
      <c r="N95" s="240">
        <f>+'Plan de culture 114'!$AE$7</f>
        <v>0</v>
      </c>
    </row>
    <row r="96" spans="1:14" x14ac:dyDescent="0.35">
      <c r="A96" s="309" t="s">
        <v>470</v>
      </c>
      <c r="B96" s="297">
        <v>0</v>
      </c>
      <c r="C96" s="297">
        <v>0</v>
      </c>
      <c r="D96" s="297">
        <v>0</v>
      </c>
      <c r="E96" s="297">
        <v>0</v>
      </c>
      <c r="F96" s="297">
        <v>0</v>
      </c>
      <c r="G96" s="297">
        <v>0</v>
      </c>
      <c r="H96" s="297">
        <v>0</v>
      </c>
      <c r="I96" s="297">
        <v>0</v>
      </c>
      <c r="J96" s="297">
        <v>0</v>
      </c>
      <c r="K96" s="297">
        <v>0</v>
      </c>
      <c r="L96" s="297">
        <v>0</v>
      </c>
      <c r="M96" s="297">
        <v>0</v>
      </c>
      <c r="N96" s="279" t="e">
        <f>+N94/N95</f>
        <v>#DIV/0!</v>
      </c>
    </row>
    <row r="97" spans="1:26" x14ac:dyDescent="0.35">
      <c r="A97" s="308" t="s">
        <v>88</v>
      </c>
      <c r="B97" s="236">
        <f>B99*B98</f>
        <v>0</v>
      </c>
      <c r="C97" s="236">
        <f t="shared" ref="C97:M97" si="40">C99*C98</f>
        <v>0</v>
      </c>
      <c r="D97" s="236">
        <f t="shared" si="40"/>
        <v>0</v>
      </c>
      <c r="E97" s="236">
        <f t="shared" si="40"/>
        <v>52180</v>
      </c>
      <c r="F97" s="236">
        <f t="shared" si="40"/>
        <v>52180</v>
      </c>
      <c r="G97" s="236">
        <f t="shared" si="40"/>
        <v>39135</v>
      </c>
      <c r="H97" s="236">
        <f t="shared" si="40"/>
        <v>39135</v>
      </c>
      <c r="I97" s="236">
        <f t="shared" si="40"/>
        <v>52180</v>
      </c>
      <c r="J97" s="236">
        <f t="shared" si="40"/>
        <v>39135</v>
      </c>
      <c r="K97" s="236">
        <f t="shared" si="40"/>
        <v>39135</v>
      </c>
      <c r="L97" s="236">
        <f t="shared" si="40"/>
        <v>26090</v>
      </c>
      <c r="M97" s="236">
        <f t="shared" si="40"/>
        <v>13045</v>
      </c>
      <c r="N97" s="237">
        <f>SUM(B97:M97)</f>
        <v>352215</v>
      </c>
    </row>
    <row r="98" spans="1:26" x14ac:dyDescent="0.35">
      <c r="A98" s="309" t="s">
        <v>87</v>
      </c>
      <c r="B98" s="239">
        <f>+'Plan de culture 114'!$AE$13</f>
        <v>26.09</v>
      </c>
      <c r="C98" s="239">
        <f>+'Plan de culture 114'!$AE$13</f>
        <v>26.09</v>
      </c>
      <c r="D98" s="239">
        <f>+'Plan de culture 114'!$AE$13</f>
        <v>26.09</v>
      </c>
      <c r="E98" s="239">
        <f>+'Plan de culture 114'!$AE$13</f>
        <v>26.09</v>
      </c>
      <c r="F98" s="239">
        <f>+'Plan de culture 114'!$AE$13</f>
        <v>26.09</v>
      </c>
      <c r="G98" s="239">
        <f>+'Plan de culture 114'!$AE$13</f>
        <v>26.09</v>
      </c>
      <c r="H98" s="239">
        <f>+'Plan de culture 114'!$AE$13</f>
        <v>26.09</v>
      </c>
      <c r="I98" s="239">
        <f>+'Plan de culture 114'!$AE$13</f>
        <v>26.09</v>
      </c>
      <c r="J98" s="239">
        <f>+'Plan de culture 114'!$AE$13</f>
        <v>26.09</v>
      </c>
      <c r="K98" s="239">
        <f>+'Plan de culture 114'!$AE$13</f>
        <v>26.09</v>
      </c>
      <c r="L98" s="239">
        <f>+'Plan de culture 114'!$AE$13</f>
        <v>26.09</v>
      </c>
      <c r="M98" s="239">
        <f>+'Plan de culture 114'!$AE$13</f>
        <v>26.09</v>
      </c>
      <c r="N98" s="240">
        <f>+'Plan de culture 114'!$AE$13</f>
        <v>26.09</v>
      </c>
    </row>
    <row r="99" spans="1:26" x14ac:dyDescent="0.35">
      <c r="A99" s="309" t="s">
        <v>470</v>
      </c>
      <c r="B99" s="297">
        <v>0</v>
      </c>
      <c r="C99" s="297">
        <v>0</v>
      </c>
      <c r="D99" s="297">
        <v>0</v>
      </c>
      <c r="E99" s="298">
        <v>2000</v>
      </c>
      <c r="F99" s="298">
        <v>2000</v>
      </c>
      <c r="G99" s="298">
        <v>1500</v>
      </c>
      <c r="H99" s="298">
        <v>1500</v>
      </c>
      <c r="I99" s="298">
        <v>2000</v>
      </c>
      <c r="J99" s="298">
        <v>1500</v>
      </c>
      <c r="K99" s="298">
        <v>1500</v>
      </c>
      <c r="L99" s="298">
        <v>1000</v>
      </c>
      <c r="M99" s="298">
        <v>500</v>
      </c>
      <c r="N99" s="279">
        <f>+N97/N98</f>
        <v>13500</v>
      </c>
    </row>
    <row r="100" spans="1:26" x14ac:dyDescent="0.35">
      <c r="A100" s="308" t="s">
        <v>370</v>
      </c>
      <c r="B100" s="236">
        <f>B102*B101</f>
        <v>0</v>
      </c>
      <c r="C100" s="236">
        <f t="shared" ref="C100:M100" si="41">C102*C101</f>
        <v>0</v>
      </c>
      <c r="D100" s="236">
        <f t="shared" si="41"/>
        <v>0</v>
      </c>
      <c r="E100" s="236">
        <f t="shared" si="41"/>
        <v>0</v>
      </c>
      <c r="F100" s="236">
        <f t="shared" si="41"/>
        <v>0</v>
      </c>
      <c r="G100" s="236">
        <f t="shared" si="41"/>
        <v>0</v>
      </c>
      <c r="H100" s="236">
        <f t="shared" si="41"/>
        <v>0</v>
      </c>
      <c r="I100" s="236">
        <f t="shared" si="41"/>
        <v>0</v>
      </c>
      <c r="J100" s="236">
        <f t="shared" si="41"/>
        <v>0</v>
      </c>
      <c r="K100" s="236">
        <f t="shared" si="41"/>
        <v>0</v>
      </c>
      <c r="L100" s="236">
        <f t="shared" si="41"/>
        <v>0</v>
      </c>
      <c r="M100" s="236">
        <f t="shared" si="41"/>
        <v>0</v>
      </c>
      <c r="N100" s="237">
        <f>SUM(B100:M100)</f>
        <v>0</v>
      </c>
    </row>
    <row r="101" spans="1:26" x14ac:dyDescent="0.35">
      <c r="A101" s="309" t="s">
        <v>87</v>
      </c>
      <c r="B101" s="239">
        <f>+'Plan de culture 114'!$AE$19</f>
        <v>0</v>
      </c>
      <c r="C101" s="239">
        <f>+'Plan de culture 114'!$AE$19</f>
        <v>0</v>
      </c>
      <c r="D101" s="239">
        <f>+'Plan de culture 114'!$AE$19</f>
        <v>0</v>
      </c>
      <c r="E101" s="239">
        <f>+'Plan de culture 114'!$AE$19</f>
        <v>0</v>
      </c>
      <c r="F101" s="239">
        <f>+'Plan de culture 114'!$AE$19</f>
        <v>0</v>
      </c>
      <c r="G101" s="239">
        <f>+'Plan de culture 114'!$AE$19</f>
        <v>0</v>
      </c>
      <c r="H101" s="239">
        <f>+'Plan de culture 114'!$AE$19</f>
        <v>0</v>
      </c>
      <c r="I101" s="239">
        <f>+'Plan de culture 114'!$AE$19</f>
        <v>0</v>
      </c>
      <c r="J101" s="239">
        <f>+'Plan de culture 114'!$AE$19</f>
        <v>0</v>
      </c>
      <c r="K101" s="239">
        <f>+'Plan de culture 114'!$AE$19</f>
        <v>0</v>
      </c>
      <c r="L101" s="239">
        <f>+'Plan de culture 114'!$AE$19</f>
        <v>0</v>
      </c>
      <c r="M101" s="239">
        <f>+'Plan de culture 114'!$AE$19</f>
        <v>0</v>
      </c>
      <c r="N101" s="240">
        <f>+'Plan de culture 114'!$AE$19</f>
        <v>0</v>
      </c>
    </row>
    <row r="102" spans="1:26" x14ac:dyDescent="0.35">
      <c r="A102" s="309" t="s">
        <v>470</v>
      </c>
      <c r="B102" s="297">
        <v>0</v>
      </c>
      <c r="C102" s="297">
        <v>0</v>
      </c>
      <c r="D102" s="297">
        <v>0</v>
      </c>
      <c r="E102" s="297">
        <v>0</v>
      </c>
      <c r="F102" s="297">
        <v>0</v>
      </c>
      <c r="G102" s="297">
        <v>0</v>
      </c>
      <c r="H102" s="297">
        <v>0</v>
      </c>
      <c r="I102" s="297">
        <v>0</v>
      </c>
      <c r="J102" s="297">
        <v>0</v>
      </c>
      <c r="K102" s="297">
        <v>0</v>
      </c>
      <c r="L102" s="297">
        <v>0</v>
      </c>
      <c r="M102" s="297">
        <v>0</v>
      </c>
      <c r="N102" s="279" t="e">
        <f>+N100/N101</f>
        <v>#DIV/0!</v>
      </c>
    </row>
    <row r="103" spans="1:26" x14ac:dyDescent="0.35">
      <c r="A103" s="308" t="s">
        <v>89</v>
      </c>
      <c r="B103" s="236">
        <f>B105*B104</f>
        <v>0</v>
      </c>
      <c r="C103" s="236">
        <f t="shared" ref="C103:M103" si="42">C105*C104</f>
        <v>0</v>
      </c>
      <c r="D103" s="236">
        <f t="shared" si="42"/>
        <v>0</v>
      </c>
      <c r="E103" s="236">
        <f t="shared" si="42"/>
        <v>0</v>
      </c>
      <c r="F103" s="236">
        <f t="shared" si="42"/>
        <v>0</v>
      </c>
      <c r="G103" s="236">
        <f t="shared" si="42"/>
        <v>0</v>
      </c>
      <c r="H103" s="236">
        <f t="shared" si="42"/>
        <v>0</v>
      </c>
      <c r="I103" s="236">
        <f t="shared" si="42"/>
        <v>0</v>
      </c>
      <c r="J103" s="236">
        <f t="shared" si="42"/>
        <v>0</v>
      </c>
      <c r="K103" s="236">
        <f t="shared" si="42"/>
        <v>0</v>
      </c>
      <c r="L103" s="236">
        <f t="shared" si="42"/>
        <v>0</v>
      </c>
      <c r="M103" s="236">
        <f t="shared" si="42"/>
        <v>0</v>
      </c>
      <c r="N103" s="237">
        <f>SUM(B103:M103)</f>
        <v>0</v>
      </c>
    </row>
    <row r="104" spans="1:26" x14ac:dyDescent="0.35">
      <c r="A104" s="309" t="s">
        <v>87</v>
      </c>
      <c r="B104" s="239">
        <f>+'Plan de culture 114'!$AE$25</f>
        <v>0</v>
      </c>
      <c r="C104" s="239">
        <f>+'Plan de culture 114'!$AE$25</f>
        <v>0</v>
      </c>
      <c r="D104" s="239">
        <f>+'Plan de culture 114'!$AE$25</f>
        <v>0</v>
      </c>
      <c r="E104" s="239">
        <f>+'Plan de culture 114'!$AE$25</f>
        <v>0</v>
      </c>
      <c r="F104" s="239">
        <f>+'Plan de culture 114'!$AE$25</f>
        <v>0</v>
      </c>
      <c r="G104" s="239">
        <f>+'Plan de culture 114'!$AE$25</f>
        <v>0</v>
      </c>
      <c r="H104" s="239">
        <f>+'Plan de culture 114'!$AE$25</f>
        <v>0</v>
      </c>
      <c r="I104" s="239">
        <f>+'Plan de culture 114'!$AE$25</f>
        <v>0</v>
      </c>
      <c r="J104" s="239">
        <f>+'Plan de culture 114'!$AE$25</f>
        <v>0</v>
      </c>
      <c r="K104" s="239">
        <f>+'Plan de culture 114'!$AE$25</f>
        <v>0</v>
      </c>
      <c r="L104" s="239">
        <f>+'Plan de culture 114'!$AE$25</f>
        <v>0</v>
      </c>
      <c r="M104" s="239">
        <f>+'Plan de culture 114'!$AE$25</f>
        <v>0</v>
      </c>
      <c r="N104" s="240">
        <f>+'Plan de culture 114'!$AE$25</f>
        <v>0</v>
      </c>
    </row>
    <row r="105" spans="1:26" x14ac:dyDescent="0.35">
      <c r="A105" s="309" t="s">
        <v>470</v>
      </c>
      <c r="B105" s="297">
        <v>0</v>
      </c>
      <c r="C105" s="297">
        <v>0</v>
      </c>
      <c r="D105" s="297">
        <v>0</v>
      </c>
      <c r="E105" s="297">
        <v>0</v>
      </c>
      <c r="F105" s="297">
        <v>0</v>
      </c>
      <c r="G105" s="297">
        <v>0</v>
      </c>
      <c r="H105" s="297">
        <v>0</v>
      </c>
      <c r="I105" s="297">
        <v>0</v>
      </c>
      <c r="J105" s="297">
        <v>0</v>
      </c>
      <c r="K105" s="297">
        <v>0</v>
      </c>
      <c r="L105" s="297">
        <v>0</v>
      </c>
      <c r="M105" s="297">
        <v>0</v>
      </c>
      <c r="N105" s="279" t="e">
        <f>+N103/N104</f>
        <v>#DIV/0!</v>
      </c>
    </row>
    <row r="106" spans="1:26" x14ac:dyDescent="0.35">
      <c r="A106" s="308" t="s">
        <v>371</v>
      </c>
      <c r="B106" s="236">
        <f>B108*B107</f>
        <v>0</v>
      </c>
      <c r="C106" s="236">
        <f t="shared" ref="C106:M106" si="43">C108*C107</f>
        <v>0</v>
      </c>
      <c r="D106" s="236">
        <f t="shared" si="43"/>
        <v>0</v>
      </c>
      <c r="E106" s="236">
        <f t="shared" si="43"/>
        <v>0</v>
      </c>
      <c r="F106" s="236">
        <f t="shared" si="43"/>
        <v>0</v>
      </c>
      <c r="G106" s="236">
        <f t="shared" si="43"/>
        <v>0</v>
      </c>
      <c r="H106" s="236">
        <f t="shared" si="43"/>
        <v>0</v>
      </c>
      <c r="I106" s="236">
        <f t="shared" si="43"/>
        <v>0</v>
      </c>
      <c r="J106" s="236">
        <f t="shared" si="43"/>
        <v>0</v>
      </c>
      <c r="K106" s="236">
        <f t="shared" si="43"/>
        <v>0</v>
      </c>
      <c r="L106" s="236">
        <f t="shared" si="43"/>
        <v>0</v>
      </c>
      <c r="M106" s="236">
        <f t="shared" si="43"/>
        <v>0</v>
      </c>
      <c r="N106" s="237">
        <f>SUM(B106:M106)</f>
        <v>0</v>
      </c>
    </row>
    <row r="107" spans="1:26" x14ac:dyDescent="0.35">
      <c r="A107" s="309" t="s">
        <v>87</v>
      </c>
      <c r="B107" s="239">
        <f>+'Plan de culture 114'!$AE$31</f>
        <v>0</v>
      </c>
      <c r="C107" s="239">
        <f>+'Plan de culture 114'!$AE$31</f>
        <v>0</v>
      </c>
      <c r="D107" s="239">
        <f>+'Plan de culture 114'!$AE$31</f>
        <v>0</v>
      </c>
      <c r="E107" s="239">
        <f>+'Plan de culture 114'!$AE$31</f>
        <v>0</v>
      </c>
      <c r="F107" s="239">
        <f>+'Plan de culture 114'!$AE$31</f>
        <v>0</v>
      </c>
      <c r="G107" s="239">
        <f>+'Plan de culture 114'!$AE$31</f>
        <v>0</v>
      </c>
      <c r="H107" s="239">
        <f>+'Plan de culture 114'!$AE$31</f>
        <v>0</v>
      </c>
      <c r="I107" s="239">
        <f>+'Plan de culture 114'!$AE$31</f>
        <v>0</v>
      </c>
      <c r="J107" s="239">
        <f>+'Plan de culture 114'!$AE$31</f>
        <v>0</v>
      </c>
      <c r="K107" s="239">
        <f>+'Plan de culture 114'!$AE$31</f>
        <v>0</v>
      </c>
      <c r="L107" s="239">
        <f>+'Plan de culture 114'!$AE$31</f>
        <v>0</v>
      </c>
      <c r="M107" s="239">
        <f>+'Plan de culture 114'!$AE$31</f>
        <v>0</v>
      </c>
      <c r="N107" s="240">
        <f>+'Plan de culture 114'!$AE$31</f>
        <v>0</v>
      </c>
    </row>
    <row r="108" spans="1:26" x14ac:dyDescent="0.35">
      <c r="A108" s="309" t="s">
        <v>470</v>
      </c>
      <c r="B108" s="297">
        <v>0</v>
      </c>
      <c r="C108" s="297">
        <v>0</v>
      </c>
      <c r="D108" s="297">
        <v>0</v>
      </c>
      <c r="E108" s="297">
        <v>0</v>
      </c>
      <c r="F108" s="297">
        <v>0</v>
      </c>
      <c r="G108" s="297">
        <v>0</v>
      </c>
      <c r="H108" s="297">
        <v>0</v>
      </c>
      <c r="I108" s="297">
        <v>0</v>
      </c>
      <c r="J108" s="297">
        <v>0</v>
      </c>
      <c r="K108" s="297">
        <v>0</v>
      </c>
      <c r="L108" s="297">
        <v>0</v>
      </c>
      <c r="M108" s="297">
        <v>0</v>
      </c>
      <c r="N108" s="279" t="e">
        <f>+N106/N107</f>
        <v>#DIV/0!</v>
      </c>
    </row>
    <row r="109" spans="1:26" x14ac:dyDescent="0.35">
      <c r="A109" s="308" t="s">
        <v>372</v>
      </c>
      <c r="B109" s="236">
        <f>B111*B110</f>
        <v>0</v>
      </c>
      <c r="C109" s="236">
        <f t="shared" ref="C109:M109" si="44">C111*C110</f>
        <v>0</v>
      </c>
      <c r="D109" s="236">
        <f t="shared" si="44"/>
        <v>0</v>
      </c>
      <c r="E109" s="236">
        <f t="shared" si="44"/>
        <v>0</v>
      </c>
      <c r="F109" s="236">
        <f t="shared" si="44"/>
        <v>0</v>
      </c>
      <c r="G109" s="236">
        <f t="shared" si="44"/>
        <v>0</v>
      </c>
      <c r="H109" s="236">
        <f t="shared" si="44"/>
        <v>0</v>
      </c>
      <c r="I109" s="236">
        <f t="shared" si="44"/>
        <v>0</v>
      </c>
      <c r="J109" s="236">
        <f t="shared" si="44"/>
        <v>0</v>
      </c>
      <c r="K109" s="236">
        <f t="shared" si="44"/>
        <v>0</v>
      </c>
      <c r="L109" s="236">
        <f t="shared" si="44"/>
        <v>0</v>
      </c>
      <c r="M109" s="236">
        <f t="shared" si="44"/>
        <v>0</v>
      </c>
      <c r="N109" s="237">
        <f>SUM(B109:M109)</f>
        <v>0</v>
      </c>
    </row>
    <row r="110" spans="1:26" x14ac:dyDescent="0.35">
      <c r="A110" s="309" t="s">
        <v>87</v>
      </c>
      <c r="B110" s="239">
        <f>+'Plan de culture 114'!$AE$37</f>
        <v>0</v>
      </c>
      <c r="C110" s="239">
        <f>+'Plan de culture 114'!$AE$37</f>
        <v>0</v>
      </c>
      <c r="D110" s="239">
        <f>+'Plan de culture 114'!$AE$37</f>
        <v>0</v>
      </c>
      <c r="E110" s="239">
        <f>+'Plan de culture 114'!$AE$37</f>
        <v>0</v>
      </c>
      <c r="F110" s="239">
        <f>+'Plan de culture 114'!$AE$37</f>
        <v>0</v>
      </c>
      <c r="G110" s="239">
        <f>+'Plan de culture 114'!$AE$37</f>
        <v>0</v>
      </c>
      <c r="H110" s="239">
        <f>+'Plan de culture 114'!$AE$37</f>
        <v>0</v>
      </c>
      <c r="I110" s="239">
        <f>+'Plan de culture 114'!$AE$37</f>
        <v>0</v>
      </c>
      <c r="J110" s="239">
        <f>+'Plan de culture 114'!$AE$37</f>
        <v>0</v>
      </c>
      <c r="K110" s="239">
        <f>+'Plan de culture 114'!$AE$37</f>
        <v>0</v>
      </c>
      <c r="L110" s="239">
        <f>+'Plan de culture 114'!$AE$37</f>
        <v>0</v>
      </c>
      <c r="M110" s="239">
        <f>+'Plan de culture 114'!$AE$37</f>
        <v>0</v>
      </c>
      <c r="N110" s="240">
        <f>+'Plan de culture 114'!$AE$37</f>
        <v>0</v>
      </c>
    </row>
    <row r="111" spans="1:26" ht="12" thickBot="1" x14ac:dyDescent="0.4">
      <c r="A111" s="310" t="s">
        <v>470</v>
      </c>
      <c r="B111" s="299">
        <v>0</v>
      </c>
      <c r="C111" s="299">
        <v>0</v>
      </c>
      <c r="D111" s="299">
        <v>0</v>
      </c>
      <c r="E111" s="299">
        <v>0</v>
      </c>
      <c r="F111" s="299">
        <v>0</v>
      </c>
      <c r="G111" s="299">
        <v>0</v>
      </c>
      <c r="H111" s="299">
        <v>0</v>
      </c>
      <c r="I111" s="299">
        <v>0</v>
      </c>
      <c r="J111" s="299">
        <v>0</v>
      </c>
      <c r="K111" s="299">
        <v>0</v>
      </c>
      <c r="L111" s="299">
        <v>0</v>
      </c>
      <c r="M111" s="299">
        <v>0</v>
      </c>
      <c r="N111" s="300" t="e">
        <f>+N109/N110</f>
        <v>#DIV/0!</v>
      </c>
    </row>
    <row r="112" spans="1:26" x14ac:dyDescent="0.35"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40"/>
    </row>
    <row r="113" spans="14:26" x14ac:dyDescent="0.35">
      <c r="N113" s="277"/>
      <c r="O113" s="277"/>
      <c r="P113" s="277"/>
      <c r="Q113" s="278"/>
      <c r="R113" s="278"/>
      <c r="S113" s="278"/>
      <c r="T113" s="278"/>
      <c r="U113" s="278"/>
      <c r="V113" s="278"/>
      <c r="W113" s="278"/>
      <c r="X113" s="278"/>
      <c r="Y113" s="278"/>
      <c r="Z113" s="27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N111"/>
  <sheetViews>
    <sheetView topLeftCell="A2" zoomScaleNormal="100" workbookViewId="0">
      <pane xSplit="1" topLeftCell="B1" activePane="topRight" state="frozen"/>
      <selection activeCell="D12" sqref="D12"/>
      <selection pane="topRight" activeCell="D1" sqref="D1"/>
    </sheetView>
  </sheetViews>
  <sheetFormatPr baseColWidth="10" defaultColWidth="11.46484375" defaultRowHeight="11.65" x14ac:dyDescent="0.35"/>
  <cols>
    <col min="1" max="1" width="22.59765625" style="32" customWidth="1"/>
    <col min="2" max="14" width="10.59765625" style="32" customWidth="1"/>
    <col min="15" max="16384" width="11.46484375" style="32"/>
  </cols>
  <sheetData>
    <row r="1" spans="1:14" ht="34.9" x14ac:dyDescent="0.35">
      <c r="A1" s="311" t="s">
        <v>482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255" t="s">
        <v>387</v>
      </c>
      <c r="B4" s="283">
        <f>B7+B28+B49+B70+B91</f>
        <v>0</v>
      </c>
      <c r="C4" s="283">
        <f t="shared" ref="C4:M5" si="1">C7+C28+C49+C70+C91</f>
        <v>0</v>
      </c>
      <c r="D4" s="283">
        <f t="shared" si="1"/>
        <v>0</v>
      </c>
      <c r="E4" s="283">
        <f t="shared" si="1"/>
        <v>11376430</v>
      </c>
      <c r="F4" s="283">
        <f t="shared" si="1"/>
        <v>14056180</v>
      </c>
      <c r="G4" s="283">
        <f t="shared" si="1"/>
        <v>10347010</v>
      </c>
      <c r="H4" s="283">
        <f t="shared" si="1"/>
        <v>10347010</v>
      </c>
      <c r="I4" s="283">
        <f t="shared" si="1"/>
        <v>13393860</v>
      </c>
      <c r="J4" s="283">
        <f t="shared" si="1"/>
        <v>11127510</v>
      </c>
      <c r="K4" s="283">
        <f t="shared" si="1"/>
        <v>11127510</v>
      </c>
      <c r="L4" s="283">
        <f t="shared" si="1"/>
        <v>8080660</v>
      </c>
      <c r="M4" s="283">
        <f t="shared" si="1"/>
        <v>4371490</v>
      </c>
      <c r="N4" s="283">
        <f>N7+N28+N49+N70+N91</f>
        <v>94227660</v>
      </c>
    </row>
    <row r="5" spans="1:14" s="57" customFormat="1" x14ac:dyDescent="0.35">
      <c r="A5" s="255" t="s">
        <v>468</v>
      </c>
      <c r="B5" s="283">
        <f>B8+B29+B50+B71+B92</f>
        <v>0</v>
      </c>
      <c r="C5" s="283">
        <f t="shared" si="1"/>
        <v>0</v>
      </c>
      <c r="D5" s="283">
        <f t="shared" si="1"/>
        <v>0</v>
      </c>
      <c r="E5" s="283">
        <f t="shared" si="1"/>
        <v>1044485</v>
      </c>
      <c r="F5" s="283">
        <f t="shared" si="1"/>
        <v>1323610</v>
      </c>
      <c r="G5" s="283">
        <f t="shared" si="1"/>
        <v>978770</v>
      </c>
      <c r="H5" s="283">
        <f t="shared" si="1"/>
        <v>978770</v>
      </c>
      <c r="I5" s="283">
        <f t="shared" si="1"/>
        <v>1240820</v>
      </c>
      <c r="J5" s="283">
        <f t="shared" si="1"/>
        <v>1034520</v>
      </c>
      <c r="K5" s="283">
        <f t="shared" si="1"/>
        <v>1034520</v>
      </c>
      <c r="L5" s="283">
        <f t="shared" si="1"/>
        <v>772470</v>
      </c>
      <c r="M5" s="283">
        <f t="shared" si="1"/>
        <v>427630</v>
      </c>
      <c r="N5" s="283">
        <f>N8+N29+N50+N71+N92</f>
        <v>8835595</v>
      </c>
    </row>
    <row r="6" spans="1:14" s="57" customFormat="1" ht="12" thickBot="1" x14ac:dyDescent="0.4">
      <c r="A6" s="255" t="s">
        <v>469</v>
      </c>
      <c r="B6" s="284" t="e">
        <f>+B4/B5</f>
        <v>#DIV/0!</v>
      </c>
      <c r="C6" s="284" t="e">
        <f t="shared" ref="C6:N6" si="2">+C4/C5</f>
        <v>#DIV/0!</v>
      </c>
      <c r="D6" s="284" t="e">
        <f t="shared" si="2"/>
        <v>#DIV/0!</v>
      </c>
      <c r="E6" s="284">
        <f t="shared" si="2"/>
        <v>10.891903665442777</v>
      </c>
      <c r="F6" s="284">
        <f t="shared" si="2"/>
        <v>10.619578274567282</v>
      </c>
      <c r="G6" s="284">
        <f t="shared" si="2"/>
        <v>10.571441707449145</v>
      </c>
      <c r="H6" s="284">
        <f t="shared" si="2"/>
        <v>10.571441707449145</v>
      </c>
      <c r="I6" s="284">
        <f t="shared" si="2"/>
        <v>10.79436179300785</v>
      </c>
      <c r="J6" s="284">
        <f t="shared" si="2"/>
        <v>10.756205776592042</v>
      </c>
      <c r="K6" s="284">
        <f t="shared" si="2"/>
        <v>10.756205776592042</v>
      </c>
      <c r="L6" s="284">
        <f t="shared" si="2"/>
        <v>10.46080753945137</v>
      </c>
      <c r="M6" s="284">
        <f t="shared" si="2"/>
        <v>10.222598975750063</v>
      </c>
      <c r="N6" s="284">
        <f t="shared" si="2"/>
        <v>10.664551736470493</v>
      </c>
    </row>
    <row r="7" spans="1:14" s="57" customFormat="1" x14ac:dyDescent="0.35">
      <c r="A7" s="233" t="s">
        <v>373</v>
      </c>
      <c r="B7" s="285">
        <f>+B10+B13+B16+B19+B22+B25</f>
        <v>0</v>
      </c>
      <c r="C7" s="285">
        <f t="shared" ref="C7:M8" si="3">+C10+C13+C16+C19+C22+C25</f>
        <v>0</v>
      </c>
      <c r="D7" s="285">
        <f t="shared" si="3"/>
        <v>0</v>
      </c>
      <c r="E7" s="285">
        <f t="shared" si="3"/>
        <v>0</v>
      </c>
      <c r="F7" s="285">
        <f t="shared" si="3"/>
        <v>3070000.0000000005</v>
      </c>
      <c r="G7" s="285">
        <f t="shared" si="3"/>
        <v>2302500.0000000005</v>
      </c>
      <c r="H7" s="285">
        <f t="shared" si="3"/>
        <v>2302500.0000000005</v>
      </c>
      <c r="I7" s="285">
        <f t="shared" si="3"/>
        <v>3070000.0000000005</v>
      </c>
      <c r="J7" s="285">
        <f t="shared" si="3"/>
        <v>2302500.0000000005</v>
      </c>
      <c r="K7" s="285">
        <f t="shared" si="3"/>
        <v>2302500.0000000005</v>
      </c>
      <c r="L7" s="285">
        <f t="shared" si="3"/>
        <v>1535000.0000000002</v>
      </c>
      <c r="M7" s="285">
        <f t="shared" si="3"/>
        <v>767500.00000000012</v>
      </c>
      <c r="N7" s="286">
        <f>SUM(B7:M7)</f>
        <v>17652500.000000004</v>
      </c>
    </row>
    <row r="8" spans="1:14" s="57" customFormat="1" x14ac:dyDescent="0.35">
      <c r="A8" s="234" t="s">
        <v>468</v>
      </c>
      <c r="B8" s="287">
        <f>+B11+B14+B17+B20+B23+B26</f>
        <v>0</v>
      </c>
      <c r="C8" s="287">
        <f t="shared" si="3"/>
        <v>0</v>
      </c>
      <c r="D8" s="287">
        <f t="shared" si="3"/>
        <v>0</v>
      </c>
      <c r="E8" s="287">
        <f t="shared" si="3"/>
        <v>0</v>
      </c>
      <c r="F8" s="287">
        <f t="shared" si="3"/>
        <v>307000.00000000006</v>
      </c>
      <c r="G8" s="287">
        <f t="shared" si="3"/>
        <v>230250.00000000006</v>
      </c>
      <c r="H8" s="287">
        <f t="shared" si="3"/>
        <v>230250.00000000006</v>
      </c>
      <c r="I8" s="287">
        <f t="shared" si="3"/>
        <v>307000.00000000006</v>
      </c>
      <c r="J8" s="287">
        <f t="shared" si="3"/>
        <v>230250.00000000006</v>
      </c>
      <c r="K8" s="287">
        <f t="shared" si="3"/>
        <v>230250.00000000006</v>
      </c>
      <c r="L8" s="287">
        <f t="shared" si="3"/>
        <v>153500.00000000003</v>
      </c>
      <c r="M8" s="287">
        <f t="shared" si="3"/>
        <v>76750.000000000015</v>
      </c>
      <c r="N8" s="288">
        <f>SUM(B8:M8)</f>
        <v>1765250.0000000002</v>
      </c>
    </row>
    <row r="9" spans="1:14" s="57" customFormat="1" x14ac:dyDescent="0.35">
      <c r="A9" s="234" t="s">
        <v>469</v>
      </c>
      <c r="B9" s="289" t="e">
        <f>+B7/B8</f>
        <v>#DIV/0!</v>
      </c>
      <c r="C9" s="289" t="e">
        <f t="shared" ref="C9:N9" si="4">+C7/C8</f>
        <v>#DIV/0!</v>
      </c>
      <c r="D9" s="289" t="e">
        <f t="shared" si="4"/>
        <v>#DIV/0!</v>
      </c>
      <c r="E9" s="289" t="e">
        <f t="shared" si="4"/>
        <v>#DIV/0!</v>
      </c>
      <c r="F9" s="289">
        <f t="shared" si="4"/>
        <v>10</v>
      </c>
      <c r="G9" s="289">
        <f t="shared" si="4"/>
        <v>10</v>
      </c>
      <c r="H9" s="289">
        <f t="shared" si="4"/>
        <v>10</v>
      </c>
      <c r="I9" s="289">
        <f t="shared" si="4"/>
        <v>10</v>
      </c>
      <c r="J9" s="289">
        <f t="shared" si="4"/>
        <v>10</v>
      </c>
      <c r="K9" s="289">
        <f t="shared" si="4"/>
        <v>10</v>
      </c>
      <c r="L9" s="289">
        <f t="shared" si="4"/>
        <v>10</v>
      </c>
      <c r="M9" s="289">
        <f t="shared" si="4"/>
        <v>10</v>
      </c>
      <c r="N9" s="289">
        <f t="shared" si="4"/>
        <v>10</v>
      </c>
    </row>
    <row r="10" spans="1:14" x14ac:dyDescent="0.35">
      <c r="A10" s="235" t="s">
        <v>90</v>
      </c>
      <c r="B10" s="290">
        <f>B11*B12</f>
        <v>0</v>
      </c>
      <c r="C10" s="290">
        <f t="shared" ref="C10:M10" si="5">C11*C12</f>
        <v>0</v>
      </c>
      <c r="D10" s="290">
        <f t="shared" si="5"/>
        <v>0</v>
      </c>
      <c r="E10" s="290">
        <f t="shared" si="5"/>
        <v>0</v>
      </c>
      <c r="F10" s="290">
        <f t="shared" si="5"/>
        <v>3070000.0000000005</v>
      </c>
      <c r="G10" s="290">
        <f t="shared" si="5"/>
        <v>2302500.0000000005</v>
      </c>
      <c r="H10" s="290">
        <f t="shared" si="5"/>
        <v>2302500.0000000005</v>
      </c>
      <c r="I10" s="290">
        <f t="shared" si="5"/>
        <v>3070000.0000000005</v>
      </c>
      <c r="J10" s="290">
        <f t="shared" si="5"/>
        <v>2302500.0000000005</v>
      </c>
      <c r="K10" s="290">
        <f t="shared" si="5"/>
        <v>2302500.0000000005</v>
      </c>
      <c r="L10" s="290">
        <f t="shared" si="5"/>
        <v>1535000.0000000002</v>
      </c>
      <c r="M10" s="290">
        <f t="shared" si="5"/>
        <v>767500.00000000012</v>
      </c>
      <c r="N10" s="291">
        <f>SUM(B10:M10)</f>
        <v>17652500.000000004</v>
      </c>
    </row>
    <row r="11" spans="1:14" x14ac:dyDescent="0.35">
      <c r="A11" s="238" t="s">
        <v>468</v>
      </c>
      <c r="B11" s="281">
        <f>+'Budget Volumes Export'!B10</f>
        <v>0</v>
      </c>
      <c r="C11" s="281">
        <f>+'Budget Volumes Export'!C10</f>
        <v>0</v>
      </c>
      <c r="D11" s="281">
        <f>+'Budget Volumes Export'!D10</f>
        <v>0</v>
      </c>
      <c r="E11" s="281">
        <f>+'Budget Volumes Export'!E10</f>
        <v>0</v>
      </c>
      <c r="F11" s="281">
        <f>+'Budget Volumes Export'!F10</f>
        <v>307000.00000000006</v>
      </c>
      <c r="G11" s="281">
        <f>+'Budget Volumes Export'!G10</f>
        <v>230250.00000000006</v>
      </c>
      <c r="H11" s="281">
        <f>+'Budget Volumes Export'!H10</f>
        <v>230250.00000000006</v>
      </c>
      <c r="I11" s="281">
        <f>+'Budget Volumes Export'!I10</f>
        <v>307000.00000000006</v>
      </c>
      <c r="J11" s="281">
        <f>+'Budget Volumes Export'!J10</f>
        <v>230250.00000000006</v>
      </c>
      <c r="K11" s="281">
        <f>+'Budget Volumes Export'!K10</f>
        <v>230250.00000000006</v>
      </c>
      <c r="L11" s="281">
        <f>+'Budget Volumes Export'!L10</f>
        <v>153500.00000000003</v>
      </c>
      <c r="M11" s="281">
        <f>+'Budget Volumes Export'!M10</f>
        <v>76750.000000000015</v>
      </c>
      <c r="N11" s="282">
        <f>SUM(B11:M11)</f>
        <v>1765250.0000000002</v>
      </c>
    </row>
    <row r="12" spans="1:14" x14ac:dyDescent="0.35">
      <c r="A12" s="238" t="s">
        <v>469</v>
      </c>
      <c r="B12" s="292">
        <v>10</v>
      </c>
      <c r="C12" s="292">
        <v>10</v>
      </c>
      <c r="D12" s="292">
        <v>10</v>
      </c>
      <c r="E12" s="292">
        <v>10</v>
      </c>
      <c r="F12" s="292">
        <v>10</v>
      </c>
      <c r="G12" s="292">
        <v>10</v>
      </c>
      <c r="H12" s="292">
        <v>10</v>
      </c>
      <c r="I12" s="292">
        <v>10</v>
      </c>
      <c r="J12" s="292">
        <v>10</v>
      </c>
      <c r="K12" s="292">
        <v>10</v>
      </c>
      <c r="L12" s="292">
        <v>10</v>
      </c>
      <c r="M12" s="292">
        <v>10</v>
      </c>
      <c r="N12" s="293">
        <f>+N10/N11/1000</f>
        <v>0.01</v>
      </c>
    </row>
    <row r="13" spans="1:14" x14ac:dyDescent="0.35">
      <c r="A13" s="235" t="s">
        <v>91</v>
      </c>
      <c r="B13" s="290">
        <f>B14*B15</f>
        <v>0</v>
      </c>
      <c r="C13" s="290">
        <f t="shared" ref="C13" si="6">C14*C15</f>
        <v>0</v>
      </c>
      <c r="D13" s="290">
        <f t="shared" ref="D13" si="7">D14*D15</f>
        <v>0</v>
      </c>
      <c r="E13" s="290">
        <f t="shared" ref="E13" si="8">E14*E15</f>
        <v>0</v>
      </c>
      <c r="F13" s="290">
        <f t="shared" ref="F13" si="9">F14*F15</f>
        <v>0</v>
      </c>
      <c r="G13" s="290">
        <f t="shared" ref="G13" si="10">G14*G15</f>
        <v>0</v>
      </c>
      <c r="H13" s="290">
        <f t="shared" ref="H13" si="11">H14*H15</f>
        <v>0</v>
      </c>
      <c r="I13" s="290">
        <f t="shared" ref="I13" si="12">I14*I15</f>
        <v>0</v>
      </c>
      <c r="J13" s="290">
        <f t="shared" ref="J13" si="13">J14*J15</f>
        <v>0</v>
      </c>
      <c r="K13" s="290">
        <f t="shared" ref="K13" si="14">K14*K15</f>
        <v>0</v>
      </c>
      <c r="L13" s="290">
        <f t="shared" ref="L13" si="15">L14*L15</f>
        <v>0</v>
      </c>
      <c r="M13" s="290">
        <f t="shared" ref="M13" si="16">M14*M15</f>
        <v>0</v>
      </c>
      <c r="N13" s="291">
        <f>SUM(B13:M13)</f>
        <v>0</v>
      </c>
    </row>
    <row r="14" spans="1:14" x14ac:dyDescent="0.35">
      <c r="A14" s="238" t="s">
        <v>468</v>
      </c>
      <c r="B14" s="281">
        <f>+'Budget Volumes Export'!B13</f>
        <v>0</v>
      </c>
      <c r="C14" s="281">
        <f>+'Budget Volumes Export'!C13</f>
        <v>0</v>
      </c>
      <c r="D14" s="281">
        <f>+'Budget Volumes Export'!D13</f>
        <v>0</v>
      </c>
      <c r="E14" s="281">
        <f>+'Budget Volumes Export'!E13</f>
        <v>0</v>
      </c>
      <c r="F14" s="281">
        <f>+'Budget Volumes Export'!F13</f>
        <v>0</v>
      </c>
      <c r="G14" s="281">
        <f>+'Budget Volumes Export'!G13</f>
        <v>0</v>
      </c>
      <c r="H14" s="281">
        <f>+'Budget Volumes Export'!H13</f>
        <v>0</v>
      </c>
      <c r="I14" s="281">
        <f>+'Budget Volumes Export'!I13</f>
        <v>0</v>
      </c>
      <c r="J14" s="281">
        <f>+'Budget Volumes Export'!J13</f>
        <v>0</v>
      </c>
      <c r="K14" s="281">
        <f>+'Budget Volumes Export'!K13</f>
        <v>0</v>
      </c>
      <c r="L14" s="281">
        <f>+'Budget Volumes Export'!L13</f>
        <v>0</v>
      </c>
      <c r="M14" s="281">
        <f>+'Budget Volumes Export'!M13</f>
        <v>0</v>
      </c>
      <c r="N14" s="282">
        <f>+'Plan de culture 104 '!$X$13</f>
        <v>0</v>
      </c>
    </row>
    <row r="15" spans="1:14" x14ac:dyDescent="0.35">
      <c r="A15" s="238" t="s">
        <v>469</v>
      </c>
      <c r="B15" s="292">
        <v>12</v>
      </c>
      <c r="C15" s="292">
        <v>12</v>
      </c>
      <c r="D15" s="292">
        <v>12</v>
      </c>
      <c r="E15" s="292">
        <v>12</v>
      </c>
      <c r="F15" s="292">
        <v>12</v>
      </c>
      <c r="G15" s="292">
        <v>12</v>
      </c>
      <c r="H15" s="292">
        <v>12</v>
      </c>
      <c r="I15" s="292">
        <v>12</v>
      </c>
      <c r="J15" s="292">
        <v>12</v>
      </c>
      <c r="K15" s="292">
        <v>12</v>
      </c>
      <c r="L15" s="292">
        <v>12</v>
      </c>
      <c r="M15" s="292">
        <v>12</v>
      </c>
      <c r="N15" s="293" t="e">
        <f>+N13/N14/1000</f>
        <v>#DIV/0!</v>
      </c>
    </row>
    <row r="16" spans="1:14" x14ac:dyDescent="0.35">
      <c r="A16" s="235" t="s">
        <v>376</v>
      </c>
      <c r="B16" s="290">
        <f>B17*B18</f>
        <v>0</v>
      </c>
      <c r="C16" s="290">
        <f t="shared" ref="C16" si="17">C17*C18</f>
        <v>0</v>
      </c>
      <c r="D16" s="290">
        <f t="shared" ref="D16" si="18">D17*D18</f>
        <v>0</v>
      </c>
      <c r="E16" s="290">
        <f t="shared" ref="E16" si="19">E17*E18</f>
        <v>0</v>
      </c>
      <c r="F16" s="290">
        <f t="shared" ref="F16" si="20">F17*F18</f>
        <v>0</v>
      </c>
      <c r="G16" s="290">
        <f t="shared" ref="G16" si="21">G17*G18</f>
        <v>0</v>
      </c>
      <c r="H16" s="290">
        <f t="shared" ref="H16" si="22">H17*H18</f>
        <v>0</v>
      </c>
      <c r="I16" s="290">
        <f t="shared" ref="I16" si="23">I17*I18</f>
        <v>0</v>
      </c>
      <c r="J16" s="290">
        <f t="shared" ref="J16" si="24">J17*J18</f>
        <v>0</v>
      </c>
      <c r="K16" s="290">
        <f t="shared" ref="K16" si="25">K17*K18</f>
        <v>0</v>
      </c>
      <c r="L16" s="290">
        <f t="shared" ref="L16" si="26">L17*L18</f>
        <v>0</v>
      </c>
      <c r="M16" s="290">
        <f t="shared" ref="M16" si="27">M17*M18</f>
        <v>0</v>
      </c>
      <c r="N16" s="291">
        <f>SUM(B16:M16)</f>
        <v>0</v>
      </c>
    </row>
    <row r="17" spans="1:14" x14ac:dyDescent="0.35">
      <c r="A17" s="238" t="s">
        <v>468</v>
      </c>
      <c r="B17" s="281">
        <f>+'Budget Volumes Export'!B16</f>
        <v>0</v>
      </c>
      <c r="C17" s="281">
        <f>+'Budget Volumes Export'!C16</f>
        <v>0</v>
      </c>
      <c r="D17" s="281">
        <f>+'Budget Volumes Export'!D16</f>
        <v>0</v>
      </c>
      <c r="E17" s="281">
        <f>+'Budget Volumes Export'!E16</f>
        <v>0</v>
      </c>
      <c r="F17" s="281">
        <f>+'Budget Volumes Export'!F16</f>
        <v>0</v>
      </c>
      <c r="G17" s="281">
        <f>+'Budget Volumes Export'!G16</f>
        <v>0</v>
      </c>
      <c r="H17" s="281">
        <f>+'Budget Volumes Export'!H16</f>
        <v>0</v>
      </c>
      <c r="I17" s="281">
        <f>+'Budget Volumes Export'!I16</f>
        <v>0</v>
      </c>
      <c r="J17" s="281">
        <f>+'Budget Volumes Export'!J16</f>
        <v>0</v>
      </c>
      <c r="K17" s="281">
        <f>+'Budget Volumes Export'!K16</f>
        <v>0</v>
      </c>
      <c r="L17" s="281">
        <f>+'Budget Volumes Export'!L16</f>
        <v>0</v>
      </c>
      <c r="M17" s="281">
        <f>+'Budget Volumes Export'!M16</f>
        <v>0</v>
      </c>
      <c r="N17" s="282">
        <f>SUM(B17:M17)</f>
        <v>0</v>
      </c>
    </row>
    <row r="18" spans="1:14" x14ac:dyDescent="0.35">
      <c r="A18" s="238" t="s">
        <v>469</v>
      </c>
      <c r="B18" s="292">
        <v>14</v>
      </c>
      <c r="C18" s="292">
        <v>14</v>
      </c>
      <c r="D18" s="292">
        <v>14</v>
      </c>
      <c r="E18" s="292">
        <v>14</v>
      </c>
      <c r="F18" s="292">
        <v>14</v>
      </c>
      <c r="G18" s="292">
        <v>14</v>
      </c>
      <c r="H18" s="292">
        <v>14</v>
      </c>
      <c r="I18" s="292">
        <v>14</v>
      </c>
      <c r="J18" s="292">
        <v>14</v>
      </c>
      <c r="K18" s="292">
        <v>14</v>
      </c>
      <c r="L18" s="292">
        <v>14</v>
      </c>
      <c r="M18" s="292">
        <v>14</v>
      </c>
      <c r="N18" s="293" t="e">
        <f>+N16/N17/1000</f>
        <v>#DIV/0!</v>
      </c>
    </row>
    <row r="19" spans="1:14" x14ac:dyDescent="0.35">
      <c r="A19" s="235" t="s">
        <v>92</v>
      </c>
      <c r="B19" s="290">
        <f>B20*B21</f>
        <v>0</v>
      </c>
      <c r="C19" s="290">
        <f t="shared" ref="C19" si="28">C20*C21</f>
        <v>0</v>
      </c>
      <c r="D19" s="290">
        <f t="shared" ref="D19" si="29">D20*D21</f>
        <v>0</v>
      </c>
      <c r="E19" s="290">
        <f t="shared" ref="E19" si="30">E20*E21</f>
        <v>0</v>
      </c>
      <c r="F19" s="290">
        <f t="shared" ref="F19" si="31">F20*F21</f>
        <v>0</v>
      </c>
      <c r="G19" s="290">
        <f t="shared" ref="G19" si="32">G20*G21</f>
        <v>0</v>
      </c>
      <c r="H19" s="290">
        <f t="shared" ref="H19" si="33">H20*H21</f>
        <v>0</v>
      </c>
      <c r="I19" s="290">
        <f t="shared" ref="I19" si="34">I20*I21</f>
        <v>0</v>
      </c>
      <c r="J19" s="290">
        <f t="shared" ref="J19" si="35">J20*J21</f>
        <v>0</v>
      </c>
      <c r="K19" s="290">
        <f t="shared" ref="K19" si="36">K20*K21</f>
        <v>0</v>
      </c>
      <c r="L19" s="290">
        <f t="shared" ref="L19" si="37">L20*L21</f>
        <v>0</v>
      </c>
      <c r="M19" s="290">
        <f t="shared" ref="M19" si="38">M20*M21</f>
        <v>0</v>
      </c>
      <c r="N19" s="291">
        <f>SUM(B19:M19)</f>
        <v>0</v>
      </c>
    </row>
    <row r="20" spans="1:14" x14ac:dyDescent="0.35">
      <c r="A20" s="238" t="s">
        <v>468</v>
      </c>
      <c r="B20" s="281">
        <f>+'Budget Volumes Export'!B19</f>
        <v>0</v>
      </c>
      <c r="C20" s="281">
        <f>+'Budget Volumes Export'!C19</f>
        <v>0</v>
      </c>
      <c r="D20" s="281">
        <f>+'Budget Volumes Export'!D19</f>
        <v>0</v>
      </c>
      <c r="E20" s="281">
        <f>+'Budget Volumes Export'!E19</f>
        <v>0</v>
      </c>
      <c r="F20" s="281">
        <f>+'Budget Volumes Export'!F19</f>
        <v>0</v>
      </c>
      <c r="G20" s="281">
        <f>+'Budget Volumes Export'!G19</f>
        <v>0</v>
      </c>
      <c r="H20" s="281">
        <f>+'Budget Volumes Export'!H19</f>
        <v>0</v>
      </c>
      <c r="I20" s="281">
        <f>+'Budget Volumes Export'!I19</f>
        <v>0</v>
      </c>
      <c r="J20" s="281">
        <f>+'Budget Volumes Export'!J19</f>
        <v>0</v>
      </c>
      <c r="K20" s="281">
        <f>+'Budget Volumes Export'!K19</f>
        <v>0</v>
      </c>
      <c r="L20" s="281">
        <f>+'Budget Volumes Export'!L19</f>
        <v>0</v>
      </c>
      <c r="M20" s="281">
        <f>+'Budget Volumes Export'!M19</f>
        <v>0</v>
      </c>
      <c r="N20" s="282">
        <f>SUM(B20:M20)</f>
        <v>0</v>
      </c>
    </row>
    <row r="21" spans="1:14" x14ac:dyDescent="0.35">
      <c r="A21" s="238" t="s">
        <v>469</v>
      </c>
      <c r="B21" s="292">
        <v>8</v>
      </c>
      <c r="C21" s="292">
        <v>8</v>
      </c>
      <c r="D21" s="292">
        <v>8</v>
      </c>
      <c r="E21" s="292">
        <v>8</v>
      </c>
      <c r="F21" s="292">
        <v>8</v>
      </c>
      <c r="G21" s="292">
        <v>8</v>
      </c>
      <c r="H21" s="292">
        <v>8</v>
      </c>
      <c r="I21" s="292">
        <v>8</v>
      </c>
      <c r="J21" s="292">
        <v>8</v>
      </c>
      <c r="K21" s="292">
        <v>8</v>
      </c>
      <c r="L21" s="292">
        <v>8</v>
      </c>
      <c r="M21" s="292">
        <v>8</v>
      </c>
      <c r="N21" s="293" t="e">
        <f>+N19/N20/1000</f>
        <v>#DIV/0!</v>
      </c>
    </row>
    <row r="22" spans="1:14" x14ac:dyDescent="0.35">
      <c r="A22" s="235" t="s">
        <v>377</v>
      </c>
      <c r="B22" s="290">
        <f>B23*B24</f>
        <v>0</v>
      </c>
      <c r="C22" s="290">
        <f t="shared" ref="C22" si="39">C23*C24</f>
        <v>0</v>
      </c>
      <c r="D22" s="290">
        <f t="shared" ref="D22" si="40">D23*D24</f>
        <v>0</v>
      </c>
      <c r="E22" s="290">
        <f t="shared" ref="E22" si="41">E23*E24</f>
        <v>0</v>
      </c>
      <c r="F22" s="290">
        <f t="shared" ref="F22" si="42">F23*F24</f>
        <v>0</v>
      </c>
      <c r="G22" s="290">
        <f t="shared" ref="G22" si="43">G23*G24</f>
        <v>0</v>
      </c>
      <c r="H22" s="290">
        <f t="shared" ref="H22" si="44">H23*H24</f>
        <v>0</v>
      </c>
      <c r="I22" s="290">
        <f t="shared" ref="I22" si="45">I23*I24</f>
        <v>0</v>
      </c>
      <c r="J22" s="290">
        <f t="shared" ref="J22" si="46">J23*J24</f>
        <v>0</v>
      </c>
      <c r="K22" s="290">
        <f t="shared" ref="K22" si="47">K23*K24</f>
        <v>0</v>
      </c>
      <c r="L22" s="290">
        <f t="shared" ref="L22" si="48">L23*L24</f>
        <v>0</v>
      </c>
      <c r="M22" s="290">
        <f t="shared" ref="M22" si="49">M23*M24</f>
        <v>0</v>
      </c>
      <c r="N22" s="291">
        <f>SUM(B22:M22)</f>
        <v>0</v>
      </c>
    </row>
    <row r="23" spans="1:14" x14ac:dyDescent="0.35">
      <c r="A23" s="238" t="s">
        <v>468</v>
      </c>
      <c r="B23" s="281">
        <f>+'Budget Volumes Export'!B22</f>
        <v>0</v>
      </c>
      <c r="C23" s="281">
        <f>+'Budget Volumes Export'!C22</f>
        <v>0</v>
      </c>
      <c r="D23" s="281">
        <f>+'Budget Volumes Export'!D22</f>
        <v>0</v>
      </c>
      <c r="E23" s="281">
        <f>+'Budget Volumes Export'!E22</f>
        <v>0</v>
      </c>
      <c r="F23" s="281">
        <f>+'Budget Volumes Export'!F22</f>
        <v>0</v>
      </c>
      <c r="G23" s="281">
        <f>+'Budget Volumes Export'!G22</f>
        <v>0</v>
      </c>
      <c r="H23" s="281">
        <f>+'Budget Volumes Export'!H22</f>
        <v>0</v>
      </c>
      <c r="I23" s="281">
        <f>+'Budget Volumes Export'!I22</f>
        <v>0</v>
      </c>
      <c r="J23" s="281">
        <f>+'Budget Volumes Export'!J22</f>
        <v>0</v>
      </c>
      <c r="K23" s="281">
        <f>+'Budget Volumes Export'!K22</f>
        <v>0</v>
      </c>
      <c r="L23" s="281">
        <f>+'Budget Volumes Export'!L22</f>
        <v>0</v>
      </c>
      <c r="M23" s="281">
        <f>+'Budget Volumes Export'!M22</f>
        <v>0</v>
      </c>
      <c r="N23" s="282">
        <f>SUM(B23:M23)</f>
        <v>0</v>
      </c>
    </row>
    <row r="24" spans="1:14" x14ac:dyDescent="0.35">
      <c r="A24" s="238" t="s">
        <v>469</v>
      </c>
      <c r="B24" s="292">
        <v>50</v>
      </c>
      <c r="C24" s="292">
        <v>50</v>
      </c>
      <c r="D24" s="292">
        <v>50</v>
      </c>
      <c r="E24" s="292">
        <v>50</v>
      </c>
      <c r="F24" s="292">
        <v>50</v>
      </c>
      <c r="G24" s="292">
        <v>50</v>
      </c>
      <c r="H24" s="292">
        <v>50</v>
      </c>
      <c r="I24" s="292">
        <v>50</v>
      </c>
      <c r="J24" s="292">
        <v>50</v>
      </c>
      <c r="K24" s="292">
        <v>50</v>
      </c>
      <c r="L24" s="292">
        <v>50</v>
      </c>
      <c r="M24" s="292">
        <v>50</v>
      </c>
      <c r="N24" s="293" t="e">
        <f>+N22/N23/1000</f>
        <v>#DIV/0!</v>
      </c>
    </row>
    <row r="25" spans="1:14" x14ac:dyDescent="0.35">
      <c r="A25" s="235" t="s">
        <v>378</v>
      </c>
      <c r="B25" s="290">
        <f>B26*B27</f>
        <v>0</v>
      </c>
      <c r="C25" s="290">
        <f t="shared" ref="C25" si="50">C26*C27</f>
        <v>0</v>
      </c>
      <c r="D25" s="290">
        <f t="shared" ref="D25" si="51">D26*D27</f>
        <v>0</v>
      </c>
      <c r="E25" s="290">
        <f t="shared" ref="E25" si="52">E26*E27</f>
        <v>0</v>
      </c>
      <c r="F25" s="290">
        <f t="shared" ref="F25" si="53">F26*F27</f>
        <v>0</v>
      </c>
      <c r="G25" s="290">
        <f t="shared" ref="G25" si="54">G26*G27</f>
        <v>0</v>
      </c>
      <c r="H25" s="290">
        <f t="shared" ref="H25" si="55">H26*H27</f>
        <v>0</v>
      </c>
      <c r="I25" s="290">
        <f t="shared" ref="I25" si="56">I26*I27</f>
        <v>0</v>
      </c>
      <c r="J25" s="290">
        <f t="shared" ref="J25" si="57">J26*J27</f>
        <v>0</v>
      </c>
      <c r="K25" s="290">
        <f t="shared" ref="K25" si="58">K26*K27</f>
        <v>0</v>
      </c>
      <c r="L25" s="290">
        <f t="shared" ref="L25" si="59">L26*L27</f>
        <v>0</v>
      </c>
      <c r="M25" s="290">
        <f t="shared" ref="M25" si="60">M26*M27</f>
        <v>0</v>
      </c>
      <c r="N25" s="291">
        <f>SUM(B25:M25)</f>
        <v>0</v>
      </c>
    </row>
    <row r="26" spans="1:14" x14ac:dyDescent="0.35">
      <c r="A26" s="238" t="s">
        <v>468</v>
      </c>
      <c r="B26" s="281">
        <f>+'Budget Volumes Export'!B25</f>
        <v>0</v>
      </c>
      <c r="C26" s="281">
        <f>+'Budget Volumes Export'!C25</f>
        <v>0</v>
      </c>
      <c r="D26" s="281">
        <f>+'Budget Volumes Export'!D25</f>
        <v>0</v>
      </c>
      <c r="E26" s="281">
        <f>+'Budget Volumes Export'!E25</f>
        <v>0</v>
      </c>
      <c r="F26" s="281">
        <f>+'Budget Volumes Export'!F25</f>
        <v>0</v>
      </c>
      <c r="G26" s="281">
        <f>+'Budget Volumes Export'!G25</f>
        <v>0</v>
      </c>
      <c r="H26" s="281">
        <f>+'Budget Volumes Export'!H25</f>
        <v>0</v>
      </c>
      <c r="I26" s="281">
        <f>+'Budget Volumes Export'!I25</f>
        <v>0</v>
      </c>
      <c r="J26" s="281">
        <f>+'Budget Volumes Export'!J25</f>
        <v>0</v>
      </c>
      <c r="K26" s="281">
        <f>+'Budget Volumes Export'!K25</f>
        <v>0</v>
      </c>
      <c r="L26" s="281">
        <f>+'Budget Volumes Export'!L25</f>
        <v>0</v>
      </c>
      <c r="M26" s="281">
        <f>+'Budget Volumes Export'!M25</f>
        <v>0</v>
      </c>
      <c r="N26" s="282">
        <f>SUM(B26:M26)</f>
        <v>0</v>
      </c>
    </row>
    <row r="27" spans="1:14" ht="12" thickBot="1" x14ac:dyDescent="0.4">
      <c r="A27" s="238" t="s">
        <v>469</v>
      </c>
      <c r="B27" s="294">
        <v>12</v>
      </c>
      <c r="C27" s="294">
        <v>12</v>
      </c>
      <c r="D27" s="294">
        <v>12</v>
      </c>
      <c r="E27" s="294">
        <v>12</v>
      </c>
      <c r="F27" s="294">
        <v>12</v>
      </c>
      <c r="G27" s="294">
        <v>12</v>
      </c>
      <c r="H27" s="294">
        <v>12</v>
      </c>
      <c r="I27" s="294">
        <v>12</v>
      </c>
      <c r="J27" s="294">
        <v>12</v>
      </c>
      <c r="K27" s="294">
        <v>12</v>
      </c>
      <c r="L27" s="294">
        <v>12</v>
      </c>
      <c r="M27" s="294">
        <v>12</v>
      </c>
      <c r="N27" s="295" t="e">
        <f>+N25/N26/1000</f>
        <v>#DIV/0!</v>
      </c>
    </row>
    <row r="28" spans="1:14" x14ac:dyDescent="0.35">
      <c r="A28" s="233" t="s">
        <v>374</v>
      </c>
      <c r="B28" s="285">
        <f>+B31+B34+B37+B40+B43+B46</f>
        <v>0</v>
      </c>
      <c r="C28" s="285">
        <f t="shared" ref="C28:M29" si="61">+C31+C34+C37+C40+C43+C46</f>
        <v>0</v>
      </c>
      <c r="D28" s="285">
        <f t="shared" si="61"/>
        <v>0</v>
      </c>
      <c r="E28" s="285">
        <f t="shared" si="61"/>
        <v>1294800.0000000002</v>
      </c>
      <c r="F28" s="285">
        <f t="shared" si="61"/>
        <v>1294800.0000000002</v>
      </c>
      <c r="G28" s="285">
        <f t="shared" si="61"/>
        <v>971100</v>
      </c>
      <c r="H28" s="285">
        <f t="shared" si="61"/>
        <v>971100</v>
      </c>
      <c r="I28" s="285">
        <f t="shared" si="61"/>
        <v>1294800.0000000002</v>
      </c>
      <c r="J28" s="285">
        <f t="shared" si="61"/>
        <v>971100</v>
      </c>
      <c r="K28" s="285">
        <f t="shared" si="61"/>
        <v>971100</v>
      </c>
      <c r="L28" s="285">
        <f t="shared" si="61"/>
        <v>647400.00000000012</v>
      </c>
      <c r="M28" s="285">
        <f t="shared" si="61"/>
        <v>323700.00000000006</v>
      </c>
      <c r="N28" s="286">
        <f>SUM(B28:M28)</f>
        <v>8739900</v>
      </c>
    </row>
    <row r="29" spans="1:14" x14ac:dyDescent="0.35">
      <c r="A29" s="234" t="s">
        <v>468</v>
      </c>
      <c r="B29" s="287">
        <f>+B32+B35+B38+B41+B44+B47</f>
        <v>0</v>
      </c>
      <c r="C29" s="287">
        <f t="shared" si="61"/>
        <v>0</v>
      </c>
      <c r="D29" s="287">
        <f t="shared" si="61"/>
        <v>0</v>
      </c>
      <c r="E29" s="287">
        <f t="shared" si="61"/>
        <v>107900.00000000001</v>
      </c>
      <c r="F29" s="287">
        <f t="shared" si="61"/>
        <v>107900.00000000001</v>
      </c>
      <c r="G29" s="287">
        <f t="shared" si="61"/>
        <v>80925</v>
      </c>
      <c r="H29" s="287">
        <f t="shared" si="61"/>
        <v>80925</v>
      </c>
      <c r="I29" s="287">
        <f t="shared" si="61"/>
        <v>107900.00000000001</v>
      </c>
      <c r="J29" s="287">
        <f t="shared" si="61"/>
        <v>80925</v>
      </c>
      <c r="K29" s="287">
        <f t="shared" si="61"/>
        <v>80925</v>
      </c>
      <c r="L29" s="287">
        <f t="shared" si="61"/>
        <v>53950.000000000007</v>
      </c>
      <c r="M29" s="287">
        <f t="shared" si="61"/>
        <v>26975.000000000004</v>
      </c>
      <c r="N29" s="288">
        <f>SUM(B29:M29)</f>
        <v>728325</v>
      </c>
    </row>
    <row r="30" spans="1:14" x14ac:dyDescent="0.35">
      <c r="A30" s="234" t="s">
        <v>469</v>
      </c>
      <c r="B30" s="289" t="e">
        <f>+B28/B29</f>
        <v>#DIV/0!</v>
      </c>
      <c r="C30" s="289" t="e">
        <f t="shared" ref="C30" si="62">+C28/C29</f>
        <v>#DIV/0!</v>
      </c>
      <c r="D30" s="289" t="e">
        <f t="shared" ref="D30" si="63">+D28/D29</f>
        <v>#DIV/0!</v>
      </c>
      <c r="E30" s="289">
        <f t="shared" ref="E30" si="64">+E28/E29</f>
        <v>12</v>
      </c>
      <c r="F30" s="289">
        <f t="shared" ref="F30" si="65">+F28/F29</f>
        <v>12</v>
      </c>
      <c r="G30" s="289">
        <f t="shared" ref="G30" si="66">+G28/G29</f>
        <v>12</v>
      </c>
      <c r="H30" s="289">
        <f t="shared" ref="H30" si="67">+H28/H29</f>
        <v>12</v>
      </c>
      <c r="I30" s="289">
        <f t="shared" ref="I30" si="68">+I28/I29</f>
        <v>12</v>
      </c>
      <c r="J30" s="289">
        <f t="shared" ref="J30" si="69">+J28/J29</f>
        <v>12</v>
      </c>
      <c r="K30" s="289">
        <f t="shared" ref="K30" si="70">+K28/K29</f>
        <v>12</v>
      </c>
      <c r="L30" s="289">
        <f t="shared" ref="L30" si="71">+L28/L29</f>
        <v>12</v>
      </c>
      <c r="M30" s="289">
        <f t="shared" ref="M30" si="72">+M28/M29</f>
        <v>12</v>
      </c>
      <c r="N30" s="289">
        <f t="shared" ref="N30" si="73">+N28/N29</f>
        <v>12</v>
      </c>
    </row>
    <row r="31" spans="1:14" x14ac:dyDescent="0.35">
      <c r="A31" s="235" t="s">
        <v>90</v>
      </c>
      <c r="B31" s="290">
        <f>B32*B33</f>
        <v>0</v>
      </c>
      <c r="C31" s="290">
        <f t="shared" ref="C31" si="74">C32*C33</f>
        <v>0</v>
      </c>
      <c r="D31" s="290">
        <f t="shared" ref="D31" si="75">D32*D33</f>
        <v>0</v>
      </c>
      <c r="E31" s="290">
        <f t="shared" ref="E31" si="76">E32*E33</f>
        <v>0</v>
      </c>
      <c r="F31" s="290">
        <f t="shared" ref="F31" si="77">F32*F33</f>
        <v>0</v>
      </c>
      <c r="G31" s="290">
        <f t="shared" ref="G31" si="78">G32*G33</f>
        <v>0</v>
      </c>
      <c r="H31" s="290">
        <f t="shared" ref="H31" si="79">H32*H33</f>
        <v>0</v>
      </c>
      <c r="I31" s="290">
        <f t="shared" ref="I31" si="80">I32*I33</f>
        <v>0</v>
      </c>
      <c r="J31" s="290">
        <f t="shared" ref="J31" si="81">J32*J33</f>
        <v>0</v>
      </c>
      <c r="K31" s="290">
        <f t="shared" ref="K31" si="82">K32*K33</f>
        <v>0</v>
      </c>
      <c r="L31" s="290">
        <f t="shared" ref="L31" si="83">L32*L33</f>
        <v>0</v>
      </c>
      <c r="M31" s="290">
        <f t="shared" ref="M31" si="84">M32*M33</f>
        <v>0</v>
      </c>
      <c r="N31" s="291">
        <f>SUM(B31:M31)</f>
        <v>0</v>
      </c>
    </row>
    <row r="32" spans="1:14" x14ac:dyDescent="0.35">
      <c r="A32" s="238" t="s">
        <v>468</v>
      </c>
      <c r="B32" s="281">
        <f>+'Budget Volumes Export'!B31</f>
        <v>0</v>
      </c>
      <c r="C32" s="281">
        <f>+'Budget Volumes Export'!C31</f>
        <v>0</v>
      </c>
      <c r="D32" s="281">
        <f>+'Budget Volumes Export'!D31</f>
        <v>0</v>
      </c>
      <c r="E32" s="281">
        <f>+'Budget Volumes Export'!E31</f>
        <v>0</v>
      </c>
      <c r="F32" s="281">
        <f>+'Budget Volumes Export'!F31</f>
        <v>0</v>
      </c>
      <c r="G32" s="281">
        <f>+'Budget Volumes Export'!G31</f>
        <v>0</v>
      </c>
      <c r="H32" s="281">
        <f>+'Budget Volumes Export'!H31</f>
        <v>0</v>
      </c>
      <c r="I32" s="281">
        <f>+'Budget Volumes Export'!I31</f>
        <v>0</v>
      </c>
      <c r="J32" s="281">
        <f>+'Budget Volumes Export'!J31</f>
        <v>0</v>
      </c>
      <c r="K32" s="281">
        <f>+'Budget Volumes Export'!K31</f>
        <v>0</v>
      </c>
      <c r="L32" s="281">
        <f>+'Budget Volumes Export'!L31</f>
        <v>0</v>
      </c>
      <c r="M32" s="281">
        <f>+'Budget Volumes Export'!M31</f>
        <v>0</v>
      </c>
      <c r="N32" s="282">
        <f>SUM(B32:M32)</f>
        <v>0</v>
      </c>
    </row>
    <row r="33" spans="1:14" x14ac:dyDescent="0.35">
      <c r="A33" s="238" t="s">
        <v>469</v>
      </c>
      <c r="B33" s="292">
        <v>10</v>
      </c>
      <c r="C33" s="292">
        <v>10</v>
      </c>
      <c r="D33" s="292">
        <v>10</v>
      </c>
      <c r="E33" s="292">
        <v>10</v>
      </c>
      <c r="F33" s="292">
        <v>10</v>
      </c>
      <c r="G33" s="292">
        <v>10</v>
      </c>
      <c r="H33" s="292">
        <v>10</v>
      </c>
      <c r="I33" s="292">
        <v>10</v>
      </c>
      <c r="J33" s="292">
        <v>10</v>
      </c>
      <c r="K33" s="292">
        <v>10</v>
      </c>
      <c r="L33" s="292">
        <v>10</v>
      </c>
      <c r="M33" s="292">
        <v>10</v>
      </c>
      <c r="N33" s="293" t="e">
        <f>+N31/N32/1000</f>
        <v>#DIV/0!</v>
      </c>
    </row>
    <row r="34" spans="1:14" x14ac:dyDescent="0.35">
      <c r="A34" s="235" t="s">
        <v>91</v>
      </c>
      <c r="B34" s="290">
        <f>B35*B36</f>
        <v>0</v>
      </c>
      <c r="C34" s="290">
        <f t="shared" ref="C34" si="85">C35*C36</f>
        <v>0</v>
      </c>
      <c r="D34" s="290">
        <f t="shared" ref="D34" si="86">D35*D36</f>
        <v>0</v>
      </c>
      <c r="E34" s="290">
        <f t="shared" ref="E34" si="87">E35*E36</f>
        <v>1294800.0000000002</v>
      </c>
      <c r="F34" s="290">
        <f t="shared" ref="F34" si="88">F35*F36</f>
        <v>1294800.0000000002</v>
      </c>
      <c r="G34" s="290">
        <f t="shared" ref="G34" si="89">G35*G36</f>
        <v>971100</v>
      </c>
      <c r="H34" s="290">
        <f t="shared" ref="H34" si="90">H35*H36</f>
        <v>971100</v>
      </c>
      <c r="I34" s="290">
        <f t="shared" ref="I34" si="91">I35*I36</f>
        <v>1294800.0000000002</v>
      </c>
      <c r="J34" s="290">
        <f t="shared" ref="J34" si="92">J35*J36</f>
        <v>971100</v>
      </c>
      <c r="K34" s="290">
        <f t="shared" ref="K34" si="93">K35*K36</f>
        <v>971100</v>
      </c>
      <c r="L34" s="290">
        <f t="shared" ref="L34" si="94">L35*L36</f>
        <v>647400.00000000012</v>
      </c>
      <c r="M34" s="290">
        <f t="shared" ref="M34" si="95">M35*M36</f>
        <v>323700.00000000006</v>
      </c>
      <c r="N34" s="291">
        <f>SUM(B34:M34)</f>
        <v>8739900</v>
      </c>
    </row>
    <row r="35" spans="1:14" x14ac:dyDescent="0.35">
      <c r="A35" s="238" t="s">
        <v>468</v>
      </c>
      <c r="B35" s="281">
        <f>+'Budget Volumes Export'!B34</f>
        <v>0</v>
      </c>
      <c r="C35" s="281">
        <f>+'Budget Volumes Export'!C34</f>
        <v>0</v>
      </c>
      <c r="D35" s="281">
        <f>+'Budget Volumes Export'!D34</f>
        <v>0</v>
      </c>
      <c r="E35" s="281">
        <f>+'Budget Volumes Export'!E34</f>
        <v>107900.00000000001</v>
      </c>
      <c r="F35" s="281">
        <f>+'Budget Volumes Export'!F34</f>
        <v>107900.00000000001</v>
      </c>
      <c r="G35" s="281">
        <f>+'Budget Volumes Export'!G34</f>
        <v>80925</v>
      </c>
      <c r="H35" s="281">
        <f>+'Budget Volumes Export'!H34</f>
        <v>80925</v>
      </c>
      <c r="I35" s="281">
        <f>+'Budget Volumes Export'!I34</f>
        <v>107900.00000000001</v>
      </c>
      <c r="J35" s="281">
        <f>+'Budget Volumes Export'!J34</f>
        <v>80925</v>
      </c>
      <c r="K35" s="281">
        <f>+'Budget Volumes Export'!K34</f>
        <v>80925</v>
      </c>
      <c r="L35" s="281">
        <f>+'Budget Volumes Export'!L34</f>
        <v>53950.000000000007</v>
      </c>
      <c r="M35" s="281">
        <f>+'Budget Volumes Export'!M34</f>
        <v>26975.000000000004</v>
      </c>
      <c r="N35" s="282">
        <f>+'Plan de culture 104 '!$X$13</f>
        <v>0</v>
      </c>
    </row>
    <row r="36" spans="1:14" x14ac:dyDescent="0.35">
      <c r="A36" s="238" t="s">
        <v>469</v>
      </c>
      <c r="B36" s="292">
        <v>12</v>
      </c>
      <c r="C36" s="292">
        <v>12</v>
      </c>
      <c r="D36" s="292">
        <v>12</v>
      </c>
      <c r="E36" s="292">
        <v>12</v>
      </c>
      <c r="F36" s="292">
        <v>12</v>
      </c>
      <c r="G36" s="292">
        <v>12</v>
      </c>
      <c r="H36" s="292">
        <v>12</v>
      </c>
      <c r="I36" s="292">
        <v>12</v>
      </c>
      <c r="J36" s="292">
        <v>12</v>
      </c>
      <c r="K36" s="292">
        <v>12</v>
      </c>
      <c r="L36" s="292">
        <v>12</v>
      </c>
      <c r="M36" s="292">
        <v>12</v>
      </c>
      <c r="N36" s="293" t="e">
        <f>+N34/N35/1000</f>
        <v>#DIV/0!</v>
      </c>
    </row>
    <row r="37" spans="1:14" x14ac:dyDescent="0.35">
      <c r="A37" s="235" t="s">
        <v>376</v>
      </c>
      <c r="B37" s="290">
        <f>B38*B39</f>
        <v>0</v>
      </c>
      <c r="C37" s="290">
        <f t="shared" ref="C37" si="96">C38*C39</f>
        <v>0</v>
      </c>
      <c r="D37" s="290">
        <f t="shared" ref="D37" si="97">D38*D39</f>
        <v>0</v>
      </c>
      <c r="E37" s="290">
        <f t="shared" ref="E37" si="98">E38*E39</f>
        <v>0</v>
      </c>
      <c r="F37" s="290">
        <f t="shared" ref="F37" si="99">F38*F39</f>
        <v>0</v>
      </c>
      <c r="G37" s="290">
        <f t="shared" ref="G37" si="100">G38*G39</f>
        <v>0</v>
      </c>
      <c r="H37" s="290">
        <f t="shared" ref="H37" si="101">H38*H39</f>
        <v>0</v>
      </c>
      <c r="I37" s="290">
        <f t="shared" ref="I37" si="102">I38*I39</f>
        <v>0</v>
      </c>
      <c r="J37" s="290">
        <f t="shared" ref="J37" si="103">J38*J39</f>
        <v>0</v>
      </c>
      <c r="K37" s="290">
        <f t="shared" ref="K37" si="104">K38*K39</f>
        <v>0</v>
      </c>
      <c r="L37" s="290">
        <f t="shared" ref="L37" si="105">L38*L39</f>
        <v>0</v>
      </c>
      <c r="M37" s="290">
        <f t="shared" ref="M37" si="106">M38*M39</f>
        <v>0</v>
      </c>
      <c r="N37" s="291">
        <f>SUM(B37:M37)</f>
        <v>0</v>
      </c>
    </row>
    <row r="38" spans="1:14" x14ac:dyDescent="0.35">
      <c r="A38" s="238" t="s">
        <v>468</v>
      </c>
      <c r="B38" s="281">
        <f>+'Budget Volumes Export'!B37</f>
        <v>0</v>
      </c>
      <c r="C38" s="281">
        <f>+'Budget Volumes Export'!C37</f>
        <v>0</v>
      </c>
      <c r="D38" s="281">
        <f>+'Budget Volumes Export'!D37</f>
        <v>0</v>
      </c>
      <c r="E38" s="281">
        <f>+'Budget Volumes Export'!E37</f>
        <v>0</v>
      </c>
      <c r="F38" s="281">
        <f>+'Budget Volumes Export'!F37</f>
        <v>0</v>
      </c>
      <c r="G38" s="281">
        <f>+'Budget Volumes Export'!G37</f>
        <v>0</v>
      </c>
      <c r="H38" s="281">
        <f>+'Budget Volumes Export'!H37</f>
        <v>0</v>
      </c>
      <c r="I38" s="281">
        <f>+'Budget Volumes Export'!I37</f>
        <v>0</v>
      </c>
      <c r="J38" s="281">
        <f>+'Budget Volumes Export'!J37</f>
        <v>0</v>
      </c>
      <c r="K38" s="281">
        <f>+'Budget Volumes Export'!K37</f>
        <v>0</v>
      </c>
      <c r="L38" s="281">
        <f>+'Budget Volumes Export'!L37</f>
        <v>0</v>
      </c>
      <c r="M38" s="281">
        <f>+'Budget Volumes Export'!M37</f>
        <v>0</v>
      </c>
      <c r="N38" s="282">
        <f>SUM(B38:M38)</f>
        <v>0</v>
      </c>
    </row>
    <row r="39" spans="1:14" x14ac:dyDescent="0.35">
      <c r="A39" s="238" t="s">
        <v>469</v>
      </c>
      <c r="B39" s="292">
        <v>14</v>
      </c>
      <c r="C39" s="292">
        <v>14</v>
      </c>
      <c r="D39" s="292">
        <v>14</v>
      </c>
      <c r="E39" s="292">
        <v>14</v>
      </c>
      <c r="F39" s="292">
        <v>14</v>
      </c>
      <c r="G39" s="292">
        <v>14</v>
      </c>
      <c r="H39" s="292">
        <v>14</v>
      </c>
      <c r="I39" s="292">
        <v>14</v>
      </c>
      <c r="J39" s="292">
        <v>14</v>
      </c>
      <c r="K39" s="292">
        <v>14</v>
      </c>
      <c r="L39" s="292">
        <v>14</v>
      </c>
      <c r="M39" s="292">
        <v>14</v>
      </c>
      <c r="N39" s="293" t="e">
        <f>+N37/N38/1000</f>
        <v>#DIV/0!</v>
      </c>
    </row>
    <row r="40" spans="1:14" x14ac:dyDescent="0.35">
      <c r="A40" s="235" t="s">
        <v>92</v>
      </c>
      <c r="B40" s="290">
        <f>B41*B42</f>
        <v>0</v>
      </c>
      <c r="C40" s="290">
        <f t="shared" ref="C40" si="107">C41*C42</f>
        <v>0</v>
      </c>
      <c r="D40" s="290">
        <f t="shared" ref="D40" si="108">D41*D42</f>
        <v>0</v>
      </c>
      <c r="E40" s="290">
        <f t="shared" ref="E40" si="109">E41*E42</f>
        <v>0</v>
      </c>
      <c r="F40" s="290">
        <f t="shared" ref="F40" si="110">F41*F42</f>
        <v>0</v>
      </c>
      <c r="G40" s="290">
        <f t="shared" ref="G40" si="111">G41*G42</f>
        <v>0</v>
      </c>
      <c r="H40" s="290">
        <f t="shared" ref="H40" si="112">H41*H42</f>
        <v>0</v>
      </c>
      <c r="I40" s="290">
        <f t="shared" ref="I40" si="113">I41*I42</f>
        <v>0</v>
      </c>
      <c r="J40" s="290">
        <f t="shared" ref="J40" si="114">J41*J42</f>
        <v>0</v>
      </c>
      <c r="K40" s="290">
        <f t="shared" ref="K40" si="115">K41*K42</f>
        <v>0</v>
      </c>
      <c r="L40" s="290">
        <f t="shared" ref="L40" si="116">L41*L42</f>
        <v>0</v>
      </c>
      <c r="M40" s="290">
        <f t="shared" ref="M40" si="117">M41*M42</f>
        <v>0</v>
      </c>
      <c r="N40" s="291">
        <f>SUM(B40:M40)</f>
        <v>0</v>
      </c>
    </row>
    <row r="41" spans="1:14" x14ac:dyDescent="0.35">
      <c r="A41" s="238" t="s">
        <v>468</v>
      </c>
      <c r="B41" s="281">
        <f>+'Budget Volumes Export'!B40</f>
        <v>0</v>
      </c>
      <c r="C41" s="281">
        <f>+'Budget Volumes Export'!C40</f>
        <v>0</v>
      </c>
      <c r="D41" s="281">
        <f>+'Budget Volumes Export'!D40</f>
        <v>0</v>
      </c>
      <c r="E41" s="281">
        <f>+'Budget Volumes Export'!E40</f>
        <v>0</v>
      </c>
      <c r="F41" s="281">
        <f>+'Budget Volumes Export'!F40</f>
        <v>0</v>
      </c>
      <c r="G41" s="281">
        <f>+'Budget Volumes Export'!G40</f>
        <v>0</v>
      </c>
      <c r="H41" s="281">
        <f>+'Budget Volumes Export'!H40</f>
        <v>0</v>
      </c>
      <c r="I41" s="281">
        <f>+'Budget Volumes Export'!I40</f>
        <v>0</v>
      </c>
      <c r="J41" s="281">
        <f>+'Budget Volumes Export'!J40</f>
        <v>0</v>
      </c>
      <c r="K41" s="281">
        <f>+'Budget Volumes Export'!K40</f>
        <v>0</v>
      </c>
      <c r="L41" s="281">
        <f>+'Budget Volumes Export'!L40</f>
        <v>0</v>
      </c>
      <c r="M41" s="281">
        <f>+'Budget Volumes Export'!M40</f>
        <v>0</v>
      </c>
      <c r="N41" s="282">
        <f>SUM(B41:M41)</f>
        <v>0</v>
      </c>
    </row>
    <row r="42" spans="1:14" x14ac:dyDescent="0.35">
      <c r="A42" s="238" t="s">
        <v>469</v>
      </c>
      <c r="B42" s="292">
        <v>8</v>
      </c>
      <c r="C42" s="292">
        <v>8</v>
      </c>
      <c r="D42" s="292">
        <v>8</v>
      </c>
      <c r="E42" s="292">
        <v>8</v>
      </c>
      <c r="F42" s="292">
        <v>8</v>
      </c>
      <c r="G42" s="292">
        <v>8</v>
      </c>
      <c r="H42" s="292">
        <v>8</v>
      </c>
      <c r="I42" s="292">
        <v>8</v>
      </c>
      <c r="J42" s="292">
        <v>8</v>
      </c>
      <c r="K42" s="292">
        <v>8</v>
      </c>
      <c r="L42" s="292">
        <v>8</v>
      </c>
      <c r="M42" s="292">
        <v>8</v>
      </c>
      <c r="N42" s="293" t="e">
        <f>+N40/N41/1000</f>
        <v>#DIV/0!</v>
      </c>
    </row>
    <row r="43" spans="1:14" x14ac:dyDescent="0.35">
      <c r="A43" s="235" t="s">
        <v>377</v>
      </c>
      <c r="B43" s="290">
        <f>B44*B45</f>
        <v>0</v>
      </c>
      <c r="C43" s="290">
        <f t="shared" ref="C43" si="118">C44*C45</f>
        <v>0</v>
      </c>
      <c r="D43" s="290">
        <f t="shared" ref="D43" si="119">D44*D45</f>
        <v>0</v>
      </c>
      <c r="E43" s="290">
        <f t="shared" ref="E43" si="120">E44*E45</f>
        <v>0</v>
      </c>
      <c r="F43" s="290">
        <f t="shared" ref="F43" si="121">F44*F45</f>
        <v>0</v>
      </c>
      <c r="G43" s="290">
        <f t="shared" ref="G43" si="122">G44*G45</f>
        <v>0</v>
      </c>
      <c r="H43" s="290">
        <f t="shared" ref="H43" si="123">H44*H45</f>
        <v>0</v>
      </c>
      <c r="I43" s="290">
        <f t="shared" ref="I43" si="124">I44*I45</f>
        <v>0</v>
      </c>
      <c r="J43" s="290">
        <f t="shared" ref="J43" si="125">J44*J45</f>
        <v>0</v>
      </c>
      <c r="K43" s="290">
        <f t="shared" ref="K43" si="126">K44*K45</f>
        <v>0</v>
      </c>
      <c r="L43" s="290">
        <f t="shared" ref="L43" si="127">L44*L45</f>
        <v>0</v>
      </c>
      <c r="M43" s="290">
        <f t="shared" ref="M43" si="128">M44*M45</f>
        <v>0</v>
      </c>
      <c r="N43" s="291">
        <f>SUM(B43:M43)</f>
        <v>0</v>
      </c>
    </row>
    <row r="44" spans="1:14" x14ac:dyDescent="0.35">
      <c r="A44" s="238" t="s">
        <v>468</v>
      </c>
      <c r="B44" s="281">
        <f>+'Budget Volumes Export'!B43</f>
        <v>0</v>
      </c>
      <c r="C44" s="281">
        <f>+'Budget Volumes Export'!C43</f>
        <v>0</v>
      </c>
      <c r="D44" s="281">
        <f>+'Budget Volumes Export'!D43</f>
        <v>0</v>
      </c>
      <c r="E44" s="281">
        <f>+'Budget Volumes Export'!E43</f>
        <v>0</v>
      </c>
      <c r="F44" s="281">
        <f>+'Budget Volumes Export'!F43</f>
        <v>0</v>
      </c>
      <c r="G44" s="281">
        <f>+'Budget Volumes Export'!G43</f>
        <v>0</v>
      </c>
      <c r="H44" s="281">
        <f>+'Budget Volumes Export'!H43</f>
        <v>0</v>
      </c>
      <c r="I44" s="281">
        <f>+'Budget Volumes Export'!I43</f>
        <v>0</v>
      </c>
      <c r="J44" s="281">
        <f>+'Budget Volumes Export'!J43</f>
        <v>0</v>
      </c>
      <c r="K44" s="281">
        <f>+'Budget Volumes Export'!K43</f>
        <v>0</v>
      </c>
      <c r="L44" s="281">
        <f>+'Budget Volumes Export'!L43</f>
        <v>0</v>
      </c>
      <c r="M44" s="281">
        <f>+'Budget Volumes Export'!M43</f>
        <v>0</v>
      </c>
      <c r="N44" s="282">
        <f>SUM(B44:M44)</f>
        <v>0</v>
      </c>
    </row>
    <row r="45" spans="1:14" x14ac:dyDescent="0.35">
      <c r="A45" s="238" t="s">
        <v>469</v>
      </c>
      <c r="B45" s="292">
        <v>50</v>
      </c>
      <c r="C45" s="292">
        <v>50</v>
      </c>
      <c r="D45" s="292">
        <v>50</v>
      </c>
      <c r="E45" s="292">
        <v>50</v>
      </c>
      <c r="F45" s="292">
        <v>50</v>
      </c>
      <c r="G45" s="292">
        <v>50</v>
      </c>
      <c r="H45" s="292">
        <v>50</v>
      </c>
      <c r="I45" s="292">
        <v>50</v>
      </c>
      <c r="J45" s="292">
        <v>50</v>
      </c>
      <c r="K45" s="292">
        <v>50</v>
      </c>
      <c r="L45" s="292">
        <v>50</v>
      </c>
      <c r="M45" s="292">
        <v>50</v>
      </c>
      <c r="N45" s="293" t="e">
        <f>+N43/N44/1000</f>
        <v>#DIV/0!</v>
      </c>
    </row>
    <row r="46" spans="1:14" x14ac:dyDescent="0.35">
      <c r="A46" s="235" t="s">
        <v>378</v>
      </c>
      <c r="B46" s="290">
        <f>B47*B48</f>
        <v>0</v>
      </c>
      <c r="C46" s="290">
        <f t="shared" ref="C46" si="129">C47*C48</f>
        <v>0</v>
      </c>
      <c r="D46" s="290">
        <f t="shared" ref="D46" si="130">D47*D48</f>
        <v>0</v>
      </c>
      <c r="E46" s="290">
        <f t="shared" ref="E46" si="131">E47*E48</f>
        <v>0</v>
      </c>
      <c r="F46" s="290">
        <f t="shared" ref="F46" si="132">F47*F48</f>
        <v>0</v>
      </c>
      <c r="G46" s="290">
        <f t="shared" ref="G46" si="133">G47*G48</f>
        <v>0</v>
      </c>
      <c r="H46" s="290">
        <f t="shared" ref="H46" si="134">H47*H48</f>
        <v>0</v>
      </c>
      <c r="I46" s="290">
        <f t="shared" ref="I46" si="135">I47*I48</f>
        <v>0</v>
      </c>
      <c r="J46" s="290">
        <f t="shared" ref="J46" si="136">J47*J48</f>
        <v>0</v>
      </c>
      <c r="K46" s="290">
        <f t="shared" ref="K46" si="137">K47*K48</f>
        <v>0</v>
      </c>
      <c r="L46" s="290">
        <f t="shared" ref="L46" si="138">L47*L48</f>
        <v>0</v>
      </c>
      <c r="M46" s="290">
        <f t="shared" ref="M46" si="139">M47*M48</f>
        <v>0</v>
      </c>
      <c r="N46" s="291">
        <f>SUM(B46:M46)</f>
        <v>0</v>
      </c>
    </row>
    <row r="47" spans="1:14" x14ac:dyDescent="0.35">
      <c r="A47" s="238" t="s">
        <v>468</v>
      </c>
      <c r="B47" s="281">
        <f>+'Budget Volumes Export'!B46</f>
        <v>0</v>
      </c>
      <c r="C47" s="281">
        <f>+'Budget Volumes Export'!C46</f>
        <v>0</v>
      </c>
      <c r="D47" s="281">
        <f>+'Budget Volumes Export'!D46</f>
        <v>0</v>
      </c>
      <c r="E47" s="281">
        <f>+'Budget Volumes Export'!E46</f>
        <v>0</v>
      </c>
      <c r="F47" s="281">
        <f>+'Budget Volumes Export'!F46</f>
        <v>0</v>
      </c>
      <c r="G47" s="281">
        <f>+'Budget Volumes Export'!G46</f>
        <v>0</v>
      </c>
      <c r="H47" s="281">
        <f>+'Budget Volumes Export'!H46</f>
        <v>0</v>
      </c>
      <c r="I47" s="281">
        <f>+'Budget Volumes Export'!I46</f>
        <v>0</v>
      </c>
      <c r="J47" s="281">
        <f>+'Budget Volumes Export'!J46</f>
        <v>0</v>
      </c>
      <c r="K47" s="281">
        <f>+'Budget Volumes Export'!K46</f>
        <v>0</v>
      </c>
      <c r="L47" s="281">
        <f>+'Budget Volumes Export'!L46</f>
        <v>0</v>
      </c>
      <c r="M47" s="281">
        <f>+'Budget Volumes Export'!M46</f>
        <v>0</v>
      </c>
      <c r="N47" s="282">
        <f>SUM(B47:M47)</f>
        <v>0</v>
      </c>
    </row>
    <row r="48" spans="1:14" ht="12" thickBot="1" x14ac:dyDescent="0.4">
      <c r="A48" s="238" t="s">
        <v>469</v>
      </c>
      <c r="B48" s="294">
        <v>12</v>
      </c>
      <c r="C48" s="294">
        <v>12</v>
      </c>
      <c r="D48" s="294">
        <v>12</v>
      </c>
      <c r="E48" s="294">
        <v>12</v>
      </c>
      <c r="F48" s="294">
        <v>12</v>
      </c>
      <c r="G48" s="294">
        <v>12</v>
      </c>
      <c r="H48" s="294">
        <v>12</v>
      </c>
      <c r="I48" s="294">
        <v>12</v>
      </c>
      <c r="J48" s="294">
        <v>12</v>
      </c>
      <c r="K48" s="294">
        <v>12</v>
      </c>
      <c r="L48" s="294">
        <v>12</v>
      </c>
      <c r="M48" s="294">
        <v>12</v>
      </c>
      <c r="N48" s="295" t="e">
        <f>+N46/N47/1000</f>
        <v>#DIV/0!</v>
      </c>
    </row>
    <row r="49" spans="1:14" x14ac:dyDescent="0.35">
      <c r="A49" s="233" t="s">
        <v>375</v>
      </c>
      <c r="B49" s="285">
        <f>+B52+B55+B58+B61+B64+B67</f>
        <v>0</v>
      </c>
      <c r="C49" s="285">
        <f t="shared" ref="C49:M50" si="140">+C52+C55+C58+C61+C64+C67</f>
        <v>0</v>
      </c>
      <c r="D49" s="285">
        <f t="shared" si="140"/>
        <v>0</v>
      </c>
      <c r="E49" s="285">
        <f t="shared" si="140"/>
        <v>1170750</v>
      </c>
      <c r="F49" s="285">
        <f t="shared" si="140"/>
        <v>780500</v>
      </c>
      <c r="G49" s="285">
        <f t="shared" si="140"/>
        <v>390250</v>
      </c>
      <c r="H49" s="285">
        <f t="shared" si="140"/>
        <v>390250</v>
      </c>
      <c r="I49" s="285">
        <f t="shared" si="140"/>
        <v>780500</v>
      </c>
      <c r="J49" s="285">
        <f t="shared" si="140"/>
        <v>1170750</v>
      </c>
      <c r="K49" s="285">
        <f t="shared" si="140"/>
        <v>1170750</v>
      </c>
      <c r="L49" s="285">
        <f t="shared" si="140"/>
        <v>780500</v>
      </c>
      <c r="M49" s="285">
        <f t="shared" si="140"/>
        <v>390250</v>
      </c>
      <c r="N49" s="286">
        <f>SUM(B49:M49)</f>
        <v>7024500</v>
      </c>
    </row>
    <row r="50" spans="1:14" x14ac:dyDescent="0.35">
      <c r="A50" s="234" t="s">
        <v>468</v>
      </c>
      <c r="B50" s="287">
        <f>+B53+B56+B59+B62+B65+B68</f>
        <v>0</v>
      </c>
      <c r="C50" s="287">
        <f t="shared" si="140"/>
        <v>0</v>
      </c>
      <c r="D50" s="287">
        <f t="shared" si="140"/>
        <v>0</v>
      </c>
      <c r="E50" s="287">
        <f t="shared" si="140"/>
        <v>83625</v>
      </c>
      <c r="F50" s="287">
        <f t="shared" si="140"/>
        <v>55750</v>
      </c>
      <c r="G50" s="287">
        <f t="shared" si="140"/>
        <v>27875</v>
      </c>
      <c r="H50" s="287">
        <f t="shared" si="140"/>
        <v>27875</v>
      </c>
      <c r="I50" s="287">
        <f t="shared" si="140"/>
        <v>55750</v>
      </c>
      <c r="J50" s="287">
        <f t="shared" si="140"/>
        <v>83625</v>
      </c>
      <c r="K50" s="287">
        <f t="shared" si="140"/>
        <v>83625</v>
      </c>
      <c r="L50" s="287">
        <f t="shared" si="140"/>
        <v>55750</v>
      </c>
      <c r="M50" s="287">
        <f t="shared" si="140"/>
        <v>27875</v>
      </c>
      <c r="N50" s="288">
        <f>SUM(B50:M50)</f>
        <v>501750</v>
      </c>
    </row>
    <row r="51" spans="1:14" x14ac:dyDescent="0.35">
      <c r="A51" s="234" t="s">
        <v>469</v>
      </c>
      <c r="B51" s="289" t="e">
        <f>+B49/B50</f>
        <v>#DIV/0!</v>
      </c>
      <c r="C51" s="289" t="e">
        <f t="shared" ref="C51" si="141">+C49/C50</f>
        <v>#DIV/0!</v>
      </c>
      <c r="D51" s="289" t="e">
        <f t="shared" ref="D51" si="142">+D49/D50</f>
        <v>#DIV/0!</v>
      </c>
      <c r="E51" s="289">
        <f t="shared" ref="E51" si="143">+E49/E50</f>
        <v>14</v>
      </c>
      <c r="F51" s="289">
        <f t="shared" ref="F51" si="144">+F49/F50</f>
        <v>14</v>
      </c>
      <c r="G51" s="289">
        <f t="shared" ref="G51" si="145">+G49/G50</f>
        <v>14</v>
      </c>
      <c r="H51" s="289">
        <f t="shared" ref="H51" si="146">+H49/H50</f>
        <v>14</v>
      </c>
      <c r="I51" s="289">
        <f t="shared" ref="I51" si="147">+I49/I50</f>
        <v>14</v>
      </c>
      <c r="J51" s="289">
        <f t="shared" ref="J51" si="148">+J49/J50</f>
        <v>14</v>
      </c>
      <c r="K51" s="289">
        <f t="shared" ref="K51" si="149">+K49/K50</f>
        <v>14</v>
      </c>
      <c r="L51" s="289">
        <f t="shared" ref="L51" si="150">+L49/L50</f>
        <v>14</v>
      </c>
      <c r="M51" s="289">
        <f t="shared" ref="M51" si="151">+M49/M50</f>
        <v>14</v>
      </c>
      <c r="N51" s="289">
        <f t="shared" ref="N51" si="152">+N49/N50</f>
        <v>14</v>
      </c>
    </row>
    <row r="52" spans="1:14" x14ac:dyDescent="0.35">
      <c r="A52" s="235" t="s">
        <v>90</v>
      </c>
      <c r="B52" s="290">
        <f>B53*B54</f>
        <v>0</v>
      </c>
      <c r="C52" s="290">
        <f t="shared" ref="C52" si="153">C53*C54</f>
        <v>0</v>
      </c>
      <c r="D52" s="290">
        <f t="shared" ref="D52" si="154">D53*D54</f>
        <v>0</v>
      </c>
      <c r="E52" s="290">
        <f t="shared" ref="E52" si="155">E53*E54</f>
        <v>0</v>
      </c>
      <c r="F52" s="290">
        <f t="shared" ref="F52" si="156">F53*F54</f>
        <v>0</v>
      </c>
      <c r="G52" s="290">
        <f t="shared" ref="G52" si="157">G53*G54</f>
        <v>0</v>
      </c>
      <c r="H52" s="290">
        <f t="shared" ref="H52" si="158">H53*H54</f>
        <v>0</v>
      </c>
      <c r="I52" s="290">
        <f t="shared" ref="I52" si="159">I53*I54</f>
        <v>0</v>
      </c>
      <c r="J52" s="290">
        <f t="shared" ref="J52" si="160">J53*J54</f>
        <v>0</v>
      </c>
      <c r="K52" s="290">
        <f t="shared" ref="K52" si="161">K53*K54</f>
        <v>0</v>
      </c>
      <c r="L52" s="290">
        <f t="shared" ref="L52" si="162">L53*L54</f>
        <v>0</v>
      </c>
      <c r="M52" s="290">
        <f t="shared" ref="M52" si="163">M53*M54</f>
        <v>0</v>
      </c>
      <c r="N52" s="291">
        <f>SUM(B52:M52)</f>
        <v>0</v>
      </c>
    </row>
    <row r="53" spans="1:14" x14ac:dyDescent="0.35">
      <c r="A53" s="238" t="s">
        <v>468</v>
      </c>
      <c r="B53" s="281">
        <f>+'Budget Volumes Export'!B52</f>
        <v>0</v>
      </c>
      <c r="C53" s="281">
        <f>+'Budget Volumes Export'!C52</f>
        <v>0</v>
      </c>
      <c r="D53" s="281">
        <f>+'Budget Volumes Export'!D52</f>
        <v>0</v>
      </c>
      <c r="E53" s="281">
        <f>+'Budget Volumes Export'!E52</f>
        <v>0</v>
      </c>
      <c r="F53" s="281">
        <f>+'Budget Volumes Export'!F52</f>
        <v>0</v>
      </c>
      <c r="G53" s="281">
        <f>+'Budget Volumes Export'!G52</f>
        <v>0</v>
      </c>
      <c r="H53" s="281">
        <f>+'Budget Volumes Export'!H52</f>
        <v>0</v>
      </c>
      <c r="I53" s="281">
        <f>+'Budget Volumes Export'!I52</f>
        <v>0</v>
      </c>
      <c r="J53" s="281">
        <f>+'Budget Volumes Export'!J52</f>
        <v>0</v>
      </c>
      <c r="K53" s="281">
        <f>+'Budget Volumes Export'!K52</f>
        <v>0</v>
      </c>
      <c r="L53" s="281">
        <f>+'Budget Volumes Export'!L52</f>
        <v>0</v>
      </c>
      <c r="M53" s="281">
        <f>+'Budget Volumes Export'!M52</f>
        <v>0</v>
      </c>
      <c r="N53" s="282">
        <f>SUM(B53:M53)</f>
        <v>0</v>
      </c>
    </row>
    <row r="54" spans="1:14" x14ac:dyDescent="0.35">
      <c r="A54" s="238" t="s">
        <v>469</v>
      </c>
      <c r="B54" s="292">
        <v>10</v>
      </c>
      <c r="C54" s="292">
        <v>10</v>
      </c>
      <c r="D54" s="292">
        <v>10</v>
      </c>
      <c r="E54" s="292">
        <v>10</v>
      </c>
      <c r="F54" s="292">
        <v>10</v>
      </c>
      <c r="G54" s="292">
        <v>10</v>
      </c>
      <c r="H54" s="292">
        <v>10</v>
      </c>
      <c r="I54" s="292">
        <v>10</v>
      </c>
      <c r="J54" s="292">
        <v>10</v>
      </c>
      <c r="K54" s="292">
        <v>10</v>
      </c>
      <c r="L54" s="292">
        <v>10</v>
      </c>
      <c r="M54" s="292">
        <v>10</v>
      </c>
      <c r="N54" s="293" t="e">
        <f>+N52/N53/1000</f>
        <v>#DIV/0!</v>
      </c>
    </row>
    <row r="55" spans="1:14" x14ac:dyDescent="0.35">
      <c r="A55" s="235" t="s">
        <v>91</v>
      </c>
      <c r="B55" s="290">
        <f>B56*B57</f>
        <v>0</v>
      </c>
      <c r="C55" s="290">
        <f t="shared" ref="C55" si="164">C56*C57</f>
        <v>0</v>
      </c>
      <c r="D55" s="290">
        <f t="shared" ref="D55" si="165">D56*D57</f>
        <v>0</v>
      </c>
      <c r="E55" s="290">
        <f t="shared" ref="E55" si="166">E56*E57</f>
        <v>0</v>
      </c>
      <c r="F55" s="290">
        <f t="shared" ref="F55" si="167">F56*F57</f>
        <v>0</v>
      </c>
      <c r="G55" s="290">
        <f t="shared" ref="G55" si="168">G56*G57</f>
        <v>0</v>
      </c>
      <c r="H55" s="290">
        <f t="shared" ref="H55" si="169">H56*H57</f>
        <v>0</v>
      </c>
      <c r="I55" s="290">
        <f t="shared" ref="I55" si="170">I56*I57</f>
        <v>0</v>
      </c>
      <c r="J55" s="290">
        <f t="shared" ref="J55" si="171">J56*J57</f>
        <v>0</v>
      </c>
      <c r="K55" s="290">
        <f t="shared" ref="K55" si="172">K56*K57</f>
        <v>0</v>
      </c>
      <c r="L55" s="290">
        <f t="shared" ref="L55" si="173">L56*L57</f>
        <v>0</v>
      </c>
      <c r="M55" s="290">
        <f t="shared" ref="M55" si="174">M56*M57</f>
        <v>0</v>
      </c>
      <c r="N55" s="291">
        <f>SUM(B55:M55)</f>
        <v>0</v>
      </c>
    </row>
    <row r="56" spans="1:14" x14ac:dyDescent="0.35">
      <c r="A56" s="238" t="s">
        <v>468</v>
      </c>
      <c r="B56" s="281">
        <f>+'Budget Volumes Export'!B55</f>
        <v>0</v>
      </c>
      <c r="C56" s="281">
        <f>+'Budget Volumes Export'!C55</f>
        <v>0</v>
      </c>
      <c r="D56" s="281">
        <f>+'Budget Volumes Export'!D55</f>
        <v>0</v>
      </c>
      <c r="E56" s="281">
        <f>+'Budget Volumes Export'!E55</f>
        <v>0</v>
      </c>
      <c r="F56" s="281">
        <f>+'Budget Volumes Export'!F55</f>
        <v>0</v>
      </c>
      <c r="G56" s="281">
        <f>+'Budget Volumes Export'!G55</f>
        <v>0</v>
      </c>
      <c r="H56" s="281">
        <f>+'Budget Volumes Export'!H55</f>
        <v>0</v>
      </c>
      <c r="I56" s="281">
        <f>+'Budget Volumes Export'!I55</f>
        <v>0</v>
      </c>
      <c r="J56" s="281">
        <f>+'Budget Volumes Export'!J55</f>
        <v>0</v>
      </c>
      <c r="K56" s="281">
        <f>+'Budget Volumes Export'!K55</f>
        <v>0</v>
      </c>
      <c r="L56" s="281">
        <f>+'Budget Volumes Export'!L55</f>
        <v>0</v>
      </c>
      <c r="M56" s="281">
        <f>+'Budget Volumes Export'!M55</f>
        <v>0</v>
      </c>
      <c r="N56" s="282">
        <f>+'Plan de culture 104 '!$X$13</f>
        <v>0</v>
      </c>
    </row>
    <row r="57" spans="1:14" x14ac:dyDescent="0.35">
      <c r="A57" s="238" t="s">
        <v>469</v>
      </c>
      <c r="B57" s="292">
        <v>12</v>
      </c>
      <c r="C57" s="292">
        <v>12</v>
      </c>
      <c r="D57" s="292">
        <v>12</v>
      </c>
      <c r="E57" s="292">
        <v>12</v>
      </c>
      <c r="F57" s="292">
        <v>12</v>
      </c>
      <c r="G57" s="292">
        <v>12</v>
      </c>
      <c r="H57" s="292">
        <v>12</v>
      </c>
      <c r="I57" s="292">
        <v>12</v>
      </c>
      <c r="J57" s="292">
        <v>12</v>
      </c>
      <c r="K57" s="292">
        <v>12</v>
      </c>
      <c r="L57" s="292">
        <v>12</v>
      </c>
      <c r="M57" s="292">
        <v>12</v>
      </c>
      <c r="N57" s="293" t="e">
        <f>+N55/N56/1000</f>
        <v>#DIV/0!</v>
      </c>
    </row>
    <row r="58" spans="1:14" x14ac:dyDescent="0.35">
      <c r="A58" s="235" t="s">
        <v>376</v>
      </c>
      <c r="B58" s="290">
        <f>B59*B60</f>
        <v>0</v>
      </c>
      <c r="C58" s="290">
        <f t="shared" ref="C58" si="175">C59*C60</f>
        <v>0</v>
      </c>
      <c r="D58" s="290">
        <f t="shared" ref="D58" si="176">D59*D60</f>
        <v>0</v>
      </c>
      <c r="E58" s="290">
        <f t="shared" ref="E58" si="177">E59*E60</f>
        <v>1170750</v>
      </c>
      <c r="F58" s="290">
        <f t="shared" ref="F58" si="178">F59*F60</f>
        <v>780500</v>
      </c>
      <c r="G58" s="290">
        <f t="shared" ref="G58" si="179">G59*G60</f>
        <v>390250</v>
      </c>
      <c r="H58" s="290">
        <f t="shared" ref="H58" si="180">H59*H60</f>
        <v>390250</v>
      </c>
      <c r="I58" s="290">
        <f t="shared" ref="I58" si="181">I59*I60</f>
        <v>780500</v>
      </c>
      <c r="J58" s="290">
        <f t="shared" ref="J58" si="182">J59*J60</f>
        <v>1170750</v>
      </c>
      <c r="K58" s="290">
        <f t="shared" ref="K58" si="183">K59*K60</f>
        <v>1170750</v>
      </c>
      <c r="L58" s="290">
        <f t="shared" ref="L58" si="184">L59*L60</f>
        <v>780500</v>
      </c>
      <c r="M58" s="290">
        <f t="shared" ref="M58" si="185">M59*M60</f>
        <v>390250</v>
      </c>
      <c r="N58" s="291">
        <f>SUM(B58:M58)</f>
        <v>7024500</v>
      </c>
    </row>
    <row r="59" spans="1:14" x14ac:dyDescent="0.35">
      <c r="A59" s="238" t="s">
        <v>468</v>
      </c>
      <c r="B59" s="281">
        <f>+'Budget Volumes Export'!B58</f>
        <v>0</v>
      </c>
      <c r="C59" s="281">
        <f>+'Budget Volumes Export'!C58</f>
        <v>0</v>
      </c>
      <c r="D59" s="281">
        <f>+'Budget Volumes Export'!D58</f>
        <v>0</v>
      </c>
      <c r="E59" s="281">
        <f>+'Budget Volumes Export'!E58</f>
        <v>83625</v>
      </c>
      <c r="F59" s="281">
        <f>+'Budget Volumes Export'!F58</f>
        <v>55750</v>
      </c>
      <c r="G59" s="281">
        <f>+'Budget Volumes Export'!G58</f>
        <v>27875</v>
      </c>
      <c r="H59" s="281">
        <f>+'Budget Volumes Export'!H58</f>
        <v>27875</v>
      </c>
      <c r="I59" s="281">
        <f>+'Budget Volumes Export'!I58</f>
        <v>55750</v>
      </c>
      <c r="J59" s="281">
        <f>+'Budget Volumes Export'!J58</f>
        <v>83625</v>
      </c>
      <c r="K59" s="281">
        <f>+'Budget Volumes Export'!K58</f>
        <v>83625</v>
      </c>
      <c r="L59" s="281">
        <f>+'Budget Volumes Export'!L58</f>
        <v>55750</v>
      </c>
      <c r="M59" s="281">
        <f>+'Budget Volumes Export'!M58</f>
        <v>27875</v>
      </c>
      <c r="N59" s="282">
        <f>SUM(B59:M59)</f>
        <v>501750</v>
      </c>
    </row>
    <row r="60" spans="1:14" x14ac:dyDescent="0.35">
      <c r="A60" s="238" t="s">
        <v>469</v>
      </c>
      <c r="B60" s="292">
        <v>14</v>
      </c>
      <c r="C60" s="292">
        <v>14</v>
      </c>
      <c r="D60" s="292">
        <v>14</v>
      </c>
      <c r="E60" s="292">
        <v>14</v>
      </c>
      <c r="F60" s="292">
        <v>14</v>
      </c>
      <c r="G60" s="292">
        <v>14</v>
      </c>
      <c r="H60" s="292">
        <v>14</v>
      </c>
      <c r="I60" s="292">
        <v>14</v>
      </c>
      <c r="J60" s="292">
        <v>14</v>
      </c>
      <c r="K60" s="292">
        <v>14</v>
      </c>
      <c r="L60" s="292">
        <v>14</v>
      </c>
      <c r="M60" s="292">
        <v>14</v>
      </c>
      <c r="N60" s="293">
        <f>+N58/N59/1000</f>
        <v>1.4E-2</v>
      </c>
    </row>
    <row r="61" spans="1:14" x14ac:dyDescent="0.35">
      <c r="A61" s="235" t="s">
        <v>92</v>
      </c>
      <c r="B61" s="290">
        <f>B62*B63</f>
        <v>0</v>
      </c>
      <c r="C61" s="290">
        <f t="shared" ref="C61" si="186">C62*C63</f>
        <v>0</v>
      </c>
      <c r="D61" s="290">
        <f t="shared" ref="D61" si="187">D62*D63</f>
        <v>0</v>
      </c>
      <c r="E61" s="290">
        <f t="shared" ref="E61" si="188">E62*E63</f>
        <v>0</v>
      </c>
      <c r="F61" s="290">
        <f t="shared" ref="F61" si="189">F62*F63</f>
        <v>0</v>
      </c>
      <c r="G61" s="290">
        <f t="shared" ref="G61" si="190">G62*G63</f>
        <v>0</v>
      </c>
      <c r="H61" s="290">
        <f t="shared" ref="H61" si="191">H62*H63</f>
        <v>0</v>
      </c>
      <c r="I61" s="290">
        <f t="shared" ref="I61" si="192">I62*I63</f>
        <v>0</v>
      </c>
      <c r="J61" s="290">
        <f t="shared" ref="J61" si="193">J62*J63</f>
        <v>0</v>
      </c>
      <c r="K61" s="290">
        <f t="shared" ref="K61" si="194">K62*K63</f>
        <v>0</v>
      </c>
      <c r="L61" s="290">
        <f t="shared" ref="L61" si="195">L62*L63</f>
        <v>0</v>
      </c>
      <c r="M61" s="290">
        <f t="shared" ref="M61" si="196">M62*M63</f>
        <v>0</v>
      </c>
      <c r="N61" s="291">
        <f>SUM(B61:M61)</f>
        <v>0</v>
      </c>
    </row>
    <row r="62" spans="1:14" x14ac:dyDescent="0.35">
      <c r="A62" s="238" t="s">
        <v>468</v>
      </c>
      <c r="B62" s="281">
        <f>+'Budget Volumes Export'!B61</f>
        <v>0</v>
      </c>
      <c r="C62" s="281">
        <f>+'Budget Volumes Export'!C61</f>
        <v>0</v>
      </c>
      <c r="D62" s="281">
        <f>+'Budget Volumes Export'!D61</f>
        <v>0</v>
      </c>
      <c r="E62" s="281">
        <f>+'Budget Volumes Export'!E61</f>
        <v>0</v>
      </c>
      <c r="F62" s="281">
        <f>+'Budget Volumes Export'!F61</f>
        <v>0</v>
      </c>
      <c r="G62" s="281">
        <f>+'Budget Volumes Export'!G61</f>
        <v>0</v>
      </c>
      <c r="H62" s="281">
        <f>+'Budget Volumes Export'!H61</f>
        <v>0</v>
      </c>
      <c r="I62" s="281">
        <f>+'Budget Volumes Export'!I61</f>
        <v>0</v>
      </c>
      <c r="J62" s="281">
        <f>+'Budget Volumes Export'!J61</f>
        <v>0</v>
      </c>
      <c r="K62" s="281">
        <f>+'Budget Volumes Export'!K61</f>
        <v>0</v>
      </c>
      <c r="L62" s="281">
        <f>+'Budget Volumes Export'!L61</f>
        <v>0</v>
      </c>
      <c r="M62" s="281">
        <f>+'Budget Volumes Export'!M61</f>
        <v>0</v>
      </c>
      <c r="N62" s="282">
        <f>SUM(B62:M62)</f>
        <v>0</v>
      </c>
    </row>
    <row r="63" spans="1:14" x14ac:dyDescent="0.35">
      <c r="A63" s="238" t="s">
        <v>469</v>
      </c>
      <c r="B63" s="292">
        <v>8</v>
      </c>
      <c r="C63" s="292">
        <v>8</v>
      </c>
      <c r="D63" s="292">
        <v>8</v>
      </c>
      <c r="E63" s="292">
        <v>8</v>
      </c>
      <c r="F63" s="292">
        <v>8</v>
      </c>
      <c r="G63" s="292">
        <v>8</v>
      </c>
      <c r="H63" s="292">
        <v>8</v>
      </c>
      <c r="I63" s="292">
        <v>8</v>
      </c>
      <c r="J63" s="292">
        <v>8</v>
      </c>
      <c r="K63" s="292">
        <v>8</v>
      </c>
      <c r="L63" s="292">
        <v>8</v>
      </c>
      <c r="M63" s="292">
        <v>8</v>
      </c>
      <c r="N63" s="293" t="e">
        <f>+N61/N62/1000</f>
        <v>#DIV/0!</v>
      </c>
    </row>
    <row r="64" spans="1:14" x14ac:dyDescent="0.35">
      <c r="A64" s="235" t="s">
        <v>377</v>
      </c>
      <c r="B64" s="290">
        <f>B65*B66</f>
        <v>0</v>
      </c>
      <c r="C64" s="290">
        <f t="shared" ref="C64" si="197">C65*C66</f>
        <v>0</v>
      </c>
      <c r="D64" s="290">
        <f t="shared" ref="D64" si="198">D65*D66</f>
        <v>0</v>
      </c>
      <c r="E64" s="290">
        <f t="shared" ref="E64" si="199">E65*E66</f>
        <v>0</v>
      </c>
      <c r="F64" s="290">
        <f t="shared" ref="F64" si="200">F65*F66</f>
        <v>0</v>
      </c>
      <c r="G64" s="290">
        <f t="shared" ref="G64" si="201">G65*G66</f>
        <v>0</v>
      </c>
      <c r="H64" s="290">
        <f t="shared" ref="H64" si="202">H65*H66</f>
        <v>0</v>
      </c>
      <c r="I64" s="290">
        <f t="shared" ref="I64" si="203">I65*I66</f>
        <v>0</v>
      </c>
      <c r="J64" s="290">
        <f t="shared" ref="J64" si="204">J65*J66</f>
        <v>0</v>
      </c>
      <c r="K64" s="290">
        <f t="shared" ref="K64" si="205">K65*K66</f>
        <v>0</v>
      </c>
      <c r="L64" s="290">
        <f t="shared" ref="L64" si="206">L65*L66</f>
        <v>0</v>
      </c>
      <c r="M64" s="290">
        <f t="shared" ref="M64" si="207">M65*M66</f>
        <v>0</v>
      </c>
      <c r="N64" s="291">
        <f>SUM(B64:M64)</f>
        <v>0</v>
      </c>
    </row>
    <row r="65" spans="1:14" x14ac:dyDescent="0.35">
      <c r="A65" s="238" t="s">
        <v>468</v>
      </c>
      <c r="B65" s="281">
        <f>+'Budget Volumes Export'!B64</f>
        <v>0</v>
      </c>
      <c r="C65" s="281">
        <f>+'Budget Volumes Export'!C64</f>
        <v>0</v>
      </c>
      <c r="D65" s="281">
        <f>+'Budget Volumes Export'!D64</f>
        <v>0</v>
      </c>
      <c r="E65" s="281">
        <f>+'Budget Volumes Export'!E64</f>
        <v>0</v>
      </c>
      <c r="F65" s="281">
        <f>+'Budget Volumes Export'!F64</f>
        <v>0</v>
      </c>
      <c r="G65" s="281">
        <f>+'Budget Volumes Export'!G64</f>
        <v>0</v>
      </c>
      <c r="H65" s="281">
        <f>+'Budget Volumes Export'!H64</f>
        <v>0</v>
      </c>
      <c r="I65" s="281">
        <f>+'Budget Volumes Export'!I64</f>
        <v>0</v>
      </c>
      <c r="J65" s="281">
        <f>+'Budget Volumes Export'!J64</f>
        <v>0</v>
      </c>
      <c r="K65" s="281">
        <f>+'Budget Volumes Export'!K64</f>
        <v>0</v>
      </c>
      <c r="L65" s="281">
        <f>+'Budget Volumes Export'!L64</f>
        <v>0</v>
      </c>
      <c r="M65" s="281">
        <f>+'Budget Volumes Export'!M64</f>
        <v>0</v>
      </c>
      <c r="N65" s="282">
        <f>SUM(B65:M65)</f>
        <v>0</v>
      </c>
    </row>
    <row r="66" spans="1:14" x14ac:dyDescent="0.35">
      <c r="A66" s="238" t="s">
        <v>469</v>
      </c>
      <c r="B66" s="292">
        <v>50</v>
      </c>
      <c r="C66" s="292">
        <v>50</v>
      </c>
      <c r="D66" s="292">
        <v>50</v>
      </c>
      <c r="E66" s="292">
        <v>50</v>
      </c>
      <c r="F66" s="292">
        <v>50</v>
      </c>
      <c r="G66" s="292">
        <v>50</v>
      </c>
      <c r="H66" s="292">
        <v>50</v>
      </c>
      <c r="I66" s="292">
        <v>50</v>
      </c>
      <c r="J66" s="292">
        <v>50</v>
      </c>
      <c r="K66" s="292">
        <v>50</v>
      </c>
      <c r="L66" s="292">
        <v>50</v>
      </c>
      <c r="M66" s="292">
        <v>50</v>
      </c>
      <c r="N66" s="293" t="e">
        <f>+N64/N65/1000</f>
        <v>#DIV/0!</v>
      </c>
    </row>
    <row r="67" spans="1:14" x14ac:dyDescent="0.35">
      <c r="A67" s="235" t="s">
        <v>378</v>
      </c>
      <c r="B67" s="290">
        <f>B68*B69</f>
        <v>0</v>
      </c>
      <c r="C67" s="290">
        <f t="shared" ref="C67" si="208">C68*C69</f>
        <v>0</v>
      </c>
      <c r="D67" s="290">
        <f t="shared" ref="D67" si="209">D68*D69</f>
        <v>0</v>
      </c>
      <c r="E67" s="290">
        <f t="shared" ref="E67" si="210">E68*E69</f>
        <v>0</v>
      </c>
      <c r="F67" s="290">
        <f t="shared" ref="F67" si="211">F68*F69</f>
        <v>0</v>
      </c>
      <c r="G67" s="290">
        <f t="shared" ref="G67" si="212">G68*G69</f>
        <v>0</v>
      </c>
      <c r="H67" s="290">
        <f t="shared" ref="H67" si="213">H68*H69</f>
        <v>0</v>
      </c>
      <c r="I67" s="290">
        <f t="shared" ref="I67" si="214">I68*I69</f>
        <v>0</v>
      </c>
      <c r="J67" s="290">
        <f t="shared" ref="J67" si="215">J68*J69</f>
        <v>0</v>
      </c>
      <c r="K67" s="290">
        <f t="shared" ref="K67" si="216">K68*K69</f>
        <v>0</v>
      </c>
      <c r="L67" s="290">
        <f t="shared" ref="L67" si="217">L68*L69</f>
        <v>0</v>
      </c>
      <c r="M67" s="290">
        <f t="shared" ref="M67" si="218">M68*M69</f>
        <v>0</v>
      </c>
      <c r="N67" s="291">
        <f>SUM(B67:M67)</f>
        <v>0</v>
      </c>
    </row>
    <row r="68" spans="1:14" x14ac:dyDescent="0.35">
      <c r="A68" s="238" t="s">
        <v>468</v>
      </c>
      <c r="B68" s="281">
        <f>+'Budget Volumes Export'!B67</f>
        <v>0</v>
      </c>
      <c r="C68" s="281">
        <f>+'Budget Volumes Export'!C67</f>
        <v>0</v>
      </c>
      <c r="D68" s="281">
        <f>+'Budget Volumes Export'!D67</f>
        <v>0</v>
      </c>
      <c r="E68" s="281">
        <f>+'Budget Volumes Export'!E67</f>
        <v>0</v>
      </c>
      <c r="F68" s="281">
        <f>+'Budget Volumes Export'!F67</f>
        <v>0</v>
      </c>
      <c r="G68" s="281">
        <f>+'Budget Volumes Export'!G67</f>
        <v>0</v>
      </c>
      <c r="H68" s="281">
        <f>+'Budget Volumes Export'!H67</f>
        <v>0</v>
      </c>
      <c r="I68" s="281">
        <f>+'Budget Volumes Export'!I67</f>
        <v>0</v>
      </c>
      <c r="J68" s="281">
        <f>+'Budget Volumes Export'!J67</f>
        <v>0</v>
      </c>
      <c r="K68" s="281">
        <f>+'Budget Volumes Export'!K67</f>
        <v>0</v>
      </c>
      <c r="L68" s="281">
        <f>+'Budget Volumes Export'!L67</f>
        <v>0</v>
      </c>
      <c r="M68" s="281">
        <f>+'Budget Volumes Export'!M67</f>
        <v>0</v>
      </c>
      <c r="N68" s="282">
        <f>SUM(B68:M68)</f>
        <v>0</v>
      </c>
    </row>
    <row r="69" spans="1:14" ht="12" thickBot="1" x14ac:dyDescent="0.4">
      <c r="A69" s="238" t="s">
        <v>469</v>
      </c>
      <c r="B69" s="294">
        <v>12</v>
      </c>
      <c r="C69" s="294">
        <v>12</v>
      </c>
      <c r="D69" s="294">
        <v>12</v>
      </c>
      <c r="E69" s="294">
        <v>12</v>
      </c>
      <c r="F69" s="294">
        <v>12</v>
      </c>
      <c r="G69" s="294">
        <v>12</v>
      </c>
      <c r="H69" s="294">
        <v>12</v>
      </c>
      <c r="I69" s="294">
        <v>12</v>
      </c>
      <c r="J69" s="294">
        <v>12</v>
      </c>
      <c r="K69" s="294">
        <v>12</v>
      </c>
      <c r="L69" s="294">
        <v>12</v>
      </c>
      <c r="M69" s="294">
        <v>12</v>
      </c>
      <c r="N69" s="295" t="e">
        <f>+N67/N68/1000</f>
        <v>#DIV/0!</v>
      </c>
    </row>
    <row r="70" spans="1:14" x14ac:dyDescent="0.35">
      <c r="A70" s="233" t="s">
        <v>379</v>
      </c>
      <c r="B70" s="285">
        <f>+B73+B76+B79+B82+B85+B88</f>
        <v>0</v>
      </c>
      <c r="C70" s="285">
        <f t="shared" ref="C70:M71" si="219">+C73+C76+C79+C82+C85+C88</f>
        <v>0</v>
      </c>
      <c r="D70" s="285">
        <f t="shared" si="219"/>
        <v>0</v>
      </c>
      <c r="E70" s="285">
        <f t="shared" si="219"/>
        <v>2649280</v>
      </c>
      <c r="F70" s="285">
        <f t="shared" si="219"/>
        <v>2649280</v>
      </c>
      <c r="G70" s="285">
        <f t="shared" si="219"/>
        <v>1986960</v>
      </c>
      <c r="H70" s="285">
        <f t="shared" si="219"/>
        <v>1986960</v>
      </c>
      <c r="I70" s="285">
        <f t="shared" si="219"/>
        <v>1986960</v>
      </c>
      <c r="J70" s="285">
        <f t="shared" si="219"/>
        <v>1986960</v>
      </c>
      <c r="K70" s="285">
        <f t="shared" si="219"/>
        <v>1986960</v>
      </c>
      <c r="L70" s="285">
        <f t="shared" si="219"/>
        <v>1986960</v>
      </c>
      <c r="M70" s="285">
        <f t="shared" si="219"/>
        <v>1324640</v>
      </c>
      <c r="N70" s="286">
        <f>SUM(B70:M70)</f>
        <v>18544960</v>
      </c>
    </row>
    <row r="71" spans="1:14" x14ac:dyDescent="0.35">
      <c r="A71" s="234" t="s">
        <v>468</v>
      </c>
      <c r="B71" s="287">
        <f>+B74+B77+B80+B83+B86+B89</f>
        <v>0</v>
      </c>
      <c r="C71" s="287">
        <f t="shared" si="219"/>
        <v>0</v>
      </c>
      <c r="D71" s="287">
        <f t="shared" si="219"/>
        <v>0</v>
      </c>
      <c r="E71" s="287">
        <f t="shared" si="219"/>
        <v>331160</v>
      </c>
      <c r="F71" s="287">
        <f t="shared" si="219"/>
        <v>331160</v>
      </c>
      <c r="G71" s="287">
        <f t="shared" si="219"/>
        <v>248370</v>
      </c>
      <c r="H71" s="287">
        <f t="shared" si="219"/>
        <v>248370</v>
      </c>
      <c r="I71" s="287">
        <f t="shared" si="219"/>
        <v>248370</v>
      </c>
      <c r="J71" s="287">
        <f t="shared" si="219"/>
        <v>248370</v>
      </c>
      <c r="K71" s="287">
        <f t="shared" si="219"/>
        <v>248370</v>
      </c>
      <c r="L71" s="287">
        <f t="shared" si="219"/>
        <v>248370</v>
      </c>
      <c r="M71" s="287">
        <f t="shared" si="219"/>
        <v>165580</v>
      </c>
      <c r="N71" s="288">
        <f>SUM(B71:M71)</f>
        <v>2318120</v>
      </c>
    </row>
    <row r="72" spans="1:14" x14ac:dyDescent="0.35">
      <c r="A72" s="234" t="s">
        <v>469</v>
      </c>
      <c r="B72" s="289" t="e">
        <f>+B70/B71</f>
        <v>#DIV/0!</v>
      </c>
      <c r="C72" s="289" t="e">
        <f t="shared" ref="C72" si="220">+C70/C71</f>
        <v>#DIV/0!</v>
      </c>
      <c r="D72" s="289" t="e">
        <f t="shared" ref="D72" si="221">+D70/D71</f>
        <v>#DIV/0!</v>
      </c>
      <c r="E72" s="289">
        <f t="shared" ref="E72" si="222">+E70/E71</f>
        <v>8</v>
      </c>
      <c r="F72" s="289">
        <f t="shared" ref="F72" si="223">+F70/F71</f>
        <v>8</v>
      </c>
      <c r="G72" s="289">
        <f t="shared" ref="G72" si="224">+G70/G71</f>
        <v>8</v>
      </c>
      <c r="H72" s="289">
        <f t="shared" ref="H72" si="225">+H70/H71</f>
        <v>8</v>
      </c>
      <c r="I72" s="289">
        <f t="shared" ref="I72" si="226">+I70/I71</f>
        <v>8</v>
      </c>
      <c r="J72" s="289">
        <f t="shared" ref="J72" si="227">+J70/J71</f>
        <v>8</v>
      </c>
      <c r="K72" s="289">
        <f t="shared" ref="K72" si="228">+K70/K71</f>
        <v>8</v>
      </c>
      <c r="L72" s="289">
        <f t="shared" ref="L72" si="229">+L70/L71</f>
        <v>8</v>
      </c>
      <c r="M72" s="289">
        <f t="shared" ref="M72" si="230">+M70/M71</f>
        <v>8</v>
      </c>
      <c r="N72" s="289">
        <f t="shared" ref="N72" si="231">+N70/N71</f>
        <v>8</v>
      </c>
    </row>
    <row r="73" spans="1:14" x14ac:dyDescent="0.35">
      <c r="A73" s="235" t="s">
        <v>90</v>
      </c>
      <c r="B73" s="290">
        <f>B74*B75</f>
        <v>0</v>
      </c>
      <c r="C73" s="290">
        <f t="shared" ref="C73" si="232">C74*C75</f>
        <v>0</v>
      </c>
      <c r="D73" s="290">
        <f t="shared" ref="D73" si="233">D74*D75</f>
        <v>0</v>
      </c>
      <c r="E73" s="290">
        <f t="shared" ref="E73" si="234">E74*E75</f>
        <v>0</v>
      </c>
      <c r="F73" s="290">
        <f t="shared" ref="F73" si="235">F74*F75</f>
        <v>0</v>
      </c>
      <c r="G73" s="290">
        <f t="shared" ref="G73" si="236">G74*G75</f>
        <v>0</v>
      </c>
      <c r="H73" s="290">
        <f t="shared" ref="H73" si="237">H74*H75</f>
        <v>0</v>
      </c>
      <c r="I73" s="290">
        <f t="shared" ref="I73" si="238">I74*I75</f>
        <v>0</v>
      </c>
      <c r="J73" s="290">
        <f t="shared" ref="J73" si="239">J74*J75</f>
        <v>0</v>
      </c>
      <c r="K73" s="290">
        <f t="shared" ref="K73" si="240">K74*K75</f>
        <v>0</v>
      </c>
      <c r="L73" s="290">
        <f t="shared" ref="L73" si="241">L74*L75</f>
        <v>0</v>
      </c>
      <c r="M73" s="290">
        <f t="shared" ref="M73" si="242">M74*M75</f>
        <v>0</v>
      </c>
      <c r="N73" s="291">
        <f>SUM(B73:M73)</f>
        <v>0</v>
      </c>
    </row>
    <row r="74" spans="1:14" x14ac:dyDescent="0.35">
      <c r="A74" s="238" t="s">
        <v>468</v>
      </c>
      <c r="B74" s="281">
        <f>+'Budget Volumes Export'!B73</f>
        <v>0</v>
      </c>
      <c r="C74" s="281">
        <f>+'Budget Volumes Export'!C73</f>
        <v>0</v>
      </c>
      <c r="D74" s="281">
        <f>+'Budget Volumes Export'!D73</f>
        <v>0</v>
      </c>
      <c r="E74" s="281">
        <f>+'Budget Volumes Export'!E73</f>
        <v>0</v>
      </c>
      <c r="F74" s="281">
        <f>+'Budget Volumes Export'!F73</f>
        <v>0</v>
      </c>
      <c r="G74" s="281">
        <f>+'Budget Volumes Export'!G73</f>
        <v>0</v>
      </c>
      <c r="H74" s="281">
        <f>+'Budget Volumes Export'!H73</f>
        <v>0</v>
      </c>
      <c r="I74" s="281">
        <f>+'Budget Volumes Export'!I73</f>
        <v>0</v>
      </c>
      <c r="J74" s="281">
        <f>+'Budget Volumes Export'!J73</f>
        <v>0</v>
      </c>
      <c r="K74" s="281">
        <f>+'Budget Volumes Export'!K73</f>
        <v>0</v>
      </c>
      <c r="L74" s="281">
        <f>+'Budget Volumes Export'!L73</f>
        <v>0</v>
      </c>
      <c r="M74" s="281">
        <f>+'Budget Volumes Export'!M73</f>
        <v>0</v>
      </c>
      <c r="N74" s="282">
        <f>SUM(B74:M74)</f>
        <v>0</v>
      </c>
    </row>
    <row r="75" spans="1:14" x14ac:dyDescent="0.35">
      <c r="A75" s="238" t="s">
        <v>469</v>
      </c>
      <c r="B75" s="292">
        <v>10</v>
      </c>
      <c r="C75" s="292">
        <v>10</v>
      </c>
      <c r="D75" s="292">
        <v>10</v>
      </c>
      <c r="E75" s="292">
        <v>10</v>
      </c>
      <c r="F75" s="292">
        <v>10</v>
      </c>
      <c r="G75" s="292">
        <v>10</v>
      </c>
      <c r="H75" s="292">
        <v>10</v>
      </c>
      <c r="I75" s="292">
        <v>10</v>
      </c>
      <c r="J75" s="292">
        <v>10</v>
      </c>
      <c r="K75" s="292">
        <v>10</v>
      </c>
      <c r="L75" s="292">
        <v>10</v>
      </c>
      <c r="M75" s="292">
        <v>10</v>
      </c>
      <c r="N75" s="293" t="e">
        <f>+N73/N74/1000</f>
        <v>#DIV/0!</v>
      </c>
    </row>
    <row r="76" spans="1:14" x14ac:dyDescent="0.35">
      <c r="A76" s="235" t="s">
        <v>91</v>
      </c>
      <c r="B76" s="290">
        <f>B77*B78</f>
        <v>0</v>
      </c>
      <c r="C76" s="290">
        <f t="shared" ref="C76" si="243">C77*C78</f>
        <v>0</v>
      </c>
      <c r="D76" s="290">
        <f t="shared" ref="D76" si="244">D77*D78</f>
        <v>0</v>
      </c>
      <c r="E76" s="290">
        <f t="shared" ref="E76" si="245">E77*E78</f>
        <v>0</v>
      </c>
      <c r="F76" s="290">
        <f t="shared" ref="F76" si="246">F77*F78</f>
        <v>0</v>
      </c>
      <c r="G76" s="290">
        <f t="shared" ref="G76" si="247">G77*G78</f>
        <v>0</v>
      </c>
      <c r="H76" s="290">
        <f t="shared" ref="H76" si="248">H77*H78</f>
        <v>0</v>
      </c>
      <c r="I76" s="290">
        <f t="shared" ref="I76" si="249">I77*I78</f>
        <v>0</v>
      </c>
      <c r="J76" s="290">
        <f t="shared" ref="J76" si="250">J77*J78</f>
        <v>0</v>
      </c>
      <c r="K76" s="290">
        <f t="shared" ref="K76" si="251">K77*K78</f>
        <v>0</v>
      </c>
      <c r="L76" s="290">
        <f t="shared" ref="L76" si="252">L77*L78</f>
        <v>0</v>
      </c>
      <c r="M76" s="290">
        <f t="shared" ref="M76" si="253">M77*M78</f>
        <v>0</v>
      </c>
      <c r="N76" s="291">
        <f>SUM(B76:M76)</f>
        <v>0</v>
      </c>
    </row>
    <row r="77" spans="1:14" x14ac:dyDescent="0.35">
      <c r="A77" s="238" t="s">
        <v>468</v>
      </c>
      <c r="B77" s="281">
        <f>+'Budget Volumes Export'!B76</f>
        <v>0</v>
      </c>
      <c r="C77" s="281">
        <f>+'Budget Volumes Export'!C76</f>
        <v>0</v>
      </c>
      <c r="D77" s="281">
        <f>+'Budget Volumes Export'!D76</f>
        <v>0</v>
      </c>
      <c r="E77" s="281">
        <f>+'Budget Volumes Export'!E76</f>
        <v>0</v>
      </c>
      <c r="F77" s="281">
        <f>+'Budget Volumes Export'!F76</f>
        <v>0</v>
      </c>
      <c r="G77" s="281">
        <f>+'Budget Volumes Export'!G76</f>
        <v>0</v>
      </c>
      <c r="H77" s="281">
        <f>+'Budget Volumes Export'!H76</f>
        <v>0</v>
      </c>
      <c r="I77" s="281">
        <f>+'Budget Volumes Export'!I76</f>
        <v>0</v>
      </c>
      <c r="J77" s="281">
        <f>+'Budget Volumes Export'!J76</f>
        <v>0</v>
      </c>
      <c r="K77" s="281">
        <f>+'Budget Volumes Export'!K76</f>
        <v>0</v>
      </c>
      <c r="L77" s="281">
        <f>+'Budget Volumes Export'!L76</f>
        <v>0</v>
      </c>
      <c r="M77" s="281">
        <f>+'Budget Volumes Export'!M76</f>
        <v>0</v>
      </c>
      <c r="N77" s="282">
        <f>+'Plan de culture 104 '!$X$13</f>
        <v>0</v>
      </c>
    </row>
    <row r="78" spans="1:14" x14ac:dyDescent="0.35">
      <c r="A78" s="238" t="s">
        <v>469</v>
      </c>
      <c r="B78" s="292">
        <v>12</v>
      </c>
      <c r="C78" s="292">
        <v>12</v>
      </c>
      <c r="D78" s="292">
        <v>12</v>
      </c>
      <c r="E78" s="292">
        <v>12</v>
      </c>
      <c r="F78" s="292">
        <v>12</v>
      </c>
      <c r="G78" s="292">
        <v>12</v>
      </c>
      <c r="H78" s="292">
        <v>12</v>
      </c>
      <c r="I78" s="292">
        <v>12</v>
      </c>
      <c r="J78" s="292">
        <v>12</v>
      </c>
      <c r="K78" s="292">
        <v>12</v>
      </c>
      <c r="L78" s="292">
        <v>12</v>
      </c>
      <c r="M78" s="292">
        <v>12</v>
      </c>
      <c r="N78" s="293" t="e">
        <f>+N76/N77/1000</f>
        <v>#DIV/0!</v>
      </c>
    </row>
    <row r="79" spans="1:14" x14ac:dyDescent="0.35">
      <c r="A79" s="235" t="s">
        <v>376</v>
      </c>
      <c r="B79" s="290">
        <f>B80*B81</f>
        <v>0</v>
      </c>
      <c r="C79" s="290">
        <f t="shared" ref="C79" si="254">C80*C81</f>
        <v>0</v>
      </c>
      <c r="D79" s="290">
        <f t="shared" ref="D79" si="255">D80*D81</f>
        <v>0</v>
      </c>
      <c r="E79" s="290">
        <f t="shared" ref="E79" si="256">E80*E81</f>
        <v>0</v>
      </c>
      <c r="F79" s="290">
        <f t="shared" ref="F79" si="257">F80*F81</f>
        <v>0</v>
      </c>
      <c r="G79" s="290">
        <f t="shared" ref="G79" si="258">G80*G81</f>
        <v>0</v>
      </c>
      <c r="H79" s="290">
        <f t="shared" ref="H79" si="259">H80*H81</f>
        <v>0</v>
      </c>
      <c r="I79" s="290">
        <f t="shared" ref="I79" si="260">I80*I81</f>
        <v>0</v>
      </c>
      <c r="J79" s="290">
        <f t="shared" ref="J79" si="261">J80*J81</f>
        <v>0</v>
      </c>
      <c r="K79" s="290">
        <f t="shared" ref="K79" si="262">K80*K81</f>
        <v>0</v>
      </c>
      <c r="L79" s="290">
        <f t="shared" ref="L79" si="263">L80*L81</f>
        <v>0</v>
      </c>
      <c r="M79" s="290">
        <f t="shared" ref="M79" si="264">M80*M81</f>
        <v>0</v>
      </c>
      <c r="N79" s="291">
        <f>SUM(B79:M79)</f>
        <v>0</v>
      </c>
    </row>
    <row r="80" spans="1:14" x14ac:dyDescent="0.35">
      <c r="A80" s="238" t="s">
        <v>468</v>
      </c>
      <c r="B80" s="281">
        <f>+'Budget Volumes Export'!B79</f>
        <v>0</v>
      </c>
      <c r="C80" s="281">
        <f>+'Budget Volumes Export'!C79</f>
        <v>0</v>
      </c>
      <c r="D80" s="281">
        <f>+'Budget Volumes Export'!D79</f>
        <v>0</v>
      </c>
      <c r="E80" s="281">
        <f>+'Budget Volumes Export'!E79</f>
        <v>0</v>
      </c>
      <c r="F80" s="281">
        <f>+'Budget Volumes Export'!F79</f>
        <v>0</v>
      </c>
      <c r="G80" s="281">
        <f>+'Budget Volumes Export'!G79</f>
        <v>0</v>
      </c>
      <c r="H80" s="281">
        <f>+'Budget Volumes Export'!H79</f>
        <v>0</v>
      </c>
      <c r="I80" s="281">
        <f>+'Budget Volumes Export'!I79</f>
        <v>0</v>
      </c>
      <c r="J80" s="281">
        <f>+'Budget Volumes Export'!J79</f>
        <v>0</v>
      </c>
      <c r="K80" s="281">
        <f>+'Budget Volumes Export'!K79</f>
        <v>0</v>
      </c>
      <c r="L80" s="281">
        <f>+'Budget Volumes Export'!L79</f>
        <v>0</v>
      </c>
      <c r="M80" s="281">
        <f>+'Budget Volumes Export'!M79</f>
        <v>0</v>
      </c>
      <c r="N80" s="282">
        <f>SUM(B80:M80)</f>
        <v>0</v>
      </c>
    </row>
    <row r="81" spans="1:14" x14ac:dyDescent="0.35">
      <c r="A81" s="238" t="s">
        <v>469</v>
      </c>
      <c r="B81" s="292">
        <v>14</v>
      </c>
      <c r="C81" s="292">
        <v>14</v>
      </c>
      <c r="D81" s="292">
        <v>14</v>
      </c>
      <c r="E81" s="292">
        <v>14</v>
      </c>
      <c r="F81" s="292">
        <v>14</v>
      </c>
      <c r="G81" s="292">
        <v>14</v>
      </c>
      <c r="H81" s="292">
        <v>14</v>
      </c>
      <c r="I81" s="292">
        <v>14</v>
      </c>
      <c r="J81" s="292">
        <v>14</v>
      </c>
      <c r="K81" s="292">
        <v>14</v>
      </c>
      <c r="L81" s="292">
        <v>14</v>
      </c>
      <c r="M81" s="292">
        <v>14</v>
      </c>
      <c r="N81" s="293" t="e">
        <f>+N79/N80/1000</f>
        <v>#DIV/0!</v>
      </c>
    </row>
    <row r="82" spans="1:14" x14ac:dyDescent="0.35">
      <c r="A82" s="235" t="s">
        <v>92</v>
      </c>
      <c r="B82" s="290">
        <f>B83*B84</f>
        <v>0</v>
      </c>
      <c r="C82" s="290">
        <f t="shared" ref="C82" si="265">C83*C84</f>
        <v>0</v>
      </c>
      <c r="D82" s="290">
        <f t="shared" ref="D82" si="266">D83*D84</f>
        <v>0</v>
      </c>
      <c r="E82" s="290">
        <f t="shared" ref="E82" si="267">E83*E84</f>
        <v>2649280</v>
      </c>
      <c r="F82" s="290">
        <f t="shared" ref="F82" si="268">F83*F84</f>
        <v>2649280</v>
      </c>
      <c r="G82" s="290">
        <f t="shared" ref="G82" si="269">G83*G84</f>
        <v>1986960</v>
      </c>
      <c r="H82" s="290">
        <f t="shared" ref="H82" si="270">H83*H84</f>
        <v>1986960</v>
      </c>
      <c r="I82" s="290">
        <f t="shared" ref="I82" si="271">I83*I84</f>
        <v>1986960</v>
      </c>
      <c r="J82" s="290">
        <f t="shared" ref="J82" si="272">J83*J84</f>
        <v>1986960</v>
      </c>
      <c r="K82" s="290">
        <f t="shared" ref="K82" si="273">K83*K84</f>
        <v>1986960</v>
      </c>
      <c r="L82" s="290">
        <f t="shared" ref="L82" si="274">L83*L84</f>
        <v>1986960</v>
      </c>
      <c r="M82" s="290">
        <f t="shared" ref="M82" si="275">M83*M84</f>
        <v>1324640</v>
      </c>
      <c r="N82" s="291">
        <f>SUM(B82:M82)</f>
        <v>18544960</v>
      </c>
    </row>
    <row r="83" spans="1:14" x14ac:dyDescent="0.35">
      <c r="A83" s="238" t="s">
        <v>468</v>
      </c>
      <c r="B83" s="281">
        <f>+'Budget Volumes Export'!B82</f>
        <v>0</v>
      </c>
      <c r="C83" s="281">
        <f>+'Budget Volumes Export'!C82</f>
        <v>0</v>
      </c>
      <c r="D83" s="281">
        <f>+'Budget Volumes Export'!D82</f>
        <v>0</v>
      </c>
      <c r="E83" s="281">
        <f>+'Budget Volumes Export'!E82</f>
        <v>331160</v>
      </c>
      <c r="F83" s="281">
        <f>+'Budget Volumes Export'!F82</f>
        <v>331160</v>
      </c>
      <c r="G83" s="281">
        <f>+'Budget Volumes Export'!G82</f>
        <v>248370</v>
      </c>
      <c r="H83" s="281">
        <f>+'Budget Volumes Export'!H82</f>
        <v>248370</v>
      </c>
      <c r="I83" s="281">
        <f>+'Budget Volumes Export'!I82</f>
        <v>248370</v>
      </c>
      <c r="J83" s="281">
        <f>+'Budget Volumes Export'!J82</f>
        <v>248370</v>
      </c>
      <c r="K83" s="281">
        <f>+'Budget Volumes Export'!K82</f>
        <v>248370</v>
      </c>
      <c r="L83" s="281">
        <f>+'Budget Volumes Export'!L82</f>
        <v>248370</v>
      </c>
      <c r="M83" s="281">
        <f>+'Budget Volumes Export'!M82</f>
        <v>165580</v>
      </c>
      <c r="N83" s="282">
        <f>SUM(B83:M83)</f>
        <v>2318120</v>
      </c>
    </row>
    <row r="84" spans="1:14" x14ac:dyDescent="0.35">
      <c r="A84" s="238" t="s">
        <v>469</v>
      </c>
      <c r="B84" s="292">
        <v>8</v>
      </c>
      <c r="C84" s="292">
        <v>8</v>
      </c>
      <c r="D84" s="292">
        <v>8</v>
      </c>
      <c r="E84" s="292">
        <v>8</v>
      </c>
      <c r="F84" s="292">
        <v>8</v>
      </c>
      <c r="G84" s="292">
        <v>8</v>
      </c>
      <c r="H84" s="292">
        <v>8</v>
      </c>
      <c r="I84" s="292">
        <v>8</v>
      </c>
      <c r="J84" s="292">
        <v>8</v>
      </c>
      <c r="K84" s="292">
        <v>8</v>
      </c>
      <c r="L84" s="292">
        <v>8</v>
      </c>
      <c r="M84" s="292">
        <v>8</v>
      </c>
      <c r="N84" s="293">
        <f>+N82/N83/1000</f>
        <v>8.0000000000000002E-3</v>
      </c>
    </row>
    <row r="85" spans="1:14" x14ac:dyDescent="0.35">
      <c r="A85" s="235" t="s">
        <v>377</v>
      </c>
      <c r="B85" s="290">
        <f>B86*B87</f>
        <v>0</v>
      </c>
      <c r="C85" s="290">
        <f t="shared" ref="C85" si="276">C86*C87</f>
        <v>0</v>
      </c>
      <c r="D85" s="290">
        <f t="shared" ref="D85" si="277">D86*D87</f>
        <v>0</v>
      </c>
      <c r="E85" s="290">
        <f t="shared" ref="E85" si="278">E86*E87</f>
        <v>0</v>
      </c>
      <c r="F85" s="290">
        <f t="shared" ref="F85" si="279">F86*F87</f>
        <v>0</v>
      </c>
      <c r="G85" s="290">
        <f t="shared" ref="G85" si="280">G86*G87</f>
        <v>0</v>
      </c>
      <c r="H85" s="290">
        <f t="shared" ref="H85" si="281">H86*H87</f>
        <v>0</v>
      </c>
      <c r="I85" s="290">
        <f t="shared" ref="I85" si="282">I86*I87</f>
        <v>0</v>
      </c>
      <c r="J85" s="290">
        <f t="shared" ref="J85" si="283">J86*J87</f>
        <v>0</v>
      </c>
      <c r="K85" s="290">
        <f t="shared" ref="K85" si="284">K86*K87</f>
        <v>0</v>
      </c>
      <c r="L85" s="290">
        <f t="shared" ref="L85" si="285">L86*L87</f>
        <v>0</v>
      </c>
      <c r="M85" s="290">
        <f t="shared" ref="M85" si="286">M86*M87</f>
        <v>0</v>
      </c>
      <c r="N85" s="291">
        <f>SUM(B85:M85)</f>
        <v>0</v>
      </c>
    </row>
    <row r="86" spans="1:14" x14ac:dyDescent="0.35">
      <c r="A86" s="238" t="s">
        <v>468</v>
      </c>
      <c r="B86" s="281">
        <f>+'Budget Volumes Export'!B85</f>
        <v>0</v>
      </c>
      <c r="C86" s="281">
        <f>+'Budget Volumes Export'!C85</f>
        <v>0</v>
      </c>
      <c r="D86" s="281">
        <f>+'Budget Volumes Export'!D85</f>
        <v>0</v>
      </c>
      <c r="E86" s="281">
        <f>+'Budget Volumes Export'!E85</f>
        <v>0</v>
      </c>
      <c r="F86" s="281">
        <f>+'Budget Volumes Export'!F85</f>
        <v>0</v>
      </c>
      <c r="G86" s="281">
        <f>+'Budget Volumes Export'!G85</f>
        <v>0</v>
      </c>
      <c r="H86" s="281">
        <f>+'Budget Volumes Export'!H85</f>
        <v>0</v>
      </c>
      <c r="I86" s="281">
        <f>+'Budget Volumes Export'!I85</f>
        <v>0</v>
      </c>
      <c r="J86" s="281">
        <f>+'Budget Volumes Export'!J85</f>
        <v>0</v>
      </c>
      <c r="K86" s="281">
        <f>+'Budget Volumes Export'!K85</f>
        <v>0</v>
      </c>
      <c r="L86" s="281">
        <f>+'Budget Volumes Export'!L85</f>
        <v>0</v>
      </c>
      <c r="M86" s="281">
        <f>+'Budget Volumes Export'!M85</f>
        <v>0</v>
      </c>
      <c r="N86" s="282">
        <f>SUM(B86:M86)</f>
        <v>0</v>
      </c>
    </row>
    <row r="87" spans="1:14" x14ac:dyDescent="0.35">
      <c r="A87" s="238" t="s">
        <v>469</v>
      </c>
      <c r="B87" s="292">
        <v>50</v>
      </c>
      <c r="C87" s="292">
        <v>50</v>
      </c>
      <c r="D87" s="292">
        <v>50</v>
      </c>
      <c r="E87" s="292">
        <v>50</v>
      </c>
      <c r="F87" s="292">
        <v>50</v>
      </c>
      <c r="G87" s="292">
        <v>50</v>
      </c>
      <c r="H87" s="292">
        <v>50</v>
      </c>
      <c r="I87" s="292">
        <v>50</v>
      </c>
      <c r="J87" s="292">
        <v>50</v>
      </c>
      <c r="K87" s="292">
        <v>50</v>
      </c>
      <c r="L87" s="292">
        <v>50</v>
      </c>
      <c r="M87" s="292">
        <v>50</v>
      </c>
      <c r="N87" s="293" t="e">
        <f>+N85/N86/1000</f>
        <v>#DIV/0!</v>
      </c>
    </row>
    <row r="88" spans="1:14" x14ac:dyDescent="0.35">
      <c r="A88" s="235" t="s">
        <v>378</v>
      </c>
      <c r="B88" s="290">
        <f>B89*B90</f>
        <v>0</v>
      </c>
      <c r="C88" s="290">
        <f t="shared" ref="C88" si="287">C89*C90</f>
        <v>0</v>
      </c>
      <c r="D88" s="290">
        <f t="shared" ref="D88" si="288">D89*D90</f>
        <v>0</v>
      </c>
      <c r="E88" s="290">
        <f t="shared" ref="E88" si="289">E89*E90</f>
        <v>0</v>
      </c>
      <c r="F88" s="290">
        <f t="shared" ref="F88" si="290">F89*F90</f>
        <v>0</v>
      </c>
      <c r="G88" s="290">
        <f t="shared" ref="G88" si="291">G89*G90</f>
        <v>0</v>
      </c>
      <c r="H88" s="290">
        <f t="shared" ref="H88" si="292">H89*H90</f>
        <v>0</v>
      </c>
      <c r="I88" s="290">
        <f t="shared" ref="I88" si="293">I89*I90</f>
        <v>0</v>
      </c>
      <c r="J88" s="290">
        <f t="shared" ref="J88" si="294">J89*J90</f>
        <v>0</v>
      </c>
      <c r="K88" s="290">
        <f t="shared" ref="K88" si="295">K89*K90</f>
        <v>0</v>
      </c>
      <c r="L88" s="290">
        <f t="shared" ref="L88" si="296">L89*L90</f>
        <v>0</v>
      </c>
      <c r="M88" s="290">
        <f t="shared" ref="M88" si="297">M89*M90</f>
        <v>0</v>
      </c>
      <c r="N88" s="291">
        <f>SUM(B88:M88)</f>
        <v>0</v>
      </c>
    </row>
    <row r="89" spans="1:14" x14ac:dyDescent="0.35">
      <c r="A89" s="238" t="s">
        <v>468</v>
      </c>
      <c r="B89" s="281">
        <f>+'Budget Volumes Export'!B88</f>
        <v>0</v>
      </c>
      <c r="C89" s="281">
        <f>+'Budget Volumes Export'!C88</f>
        <v>0</v>
      </c>
      <c r="D89" s="281">
        <f>+'Budget Volumes Export'!D88</f>
        <v>0</v>
      </c>
      <c r="E89" s="281">
        <f>+'Budget Volumes Export'!E88</f>
        <v>0</v>
      </c>
      <c r="F89" s="281">
        <f>+'Budget Volumes Export'!F88</f>
        <v>0</v>
      </c>
      <c r="G89" s="281">
        <f>+'Budget Volumes Export'!G88</f>
        <v>0</v>
      </c>
      <c r="H89" s="281">
        <f>+'Budget Volumes Export'!H88</f>
        <v>0</v>
      </c>
      <c r="I89" s="281">
        <f>+'Budget Volumes Export'!I88</f>
        <v>0</v>
      </c>
      <c r="J89" s="281">
        <f>+'Budget Volumes Export'!J88</f>
        <v>0</v>
      </c>
      <c r="K89" s="281">
        <f>+'Budget Volumes Export'!K88</f>
        <v>0</v>
      </c>
      <c r="L89" s="281">
        <f>+'Budget Volumes Export'!L88</f>
        <v>0</v>
      </c>
      <c r="M89" s="281">
        <f>+'Budget Volumes Export'!M88</f>
        <v>0</v>
      </c>
      <c r="N89" s="282">
        <f>SUM(B89:M89)</f>
        <v>0</v>
      </c>
    </row>
    <row r="90" spans="1:14" ht="12" thickBot="1" x14ac:dyDescent="0.4">
      <c r="A90" s="238" t="s">
        <v>469</v>
      </c>
      <c r="B90" s="294">
        <v>12</v>
      </c>
      <c r="C90" s="294">
        <v>12</v>
      </c>
      <c r="D90" s="294">
        <v>12</v>
      </c>
      <c r="E90" s="294">
        <v>12</v>
      </c>
      <c r="F90" s="294">
        <v>12</v>
      </c>
      <c r="G90" s="294">
        <v>12</v>
      </c>
      <c r="H90" s="294">
        <v>12</v>
      </c>
      <c r="I90" s="294">
        <v>12</v>
      </c>
      <c r="J90" s="294">
        <v>12</v>
      </c>
      <c r="K90" s="294">
        <v>12</v>
      </c>
      <c r="L90" s="294">
        <v>12</v>
      </c>
      <c r="M90" s="294">
        <v>12</v>
      </c>
      <c r="N90" s="295" t="e">
        <f>+N88/N89/1000</f>
        <v>#DIV/0!</v>
      </c>
    </row>
    <row r="91" spans="1:14" x14ac:dyDescent="0.35">
      <c r="A91" s="306" t="s">
        <v>380</v>
      </c>
      <c r="B91" s="285">
        <f>+B94+B97+B100+B103+B106+B109</f>
        <v>0</v>
      </c>
      <c r="C91" s="285">
        <f t="shared" ref="C91:M92" si="298">+C94+C97+C100+C103+C106+C109</f>
        <v>0</v>
      </c>
      <c r="D91" s="285">
        <f t="shared" si="298"/>
        <v>0</v>
      </c>
      <c r="E91" s="285">
        <f t="shared" si="298"/>
        <v>6261600</v>
      </c>
      <c r="F91" s="285">
        <f t="shared" si="298"/>
        <v>6261600</v>
      </c>
      <c r="G91" s="285">
        <f t="shared" si="298"/>
        <v>4696200</v>
      </c>
      <c r="H91" s="285">
        <f t="shared" si="298"/>
        <v>4696200</v>
      </c>
      <c r="I91" s="285">
        <f t="shared" si="298"/>
        <v>6261600</v>
      </c>
      <c r="J91" s="285">
        <f t="shared" si="298"/>
        <v>4696200</v>
      </c>
      <c r="K91" s="285">
        <f t="shared" si="298"/>
        <v>4696200</v>
      </c>
      <c r="L91" s="285">
        <f t="shared" si="298"/>
        <v>3130800</v>
      </c>
      <c r="M91" s="285">
        <f t="shared" si="298"/>
        <v>1565400</v>
      </c>
      <c r="N91" s="286">
        <f>SUM(B91:M91)</f>
        <v>42265800</v>
      </c>
    </row>
    <row r="92" spans="1:14" x14ac:dyDescent="0.35">
      <c r="A92" s="307" t="s">
        <v>468</v>
      </c>
      <c r="B92" s="287">
        <f>+B95+B98+B101+B104+B107+B110</f>
        <v>0</v>
      </c>
      <c r="C92" s="287">
        <f t="shared" si="298"/>
        <v>0</v>
      </c>
      <c r="D92" s="287">
        <f t="shared" si="298"/>
        <v>0</v>
      </c>
      <c r="E92" s="287">
        <f t="shared" si="298"/>
        <v>521800</v>
      </c>
      <c r="F92" s="287">
        <f t="shared" si="298"/>
        <v>521800</v>
      </c>
      <c r="G92" s="287">
        <f t="shared" si="298"/>
        <v>391350</v>
      </c>
      <c r="H92" s="287">
        <f t="shared" si="298"/>
        <v>391350</v>
      </c>
      <c r="I92" s="287">
        <f t="shared" si="298"/>
        <v>521800</v>
      </c>
      <c r="J92" s="287">
        <f t="shared" si="298"/>
        <v>391350</v>
      </c>
      <c r="K92" s="287">
        <f t="shared" si="298"/>
        <v>391350</v>
      </c>
      <c r="L92" s="287">
        <f t="shared" si="298"/>
        <v>260900</v>
      </c>
      <c r="M92" s="287">
        <f t="shared" si="298"/>
        <v>130450</v>
      </c>
      <c r="N92" s="288">
        <f>SUM(B92:M92)</f>
        <v>3522150</v>
      </c>
    </row>
    <row r="93" spans="1:14" x14ac:dyDescent="0.35">
      <c r="A93" s="307" t="s">
        <v>469</v>
      </c>
      <c r="B93" s="289" t="e">
        <f>+B91/B92</f>
        <v>#DIV/0!</v>
      </c>
      <c r="C93" s="289" t="e">
        <f t="shared" ref="C93" si="299">+C91/C92</f>
        <v>#DIV/0!</v>
      </c>
      <c r="D93" s="289" t="e">
        <f t="shared" ref="D93" si="300">+D91/D92</f>
        <v>#DIV/0!</v>
      </c>
      <c r="E93" s="289">
        <f t="shared" ref="E93" si="301">+E91/E92</f>
        <v>12</v>
      </c>
      <c r="F93" s="289">
        <f t="shared" ref="F93" si="302">+F91/F92</f>
        <v>12</v>
      </c>
      <c r="G93" s="289">
        <f t="shared" ref="G93" si="303">+G91/G92</f>
        <v>12</v>
      </c>
      <c r="H93" s="289">
        <f t="shared" ref="H93" si="304">+H91/H92</f>
        <v>12</v>
      </c>
      <c r="I93" s="289">
        <f t="shared" ref="I93" si="305">+I91/I92</f>
        <v>12</v>
      </c>
      <c r="J93" s="289">
        <f t="shared" ref="J93" si="306">+J91/J92</f>
        <v>12</v>
      </c>
      <c r="K93" s="289">
        <f t="shared" ref="K93" si="307">+K91/K92</f>
        <v>12</v>
      </c>
      <c r="L93" s="289">
        <f t="shared" ref="L93" si="308">+L91/L92</f>
        <v>12</v>
      </c>
      <c r="M93" s="289">
        <f t="shared" ref="M93" si="309">+M91/M92</f>
        <v>12</v>
      </c>
      <c r="N93" s="289">
        <f t="shared" ref="N93" si="310">+N91/N92</f>
        <v>12</v>
      </c>
    </row>
    <row r="94" spans="1:14" x14ac:dyDescent="0.35">
      <c r="A94" s="308" t="s">
        <v>90</v>
      </c>
      <c r="B94" s="290">
        <f>B95*B96</f>
        <v>0</v>
      </c>
      <c r="C94" s="290">
        <f t="shared" ref="C94" si="311">C95*C96</f>
        <v>0</v>
      </c>
      <c r="D94" s="290">
        <f t="shared" ref="D94" si="312">D95*D96</f>
        <v>0</v>
      </c>
      <c r="E94" s="290">
        <f t="shared" ref="E94" si="313">E95*E96</f>
        <v>0</v>
      </c>
      <c r="F94" s="290">
        <f t="shared" ref="F94" si="314">F95*F96</f>
        <v>0</v>
      </c>
      <c r="G94" s="290">
        <f t="shared" ref="G94" si="315">G95*G96</f>
        <v>0</v>
      </c>
      <c r="H94" s="290">
        <f t="shared" ref="H94" si="316">H95*H96</f>
        <v>0</v>
      </c>
      <c r="I94" s="290">
        <f t="shared" ref="I94" si="317">I95*I96</f>
        <v>0</v>
      </c>
      <c r="J94" s="290">
        <f t="shared" ref="J94" si="318">J95*J96</f>
        <v>0</v>
      </c>
      <c r="K94" s="290">
        <f t="shared" ref="K94" si="319">K95*K96</f>
        <v>0</v>
      </c>
      <c r="L94" s="290">
        <f t="shared" ref="L94" si="320">L95*L96</f>
        <v>0</v>
      </c>
      <c r="M94" s="290">
        <f t="shared" ref="M94" si="321">M95*M96</f>
        <v>0</v>
      </c>
      <c r="N94" s="291">
        <f>SUM(B94:M94)</f>
        <v>0</v>
      </c>
    </row>
    <row r="95" spans="1:14" x14ac:dyDescent="0.35">
      <c r="A95" s="309" t="s">
        <v>468</v>
      </c>
      <c r="B95" s="281">
        <f>+'Budget Volumes Export'!B94</f>
        <v>0</v>
      </c>
      <c r="C95" s="281">
        <f>+'Budget Volumes Export'!C94</f>
        <v>0</v>
      </c>
      <c r="D95" s="281">
        <f>+'Budget Volumes Export'!D94</f>
        <v>0</v>
      </c>
      <c r="E95" s="281">
        <f>+'Budget Volumes Export'!E94</f>
        <v>0</v>
      </c>
      <c r="F95" s="281">
        <f>+'Budget Volumes Export'!F94</f>
        <v>0</v>
      </c>
      <c r="G95" s="281">
        <f>+'Budget Volumes Export'!G94</f>
        <v>0</v>
      </c>
      <c r="H95" s="281">
        <f>+'Budget Volumes Export'!H94</f>
        <v>0</v>
      </c>
      <c r="I95" s="281">
        <f>+'Budget Volumes Export'!I94</f>
        <v>0</v>
      </c>
      <c r="J95" s="281">
        <f>+'Budget Volumes Export'!J94</f>
        <v>0</v>
      </c>
      <c r="K95" s="281">
        <f>+'Budget Volumes Export'!K94</f>
        <v>0</v>
      </c>
      <c r="L95" s="281">
        <f>+'Budget Volumes Export'!L94</f>
        <v>0</v>
      </c>
      <c r="M95" s="281">
        <f>+'Budget Volumes Export'!M94</f>
        <v>0</v>
      </c>
      <c r="N95" s="282">
        <f>SUM(B95:M95)</f>
        <v>0</v>
      </c>
    </row>
    <row r="96" spans="1:14" x14ac:dyDescent="0.35">
      <c r="A96" s="309" t="s">
        <v>469</v>
      </c>
      <c r="B96" s="292">
        <v>10</v>
      </c>
      <c r="C96" s="292">
        <v>10</v>
      </c>
      <c r="D96" s="292">
        <v>10</v>
      </c>
      <c r="E96" s="292">
        <v>10</v>
      </c>
      <c r="F96" s="292">
        <v>10</v>
      </c>
      <c r="G96" s="292">
        <v>10</v>
      </c>
      <c r="H96" s="292">
        <v>10</v>
      </c>
      <c r="I96" s="292">
        <v>10</v>
      </c>
      <c r="J96" s="292">
        <v>10</v>
      </c>
      <c r="K96" s="292">
        <v>10</v>
      </c>
      <c r="L96" s="292">
        <v>10</v>
      </c>
      <c r="M96" s="292">
        <v>10</v>
      </c>
      <c r="N96" s="293" t="e">
        <f>+N94/N95/1000</f>
        <v>#DIV/0!</v>
      </c>
    </row>
    <row r="97" spans="1:14" x14ac:dyDescent="0.35">
      <c r="A97" s="308" t="s">
        <v>91</v>
      </c>
      <c r="B97" s="290">
        <f>B98*B99</f>
        <v>0</v>
      </c>
      <c r="C97" s="290">
        <f t="shared" ref="C97" si="322">C98*C99</f>
        <v>0</v>
      </c>
      <c r="D97" s="290">
        <f t="shared" ref="D97" si="323">D98*D99</f>
        <v>0</v>
      </c>
      <c r="E97" s="290">
        <f t="shared" ref="E97" si="324">E98*E99</f>
        <v>6261600</v>
      </c>
      <c r="F97" s="290">
        <f t="shared" ref="F97" si="325">F98*F99</f>
        <v>6261600</v>
      </c>
      <c r="G97" s="290">
        <f t="shared" ref="G97" si="326">G98*G99</f>
        <v>4696200</v>
      </c>
      <c r="H97" s="290">
        <f t="shared" ref="H97" si="327">H98*H99</f>
        <v>4696200</v>
      </c>
      <c r="I97" s="290">
        <f t="shared" ref="I97" si="328">I98*I99</f>
        <v>6261600</v>
      </c>
      <c r="J97" s="290">
        <f t="shared" ref="J97" si="329">J98*J99</f>
        <v>4696200</v>
      </c>
      <c r="K97" s="290">
        <f t="shared" ref="K97" si="330">K98*K99</f>
        <v>4696200</v>
      </c>
      <c r="L97" s="290">
        <f t="shared" ref="L97" si="331">L98*L99</f>
        <v>3130800</v>
      </c>
      <c r="M97" s="290">
        <f t="shared" ref="M97" si="332">M98*M99</f>
        <v>1565400</v>
      </c>
      <c r="N97" s="291">
        <f>SUM(B97:M97)</f>
        <v>42265800</v>
      </c>
    </row>
    <row r="98" spans="1:14" x14ac:dyDescent="0.35">
      <c r="A98" s="309" t="s">
        <v>468</v>
      </c>
      <c r="B98" s="281">
        <f>+'Budget Volumes Export'!B97</f>
        <v>0</v>
      </c>
      <c r="C98" s="281">
        <f>+'Budget Volumes Export'!C97</f>
        <v>0</v>
      </c>
      <c r="D98" s="281">
        <f>+'Budget Volumes Export'!D97</f>
        <v>0</v>
      </c>
      <c r="E98" s="281">
        <f>+'Budget Volumes Export'!E97</f>
        <v>521800</v>
      </c>
      <c r="F98" s="281">
        <f>+'Budget Volumes Export'!F97</f>
        <v>521800</v>
      </c>
      <c r="G98" s="281">
        <f>+'Budget Volumes Export'!G97</f>
        <v>391350</v>
      </c>
      <c r="H98" s="281">
        <f>+'Budget Volumes Export'!H97</f>
        <v>391350</v>
      </c>
      <c r="I98" s="281">
        <f>+'Budget Volumes Export'!I97</f>
        <v>521800</v>
      </c>
      <c r="J98" s="281">
        <f>+'Budget Volumes Export'!J97</f>
        <v>391350</v>
      </c>
      <c r="K98" s="281">
        <f>+'Budget Volumes Export'!K97</f>
        <v>391350</v>
      </c>
      <c r="L98" s="281">
        <f>+'Budget Volumes Export'!L97</f>
        <v>260900</v>
      </c>
      <c r="M98" s="281">
        <f>+'Budget Volumes Export'!M97</f>
        <v>130450</v>
      </c>
      <c r="N98" s="282">
        <f>+'Plan de culture 104 '!$X$13</f>
        <v>0</v>
      </c>
    </row>
    <row r="99" spans="1:14" x14ac:dyDescent="0.35">
      <c r="A99" s="309" t="s">
        <v>469</v>
      </c>
      <c r="B99" s="292">
        <v>12</v>
      </c>
      <c r="C99" s="292">
        <v>12</v>
      </c>
      <c r="D99" s="292">
        <v>12</v>
      </c>
      <c r="E99" s="292">
        <v>12</v>
      </c>
      <c r="F99" s="292">
        <v>12</v>
      </c>
      <c r="G99" s="292">
        <v>12</v>
      </c>
      <c r="H99" s="292">
        <v>12</v>
      </c>
      <c r="I99" s="292">
        <v>12</v>
      </c>
      <c r="J99" s="292">
        <v>12</v>
      </c>
      <c r="K99" s="292">
        <v>12</v>
      </c>
      <c r="L99" s="292">
        <v>12</v>
      </c>
      <c r="M99" s="292">
        <v>12</v>
      </c>
      <c r="N99" s="293" t="e">
        <f>+N97/N98/1000</f>
        <v>#DIV/0!</v>
      </c>
    </row>
    <row r="100" spans="1:14" x14ac:dyDescent="0.35">
      <c r="A100" s="308" t="s">
        <v>376</v>
      </c>
      <c r="B100" s="290">
        <f>B101*B102</f>
        <v>0</v>
      </c>
      <c r="C100" s="290">
        <f t="shared" ref="C100" si="333">C101*C102</f>
        <v>0</v>
      </c>
      <c r="D100" s="290">
        <f t="shared" ref="D100" si="334">D101*D102</f>
        <v>0</v>
      </c>
      <c r="E100" s="290">
        <f t="shared" ref="E100" si="335">E101*E102</f>
        <v>0</v>
      </c>
      <c r="F100" s="290">
        <f t="shared" ref="F100" si="336">F101*F102</f>
        <v>0</v>
      </c>
      <c r="G100" s="290">
        <f t="shared" ref="G100" si="337">G101*G102</f>
        <v>0</v>
      </c>
      <c r="H100" s="290">
        <f t="shared" ref="H100" si="338">H101*H102</f>
        <v>0</v>
      </c>
      <c r="I100" s="290">
        <f t="shared" ref="I100" si="339">I101*I102</f>
        <v>0</v>
      </c>
      <c r="J100" s="290">
        <f t="shared" ref="J100" si="340">J101*J102</f>
        <v>0</v>
      </c>
      <c r="K100" s="290">
        <f t="shared" ref="K100" si="341">K101*K102</f>
        <v>0</v>
      </c>
      <c r="L100" s="290">
        <f t="shared" ref="L100" si="342">L101*L102</f>
        <v>0</v>
      </c>
      <c r="M100" s="290">
        <f t="shared" ref="M100" si="343">M101*M102</f>
        <v>0</v>
      </c>
      <c r="N100" s="291">
        <f>SUM(B100:M100)</f>
        <v>0</v>
      </c>
    </row>
    <row r="101" spans="1:14" x14ac:dyDescent="0.35">
      <c r="A101" s="309" t="s">
        <v>468</v>
      </c>
      <c r="B101" s="281">
        <f>+'Budget Volumes Export'!B100</f>
        <v>0</v>
      </c>
      <c r="C101" s="281">
        <f>+'Budget Volumes Export'!C100</f>
        <v>0</v>
      </c>
      <c r="D101" s="281">
        <f>+'Budget Volumes Export'!D100</f>
        <v>0</v>
      </c>
      <c r="E101" s="281">
        <f>+'Budget Volumes Export'!E100</f>
        <v>0</v>
      </c>
      <c r="F101" s="281">
        <f>+'Budget Volumes Export'!F100</f>
        <v>0</v>
      </c>
      <c r="G101" s="281">
        <f>+'Budget Volumes Export'!G100</f>
        <v>0</v>
      </c>
      <c r="H101" s="281">
        <f>+'Budget Volumes Export'!H100</f>
        <v>0</v>
      </c>
      <c r="I101" s="281">
        <f>+'Budget Volumes Export'!I100</f>
        <v>0</v>
      </c>
      <c r="J101" s="281">
        <f>+'Budget Volumes Export'!J100</f>
        <v>0</v>
      </c>
      <c r="K101" s="281">
        <f>+'Budget Volumes Export'!K100</f>
        <v>0</v>
      </c>
      <c r="L101" s="281">
        <f>+'Budget Volumes Export'!L100</f>
        <v>0</v>
      </c>
      <c r="M101" s="281">
        <f>+'Budget Volumes Export'!M100</f>
        <v>0</v>
      </c>
      <c r="N101" s="282">
        <f>SUM(B101:M101)</f>
        <v>0</v>
      </c>
    </row>
    <row r="102" spans="1:14" x14ac:dyDescent="0.35">
      <c r="A102" s="309" t="s">
        <v>469</v>
      </c>
      <c r="B102" s="292">
        <v>14</v>
      </c>
      <c r="C102" s="292">
        <v>14</v>
      </c>
      <c r="D102" s="292">
        <v>14</v>
      </c>
      <c r="E102" s="292">
        <v>14</v>
      </c>
      <c r="F102" s="292">
        <v>14</v>
      </c>
      <c r="G102" s="292">
        <v>14</v>
      </c>
      <c r="H102" s="292">
        <v>14</v>
      </c>
      <c r="I102" s="292">
        <v>14</v>
      </c>
      <c r="J102" s="292">
        <v>14</v>
      </c>
      <c r="K102" s="292">
        <v>14</v>
      </c>
      <c r="L102" s="292">
        <v>14</v>
      </c>
      <c r="M102" s="292">
        <v>14</v>
      </c>
      <c r="N102" s="293" t="e">
        <f>+N100/N101/1000</f>
        <v>#DIV/0!</v>
      </c>
    </row>
    <row r="103" spans="1:14" x14ac:dyDescent="0.35">
      <c r="A103" s="308" t="s">
        <v>92</v>
      </c>
      <c r="B103" s="290">
        <f>B104*B105</f>
        <v>0</v>
      </c>
      <c r="C103" s="290">
        <f t="shared" ref="C103" si="344">C104*C105</f>
        <v>0</v>
      </c>
      <c r="D103" s="290">
        <f t="shared" ref="D103" si="345">D104*D105</f>
        <v>0</v>
      </c>
      <c r="E103" s="290">
        <f t="shared" ref="E103" si="346">E104*E105</f>
        <v>0</v>
      </c>
      <c r="F103" s="290">
        <f t="shared" ref="F103" si="347">F104*F105</f>
        <v>0</v>
      </c>
      <c r="G103" s="290">
        <f t="shared" ref="G103" si="348">G104*G105</f>
        <v>0</v>
      </c>
      <c r="H103" s="290">
        <f t="shared" ref="H103" si="349">H104*H105</f>
        <v>0</v>
      </c>
      <c r="I103" s="290">
        <f t="shared" ref="I103" si="350">I104*I105</f>
        <v>0</v>
      </c>
      <c r="J103" s="290">
        <f t="shared" ref="J103" si="351">J104*J105</f>
        <v>0</v>
      </c>
      <c r="K103" s="290">
        <f t="shared" ref="K103" si="352">K104*K105</f>
        <v>0</v>
      </c>
      <c r="L103" s="290">
        <f t="shared" ref="L103" si="353">L104*L105</f>
        <v>0</v>
      </c>
      <c r="M103" s="290">
        <f t="shared" ref="M103" si="354">M104*M105</f>
        <v>0</v>
      </c>
      <c r="N103" s="291">
        <f>SUM(B103:M103)</f>
        <v>0</v>
      </c>
    </row>
    <row r="104" spans="1:14" x14ac:dyDescent="0.35">
      <c r="A104" s="309" t="s">
        <v>468</v>
      </c>
      <c r="B104" s="281">
        <f>+'Budget Volumes Export'!B103</f>
        <v>0</v>
      </c>
      <c r="C104" s="281">
        <f>+'Budget Volumes Export'!C103</f>
        <v>0</v>
      </c>
      <c r="D104" s="281">
        <f>+'Budget Volumes Export'!D103</f>
        <v>0</v>
      </c>
      <c r="E104" s="281">
        <f>+'Budget Volumes Export'!E103</f>
        <v>0</v>
      </c>
      <c r="F104" s="281">
        <f>+'Budget Volumes Export'!F103</f>
        <v>0</v>
      </c>
      <c r="G104" s="281">
        <f>+'Budget Volumes Export'!G103</f>
        <v>0</v>
      </c>
      <c r="H104" s="281">
        <f>+'Budget Volumes Export'!H103</f>
        <v>0</v>
      </c>
      <c r="I104" s="281">
        <f>+'Budget Volumes Export'!I103</f>
        <v>0</v>
      </c>
      <c r="J104" s="281">
        <f>+'Budget Volumes Export'!J103</f>
        <v>0</v>
      </c>
      <c r="K104" s="281">
        <f>+'Budget Volumes Export'!K103</f>
        <v>0</v>
      </c>
      <c r="L104" s="281">
        <f>+'Budget Volumes Export'!L103</f>
        <v>0</v>
      </c>
      <c r="M104" s="281">
        <f>+'Budget Volumes Export'!M103</f>
        <v>0</v>
      </c>
      <c r="N104" s="282">
        <f>SUM(B104:M104)</f>
        <v>0</v>
      </c>
    </row>
    <row r="105" spans="1:14" x14ac:dyDescent="0.35">
      <c r="A105" s="309" t="s">
        <v>469</v>
      </c>
      <c r="B105" s="292">
        <v>8</v>
      </c>
      <c r="C105" s="292">
        <v>8</v>
      </c>
      <c r="D105" s="292">
        <v>8</v>
      </c>
      <c r="E105" s="292">
        <v>8</v>
      </c>
      <c r="F105" s="292">
        <v>8</v>
      </c>
      <c r="G105" s="292">
        <v>8</v>
      </c>
      <c r="H105" s="292">
        <v>8</v>
      </c>
      <c r="I105" s="292">
        <v>8</v>
      </c>
      <c r="J105" s="292">
        <v>8</v>
      </c>
      <c r="K105" s="292">
        <v>8</v>
      </c>
      <c r="L105" s="292">
        <v>8</v>
      </c>
      <c r="M105" s="292">
        <v>8</v>
      </c>
      <c r="N105" s="293" t="e">
        <f>+N103/N104/1000</f>
        <v>#DIV/0!</v>
      </c>
    </row>
    <row r="106" spans="1:14" x14ac:dyDescent="0.35">
      <c r="A106" s="308" t="s">
        <v>377</v>
      </c>
      <c r="B106" s="290">
        <f>B107*B108</f>
        <v>0</v>
      </c>
      <c r="C106" s="290">
        <f t="shared" ref="C106" si="355">C107*C108</f>
        <v>0</v>
      </c>
      <c r="D106" s="290">
        <f t="shared" ref="D106" si="356">D107*D108</f>
        <v>0</v>
      </c>
      <c r="E106" s="290">
        <f t="shared" ref="E106" si="357">E107*E108</f>
        <v>0</v>
      </c>
      <c r="F106" s="290">
        <f t="shared" ref="F106" si="358">F107*F108</f>
        <v>0</v>
      </c>
      <c r="G106" s="290">
        <f t="shared" ref="G106" si="359">G107*G108</f>
        <v>0</v>
      </c>
      <c r="H106" s="290">
        <f t="shared" ref="H106" si="360">H107*H108</f>
        <v>0</v>
      </c>
      <c r="I106" s="290">
        <f t="shared" ref="I106" si="361">I107*I108</f>
        <v>0</v>
      </c>
      <c r="J106" s="290">
        <f t="shared" ref="J106" si="362">J107*J108</f>
        <v>0</v>
      </c>
      <c r="K106" s="290">
        <f t="shared" ref="K106" si="363">K107*K108</f>
        <v>0</v>
      </c>
      <c r="L106" s="290">
        <f t="shared" ref="L106" si="364">L107*L108</f>
        <v>0</v>
      </c>
      <c r="M106" s="290">
        <f t="shared" ref="M106" si="365">M107*M108</f>
        <v>0</v>
      </c>
      <c r="N106" s="291">
        <f>SUM(B106:M106)</f>
        <v>0</v>
      </c>
    </row>
    <row r="107" spans="1:14" x14ac:dyDescent="0.35">
      <c r="A107" s="309" t="s">
        <v>468</v>
      </c>
      <c r="B107" s="281">
        <f>+'Budget Volumes Export'!B106</f>
        <v>0</v>
      </c>
      <c r="C107" s="281">
        <f>+'Budget Volumes Export'!C106</f>
        <v>0</v>
      </c>
      <c r="D107" s="281">
        <f>+'Budget Volumes Export'!D106</f>
        <v>0</v>
      </c>
      <c r="E107" s="281">
        <f>+'Budget Volumes Export'!E106</f>
        <v>0</v>
      </c>
      <c r="F107" s="281">
        <f>+'Budget Volumes Export'!F106</f>
        <v>0</v>
      </c>
      <c r="G107" s="281">
        <f>+'Budget Volumes Export'!G106</f>
        <v>0</v>
      </c>
      <c r="H107" s="281">
        <f>+'Budget Volumes Export'!H106</f>
        <v>0</v>
      </c>
      <c r="I107" s="281">
        <f>+'Budget Volumes Export'!I106</f>
        <v>0</v>
      </c>
      <c r="J107" s="281">
        <f>+'Budget Volumes Export'!J106</f>
        <v>0</v>
      </c>
      <c r="K107" s="281">
        <f>+'Budget Volumes Export'!K106</f>
        <v>0</v>
      </c>
      <c r="L107" s="281">
        <f>+'Budget Volumes Export'!L106</f>
        <v>0</v>
      </c>
      <c r="M107" s="281">
        <f>+'Budget Volumes Export'!M106</f>
        <v>0</v>
      </c>
      <c r="N107" s="282">
        <f>SUM(B107:M107)</f>
        <v>0</v>
      </c>
    </row>
    <row r="108" spans="1:14" x14ac:dyDescent="0.35">
      <c r="A108" s="309" t="s">
        <v>469</v>
      </c>
      <c r="B108" s="292">
        <v>50</v>
      </c>
      <c r="C108" s="292">
        <v>50</v>
      </c>
      <c r="D108" s="292">
        <v>50</v>
      </c>
      <c r="E108" s="292">
        <v>50</v>
      </c>
      <c r="F108" s="292">
        <v>50</v>
      </c>
      <c r="G108" s="292">
        <v>50</v>
      </c>
      <c r="H108" s="292">
        <v>50</v>
      </c>
      <c r="I108" s="292">
        <v>50</v>
      </c>
      <c r="J108" s="292">
        <v>50</v>
      </c>
      <c r="K108" s="292">
        <v>50</v>
      </c>
      <c r="L108" s="292">
        <v>50</v>
      </c>
      <c r="M108" s="292">
        <v>50</v>
      </c>
      <c r="N108" s="293" t="e">
        <f>+N106/N107/1000</f>
        <v>#DIV/0!</v>
      </c>
    </row>
    <row r="109" spans="1:14" x14ac:dyDescent="0.35">
      <c r="A109" s="308" t="s">
        <v>378</v>
      </c>
      <c r="B109" s="290">
        <f>B110*B111</f>
        <v>0</v>
      </c>
      <c r="C109" s="290">
        <f t="shared" ref="C109" si="366">C110*C111</f>
        <v>0</v>
      </c>
      <c r="D109" s="290">
        <f t="shared" ref="D109" si="367">D110*D111</f>
        <v>0</v>
      </c>
      <c r="E109" s="290">
        <f t="shared" ref="E109" si="368">E110*E111</f>
        <v>0</v>
      </c>
      <c r="F109" s="290">
        <f t="shared" ref="F109" si="369">F110*F111</f>
        <v>0</v>
      </c>
      <c r="G109" s="290">
        <f t="shared" ref="G109" si="370">G110*G111</f>
        <v>0</v>
      </c>
      <c r="H109" s="290">
        <f t="shared" ref="H109" si="371">H110*H111</f>
        <v>0</v>
      </c>
      <c r="I109" s="290">
        <f t="shared" ref="I109" si="372">I110*I111</f>
        <v>0</v>
      </c>
      <c r="J109" s="290">
        <f t="shared" ref="J109" si="373">J110*J111</f>
        <v>0</v>
      </c>
      <c r="K109" s="290">
        <f t="shared" ref="K109" si="374">K110*K111</f>
        <v>0</v>
      </c>
      <c r="L109" s="290">
        <f t="shared" ref="L109" si="375">L110*L111</f>
        <v>0</v>
      </c>
      <c r="M109" s="290">
        <f t="shared" ref="M109" si="376">M110*M111</f>
        <v>0</v>
      </c>
      <c r="N109" s="291">
        <f>SUM(B109:M109)</f>
        <v>0</v>
      </c>
    </row>
    <row r="110" spans="1:14" x14ac:dyDescent="0.35">
      <c r="A110" s="309" t="s">
        <v>468</v>
      </c>
      <c r="B110" s="281">
        <f>+'Budget Volumes Export'!B109</f>
        <v>0</v>
      </c>
      <c r="C110" s="281">
        <f>+'Budget Volumes Export'!C109</f>
        <v>0</v>
      </c>
      <c r="D110" s="281">
        <f>+'Budget Volumes Export'!D109</f>
        <v>0</v>
      </c>
      <c r="E110" s="281">
        <f>+'Budget Volumes Export'!E109</f>
        <v>0</v>
      </c>
      <c r="F110" s="281">
        <f>+'Budget Volumes Export'!F109</f>
        <v>0</v>
      </c>
      <c r="G110" s="281">
        <f>+'Budget Volumes Export'!G109</f>
        <v>0</v>
      </c>
      <c r="H110" s="281">
        <f>+'Budget Volumes Export'!H109</f>
        <v>0</v>
      </c>
      <c r="I110" s="281">
        <f>+'Budget Volumes Export'!I109</f>
        <v>0</v>
      </c>
      <c r="J110" s="281">
        <f>+'Budget Volumes Export'!J109</f>
        <v>0</v>
      </c>
      <c r="K110" s="281">
        <f>+'Budget Volumes Export'!K109</f>
        <v>0</v>
      </c>
      <c r="L110" s="281">
        <f>+'Budget Volumes Export'!L109</f>
        <v>0</v>
      </c>
      <c r="M110" s="281">
        <f>+'Budget Volumes Export'!M109</f>
        <v>0</v>
      </c>
      <c r="N110" s="282">
        <f>SUM(B110:M110)</f>
        <v>0</v>
      </c>
    </row>
    <row r="111" spans="1:14" ht="12" thickBot="1" x14ac:dyDescent="0.4">
      <c r="A111" s="310" t="s">
        <v>469</v>
      </c>
      <c r="B111" s="294">
        <v>12</v>
      </c>
      <c r="C111" s="294">
        <v>12</v>
      </c>
      <c r="D111" s="294">
        <v>12</v>
      </c>
      <c r="E111" s="294">
        <v>12</v>
      </c>
      <c r="F111" s="294">
        <v>12</v>
      </c>
      <c r="G111" s="294">
        <v>12</v>
      </c>
      <c r="H111" s="294">
        <v>12</v>
      </c>
      <c r="I111" s="294">
        <v>12</v>
      </c>
      <c r="J111" s="294">
        <v>12</v>
      </c>
      <c r="K111" s="294">
        <v>12</v>
      </c>
      <c r="L111" s="294">
        <v>12</v>
      </c>
      <c r="M111" s="294">
        <v>12</v>
      </c>
      <c r="N111" s="295" t="e">
        <f>+N109/N110/1000</f>
        <v>#DIV/0!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D2FA-AE02-4093-BF52-F3BB25E4112A}">
  <sheetPr>
    <tabColor rgb="FF92D050"/>
  </sheetPr>
  <dimension ref="A1:N111"/>
  <sheetViews>
    <sheetView workbookViewId="0">
      <selection activeCell="O11" sqref="O11"/>
    </sheetView>
  </sheetViews>
  <sheetFormatPr baseColWidth="10" defaultColWidth="11.46484375" defaultRowHeight="11.65" x14ac:dyDescent="0.35"/>
  <cols>
    <col min="1" max="1" width="22.59765625" style="32" customWidth="1"/>
    <col min="2" max="14" width="10.59765625" style="32" customWidth="1"/>
    <col min="15" max="16384" width="11.46484375" style="32"/>
  </cols>
  <sheetData>
    <row r="1" spans="1:14" ht="35.25" thickBot="1" x14ac:dyDescent="0.4">
      <c r="A1" s="68" t="s">
        <v>479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255" t="s">
        <v>387</v>
      </c>
      <c r="B4" s="283">
        <f>B7+B28+B49+B70+B91</f>
        <v>0</v>
      </c>
      <c r="C4" s="283">
        <f t="shared" ref="C4:M5" si="1">C7+C28+C49+C70+C91</f>
        <v>0</v>
      </c>
      <c r="D4" s="283">
        <f t="shared" si="1"/>
        <v>0</v>
      </c>
      <c r="E4" s="283">
        <f t="shared" si="1"/>
        <v>267612.5</v>
      </c>
      <c r="F4" s="283">
        <f t="shared" si="1"/>
        <v>264825</v>
      </c>
      <c r="G4" s="283">
        <f t="shared" si="1"/>
        <v>197225</v>
      </c>
      <c r="H4" s="283">
        <f t="shared" si="1"/>
        <v>197225</v>
      </c>
      <c r="I4" s="283">
        <f t="shared" si="1"/>
        <v>223430</v>
      </c>
      <c r="J4" s="283">
        <f t="shared" si="1"/>
        <v>202800</v>
      </c>
      <c r="K4" s="283">
        <f t="shared" si="1"/>
        <v>202800</v>
      </c>
      <c r="L4" s="283">
        <f t="shared" si="1"/>
        <v>176595</v>
      </c>
      <c r="M4" s="283">
        <f t="shared" si="1"/>
        <v>108995</v>
      </c>
      <c r="N4" s="283">
        <f>N7+N28+N49+N70+N91</f>
        <v>1634282.5</v>
      </c>
    </row>
    <row r="5" spans="1:14" s="57" customFormat="1" x14ac:dyDescent="0.35">
      <c r="A5" s="255" t="s">
        <v>480</v>
      </c>
      <c r="B5" s="283">
        <f>B8+B29+B50+B71+B92</f>
        <v>0</v>
      </c>
      <c r="C5" s="283">
        <f t="shared" si="1"/>
        <v>0</v>
      </c>
      <c r="D5" s="283">
        <f t="shared" si="1"/>
        <v>0</v>
      </c>
      <c r="E5" s="283">
        <f t="shared" si="1"/>
        <v>168264.5</v>
      </c>
      <c r="F5" s="283">
        <f t="shared" si="1"/>
        <v>165477</v>
      </c>
      <c r="G5" s="283">
        <f t="shared" si="1"/>
        <v>122714</v>
      </c>
      <c r="H5" s="283">
        <f t="shared" si="1"/>
        <v>122714</v>
      </c>
      <c r="I5" s="283">
        <f t="shared" si="1"/>
        <v>148919</v>
      </c>
      <c r="J5" s="283">
        <f t="shared" si="1"/>
        <v>128289</v>
      </c>
      <c r="K5" s="283">
        <f t="shared" si="1"/>
        <v>128289</v>
      </c>
      <c r="L5" s="283">
        <f t="shared" si="1"/>
        <v>102084</v>
      </c>
      <c r="M5" s="283">
        <f t="shared" si="1"/>
        <v>59321</v>
      </c>
      <c r="N5" s="283">
        <f>N8+N29+N50+N71+N92</f>
        <v>1146071.5</v>
      </c>
    </row>
    <row r="6" spans="1:14" s="57" customFormat="1" ht="12" thickBot="1" x14ac:dyDescent="0.4">
      <c r="A6" s="255" t="s">
        <v>469</v>
      </c>
      <c r="B6" s="284" t="e">
        <f>+B4/B5</f>
        <v>#DIV/0!</v>
      </c>
      <c r="C6" s="284" t="e">
        <f t="shared" ref="C6:N6" si="2">+C4/C5</f>
        <v>#DIV/0!</v>
      </c>
      <c r="D6" s="284" t="e">
        <f t="shared" si="2"/>
        <v>#DIV/0!</v>
      </c>
      <c r="E6" s="284">
        <f t="shared" si="2"/>
        <v>1.5904275708779927</v>
      </c>
      <c r="F6" s="284">
        <f t="shared" si="2"/>
        <v>1.6003734657988724</v>
      </c>
      <c r="G6" s="284">
        <f t="shared" si="2"/>
        <v>1.6071923333930929</v>
      </c>
      <c r="H6" s="284">
        <f t="shared" si="2"/>
        <v>1.6071923333930929</v>
      </c>
      <c r="I6" s="284">
        <f t="shared" si="2"/>
        <v>1.5003458255830351</v>
      </c>
      <c r="J6" s="284">
        <f t="shared" si="2"/>
        <v>1.5808058368215514</v>
      </c>
      <c r="K6" s="284">
        <f t="shared" si="2"/>
        <v>1.5808058368215514</v>
      </c>
      <c r="L6" s="284">
        <f t="shared" si="2"/>
        <v>1.7298989067826496</v>
      </c>
      <c r="M6" s="284">
        <f t="shared" si="2"/>
        <v>1.8373763085585206</v>
      </c>
      <c r="N6" s="284">
        <f t="shared" si="2"/>
        <v>1.4259865113127759</v>
      </c>
    </row>
    <row r="7" spans="1:14" s="57" customFormat="1" x14ac:dyDescent="0.35">
      <c r="A7" s="306" t="s">
        <v>373</v>
      </c>
      <c r="B7" s="285">
        <f>+B10+B13+B16+B19+B22+B25</f>
        <v>0</v>
      </c>
      <c r="C7" s="285">
        <f t="shared" ref="C7:M8" si="3">+C10+C13+C16+C19+C22+C25</f>
        <v>0</v>
      </c>
      <c r="D7" s="285">
        <f t="shared" si="3"/>
        <v>0</v>
      </c>
      <c r="E7" s="285">
        <f t="shared" si="3"/>
        <v>30700.000000000007</v>
      </c>
      <c r="F7" s="285">
        <f t="shared" si="3"/>
        <v>30700.000000000007</v>
      </c>
      <c r="G7" s="285">
        <f t="shared" si="3"/>
        <v>23025.000000000004</v>
      </c>
      <c r="H7" s="285">
        <f t="shared" si="3"/>
        <v>23025.000000000004</v>
      </c>
      <c r="I7" s="285">
        <f t="shared" si="3"/>
        <v>30700.000000000007</v>
      </c>
      <c r="J7" s="285">
        <f t="shared" si="3"/>
        <v>23025.000000000004</v>
      </c>
      <c r="K7" s="285">
        <f t="shared" si="3"/>
        <v>23025.000000000004</v>
      </c>
      <c r="L7" s="285">
        <f t="shared" si="3"/>
        <v>15350.000000000004</v>
      </c>
      <c r="M7" s="285">
        <f t="shared" si="3"/>
        <v>7675.0000000000018</v>
      </c>
      <c r="N7" s="286"/>
    </row>
    <row r="8" spans="1:14" s="57" customFormat="1" x14ac:dyDescent="0.35">
      <c r="A8" s="307" t="s">
        <v>480</v>
      </c>
      <c r="B8" s="287">
        <f>+B11+B14+B17+B20+B23+B26</f>
        <v>0</v>
      </c>
      <c r="C8" s="287">
        <f t="shared" si="3"/>
        <v>0</v>
      </c>
      <c r="D8" s="287">
        <f t="shared" si="3"/>
        <v>0</v>
      </c>
      <c r="E8" s="287">
        <f t="shared" si="3"/>
        <v>30700.000000000007</v>
      </c>
      <c r="F8" s="287">
        <f t="shared" si="3"/>
        <v>30700.000000000007</v>
      </c>
      <c r="G8" s="287">
        <f t="shared" si="3"/>
        <v>23025.000000000004</v>
      </c>
      <c r="H8" s="287">
        <f t="shared" si="3"/>
        <v>23025.000000000004</v>
      </c>
      <c r="I8" s="287">
        <f t="shared" si="3"/>
        <v>30700.000000000007</v>
      </c>
      <c r="J8" s="287">
        <f t="shared" si="3"/>
        <v>23025.000000000004</v>
      </c>
      <c r="K8" s="287">
        <f t="shared" si="3"/>
        <v>23025.000000000004</v>
      </c>
      <c r="L8" s="287">
        <f t="shared" si="3"/>
        <v>15350.000000000004</v>
      </c>
      <c r="M8" s="287">
        <f t="shared" si="3"/>
        <v>7675.0000000000018</v>
      </c>
      <c r="N8" s="288">
        <f>SUM(B8:M8)</f>
        <v>207225.00000000003</v>
      </c>
    </row>
    <row r="9" spans="1:14" s="57" customFormat="1" x14ac:dyDescent="0.35">
      <c r="A9" s="307" t="s">
        <v>469</v>
      </c>
      <c r="B9" s="289" t="e">
        <f>+B7/B8</f>
        <v>#DIV/0!</v>
      </c>
      <c r="C9" s="289" t="e">
        <f t="shared" ref="C9:N9" si="4">+C7/C8</f>
        <v>#DIV/0!</v>
      </c>
      <c r="D9" s="289" t="e">
        <f t="shared" si="4"/>
        <v>#DIV/0!</v>
      </c>
      <c r="E9" s="289">
        <f t="shared" si="4"/>
        <v>1</v>
      </c>
      <c r="F9" s="289">
        <f t="shared" si="4"/>
        <v>1</v>
      </c>
      <c r="G9" s="289">
        <f t="shared" si="4"/>
        <v>1</v>
      </c>
      <c r="H9" s="289">
        <f t="shared" si="4"/>
        <v>1</v>
      </c>
      <c r="I9" s="289">
        <f t="shared" si="4"/>
        <v>1</v>
      </c>
      <c r="J9" s="289">
        <f t="shared" si="4"/>
        <v>1</v>
      </c>
      <c r="K9" s="289">
        <f t="shared" si="4"/>
        <v>1</v>
      </c>
      <c r="L9" s="289">
        <f t="shared" si="4"/>
        <v>1</v>
      </c>
      <c r="M9" s="289">
        <f t="shared" si="4"/>
        <v>1</v>
      </c>
      <c r="N9" s="289">
        <f t="shared" si="4"/>
        <v>0</v>
      </c>
    </row>
    <row r="10" spans="1:14" x14ac:dyDescent="0.35">
      <c r="A10" s="308" t="s">
        <v>90</v>
      </c>
      <c r="B10" s="290">
        <f>B11*B12</f>
        <v>0</v>
      </c>
      <c r="C10" s="290">
        <f t="shared" ref="C10:M10" si="5">C11*C12</f>
        <v>0</v>
      </c>
      <c r="D10" s="290">
        <f t="shared" si="5"/>
        <v>0</v>
      </c>
      <c r="E10" s="290">
        <f t="shared" si="5"/>
        <v>30700.000000000007</v>
      </c>
      <c r="F10" s="290">
        <f t="shared" si="5"/>
        <v>30700.000000000007</v>
      </c>
      <c r="G10" s="290">
        <f t="shared" si="5"/>
        <v>23025.000000000004</v>
      </c>
      <c r="H10" s="290">
        <f t="shared" si="5"/>
        <v>23025.000000000004</v>
      </c>
      <c r="I10" s="290">
        <f t="shared" si="5"/>
        <v>30700.000000000007</v>
      </c>
      <c r="J10" s="290">
        <f t="shared" si="5"/>
        <v>23025.000000000004</v>
      </c>
      <c r="K10" s="290">
        <f t="shared" si="5"/>
        <v>23025.000000000004</v>
      </c>
      <c r="L10" s="290">
        <f t="shared" si="5"/>
        <v>15350.000000000004</v>
      </c>
      <c r="M10" s="290">
        <f t="shared" si="5"/>
        <v>7675.0000000000018</v>
      </c>
      <c r="N10" s="291">
        <f>SUM(B10:M10)</f>
        <v>207225.00000000003</v>
      </c>
    </row>
    <row r="11" spans="1:14" x14ac:dyDescent="0.35">
      <c r="A11" s="309" t="s">
        <v>480</v>
      </c>
      <c r="B11" s="281">
        <f>+'Budget Volumes ML'!B10</f>
        <v>0</v>
      </c>
      <c r="C11" s="281">
        <f>+'Budget Volumes ML'!C10</f>
        <v>0</v>
      </c>
      <c r="D11" s="281">
        <f>+'Budget Volumes ML'!D10</f>
        <v>0</v>
      </c>
      <c r="E11" s="281">
        <f>+'Budget Volumes ML'!E10</f>
        <v>30700.000000000007</v>
      </c>
      <c r="F11" s="281">
        <f>+'Budget Volumes ML'!F10</f>
        <v>30700.000000000007</v>
      </c>
      <c r="G11" s="281">
        <f>+'Budget Volumes ML'!G10</f>
        <v>23025.000000000004</v>
      </c>
      <c r="H11" s="281">
        <f>+'Budget Volumes ML'!H10</f>
        <v>23025.000000000004</v>
      </c>
      <c r="I11" s="281">
        <f>+'Budget Volumes ML'!I10</f>
        <v>30700.000000000007</v>
      </c>
      <c r="J11" s="281">
        <f>+'Budget Volumes ML'!J10</f>
        <v>23025.000000000004</v>
      </c>
      <c r="K11" s="281">
        <f>+'Budget Volumes ML'!K10</f>
        <v>23025.000000000004</v>
      </c>
      <c r="L11" s="281">
        <f>+'Budget Volumes ML'!L10</f>
        <v>15350.000000000004</v>
      </c>
      <c r="M11" s="281">
        <f>+'Budget Volumes ML'!M10</f>
        <v>7675.0000000000018</v>
      </c>
      <c r="N11" s="282">
        <f>SUM(B11:M11)</f>
        <v>207225.00000000003</v>
      </c>
    </row>
    <row r="12" spans="1:14" x14ac:dyDescent="0.35">
      <c r="A12" s="309" t="s">
        <v>469</v>
      </c>
      <c r="B12" s="292">
        <v>1</v>
      </c>
      <c r="C12" s="292">
        <v>1</v>
      </c>
      <c r="D12" s="292">
        <v>1</v>
      </c>
      <c r="E12" s="292">
        <v>1</v>
      </c>
      <c r="F12" s="292">
        <v>1</v>
      </c>
      <c r="G12" s="292">
        <v>1</v>
      </c>
      <c r="H12" s="292">
        <v>1</v>
      </c>
      <c r="I12" s="292">
        <v>1</v>
      </c>
      <c r="J12" s="292">
        <v>1</v>
      </c>
      <c r="K12" s="292">
        <v>1</v>
      </c>
      <c r="L12" s="292">
        <v>1</v>
      </c>
      <c r="M12" s="292">
        <v>1</v>
      </c>
      <c r="N12" s="293">
        <f>+N10/N11/1000</f>
        <v>1E-3</v>
      </c>
    </row>
    <row r="13" spans="1:14" x14ac:dyDescent="0.35">
      <c r="A13" s="308" t="s">
        <v>91</v>
      </c>
      <c r="B13" s="290">
        <f>B14*B15</f>
        <v>0</v>
      </c>
      <c r="C13" s="290">
        <f t="shared" ref="C13:M13" si="6">C14*C15</f>
        <v>0</v>
      </c>
      <c r="D13" s="290">
        <f t="shared" si="6"/>
        <v>0</v>
      </c>
      <c r="E13" s="290">
        <f t="shared" si="6"/>
        <v>0</v>
      </c>
      <c r="F13" s="290">
        <f t="shared" si="6"/>
        <v>0</v>
      </c>
      <c r="G13" s="290">
        <f t="shared" si="6"/>
        <v>0</v>
      </c>
      <c r="H13" s="290">
        <f t="shared" si="6"/>
        <v>0</v>
      </c>
      <c r="I13" s="290">
        <f t="shared" si="6"/>
        <v>0</v>
      </c>
      <c r="J13" s="290">
        <f t="shared" si="6"/>
        <v>0</v>
      </c>
      <c r="K13" s="290">
        <f t="shared" si="6"/>
        <v>0</v>
      </c>
      <c r="L13" s="290">
        <f t="shared" si="6"/>
        <v>0</v>
      </c>
      <c r="M13" s="290">
        <f t="shared" si="6"/>
        <v>0</v>
      </c>
      <c r="N13" s="291">
        <f>SUM(B13:M13)</f>
        <v>0</v>
      </c>
    </row>
    <row r="14" spans="1:14" x14ac:dyDescent="0.35">
      <c r="A14" s="309" t="s">
        <v>480</v>
      </c>
      <c r="B14" s="281">
        <f>+'Budget Volumes ML'!B13</f>
        <v>0</v>
      </c>
      <c r="C14" s="281">
        <f>+'Budget Volumes ML'!C13</f>
        <v>0</v>
      </c>
      <c r="D14" s="281">
        <f>+'Budget Volumes ML'!D13</f>
        <v>0</v>
      </c>
      <c r="E14" s="281">
        <f>+'Budget Volumes ML'!E13</f>
        <v>0</v>
      </c>
      <c r="F14" s="281">
        <f>+'Budget Volumes ML'!F13</f>
        <v>0</v>
      </c>
      <c r="G14" s="281">
        <f>+'Budget Volumes ML'!G13</f>
        <v>0</v>
      </c>
      <c r="H14" s="281">
        <f>+'Budget Volumes ML'!H13</f>
        <v>0</v>
      </c>
      <c r="I14" s="281">
        <f>+'Budget Volumes ML'!I13</f>
        <v>0</v>
      </c>
      <c r="J14" s="281">
        <f>+'Budget Volumes ML'!J13</f>
        <v>0</v>
      </c>
      <c r="K14" s="281">
        <f>+'Budget Volumes ML'!K13</f>
        <v>0</v>
      </c>
      <c r="L14" s="281">
        <f>+'Budget Volumes ML'!L13</f>
        <v>0</v>
      </c>
      <c r="M14" s="281">
        <f>+'Budget Volumes ML'!M13</f>
        <v>0</v>
      </c>
      <c r="N14" s="282">
        <f>+'Plan de culture 104 '!$X$13</f>
        <v>0</v>
      </c>
    </row>
    <row r="15" spans="1:14" x14ac:dyDescent="0.35">
      <c r="A15" s="309" t="s">
        <v>469</v>
      </c>
      <c r="B15" s="292">
        <v>1</v>
      </c>
      <c r="C15" s="292">
        <v>1</v>
      </c>
      <c r="D15" s="292">
        <v>1</v>
      </c>
      <c r="E15" s="292">
        <v>1</v>
      </c>
      <c r="F15" s="292">
        <v>1</v>
      </c>
      <c r="G15" s="292">
        <v>1</v>
      </c>
      <c r="H15" s="292">
        <v>1</v>
      </c>
      <c r="I15" s="292">
        <v>1</v>
      </c>
      <c r="J15" s="292">
        <v>1</v>
      </c>
      <c r="K15" s="292">
        <v>1</v>
      </c>
      <c r="L15" s="292">
        <v>1</v>
      </c>
      <c r="M15" s="292">
        <v>1</v>
      </c>
      <c r="N15" s="293" t="e">
        <f>+N13/N14/1000</f>
        <v>#DIV/0!</v>
      </c>
    </row>
    <row r="16" spans="1:14" x14ac:dyDescent="0.35">
      <c r="A16" s="308" t="s">
        <v>376</v>
      </c>
      <c r="B16" s="290">
        <f>B17*B18</f>
        <v>0</v>
      </c>
      <c r="C16" s="290">
        <f t="shared" ref="C16:M16" si="7">C17*C18</f>
        <v>0</v>
      </c>
      <c r="D16" s="290">
        <f t="shared" si="7"/>
        <v>0</v>
      </c>
      <c r="E16" s="290">
        <f t="shared" si="7"/>
        <v>0</v>
      </c>
      <c r="F16" s="290">
        <f t="shared" si="7"/>
        <v>0</v>
      </c>
      <c r="G16" s="290">
        <f t="shared" si="7"/>
        <v>0</v>
      </c>
      <c r="H16" s="290">
        <f t="shared" si="7"/>
        <v>0</v>
      </c>
      <c r="I16" s="290">
        <f t="shared" si="7"/>
        <v>0</v>
      </c>
      <c r="J16" s="290">
        <f t="shared" si="7"/>
        <v>0</v>
      </c>
      <c r="K16" s="290">
        <f t="shared" si="7"/>
        <v>0</v>
      </c>
      <c r="L16" s="290">
        <f t="shared" si="7"/>
        <v>0</v>
      </c>
      <c r="M16" s="290">
        <f t="shared" si="7"/>
        <v>0</v>
      </c>
      <c r="N16" s="291">
        <f>SUM(B16:M16)</f>
        <v>0</v>
      </c>
    </row>
    <row r="17" spans="1:14" x14ac:dyDescent="0.35">
      <c r="A17" s="309" t="s">
        <v>480</v>
      </c>
      <c r="B17" s="281">
        <f>+'Budget Volumes ML'!B16</f>
        <v>0</v>
      </c>
      <c r="C17" s="281">
        <f>+'Budget Volumes ML'!C16</f>
        <v>0</v>
      </c>
      <c r="D17" s="281">
        <f>+'Budget Volumes ML'!D16</f>
        <v>0</v>
      </c>
      <c r="E17" s="281">
        <f>+'Budget Volumes ML'!E16</f>
        <v>0</v>
      </c>
      <c r="F17" s="281">
        <f>+'Budget Volumes ML'!F16</f>
        <v>0</v>
      </c>
      <c r="G17" s="281">
        <f>+'Budget Volumes ML'!G16</f>
        <v>0</v>
      </c>
      <c r="H17" s="281">
        <f>+'Budget Volumes ML'!H16</f>
        <v>0</v>
      </c>
      <c r="I17" s="281">
        <f>+'Budget Volumes ML'!I16</f>
        <v>0</v>
      </c>
      <c r="J17" s="281">
        <f>+'Budget Volumes ML'!J16</f>
        <v>0</v>
      </c>
      <c r="K17" s="281">
        <f>+'Budget Volumes ML'!K16</f>
        <v>0</v>
      </c>
      <c r="L17" s="281">
        <f>+'Budget Volumes ML'!L16</f>
        <v>0</v>
      </c>
      <c r="M17" s="281">
        <f>+'Budget Volumes ML'!M16</f>
        <v>0</v>
      </c>
      <c r="N17" s="282">
        <f>SUM(B17:M17)</f>
        <v>0</v>
      </c>
    </row>
    <row r="18" spans="1:14" x14ac:dyDescent="0.35">
      <c r="A18" s="309" t="s">
        <v>469</v>
      </c>
      <c r="B18" s="292">
        <v>1</v>
      </c>
      <c r="C18" s="292">
        <v>1</v>
      </c>
      <c r="D18" s="292">
        <v>1</v>
      </c>
      <c r="E18" s="292">
        <v>1</v>
      </c>
      <c r="F18" s="292">
        <v>1</v>
      </c>
      <c r="G18" s="292">
        <v>1</v>
      </c>
      <c r="H18" s="292">
        <v>1</v>
      </c>
      <c r="I18" s="292">
        <v>1</v>
      </c>
      <c r="J18" s="292">
        <v>1</v>
      </c>
      <c r="K18" s="292">
        <v>1</v>
      </c>
      <c r="L18" s="292">
        <v>1</v>
      </c>
      <c r="M18" s="292">
        <v>1</v>
      </c>
      <c r="N18" s="293" t="e">
        <f>+N16/N17/1000</f>
        <v>#DIV/0!</v>
      </c>
    </row>
    <row r="19" spans="1:14" x14ac:dyDescent="0.35">
      <c r="A19" s="308" t="s">
        <v>92</v>
      </c>
      <c r="B19" s="290">
        <f>B20*B21</f>
        <v>0</v>
      </c>
      <c r="C19" s="290">
        <f t="shared" ref="C19:M19" si="8">C20*C21</f>
        <v>0</v>
      </c>
      <c r="D19" s="290">
        <f t="shared" si="8"/>
        <v>0</v>
      </c>
      <c r="E19" s="290">
        <f t="shared" si="8"/>
        <v>0</v>
      </c>
      <c r="F19" s="290">
        <f t="shared" si="8"/>
        <v>0</v>
      </c>
      <c r="G19" s="290">
        <f t="shared" si="8"/>
        <v>0</v>
      </c>
      <c r="H19" s="290">
        <f t="shared" si="8"/>
        <v>0</v>
      </c>
      <c r="I19" s="290">
        <f t="shared" si="8"/>
        <v>0</v>
      </c>
      <c r="J19" s="290">
        <f t="shared" si="8"/>
        <v>0</v>
      </c>
      <c r="K19" s="290">
        <f t="shared" si="8"/>
        <v>0</v>
      </c>
      <c r="L19" s="290">
        <f t="shared" si="8"/>
        <v>0</v>
      </c>
      <c r="M19" s="290">
        <f t="shared" si="8"/>
        <v>0</v>
      </c>
      <c r="N19" s="291">
        <f>SUM(B19:M19)</f>
        <v>0</v>
      </c>
    </row>
    <row r="20" spans="1:14" x14ac:dyDescent="0.35">
      <c r="A20" s="309" t="s">
        <v>480</v>
      </c>
      <c r="B20" s="281">
        <f>+'Budget Volumes ML'!B19</f>
        <v>0</v>
      </c>
      <c r="C20" s="281">
        <f>+'Budget Volumes ML'!C19</f>
        <v>0</v>
      </c>
      <c r="D20" s="281">
        <f>+'Budget Volumes ML'!D19</f>
        <v>0</v>
      </c>
      <c r="E20" s="281">
        <f>+'Budget Volumes ML'!E19</f>
        <v>0</v>
      </c>
      <c r="F20" s="281">
        <f>+'Budget Volumes ML'!F19</f>
        <v>0</v>
      </c>
      <c r="G20" s="281">
        <f>+'Budget Volumes ML'!G19</f>
        <v>0</v>
      </c>
      <c r="H20" s="281">
        <f>+'Budget Volumes ML'!H19</f>
        <v>0</v>
      </c>
      <c r="I20" s="281">
        <f>+'Budget Volumes ML'!I19</f>
        <v>0</v>
      </c>
      <c r="J20" s="281">
        <f>+'Budget Volumes ML'!J19</f>
        <v>0</v>
      </c>
      <c r="K20" s="281">
        <f>+'Budget Volumes ML'!K19</f>
        <v>0</v>
      </c>
      <c r="L20" s="281">
        <f>+'Budget Volumes ML'!L19</f>
        <v>0</v>
      </c>
      <c r="M20" s="281">
        <f>+'Budget Volumes ML'!M19</f>
        <v>0</v>
      </c>
      <c r="N20" s="282">
        <f>SUM(B20:M20)</f>
        <v>0</v>
      </c>
    </row>
    <row r="21" spans="1:14" x14ac:dyDescent="0.35">
      <c r="A21" s="309" t="s">
        <v>469</v>
      </c>
      <c r="B21" s="292">
        <v>2.5</v>
      </c>
      <c r="C21" s="292">
        <v>2.5</v>
      </c>
      <c r="D21" s="292">
        <v>2.5</v>
      </c>
      <c r="E21" s="292">
        <v>2.5</v>
      </c>
      <c r="F21" s="292">
        <v>2.5</v>
      </c>
      <c r="G21" s="292">
        <v>2.5</v>
      </c>
      <c r="H21" s="292">
        <v>2.5</v>
      </c>
      <c r="I21" s="292">
        <v>2.5</v>
      </c>
      <c r="J21" s="292">
        <v>2.5</v>
      </c>
      <c r="K21" s="292">
        <v>2.5</v>
      </c>
      <c r="L21" s="292">
        <v>2.5</v>
      </c>
      <c r="M21" s="292">
        <v>2.5</v>
      </c>
      <c r="N21" s="293" t="e">
        <f>+N19/N20/1000</f>
        <v>#DIV/0!</v>
      </c>
    </row>
    <row r="22" spans="1:14" x14ac:dyDescent="0.35">
      <c r="A22" s="308" t="s">
        <v>377</v>
      </c>
      <c r="B22" s="290">
        <f>B23*B24</f>
        <v>0</v>
      </c>
      <c r="C22" s="290">
        <f t="shared" ref="C22:M22" si="9">C23*C24</f>
        <v>0</v>
      </c>
      <c r="D22" s="290">
        <f t="shared" si="9"/>
        <v>0</v>
      </c>
      <c r="E22" s="290">
        <f t="shared" si="9"/>
        <v>0</v>
      </c>
      <c r="F22" s="290">
        <f t="shared" si="9"/>
        <v>0</v>
      </c>
      <c r="G22" s="290">
        <f t="shared" si="9"/>
        <v>0</v>
      </c>
      <c r="H22" s="290">
        <f t="shared" si="9"/>
        <v>0</v>
      </c>
      <c r="I22" s="290">
        <f t="shared" si="9"/>
        <v>0</v>
      </c>
      <c r="J22" s="290">
        <f t="shared" si="9"/>
        <v>0</v>
      </c>
      <c r="K22" s="290">
        <f t="shared" si="9"/>
        <v>0</v>
      </c>
      <c r="L22" s="290">
        <f t="shared" si="9"/>
        <v>0</v>
      </c>
      <c r="M22" s="290">
        <f t="shared" si="9"/>
        <v>0</v>
      </c>
      <c r="N22" s="291">
        <f>SUM(B22:M22)</f>
        <v>0</v>
      </c>
    </row>
    <row r="23" spans="1:14" x14ac:dyDescent="0.35">
      <c r="A23" s="309" t="s">
        <v>480</v>
      </c>
      <c r="B23" s="281">
        <f>+'Budget Volumes ML'!B22</f>
        <v>0</v>
      </c>
      <c r="C23" s="281">
        <f>+'Budget Volumes ML'!C22</f>
        <v>0</v>
      </c>
      <c r="D23" s="281">
        <f>+'Budget Volumes ML'!D22</f>
        <v>0</v>
      </c>
      <c r="E23" s="281">
        <f>+'Budget Volumes ML'!E22</f>
        <v>0</v>
      </c>
      <c r="F23" s="281">
        <f>+'Budget Volumes ML'!F22</f>
        <v>0</v>
      </c>
      <c r="G23" s="281">
        <f>+'Budget Volumes ML'!G22</f>
        <v>0</v>
      </c>
      <c r="H23" s="281">
        <f>+'Budget Volumes ML'!H22</f>
        <v>0</v>
      </c>
      <c r="I23" s="281">
        <f>+'Budget Volumes ML'!I22</f>
        <v>0</v>
      </c>
      <c r="J23" s="281">
        <f>+'Budget Volumes ML'!J22</f>
        <v>0</v>
      </c>
      <c r="K23" s="281">
        <f>+'Budget Volumes ML'!K22</f>
        <v>0</v>
      </c>
      <c r="L23" s="281">
        <f>+'Budget Volumes ML'!L22</f>
        <v>0</v>
      </c>
      <c r="M23" s="281">
        <f>+'Budget Volumes ML'!M22</f>
        <v>0</v>
      </c>
      <c r="N23" s="282">
        <f>SUM(B23:M23)</f>
        <v>0</v>
      </c>
    </row>
    <row r="24" spans="1:14" x14ac:dyDescent="0.35">
      <c r="A24" s="309" t="s">
        <v>469</v>
      </c>
      <c r="B24" s="292">
        <v>20</v>
      </c>
      <c r="C24" s="292">
        <v>20</v>
      </c>
      <c r="D24" s="292">
        <v>20</v>
      </c>
      <c r="E24" s="292">
        <v>20</v>
      </c>
      <c r="F24" s="292">
        <v>20</v>
      </c>
      <c r="G24" s="292">
        <v>20</v>
      </c>
      <c r="H24" s="292">
        <v>20</v>
      </c>
      <c r="I24" s="292">
        <v>20</v>
      </c>
      <c r="J24" s="292">
        <v>20</v>
      </c>
      <c r="K24" s="292">
        <v>20</v>
      </c>
      <c r="L24" s="292">
        <v>20</v>
      </c>
      <c r="M24" s="292">
        <v>20</v>
      </c>
      <c r="N24" s="293" t="e">
        <f>+N22/N23/1000</f>
        <v>#DIV/0!</v>
      </c>
    </row>
    <row r="25" spans="1:14" x14ac:dyDescent="0.35">
      <c r="A25" s="308" t="s">
        <v>378</v>
      </c>
      <c r="B25" s="290">
        <f>B26*B27</f>
        <v>0</v>
      </c>
      <c r="C25" s="290">
        <f t="shared" ref="C25:M25" si="10">C26*C27</f>
        <v>0</v>
      </c>
      <c r="D25" s="290">
        <f t="shared" si="10"/>
        <v>0</v>
      </c>
      <c r="E25" s="290">
        <f t="shared" si="10"/>
        <v>0</v>
      </c>
      <c r="F25" s="290">
        <f t="shared" si="10"/>
        <v>0</v>
      </c>
      <c r="G25" s="290">
        <f t="shared" si="10"/>
        <v>0</v>
      </c>
      <c r="H25" s="290">
        <f t="shared" si="10"/>
        <v>0</v>
      </c>
      <c r="I25" s="290">
        <f t="shared" si="10"/>
        <v>0</v>
      </c>
      <c r="J25" s="290">
        <f t="shared" si="10"/>
        <v>0</v>
      </c>
      <c r="K25" s="290">
        <f t="shared" si="10"/>
        <v>0</v>
      </c>
      <c r="L25" s="290">
        <f t="shared" si="10"/>
        <v>0</v>
      </c>
      <c r="M25" s="290">
        <f t="shared" si="10"/>
        <v>0</v>
      </c>
      <c r="N25" s="291">
        <f>SUM(B25:M25)</f>
        <v>0</v>
      </c>
    </row>
    <row r="26" spans="1:14" x14ac:dyDescent="0.35">
      <c r="A26" s="309" t="s">
        <v>480</v>
      </c>
      <c r="B26" s="281">
        <f>+'Budget Volumes ML'!B25</f>
        <v>0</v>
      </c>
      <c r="C26" s="281">
        <f>+'Budget Volumes ML'!C25</f>
        <v>0</v>
      </c>
      <c r="D26" s="281">
        <f>+'Budget Volumes ML'!D25</f>
        <v>0</v>
      </c>
      <c r="E26" s="281">
        <f>+'Budget Volumes ML'!E25</f>
        <v>0</v>
      </c>
      <c r="F26" s="281">
        <f>+'Budget Volumes ML'!F25</f>
        <v>0</v>
      </c>
      <c r="G26" s="281">
        <f>+'Budget Volumes ML'!G25</f>
        <v>0</v>
      </c>
      <c r="H26" s="281">
        <f>+'Budget Volumes ML'!H25</f>
        <v>0</v>
      </c>
      <c r="I26" s="281">
        <f>+'Budget Volumes ML'!I25</f>
        <v>0</v>
      </c>
      <c r="J26" s="281">
        <f>+'Budget Volumes ML'!J25</f>
        <v>0</v>
      </c>
      <c r="K26" s="281">
        <f>+'Budget Volumes ML'!K25</f>
        <v>0</v>
      </c>
      <c r="L26" s="281">
        <f>+'Budget Volumes ML'!L25</f>
        <v>0</v>
      </c>
      <c r="M26" s="281">
        <f>+'Budget Volumes ML'!M25</f>
        <v>0</v>
      </c>
      <c r="N26" s="282">
        <f>SUM(B26:M26)</f>
        <v>0</v>
      </c>
    </row>
    <row r="27" spans="1:14" ht="12" thickBot="1" x14ac:dyDescent="0.4">
      <c r="A27" s="309" t="s">
        <v>469</v>
      </c>
      <c r="B27" s="294">
        <v>5</v>
      </c>
      <c r="C27" s="294">
        <v>5</v>
      </c>
      <c r="D27" s="294">
        <v>5</v>
      </c>
      <c r="E27" s="294">
        <v>5</v>
      </c>
      <c r="F27" s="294">
        <v>5</v>
      </c>
      <c r="G27" s="294">
        <v>5</v>
      </c>
      <c r="H27" s="294">
        <v>5</v>
      </c>
      <c r="I27" s="294">
        <v>5</v>
      </c>
      <c r="J27" s="294">
        <v>5</v>
      </c>
      <c r="K27" s="294">
        <v>5</v>
      </c>
      <c r="L27" s="294">
        <v>5</v>
      </c>
      <c r="M27" s="294">
        <v>5</v>
      </c>
      <c r="N27" s="295" t="e">
        <f>+N25/N26/1000</f>
        <v>#DIV/0!</v>
      </c>
    </row>
    <row r="28" spans="1:14" x14ac:dyDescent="0.35">
      <c r="A28" s="306" t="s">
        <v>374</v>
      </c>
      <c r="B28" s="285">
        <f>+B31+B34+B37+B40+B43+B46</f>
        <v>0</v>
      </c>
      <c r="C28" s="285">
        <f t="shared" ref="C28:M29" si="11">+C31+C34+C37+C40+C43+C46</f>
        <v>0</v>
      </c>
      <c r="D28" s="285">
        <f t="shared" si="11"/>
        <v>0</v>
      </c>
      <c r="E28" s="285">
        <f t="shared" si="11"/>
        <v>10790.000000000002</v>
      </c>
      <c r="F28" s="285">
        <f t="shared" si="11"/>
        <v>10790.000000000002</v>
      </c>
      <c r="G28" s="285">
        <f t="shared" si="11"/>
        <v>8092.5000000000009</v>
      </c>
      <c r="H28" s="285">
        <f t="shared" si="11"/>
        <v>8092.5000000000009</v>
      </c>
      <c r="I28" s="285">
        <f t="shared" si="11"/>
        <v>10790.000000000002</v>
      </c>
      <c r="J28" s="285">
        <f t="shared" si="11"/>
        <v>8092.5000000000009</v>
      </c>
      <c r="K28" s="285">
        <f t="shared" si="11"/>
        <v>8092.5000000000009</v>
      </c>
      <c r="L28" s="285">
        <f t="shared" si="11"/>
        <v>5395.0000000000009</v>
      </c>
      <c r="M28" s="285">
        <f t="shared" si="11"/>
        <v>2697.5000000000005</v>
      </c>
      <c r="N28" s="286">
        <f>SUM(B28:M28)</f>
        <v>72832.500000000015</v>
      </c>
    </row>
    <row r="29" spans="1:14" x14ac:dyDescent="0.35">
      <c r="A29" s="307" t="s">
        <v>480</v>
      </c>
      <c r="B29" s="287">
        <f>+B32+B35+B38+B41+B44+B47</f>
        <v>0</v>
      </c>
      <c r="C29" s="287">
        <f t="shared" si="11"/>
        <v>0</v>
      </c>
      <c r="D29" s="287">
        <f t="shared" si="11"/>
        <v>0</v>
      </c>
      <c r="E29" s="287">
        <f t="shared" si="11"/>
        <v>10790.000000000002</v>
      </c>
      <c r="F29" s="287">
        <f t="shared" si="11"/>
        <v>10790.000000000002</v>
      </c>
      <c r="G29" s="287">
        <f t="shared" si="11"/>
        <v>8092.5000000000009</v>
      </c>
      <c r="H29" s="287">
        <f t="shared" si="11"/>
        <v>8092.5000000000009</v>
      </c>
      <c r="I29" s="287">
        <f t="shared" si="11"/>
        <v>10790.000000000002</v>
      </c>
      <c r="J29" s="287">
        <f t="shared" si="11"/>
        <v>8092.5000000000009</v>
      </c>
      <c r="K29" s="287">
        <f t="shared" si="11"/>
        <v>8092.5000000000009</v>
      </c>
      <c r="L29" s="287">
        <f t="shared" si="11"/>
        <v>5395.0000000000009</v>
      </c>
      <c r="M29" s="287">
        <f t="shared" si="11"/>
        <v>2697.5000000000005</v>
      </c>
      <c r="N29" s="288">
        <f>SUM(B29:M29)</f>
        <v>72832.500000000015</v>
      </c>
    </row>
    <row r="30" spans="1:14" x14ac:dyDescent="0.35">
      <c r="A30" s="307" t="s">
        <v>469</v>
      </c>
      <c r="B30" s="289" t="e">
        <f>+B28/B29</f>
        <v>#DIV/0!</v>
      </c>
      <c r="C30" s="289" t="e">
        <f t="shared" ref="C30:N30" si="12">+C28/C29</f>
        <v>#DIV/0!</v>
      </c>
      <c r="D30" s="289" t="e">
        <f t="shared" si="12"/>
        <v>#DIV/0!</v>
      </c>
      <c r="E30" s="289">
        <f t="shared" si="12"/>
        <v>1</v>
      </c>
      <c r="F30" s="289">
        <f t="shared" si="12"/>
        <v>1</v>
      </c>
      <c r="G30" s="289">
        <f t="shared" si="12"/>
        <v>1</v>
      </c>
      <c r="H30" s="289">
        <f t="shared" si="12"/>
        <v>1</v>
      </c>
      <c r="I30" s="289">
        <f t="shared" si="12"/>
        <v>1</v>
      </c>
      <c r="J30" s="289">
        <f t="shared" si="12"/>
        <v>1</v>
      </c>
      <c r="K30" s="289">
        <f t="shared" si="12"/>
        <v>1</v>
      </c>
      <c r="L30" s="289">
        <f t="shared" si="12"/>
        <v>1</v>
      </c>
      <c r="M30" s="289">
        <f t="shared" si="12"/>
        <v>1</v>
      </c>
      <c r="N30" s="289">
        <f t="shared" si="12"/>
        <v>1</v>
      </c>
    </row>
    <row r="31" spans="1:14" x14ac:dyDescent="0.35">
      <c r="A31" s="308" t="s">
        <v>90</v>
      </c>
      <c r="B31" s="290">
        <f>B32*B33</f>
        <v>0</v>
      </c>
      <c r="C31" s="290">
        <f t="shared" ref="C31:M31" si="13">C32*C33</f>
        <v>0</v>
      </c>
      <c r="D31" s="290">
        <f t="shared" si="13"/>
        <v>0</v>
      </c>
      <c r="E31" s="290">
        <f t="shared" si="13"/>
        <v>0</v>
      </c>
      <c r="F31" s="290">
        <f t="shared" si="13"/>
        <v>0</v>
      </c>
      <c r="G31" s="290">
        <f t="shared" si="13"/>
        <v>0</v>
      </c>
      <c r="H31" s="290">
        <f t="shared" si="13"/>
        <v>0</v>
      </c>
      <c r="I31" s="290">
        <f t="shared" si="13"/>
        <v>0</v>
      </c>
      <c r="J31" s="290">
        <f t="shared" si="13"/>
        <v>0</v>
      </c>
      <c r="K31" s="290">
        <f t="shared" si="13"/>
        <v>0</v>
      </c>
      <c r="L31" s="290">
        <f t="shared" si="13"/>
        <v>0</v>
      </c>
      <c r="M31" s="290">
        <f t="shared" si="13"/>
        <v>0</v>
      </c>
      <c r="N31" s="291">
        <f>SUM(B31:M31)</f>
        <v>0</v>
      </c>
    </row>
    <row r="32" spans="1:14" x14ac:dyDescent="0.35">
      <c r="A32" s="309" t="s">
        <v>480</v>
      </c>
      <c r="B32" s="281">
        <f>+'Budget Volumes ML'!B31</f>
        <v>0</v>
      </c>
      <c r="C32" s="281">
        <f>+'Budget Volumes ML'!C31</f>
        <v>0</v>
      </c>
      <c r="D32" s="281">
        <f>+'Budget Volumes ML'!D31</f>
        <v>0</v>
      </c>
      <c r="E32" s="281">
        <f>+'Budget Volumes ML'!E31</f>
        <v>0</v>
      </c>
      <c r="F32" s="281">
        <f>+'Budget Volumes ML'!F31</f>
        <v>0</v>
      </c>
      <c r="G32" s="281">
        <f>+'Budget Volumes ML'!G31</f>
        <v>0</v>
      </c>
      <c r="H32" s="281">
        <f>+'Budget Volumes ML'!H31</f>
        <v>0</v>
      </c>
      <c r="I32" s="281">
        <f>+'Budget Volumes ML'!I31</f>
        <v>0</v>
      </c>
      <c r="J32" s="281">
        <f>+'Budget Volumes ML'!J31</f>
        <v>0</v>
      </c>
      <c r="K32" s="281">
        <f>+'Budget Volumes ML'!K31</f>
        <v>0</v>
      </c>
      <c r="L32" s="281">
        <f>+'Budget Volumes ML'!L31</f>
        <v>0</v>
      </c>
      <c r="M32" s="281">
        <f>+'Budget Volumes ML'!M31</f>
        <v>0</v>
      </c>
      <c r="N32" s="282">
        <f>SUM(B32:M32)</f>
        <v>0</v>
      </c>
    </row>
    <row r="33" spans="1:14" x14ac:dyDescent="0.35">
      <c r="A33" s="309" t="s">
        <v>469</v>
      </c>
      <c r="B33" s="292">
        <v>1</v>
      </c>
      <c r="C33" s="292">
        <v>1</v>
      </c>
      <c r="D33" s="292">
        <v>1</v>
      </c>
      <c r="E33" s="292">
        <v>1</v>
      </c>
      <c r="F33" s="292">
        <v>1</v>
      </c>
      <c r="G33" s="292">
        <v>1</v>
      </c>
      <c r="H33" s="292">
        <v>1</v>
      </c>
      <c r="I33" s="292">
        <v>1</v>
      </c>
      <c r="J33" s="292">
        <v>1</v>
      </c>
      <c r="K33" s="292">
        <v>1</v>
      </c>
      <c r="L33" s="292">
        <v>1</v>
      </c>
      <c r="M33" s="292">
        <v>1</v>
      </c>
      <c r="N33" s="293" t="e">
        <f>+N31/N32/1000</f>
        <v>#DIV/0!</v>
      </c>
    </row>
    <row r="34" spans="1:14" x14ac:dyDescent="0.35">
      <c r="A34" s="308" t="s">
        <v>91</v>
      </c>
      <c r="B34" s="290">
        <f>B35*B36</f>
        <v>0</v>
      </c>
      <c r="C34" s="290">
        <f t="shared" ref="C34:M34" si="14">C35*C36</f>
        <v>0</v>
      </c>
      <c r="D34" s="290">
        <f t="shared" si="14"/>
        <v>0</v>
      </c>
      <c r="E34" s="290">
        <f t="shared" si="14"/>
        <v>10790.000000000002</v>
      </c>
      <c r="F34" s="290">
        <f t="shared" si="14"/>
        <v>10790.000000000002</v>
      </c>
      <c r="G34" s="290">
        <f t="shared" si="14"/>
        <v>8092.5000000000009</v>
      </c>
      <c r="H34" s="290">
        <f t="shared" si="14"/>
        <v>8092.5000000000009</v>
      </c>
      <c r="I34" s="290">
        <f t="shared" si="14"/>
        <v>10790.000000000002</v>
      </c>
      <c r="J34" s="290">
        <f t="shared" si="14"/>
        <v>8092.5000000000009</v>
      </c>
      <c r="K34" s="290">
        <f t="shared" si="14"/>
        <v>8092.5000000000009</v>
      </c>
      <c r="L34" s="290">
        <f t="shared" si="14"/>
        <v>5395.0000000000009</v>
      </c>
      <c r="M34" s="290">
        <f t="shared" si="14"/>
        <v>2697.5000000000005</v>
      </c>
      <c r="N34" s="291">
        <f>SUM(B34:M34)</f>
        <v>72832.500000000015</v>
      </c>
    </row>
    <row r="35" spans="1:14" x14ac:dyDescent="0.35">
      <c r="A35" s="309" t="s">
        <v>480</v>
      </c>
      <c r="B35" s="281">
        <f>+'Budget Volumes ML'!B34</f>
        <v>0</v>
      </c>
      <c r="C35" s="281">
        <f>+'Budget Volumes ML'!C34</f>
        <v>0</v>
      </c>
      <c r="D35" s="281">
        <f>+'Budget Volumes ML'!D34</f>
        <v>0</v>
      </c>
      <c r="E35" s="281">
        <f>+'Budget Volumes ML'!E34</f>
        <v>10790.000000000002</v>
      </c>
      <c r="F35" s="281">
        <f>+'Budget Volumes ML'!F34</f>
        <v>10790.000000000002</v>
      </c>
      <c r="G35" s="281">
        <f>+'Budget Volumes ML'!G34</f>
        <v>8092.5000000000009</v>
      </c>
      <c r="H35" s="281">
        <f>+'Budget Volumes ML'!H34</f>
        <v>8092.5000000000009</v>
      </c>
      <c r="I35" s="281">
        <f>+'Budget Volumes ML'!I34</f>
        <v>10790.000000000002</v>
      </c>
      <c r="J35" s="281">
        <f>+'Budget Volumes ML'!J34</f>
        <v>8092.5000000000009</v>
      </c>
      <c r="K35" s="281">
        <f>+'Budget Volumes ML'!K34</f>
        <v>8092.5000000000009</v>
      </c>
      <c r="L35" s="281">
        <f>+'Budget Volumes ML'!L34</f>
        <v>5395.0000000000009</v>
      </c>
      <c r="M35" s="281">
        <f>+'Budget Volumes ML'!M34</f>
        <v>2697.5000000000005</v>
      </c>
      <c r="N35" s="282">
        <f>+'Plan de culture 104 '!$X$13</f>
        <v>0</v>
      </c>
    </row>
    <row r="36" spans="1:14" x14ac:dyDescent="0.35">
      <c r="A36" s="309" t="s">
        <v>469</v>
      </c>
      <c r="B36" s="292">
        <v>1</v>
      </c>
      <c r="C36" s="292">
        <v>1</v>
      </c>
      <c r="D36" s="292">
        <v>1</v>
      </c>
      <c r="E36" s="292">
        <v>1</v>
      </c>
      <c r="F36" s="292">
        <v>1</v>
      </c>
      <c r="G36" s="292">
        <v>1</v>
      </c>
      <c r="H36" s="292">
        <v>1</v>
      </c>
      <c r="I36" s="292">
        <v>1</v>
      </c>
      <c r="J36" s="292">
        <v>1</v>
      </c>
      <c r="K36" s="292">
        <v>1</v>
      </c>
      <c r="L36" s="292">
        <v>1</v>
      </c>
      <c r="M36" s="292">
        <v>1</v>
      </c>
      <c r="N36" s="293" t="e">
        <f>+N34/N35/1000</f>
        <v>#DIV/0!</v>
      </c>
    </row>
    <row r="37" spans="1:14" x14ac:dyDescent="0.35">
      <c r="A37" s="308" t="s">
        <v>376</v>
      </c>
      <c r="B37" s="290">
        <f>B38*B39</f>
        <v>0</v>
      </c>
      <c r="C37" s="290">
        <f t="shared" ref="C37:M37" si="15">C38*C39</f>
        <v>0</v>
      </c>
      <c r="D37" s="290">
        <f t="shared" si="15"/>
        <v>0</v>
      </c>
      <c r="E37" s="290">
        <f t="shared" si="15"/>
        <v>0</v>
      </c>
      <c r="F37" s="290">
        <f t="shared" si="15"/>
        <v>0</v>
      </c>
      <c r="G37" s="290">
        <f t="shared" si="15"/>
        <v>0</v>
      </c>
      <c r="H37" s="290">
        <f t="shared" si="15"/>
        <v>0</v>
      </c>
      <c r="I37" s="290">
        <f t="shared" si="15"/>
        <v>0</v>
      </c>
      <c r="J37" s="290">
        <f t="shared" si="15"/>
        <v>0</v>
      </c>
      <c r="K37" s="290">
        <f t="shared" si="15"/>
        <v>0</v>
      </c>
      <c r="L37" s="290">
        <f t="shared" si="15"/>
        <v>0</v>
      </c>
      <c r="M37" s="290">
        <f t="shared" si="15"/>
        <v>0</v>
      </c>
      <c r="N37" s="291">
        <f>SUM(B37:M37)</f>
        <v>0</v>
      </c>
    </row>
    <row r="38" spans="1:14" x14ac:dyDescent="0.35">
      <c r="A38" s="309" t="s">
        <v>480</v>
      </c>
      <c r="B38" s="281">
        <f>+'Budget Volumes ML'!B37</f>
        <v>0</v>
      </c>
      <c r="C38" s="281">
        <f>+'Budget Volumes ML'!C37</f>
        <v>0</v>
      </c>
      <c r="D38" s="281">
        <f>+'Budget Volumes ML'!D37</f>
        <v>0</v>
      </c>
      <c r="E38" s="281">
        <f>+'Budget Volumes ML'!E37</f>
        <v>0</v>
      </c>
      <c r="F38" s="281">
        <f>+'Budget Volumes ML'!F37</f>
        <v>0</v>
      </c>
      <c r="G38" s="281">
        <f>+'Budget Volumes ML'!G37</f>
        <v>0</v>
      </c>
      <c r="H38" s="281">
        <f>+'Budget Volumes ML'!H37</f>
        <v>0</v>
      </c>
      <c r="I38" s="281">
        <f>+'Budget Volumes ML'!I37</f>
        <v>0</v>
      </c>
      <c r="J38" s="281">
        <f>+'Budget Volumes ML'!J37</f>
        <v>0</v>
      </c>
      <c r="K38" s="281">
        <f>+'Budget Volumes ML'!K37</f>
        <v>0</v>
      </c>
      <c r="L38" s="281">
        <f>+'Budget Volumes ML'!L37</f>
        <v>0</v>
      </c>
      <c r="M38" s="281">
        <f>+'Budget Volumes ML'!M37</f>
        <v>0</v>
      </c>
      <c r="N38" s="282">
        <f>SUM(B38:M38)</f>
        <v>0</v>
      </c>
    </row>
    <row r="39" spans="1:14" x14ac:dyDescent="0.35">
      <c r="A39" s="309" t="s">
        <v>469</v>
      </c>
      <c r="B39" s="292">
        <v>1</v>
      </c>
      <c r="C39" s="292">
        <v>1</v>
      </c>
      <c r="D39" s="292">
        <v>1</v>
      </c>
      <c r="E39" s="292">
        <v>1</v>
      </c>
      <c r="F39" s="292">
        <v>1</v>
      </c>
      <c r="G39" s="292">
        <v>1</v>
      </c>
      <c r="H39" s="292">
        <v>1</v>
      </c>
      <c r="I39" s="292">
        <v>1</v>
      </c>
      <c r="J39" s="292">
        <v>1</v>
      </c>
      <c r="K39" s="292">
        <v>1</v>
      </c>
      <c r="L39" s="292">
        <v>1</v>
      </c>
      <c r="M39" s="292">
        <v>1</v>
      </c>
      <c r="N39" s="293" t="e">
        <f>+N37/N38/1000</f>
        <v>#DIV/0!</v>
      </c>
    </row>
    <row r="40" spans="1:14" x14ac:dyDescent="0.35">
      <c r="A40" s="308" t="s">
        <v>92</v>
      </c>
      <c r="B40" s="290">
        <f>B41*B42</f>
        <v>0</v>
      </c>
      <c r="C40" s="290">
        <f t="shared" ref="C40:M40" si="16">C41*C42</f>
        <v>0</v>
      </c>
      <c r="D40" s="290">
        <f t="shared" si="16"/>
        <v>0</v>
      </c>
      <c r="E40" s="290">
        <f t="shared" si="16"/>
        <v>0</v>
      </c>
      <c r="F40" s="290">
        <f t="shared" si="16"/>
        <v>0</v>
      </c>
      <c r="G40" s="290">
        <f t="shared" si="16"/>
        <v>0</v>
      </c>
      <c r="H40" s="290">
        <f t="shared" si="16"/>
        <v>0</v>
      </c>
      <c r="I40" s="290">
        <f t="shared" si="16"/>
        <v>0</v>
      </c>
      <c r="J40" s="290">
        <f t="shared" si="16"/>
        <v>0</v>
      </c>
      <c r="K40" s="290">
        <f t="shared" si="16"/>
        <v>0</v>
      </c>
      <c r="L40" s="290">
        <f t="shared" si="16"/>
        <v>0</v>
      </c>
      <c r="M40" s="290">
        <f t="shared" si="16"/>
        <v>0</v>
      </c>
      <c r="N40" s="291">
        <f>SUM(B40:M40)</f>
        <v>0</v>
      </c>
    </row>
    <row r="41" spans="1:14" x14ac:dyDescent="0.35">
      <c r="A41" s="309" t="s">
        <v>480</v>
      </c>
      <c r="B41" s="281">
        <f>+'Budget Volumes ML'!B40</f>
        <v>0</v>
      </c>
      <c r="C41" s="281">
        <f>+'Budget Volumes ML'!C40</f>
        <v>0</v>
      </c>
      <c r="D41" s="281">
        <f>+'Budget Volumes ML'!D40</f>
        <v>0</v>
      </c>
      <c r="E41" s="281">
        <f>+'Budget Volumes ML'!E40</f>
        <v>0</v>
      </c>
      <c r="F41" s="281">
        <f>+'Budget Volumes ML'!F40</f>
        <v>0</v>
      </c>
      <c r="G41" s="281">
        <f>+'Budget Volumes ML'!G40</f>
        <v>0</v>
      </c>
      <c r="H41" s="281">
        <f>+'Budget Volumes ML'!H40</f>
        <v>0</v>
      </c>
      <c r="I41" s="281">
        <f>+'Budget Volumes ML'!I40</f>
        <v>0</v>
      </c>
      <c r="J41" s="281">
        <f>+'Budget Volumes ML'!J40</f>
        <v>0</v>
      </c>
      <c r="K41" s="281">
        <f>+'Budget Volumes ML'!K40</f>
        <v>0</v>
      </c>
      <c r="L41" s="281">
        <f>+'Budget Volumes ML'!L40</f>
        <v>0</v>
      </c>
      <c r="M41" s="281">
        <f>+'Budget Volumes ML'!M40</f>
        <v>0</v>
      </c>
      <c r="N41" s="282">
        <f>SUM(B41:M41)</f>
        <v>0</v>
      </c>
    </row>
    <row r="42" spans="1:14" x14ac:dyDescent="0.35">
      <c r="A42" s="309" t="s">
        <v>469</v>
      </c>
      <c r="B42" s="292">
        <v>2.5</v>
      </c>
      <c r="C42" s="292">
        <v>2.5</v>
      </c>
      <c r="D42" s="292">
        <v>2.5</v>
      </c>
      <c r="E42" s="292">
        <v>2.5</v>
      </c>
      <c r="F42" s="292">
        <v>2.5</v>
      </c>
      <c r="G42" s="292">
        <v>2.5</v>
      </c>
      <c r="H42" s="292">
        <v>2.5</v>
      </c>
      <c r="I42" s="292">
        <v>2.5</v>
      </c>
      <c r="J42" s="292">
        <v>2.5</v>
      </c>
      <c r="K42" s="292">
        <v>2.5</v>
      </c>
      <c r="L42" s="292">
        <v>2.5</v>
      </c>
      <c r="M42" s="292">
        <v>2.5</v>
      </c>
      <c r="N42" s="293" t="e">
        <f>+N40/N41/1000</f>
        <v>#DIV/0!</v>
      </c>
    </row>
    <row r="43" spans="1:14" x14ac:dyDescent="0.35">
      <c r="A43" s="308" t="s">
        <v>377</v>
      </c>
      <c r="B43" s="290">
        <f>B44*B45</f>
        <v>0</v>
      </c>
      <c r="C43" s="290">
        <f t="shared" ref="C43:M43" si="17">C44*C45</f>
        <v>0</v>
      </c>
      <c r="D43" s="290">
        <f t="shared" si="17"/>
        <v>0</v>
      </c>
      <c r="E43" s="290">
        <f t="shared" si="17"/>
        <v>0</v>
      </c>
      <c r="F43" s="290">
        <f t="shared" si="17"/>
        <v>0</v>
      </c>
      <c r="G43" s="290">
        <f t="shared" si="17"/>
        <v>0</v>
      </c>
      <c r="H43" s="290">
        <f t="shared" si="17"/>
        <v>0</v>
      </c>
      <c r="I43" s="290">
        <f t="shared" si="17"/>
        <v>0</v>
      </c>
      <c r="J43" s="290">
        <f t="shared" si="17"/>
        <v>0</v>
      </c>
      <c r="K43" s="290">
        <f t="shared" si="17"/>
        <v>0</v>
      </c>
      <c r="L43" s="290">
        <f t="shared" si="17"/>
        <v>0</v>
      </c>
      <c r="M43" s="290">
        <f t="shared" si="17"/>
        <v>0</v>
      </c>
      <c r="N43" s="291">
        <f>SUM(B43:M43)</f>
        <v>0</v>
      </c>
    </row>
    <row r="44" spans="1:14" x14ac:dyDescent="0.35">
      <c r="A44" s="309" t="s">
        <v>480</v>
      </c>
      <c r="B44" s="281">
        <f>+'Budget Volumes ML'!B43</f>
        <v>0</v>
      </c>
      <c r="C44" s="281">
        <f>+'Budget Volumes ML'!C43</f>
        <v>0</v>
      </c>
      <c r="D44" s="281">
        <f>+'Budget Volumes ML'!D43</f>
        <v>0</v>
      </c>
      <c r="E44" s="281">
        <f>+'Budget Volumes ML'!E43</f>
        <v>0</v>
      </c>
      <c r="F44" s="281">
        <f>+'Budget Volumes ML'!F43</f>
        <v>0</v>
      </c>
      <c r="G44" s="281">
        <f>+'Budget Volumes ML'!G43</f>
        <v>0</v>
      </c>
      <c r="H44" s="281">
        <f>+'Budget Volumes ML'!H43</f>
        <v>0</v>
      </c>
      <c r="I44" s="281">
        <f>+'Budget Volumes ML'!I43</f>
        <v>0</v>
      </c>
      <c r="J44" s="281">
        <f>+'Budget Volumes ML'!J43</f>
        <v>0</v>
      </c>
      <c r="K44" s="281">
        <f>+'Budget Volumes ML'!K43</f>
        <v>0</v>
      </c>
      <c r="L44" s="281">
        <f>+'Budget Volumes ML'!L43</f>
        <v>0</v>
      </c>
      <c r="M44" s="281">
        <f>+'Budget Volumes ML'!M43</f>
        <v>0</v>
      </c>
      <c r="N44" s="282">
        <f>SUM(B44:M44)</f>
        <v>0</v>
      </c>
    </row>
    <row r="45" spans="1:14" x14ac:dyDescent="0.35">
      <c r="A45" s="309" t="s">
        <v>469</v>
      </c>
      <c r="B45" s="292">
        <v>20</v>
      </c>
      <c r="C45" s="292">
        <v>20</v>
      </c>
      <c r="D45" s="292">
        <v>20</v>
      </c>
      <c r="E45" s="292">
        <v>20</v>
      </c>
      <c r="F45" s="292">
        <v>20</v>
      </c>
      <c r="G45" s="292">
        <v>20</v>
      </c>
      <c r="H45" s="292">
        <v>20</v>
      </c>
      <c r="I45" s="292">
        <v>20</v>
      </c>
      <c r="J45" s="292">
        <v>20</v>
      </c>
      <c r="K45" s="292">
        <v>20</v>
      </c>
      <c r="L45" s="292">
        <v>20</v>
      </c>
      <c r="M45" s="292">
        <v>20</v>
      </c>
      <c r="N45" s="293" t="e">
        <f>+N43/N44/1000</f>
        <v>#DIV/0!</v>
      </c>
    </row>
    <row r="46" spans="1:14" x14ac:dyDescent="0.35">
      <c r="A46" s="308" t="s">
        <v>378</v>
      </c>
      <c r="B46" s="290">
        <f>B47*B48</f>
        <v>0</v>
      </c>
      <c r="C46" s="290">
        <f t="shared" ref="C46:M46" si="18">C47*C48</f>
        <v>0</v>
      </c>
      <c r="D46" s="290">
        <f t="shared" si="18"/>
        <v>0</v>
      </c>
      <c r="E46" s="290">
        <f t="shared" si="18"/>
        <v>0</v>
      </c>
      <c r="F46" s="290">
        <f t="shared" si="18"/>
        <v>0</v>
      </c>
      <c r="G46" s="290">
        <f t="shared" si="18"/>
        <v>0</v>
      </c>
      <c r="H46" s="290">
        <f t="shared" si="18"/>
        <v>0</v>
      </c>
      <c r="I46" s="290">
        <f t="shared" si="18"/>
        <v>0</v>
      </c>
      <c r="J46" s="290">
        <f t="shared" si="18"/>
        <v>0</v>
      </c>
      <c r="K46" s="290">
        <f t="shared" si="18"/>
        <v>0</v>
      </c>
      <c r="L46" s="290">
        <f t="shared" si="18"/>
        <v>0</v>
      </c>
      <c r="M46" s="290">
        <f t="shared" si="18"/>
        <v>0</v>
      </c>
      <c r="N46" s="291">
        <f>SUM(B46:M46)</f>
        <v>0</v>
      </c>
    </row>
    <row r="47" spans="1:14" x14ac:dyDescent="0.35">
      <c r="A47" s="309" t="s">
        <v>480</v>
      </c>
      <c r="B47" s="281">
        <f>+'Budget Volumes ML'!B46</f>
        <v>0</v>
      </c>
      <c r="C47" s="281">
        <f>+'Budget Volumes ML'!C46</f>
        <v>0</v>
      </c>
      <c r="D47" s="281">
        <f>+'Budget Volumes ML'!D46</f>
        <v>0</v>
      </c>
      <c r="E47" s="281">
        <f>+'Budget Volumes ML'!E46</f>
        <v>0</v>
      </c>
      <c r="F47" s="281">
        <f>+'Budget Volumes ML'!F46</f>
        <v>0</v>
      </c>
      <c r="G47" s="281">
        <f>+'Budget Volumes ML'!G46</f>
        <v>0</v>
      </c>
      <c r="H47" s="281">
        <f>+'Budget Volumes ML'!H46</f>
        <v>0</v>
      </c>
      <c r="I47" s="281">
        <f>+'Budget Volumes ML'!I46</f>
        <v>0</v>
      </c>
      <c r="J47" s="281">
        <f>+'Budget Volumes ML'!J46</f>
        <v>0</v>
      </c>
      <c r="K47" s="281">
        <f>+'Budget Volumes ML'!K46</f>
        <v>0</v>
      </c>
      <c r="L47" s="281">
        <f>+'Budget Volumes ML'!L46</f>
        <v>0</v>
      </c>
      <c r="M47" s="281">
        <f>+'Budget Volumes ML'!M46</f>
        <v>0</v>
      </c>
      <c r="N47" s="282">
        <f>SUM(B47:M47)</f>
        <v>0</v>
      </c>
    </row>
    <row r="48" spans="1:14" ht="12" thickBot="1" x14ac:dyDescent="0.4">
      <c r="A48" s="309" t="s">
        <v>469</v>
      </c>
      <c r="B48" s="294">
        <v>5</v>
      </c>
      <c r="C48" s="294">
        <v>5</v>
      </c>
      <c r="D48" s="294">
        <v>5</v>
      </c>
      <c r="E48" s="294">
        <v>5</v>
      </c>
      <c r="F48" s="294">
        <v>5</v>
      </c>
      <c r="G48" s="294">
        <v>5</v>
      </c>
      <c r="H48" s="294">
        <v>5</v>
      </c>
      <c r="I48" s="294">
        <v>5</v>
      </c>
      <c r="J48" s="294">
        <v>5</v>
      </c>
      <c r="K48" s="294">
        <v>5</v>
      </c>
      <c r="L48" s="294">
        <v>5</v>
      </c>
      <c r="M48" s="294">
        <v>5</v>
      </c>
      <c r="N48" s="295" t="e">
        <f>+N46/N47/1000</f>
        <v>#DIV/0!</v>
      </c>
    </row>
    <row r="49" spans="1:14" x14ac:dyDescent="0.35">
      <c r="A49" s="306" t="s">
        <v>375</v>
      </c>
      <c r="B49" s="285">
        <f>+B52+B55+B58+B61+B64+B67</f>
        <v>0</v>
      </c>
      <c r="C49" s="285">
        <f t="shared" ref="C49:M50" si="19">+C52+C55+C58+C61+C64+C67</f>
        <v>0</v>
      </c>
      <c r="D49" s="285">
        <f t="shared" si="19"/>
        <v>0</v>
      </c>
      <c r="E49" s="285">
        <f t="shared" si="19"/>
        <v>8362.5</v>
      </c>
      <c r="F49" s="285">
        <f t="shared" si="19"/>
        <v>5575</v>
      </c>
      <c r="G49" s="285">
        <f t="shared" si="19"/>
        <v>2787.5</v>
      </c>
      <c r="H49" s="285">
        <f t="shared" si="19"/>
        <v>2787.5</v>
      </c>
      <c r="I49" s="285">
        <f t="shared" si="19"/>
        <v>5575</v>
      </c>
      <c r="J49" s="285">
        <f t="shared" si="19"/>
        <v>8362.5</v>
      </c>
      <c r="K49" s="285">
        <f t="shared" si="19"/>
        <v>8362.5</v>
      </c>
      <c r="L49" s="285">
        <f t="shared" si="19"/>
        <v>5575</v>
      </c>
      <c r="M49" s="285">
        <f t="shared" si="19"/>
        <v>2787.5</v>
      </c>
      <c r="N49" s="286">
        <f>SUM(B49:M49)</f>
        <v>50175</v>
      </c>
    </row>
    <row r="50" spans="1:14" x14ac:dyDescent="0.35">
      <c r="A50" s="307" t="s">
        <v>480</v>
      </c>
      <c r="B50" s="287">
        <f>+B53+B56+B59+B62+B65+B68</f>
        <v>0</v>
      </c>
      <c r="C50" s="287">
        <f t="shared" si="19"/>
        <v>0</v>
      </c>
      <c r="D50" s="287">
        <f t="shared" si="19"/>
        <v>0</v>
      </c>
      <c r="E50" s="287">
        <f t="shared" si="19"/>
        <v>8362.5</v>
      </c>
      <c r="F50" s="287">
        <f t="shared" si="19"/>
        <v>5575</v>
      </c>
      <c r="G50" s="287">
        <f t="shared" si="19"/>
        <v>2787.5</v>
      </c>
      <c r="H50" s="287">
        <f t="shared" si="19"/>
        <v>2787.5</v>
      </c>
      <c r="I50" s="287">
        <f t="shared" si="19"/>
        <v>5575</v>
      </c>
      <c r="J50" s="287">
        <f t="shared" si="19"/>
        <v>8362.5</v>
      </c>
      <c r="K50" s="287">
        <f t="shared" si="19"/>
        <v>8362.5</v>
      </c>
      <c r="L50" s="287">
        <f t="shared" si="19"/>
        <v>5575</v>
      </c>
      <c r="M50" s="287">
        <f t="shared" si="19"/>
        <v>2787.5</v>
      </c>
      <c r="N50" s="288">
        <f>SUM(B50:M50)</f>
        <v>50175</v>
      </c>
    </row>
    <row r="51" spans="1:14" x14ac:dyDescent="0.35">
      <c r="A51" s="307" t="s">
        <v>469</v>
      </c>
      <c r="B51" s="289" t="e">
        <f>+B49/B50</f>
        <v>#DIV/0!</v>
      </c>
      <c r="C51" s="289" t="e">
        <f t="shared" ref="C51:N51" si="20">+C49/C50</f>
        <v>#DIV/0!</v>
      </c>
      <c r="D51" s="289" t="e">
        <f t="shared" si="20"/>
        <v>#DIV/0!</v>
      </c>
      <c r="E51" s="289">
        <f t="shared" si="20"/>
        <v>1</v>
      </c>
      <c r="F51" s="289">
        <f t="shared" si="20"/>
        <v>1</v>
      </c>
      <c r="G51" s="289">
        <f t="shared" si="20"/>
        <v>1</v>
      </c>
      <c r="H51" s="289">
        <f t="shared" si="20"/>
        <v>1</v>
      </c>
      <c r="I51" s="289">
        <f t="shared" si="20"/>
        <v>1</v>
      </c>
      <c r="J51" s="289">
        <f t="shared" si="20"/>
        <v>1</v>
      </c>
      <c r="K51" s="289">
        <f t="shared" si="20"/>
        <v>1</v>
      </c>
      <c r="L51" s="289">
        <f t="shared" si="20"/>
        <v>1</v>
      </c>
      <c r="M51" s="289">
        <f t="shared" si="20"/>
        <v>1</v>
      </c>
      <c r="N51" s="289">
        <f t="shared" si="20"/>
        <v>1</v>
      </c>
    </row>
    <row r="52" spans="1:14" x14ac:dyDescent="0.35">
      <c r="A52" s="308" t="s">
        <v>90</v>
      </c>
      <c r="B52" s="290">
        <f>B53*B54</f>
        <v>0</v>
      </c>
      <c r="C52" s="290">
        <f t="shared" ref="C52:M52" si="21">C53*C54</f>
        <v>0</v>
      </c>
      <c r="D52" s="290">
        <f t="shared" si="21"/>
        <v>0</v>
      </c>
      <c r="E52" s="290">
        <f t="shared" si="21"/>
        <v>0</v>
      </c>
      <c r="F52" s="290">
        <f t="shared" si="21"/>
        <v>0</v>
      </c>
      <c r="G52" s="290">
        <f t="shared" si="21"/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290">
        <f t="shared" si="21"/>
        <v>0</v>
      </c>
      <c r="L52" s="290">
        <f t="shared" si="21"/>
        <v>0</v>
      </c>
      <c r="M52" s="290">
        <f t="shared" si="21"/>
        <v>0</v>
      </c>
      <c r="N52" s="291">
        <f>SUM(B52:M52)</f>
        <v>0</v>
      </c>
    </row>
    <row r="53" spans="1:14" x14ac:dyDescent="0.35">
      <c r="A53" s="309" t="s">
        <v>480</v>
      </c>
      <c r="B53" s="281">
        <f>+'Budget Volumes ML'!B52</f>
        <v>0</v>
      </c>
      <c r="C53" s="281">
        <f>+'Budget Volumes ML'!C52</f>
        <v>0</v>
      </c>
      <c r="D53" s="281">
        <f>+'Budget Volumes ML'!D52</f>
        <v>0</v>
      </c>
      <c r="E53" s="281">
        <f>+'Budget Volumes ML'!E52</f>
        <v>0</v>
      </c>
      <c r="F53" s="281">
        <f>+'Budget Volumes ML'!F52</f>
        <v>0</v>
      </c>
      <c r="G53" s="281">
        <f>+'Budget Volumes ML'!G52</f>
        <v>0</v>
      </c>
      <c r="H53" s="281">
        <f>+'Budget Volumes ML'!H52</f>
        <v>0</v>
      </c>
      <c r="I53" s="281">
        <f>+'Budget Volumes ML'!I52</f>
        <v>0</v>
      </c>
      <c r="J53" s="281">
        <f>+'Budget Volumes ML'!J52</f>
        <v>0</v>
      </c>
      <c r="K53" s="281">
        <f>+'Budget Volumes ML'!K52</f>
        <v>0</v>
      </c>
      <c r="L53" s="281">
        <f>+'Budget Volumes ML'!L52</f>
        <v>0</v>
      </c>
      <c r="M53" s="281">
        <f>+'Budget Volumes ML'!M52</f>
        <v>0</v>
      </c>
      <c r="N53" s="282">
        <f>SUM(B53:M53)</f>
        <v>0</v>
      </c>
    </row>
    <row r="54" spans="1:14" x14ac:dyDescent="0.35">
      <c r="A54" s="309" t="s">
        <v>469</v>
      </c>
      <c r="B54" s="292">
        <v>1</v>
      </c>
      <c r="C54" s="292">
        <v>1</v>
      </c>
      <c r="D54" s="292">
        <v>1</v>
      </c>
      <c r="E54" s="292">
        <v>1</v>
      </c>
      <c r="F54" s="292">
        <v>1</v>
      </c>
      <c r="G54" s="292">
        <v>1</v>
      </c>
      <c r="H54" s="292">
        <v>1</v>
      </c>
      <c r="I54" s="292">
        <v>1</v>
      </c>
      <c r="J54" s="292">
        <v>1</v>
      </c>
      <c r="K54" s="292">
        <v>1</v>
      </c>
      <c r="L54" s="292">
        <v>1</v>
      </c>
      <c r="M54" s="292">
        <v>1</v>
      </c>
      <c r="N54" s="293" t="e">
        <f>+N52/N53/1000</f>
        <v>#DIV/0!</v>
      </c>
    </row>
    <row r="55" spans="1:14" x14ac:dyDescent="0.35">
      <c r="A55" s="308" t="s">
        <v>91</v>
      </c>
      <c r="B55" s="290">
        <f>B56*B57</f>
        <v>0</v>
      </c>
      <c r="C55" s="290">
        <f t="shared" ref="C55:M55" si="22">C56*C57</f>
        <v>0</v>
      </c>
      <c r="D55" s="290">
        <f t="shared" si="22"/>
        <v>0</v>
      </c>
      <c r="E55" s="290">
        <f t="shared" si="22"/>
        <v>0</v>
      </c>
      <c r="F55" s="290">
        <f t="shared" si="22"/>
        <v>0</v>
      </c>
      <c r="G55" s="290">
        <f t="shared" si="22"/>
        <v>0</v>
      </c>
      <c r="H55" s="290">
        <f t="shared" si="22"/>
        <v>0</v>
      </c>
      <c r="I55" s="290">
        <f t="shared" si="22"/>
        <v>0</v>
      </c>
      <c r="J55" s="290">
        <f t="shared" si="22"/>
        <v>0</v>
      </c>
      <c r="K55" s="290">
        <f t="shared" si="22"/>
        <v>0</v>
      </c>
      <c r="L55" s="290">
        <f t="shared" si="22"/>
        <v>0</v>
      </c>
      <c r="M55" s="290">
        <f t="shared" si="22"/>
        <v>0</v>
      </c>
      <c r="N55" s="291">
        <f>SUM(B55:M55)</f>
        <v>0</v>
      </c>
    </row>
    <row r="56" spans="1:14" x14ac:dyDescent="0.35">
      <c r="A56" s="309" t="s">
        <v>480</v>
      </c>
      <c r="B56" s="281">
        <f>+'Budget Volumes ML'!B55</f>
        <v>0</v>
      </c>
      <c r="C56" s="281">
        <f>+'Budget Volumes ML'!C55</f>
        <v>0</v>
      </c>
      <c r="D56" s="281">
        <f>+'Budget Volumes ML'!D55</f>
        <v>0</v>
      </c>
      <c r="E56" s="281">
        <f>+'Budget Volumes ML'!E55</f>
        <v>0</v>
      </c>
      <c r="F56" s="281">
        <f>+'Budget Volumes ML'!F55</f>
        <v>0</v>
      </c>
      <c r="G56" s="281">
        <f>+'Budget Volumes ML'!G55</f>
        <v>0</v>
      </c>
      <c r="H56" s="281">
        <f>+'Budget Volumes ML'!H55</f>
        <v>0</v>
      </c>
      <c r="I56" s="281">
        <f>+'Budget Volumes ML'!I55</f>
        <v>0</v>
      </c>
      <c r="J56" s="281">
        <f>+'Budget Volumes ML'!J55</f>
        <v>0</v>
      </c>
      <c r="K56" s="281">
        <f>+'Budget Volumes ML'!K55</f>
        <v>0</v>
      </c>
      <c r="L56" s="281">
        <f>+'Budget Volumes ML'!L55</f>
        <v>0</v>
      </c>
      <c r="M56" s="281">
        <f>+'Budget Volumes ML'!M55</f>
        <v>0</v>
      </c>
      <c r="N56" s="282">
        <f>+'Plan de culture 104 '!$X$13</f>
        <v>0</v>
      </c>
    </row>
    <row r="57" spans="1:14" x14ac:dyDescent="0.35">
      <c r="A57" s="309" t="s">
        <v>469</v>
      </c>
      <c r="B57" s="292">
        <v>1</v>
      </c>
      <c r="C57" s="292">
        <v>1</v>
      </c>
      <c r="D57" s="292">
        <v>1</v>
      </c>
      <c r="E57" s="292">
        <v>1</v>
      </c>
      <c r="F57" s="292">
        <v>1</v>
      </c>
      <c r="G57" s="292">
        <v>1</v>
      </c>
      <c r="H57" s="292">
        <v>1</v>
      </c>
      <c r="I57" s="292">
        <v>1</v>
      </c>
      <c r="J57" s="292">
        <v>1</v>
      </c>
      <c r="K57" s="292">
        <v>1</v>
      </c>
      <c r="L57" s="292">
        <v>1</v>
      </c>
      <c r="M57" s="292">
        <v>1</v>
      </c>
      <c r="N57" s="293" t="e">
        <f>+N55/N56/1000</f>
        <v>#DIV/0!</v>
      </c>
    </row>
    <row r="58" spans="1:14" x14ac:dyDescent="0.35">
      <c r="A58" s="308" t="s">
        <v>376</v>
      </c>
      <c r="B58" s="290">
        <f>B59*B60</f>
        <v>0</v>
      </c>
      <c r="C58" s="290">
        <f t="shared" ref="C58:M58" si="23">C59*C60</f>
        <v>0</v>
      </c>
      <c r="D58" s="290">
        <f t="shared" si="23"/>
        <v>0</v>
      </c>
      <c r="E58" s="290">
        <f t="shared" si="23"/>
        <v>8362.5</v>
      </c>
      <c r="F58" s="290">
        <f t="shared" si="23"/>
        <v>5575</v>
      </c>
      <c r="G58" s="290">
        <f t="shared" si="23"/>
        <v>2787.5</v>
      </c>
      <c r="H58" s="290">
        <f t="shared" si="23"/>
        <v>2787.5</v>
      </c>
      <c r="I58" s="290">
        <f t="shared" si="23"/>
        <v>5575</v>
      </c>
      <c r="J58" s="290">
        <f t="shared" si="23"/>
        <v>8362.5</v>
      </c>
      <c r="K58" s="290">
        <f t="shared" si="23"/>
        <v>8362.5</v>
      </c>
      <c r="L58" s="290">
        <f t="shared" si="23"/>
        <v>5575</v>
      </c>
      <c r="M58" s="290">
        <f t="shared" si="23"/>
        <v>2787.5</v>
      </c>
      <c r="N58" s="291">
        <f>SUM(B58:M58)</f>
        <v>50175</v>
      </c>
    </row>
    <row r="59" spans="1:14" x14ac:dyDescent="0.35">
      <c r="A59" s="309" t="s">
        <v>480</v>
      </c>
      <c r="B59" s="281">
        <f>+'Budget Volumes ML'!B58</f>
        <v>0</v>
      </c>
      <c r="C59" s="281">
        <f>+'Budget Volumes ML'!C58</f>
        <v>0</v>
      </c>
      <c r="D59" s="281">
        <f>+'Budget Volumes ML'!D58</f>
        <v>0</v>
      </c>
      <c r="E59" s="281">
        <f>+'Budget Volumes ML'!E58</f>
        <v>8362.5</v>
      </c>
      <c r="F59" s="281">
        <f>+'Budget Volumes ML'!F58</f>
        <v>5575</v>
      </c>
      <c r="G59" s="281">
        <f>+'Budget Volumes ML'!G58</f>
        <v>2787.5</v>
      </c>
      <c r="H59" s="281">
        <f>+'Budget Volumes ML'!H58</f>
        <v>2787.5</v>
      </c>
      <c r="I59" s="281">
        <f>+'Budget Volumes ML'!I58</f>
        <v>5575</v>
      </c>
      <c r="J59" s="281">
        <f>+'Budget Volumes ML'!J58</f>
        <v>8362.5</v>
      </c>
      <c r="K59" s="281">
        <f>+'Budget Volumes ML'!K58</f>
        <v>8362.5</v>
      </c>
      <c r="L59" s="281">
        <f>+'Budget Volumes ML'!L58</f>
        <v>5575</v>
      </c>
      <c r="M59" s="281">
        <f>+'Budget Volumes ML'!M58</f>
        <v>2787.5</v>
      </c>
      <c r="N59" s="282">
        <f>SUM(B59:M59)</f>
        <v>50175</v>
      </c>
    </row>
    <row r="60" spans="1:14" x14ac:dyDescent="0.35">
      <c r="A60" s="309" t="s">
        <v>469</v>
      </c>
      <c r="B60" s="292">
        <v>1</v>
      </c>
      <c r="C60" s="292">
        <v>1</v>
      </c>
      <c r="D60" s="292">
        <v>1</v>
      </c>
      <c r="E60" s="292">
        <v>1</v>
      </c>
      <c r="F60" s="292">
        <v>1</v>
      </c>
      <c r="G60" s="292">
        <v>1</v>
      </c>
      <c r="H60" s="292">
        <v>1</v>
      </c>
      <c r="I60" s="292">
        <v>1</v>
      </c>
      <c r="J60" s="292">
        <v>1</v>
      </c>
      <c r="K60" s="292">
        <v>1</v>
      </c>
      <c r="L60" s="292">
        <v>1</v>
      </c>
      <c r="M60" s="292">
        <v>1</v>
      </c>
      <c r="N60" s="293">
        <f>+N58/N59/1000</f>
        <v>1E-3</v>
      </c>
    </row>
    <row r="61" spans="1:14" x14ac:dyDescent="0.35">
      <c r="A61" s="308" t="s">
        <v>92</v>
      </c>
      <c r="B61" s="290">
        <f>B62*B63</f>
        <v>0</v>
      </c>
      <c r="C61" s="290">
        <f t="shared" ref="C61:M61" si="24">C62*C63</f>
        <v>0</v>
      </c>
      <c r="D61" s="290">
        <f t="shared" si="24"/>
        <v>0</v>
      </c>
      <c r="E61" s="290">
        <f t="shared" si="24"/>
        <v>0</v>
      </c>
      <c r="F61" s="290">
        <f t="shared" si="24"/>
        <v>0</v>
      </c>
      <c r="G61" s="290">
        <f t="shared" si="24"/>
        <v>0</v>
      </c>
      <c r="H61" s="290">
        <f t="shared" si="24"/>
        <v>0</v>
      </c>
      <c r="I61" s="290">
        <f t="shared" si="24"/>
        <v>0</v>
      </c>
      <c r="J61" s="290">
        <f t="shared" si="24"/>
        <v>0</v>
      </c>
      <c r="K61" s="290">
        <f t="shared" si="24"/>
        <v>0</v>
      </c>
      <c r="L61" s="290">
        <f t="shared" si="24"/>
        <v>0</v>
      </c>
      <c r="M61" s="290">
        <f t="shared" si="24"/>
        <v>0</v>
      </c>
      <c r="N61" s="291">
        <f>SUM(B61:M61)</f>
        <v>0</v>
      </c>
    </row>
    <row r="62" spans="1:14" x14ac:dyDescent="0.35">
      <c r="A62" s="309" t="s">
        <v>480</v>
      </c>
      <c r="B62" s="281">
        <f>+'Budget Volumes ML'!B61</f>
        <v>0</v>
      </c>
      <c r="C62" s="281">
        <f>+'Budget Volumes ML'!C61</f>
        <v>0</v>
      </c>
      <c r="D62" s="281">
        <f>+'Budget Volumes ML'!D61</f>
        <v>0</v>
      </c>
      <c r="E62" s="281">
        <f>+'Budget Volumes ML'!E61</f>
        <v>0</v>
      </c>
      <c r="F62" s="281">
        <f>+'Budget Volumes ML'!F61</f>
        <v>0</v>
      </c>
      <c r="G62" s="281">
        <f>+'Budget Volumes ML'!G61</f>
        <v>0</v>
      </c>
      <c r="H62" s="281">
        <f>+'Budget Volumes ML'!H61</f>
        <v>0</v>
      </c>
      <c r="I62" s="281">
        <f>+'Budget Volumes ML'!I61</f>
        <v>0</v>
      </c>
      <c r="J62" s="281">
        <f>+'Budget Volumes ML'!J61</f>
        <v>0</v>
      </c>
      <c r="K62" s="281">
        <f>+'Budget Volumes ML'!K61</f>
        <v>0</v>
      </c>
      <c r="L62" s="281">
        <f>+'Budget Volumes ML'!L61</f>
        <v>0</v>
      </c>
      <c r="M62" s="281">
        <f>+'Budget Volumes ML'!M61</f>
        <v>0</v>
      </c>
      <c r="N62" s="282">
        <f>SUM(B62:M62)</f>
        <v>0</v>
      </c>
    </row>
    <row r="63" spans="1:14" x14ac:dyDescent="0.35">
      <c r="A63" s="309" t="s">
        <v>469</v>
      </c>
      <c r="B63" s="292">
        <v>2.5</v>
      </c>
      <c r="C63" s="292">
        <v>2.5</v>
      </c>
      <c r="D63" s="292">
        <v>2.5</v>
      </c>
      <c r="E63" s="292">
        <v>2.5</v>
      </c>
      <c r="F63" s="292">
        <v>2.5</v>
      </c>
      <c r="G63" s="292">
        <v>2.5</v>
      </c>
      <c r="H63" s="292">
        <v>2.5</v>
      </c>
      <c r="I63" s="292">
        <v>2.5</v>
      </c>
      <c r="J63" s="292">
        <v>2.5</v>
      </c>
      <c r="K63" s="292">
        <v>2.5</v>
      </c>
      <c r="L63" s="292">
        <v>2.5</v>
      </c>
      <c r="M63" s="292">
        <v>2.5</v>
      </c>
      <c r="N63" s="293" t="e">
        <f>+N61/N62/1000</f>
        <v>#DIV/0!</v>
      </c>
    </row>
    <row r="64" spans="1:14" x14ac:dyDescent="0.35">
      <c r="A64" s="308" t="s">
        <v>377</v>
      </c>
      <c r="B64" s="290">
        <f>B65*B66</f>
        <v>0</v>
      </c>
      <c r="C64" s="290">
        <f t="shared" ref="C64:M64" si="25">C65*C66</f>
        <v>0</v>
      </c>
      <c r="D64" s="290">
        <f t="shared" si="25"/>
        <v>0</v>
      </c>
      <c r="E64" s="290">
        <f t="shared" si="25"/>
        <v>0</v>
      </c>
      <c r="F64" s="290">
        <f t="shared" si="25"/>
        <v>0</v>
      </c>
      <c r="G64" s="290">
        <f t="shared" si="25"/>
        <v>0</v>
      </c>
      <c r="H64" s="290">
        <f t="shared" si="25"/>
        <v>0</v>
      </c>
      <c r="I64" s="290">
        <f t="shared" si="25"/>
        <v>0</v>
      </c>
      <c r="J64" s="290">
        <f t="shared" si="25"/>
        <v>0</v>
      </c>
      <c r="K64" s="290">
        <f t="shared" si="25"/>
        <v>0</v>
      </c>
      <c r="L64" s="290">
        <f t="shared" si="25"/>
        <v>0</v>
      </c>
      <c r="M64" s="290">
        <f t="shared" si="25"/>
        <v>0</v>
      </c>
      <c r="N64" s="291">
        <f>SUM(B64:M64)</f>
        <v>0</v>
      </c>
    </row>
    <row r="65" spans="1:14" x14ac:dyDescent="0.35">
      <c r="A65" s="309" t="s">
        <v>480</v>
      </c>
      <c r="B65" s="281">
        <f>+'Budget Volumes ML'!B64</f>
        <v>0</v>
      </c>
      <c r="C65" s="281">
        <f>+'Budget Volumes ML'!C64</f>
        <v>0</v>
      </c>
      <c r="D65" s="281">
        <f>+'Budget Volumes ML'!D64</f>
        <v>0</v>
      </c>
      <c r="E65" s="281">
        <f>+'Budget Volumes ML'!E64</f>
        <v>0</v>
      </c>
      <c r="F65" s="281">
        <f>+'Budget Volumes ML'!F64</f>
        <v>0</v>
      </c>
      <c r="G65" s="281">
        <f>+'Budget Volumes ML'!G64</f>
        <v>0</v>
      </c>
      <c r="H65" s="281">
        <f>+'Budget Volumes ML'!H64</f>
        <v>0</v>
      </c>
      <c r="I65" s="281">
        <f>+'Budget Volumes ML'!I64</f>
        <v>0</v>
      </c>
      <c r="J65" s="281">
        <f>+'Budget Volumes ML'!J64</f>
        <v>0</v>
      </c>
      <c r="K65" s="281">
        <f>+'Budget Volumes ML'!K64</f>
        <v>0</v>
      </c>
      <c r="L65" s="281">
        <f>+'Budget Volumes ML'!L64</f>
        <v>0</v>
      </c>
      <c r="M65" s="281">
        <f>+'Budget Volumes ML'!M64</f>
        <v>0</v>
      </c>
      <c r="N65" s="282">
        <f>SUM(B65:M65)</f>
        <v>0</v>
      </c>
    </row>
    <row r="66" spans="1:14" x14ac:dyDescent="0.35">
      <c r="A66" s="309" t="s">
        <v>469</v>
      </c>
      <c r="B66" s="292">
        <v>20</v>
      </c>
      <c r="C66" s="292">
        <v>20</v>
      </c>
      <c r="D66" s="292">
        <v>20</v>
      </c>
      <c r="E66" s="292">
        <v>20</v>
      </c>
      <c r="F66" s="292">
        <v>20</v>
      </c>
      <c r="G66" s="292">
        <v>20</v>
      </c>
      <c r="H66" s="292">
        <v>20</v>
      </c>
      <c r="I66" s="292">
        <v>20</v>
      </c>
      <c r="J66" s="292">
        <v>20</v>
      </c>
      <c r="K66" s="292">
        <v>20</v>
      </c>
      <c r="L66" s="292">
        <v>20</v>
      </c>
      <c r="M66" s="292">
        <v>20</v>
      </c>
      <c r="N66" s="293" t="e">
        <f>+N64/N65/1000</f>
        <v>#DIV/0!</v>
      </c>
    </row>
    <row r="67" spans="1:14" x14ac:dyDescent="0.35">
      <c r="A67" s="308" t="s">
        <v>378</v>
      </c>
      <c r="B67" s="290">
        <f>B68*B69</f>
        <v>0</v>
      </c>
      <c r="C67" s="290">
        <f t="shared" ref="C67:M67" si="26">C68*C69</f>
        <v>0</v>
      </c>
      <c r="D67" s="290">
        <f t="shared" si="26"/>
        <v>0</v>
      </c>
      <c r="E67" s="290">
        <f t="shared" si="26"/>
        <v>0</v>
      </c>
      <c r="F67" s="290">
        <f t="shared" si="26"/>
        <v>0</v>
      </c>
      <c r="G67" s="290">
        <f t="shared" si="26"/>
        <v>0</v>
      </c>
      <c r="H67" s="290">
        <f t="shared" si="26"/>
        <v>0</v>
      </c>
      <c r="I67" s="290">
        <f t="shared" si="26"/>
        <v>0</v>
      </c>
      <c r="J67" s="290">
        <f t="shared" si="26"/>
        <v>0</v>
      </c>
      <c r="K67" s="290">
        <f t="shared" si="26"/>
        <v>0</v>
      </c>
      <c r="L67" s="290">
        <f t="shared" si="26"/>
        <v>0</v>
      </c>
      <c r="M67" s="290">
        <f t="shared" si="26"/>
        <v>0</v>
      </c>
      <c r="N67" s="291">
        <f>SUM(B67:M67)</f>
        <v>0</v>
      </c>
    </row>
    <row r="68" spans="1:14" x14ac:dyDescent="0.35">
      <c r="A68" s="309" t="s">
        <v>480</v>
      </c>
      <c r="B68" s="281">
        <f>+'Budget Volumes ML'!B67</f>
        <v>0</v>
      </c>
      <c r="C68" s="281">
        <f>+'Budget Volumes ML'!C67</f>
        <v>0</v>
      </c>
      <c r="D68" s="281">
        <f>+'Budget Volumes ML'!D67</f>
        <v>0</v>
      </c>
      <c r="E68" s="281">
        <f>+'Budget Volumes ML'!E67</f>
        <v>0</v>
      </c>
      <c r="F68" s="281">
        <f>+'Budget Volumes ML'!F67</f>
        <v>0</v>
      </c>
      <c r="G68" s="281">
        <f>+'Budget Volumes ML'!G67</f>
        <v>0</v>
      </c>
      <c r="H68" s="281">
        <f>+'Budget Volumes ML'!H67</f>
        <v>0</v>
      </c>
      <c r="I68" s="281">
        <f>+'Budget Volumes ML'!I67</f>
        <v>0</v>
      </c>
      <c r="J68" s="281">
        <f>+'Budget Volumes ML'!J67</f>
        <v>0</v>
      </c>
      <c r="K68" s="281">
        <f>+'Budget Volumes ML'!K67</f>
        <v>0</v>
      </c>
      <c r="L68" s="281">
        <f>+'Budget Volumes ML'!L67</f>
        <v>0</v>
      </c>
      <c r="M68" s="281">
        <f>+'Budget Volumes ML'!M67</f>
        <v>0</v>
      </c>
      <c r="N68" s="282">
        <f>SUM(B68:M68)</f>
        <v>0</v>
      </c>
    </row>
    <row r="69" spans="1:14" ht="12" thickBot="1" x14ac:dyDescent="0.4">
      <c r="A69" s="309" t="s">
        <v>469</v>
      </c>
      <c r="B69" s="294">
        <v>5</v>
      </c>
      <c r="C69" s="294">
        <v>5</v>
      </c>
      <c r="D69" s="294">
        <v>5</v>
      </c>
      <c r="E69" s="294">
        <v>5</v>
      </c>
      <c r="F69" s="294">
        <v>5</v>
      </c>
      <c r="G69" s="294">
        <v>5</v>
      </c>
      <c r="H69" s="294">
        <v>5</v>
      </c>
      <c r="I69" s="294">
        <v>5</v>
      </c>
      <c r="J69" s="294">
        <v>5</v>
      </c>
      <c r="K69" s="294">
        <v>5</v>
      </c>
      <c r="L69" s="294">
        <v>5</v>
      </c>
      <c r="M69" s="294">
        <v>5</v>
      </c>
      <c r="N69" s="295" t="e">
        <f>+N67/N68/1000</f>
        <v>#DIV/0!</v>
      </c>
    </row>
    <row r="70" spans="1:14" x14ac:dyDescent="0.35">
      <c r="A70" s="306" t="s">
        <v>379</v>
      </c>
      <c r="B70" s="285">
        <f>+B73+B76+B79+B82+B85+B88</f>
        <v>0</v>
      </c>
      <c r="C70" s="285">
        <f t="shared" ref="C70:M71" si="27">+C73+C76+C79+C82+C85+C88</f>
        <v>0</v>
      </c>
      <c r="D70" s="285">
        <f t="shared" si="27"/>
        <v>0</v>
      </c>
      <c r="E70" s="285">
        <f t="shared" si="27"/>
        <v>165580</v>
      </c>
      <c r="F70" s="285">
        <f t="shared" si="27"/>
        <v>165580</v>
      </c>
      <c r="G70" s="285">
        <f t="shared" si="27"/>
        <v>124185</v>
      </c>
      <c r="H70" s="285">
        <f t="shared" si="27"/>
        <v>124185</v>
      </c>
      <c r="I70" s="285">
        <f t="shared" si="27"/>
        <v>124185</v>
      </c>
      <c r="J70" s="285">
        <f t="shared" si="27"/>
        <v>124185</v>
      </c>
      <c r="K70" s="285">
        <f t="shared" si="27"/>
        <v>124185</v>
      </c>
      <c r="L70" s="285">
        <f t="shared" si="27"/>
        <v>124185</v>
      </c>
      <c r="M70" s="285">
        <f t="shared" si="27"/>
        <v>82790</v>
      </c>
      <c r="N70" s="286">
        <f>SUM(B70:M70)</f>
        <v>1159060</v>
      </c>
    </row>
    <row r="71" spans="1:14" x14ac:dyDescent="0.35">
      <c r="A71" s="307" t="s">
        <v>480</v>
      </c>
      <c r="B71" s="287">
        <f>+B74+B77+B80+B83+B86+B89</f>
        <v>0</v>
      </c>
      <c r="C71" s="287">
        <f t="shared" si="27"/>
        <v>0</v>
      </c>
      <c r="D71" s="287">
        <f t="shared" si="27"/>
        <v>0</v>
      </c>
      <c r="E71" s="287">
        <f t="shared" si="27"/>
        <v>66232</v>
      </c>
      <c r="F71" s="287">
        <f t="shared" si="27"/>
        <v>66232</v>
      </c>
      <c r="G71" s="287">
        <f t="shared" si="27"/>
        <v>49674</v>
      </c>
      <c r="H71" s="287">
        <f t="shared" si="27"/>
        <v>49674</v>
      </c>
      <c r="I71" s="287">
        <f t="shared" si="27"/>
        <v>49674</v>
      </c>
      <c r="J71" s="287">
        <f t="shared" si="27"/>
        <v>49674</v>
      </c>
      <c r="K71" s="287">
        <f t="shared" si="27"/>
        <v>49674</v>
      </c>
      <c r="L71" s="287">
        <f t="shared" si="27"/>
        <v>49674</v>
      </c>
      <c r="M71" s="287">
        <f t="shared" si="27"/>
        <v>33116</v>
      </c>
      <c r="N71" s="288">
        <f>SUM(B71:M71)</f>
        <v>463624</v>
      </c>
    </row>
    <row r="72" spans="1:14" x14ac:dyDescent="0.35">
      <c r="A72" s="307" t="s">
        <v>469</v>
      </c>
      <c r="B72" s="289" t="e">
        <f>+B70/B71</f>
        <v>#DIV/0!</v>
      </c>
      <c r="C72" s="289" t="e">
        <f t="shared" ref="C72:N72" si="28">+C70/C71</f>
        <v>#DIV/0!</v>
      </c>
      <c r="D72" s="289" t="e">
        <f t="shared" si="28"/>
        <v>#DIV/0!</v>
      </c>
      <c r="E72" s="289">
        <f t="shared" si="28"/>
        <v>2.5</v>
      </c>
      <c r="F72" s="289">
        <f t="shared" si="28"/>
        <v>2.5</v>
      </c>
      <c r="G72" s="289">
        <f t="shared" si="28"/>
        <v>2.5</v>
      </c>
      <c r="H72" s="289">
        <f t="shared" si="28"/>
        <v>2.5</v>
      </c>
      <c r="I72" s="289">
        <f t="shared" si="28"/>
        <v>2.5</v>
      </c>
      <c r="J72" s="289">
        <f t="shared" si="28"/>
        <v>2.5</v>
      </c>
      <c r="K72" s="289">
        <f t="shared" si="28"/>
        <v>2.5</v>
      </c>
      <c r="L72" s="289">
        <f t="shared" si="28"/>
        <v>2.5</v>
      </c>
      <c r="M72" s="289">
        <f t="shared" si="28"/>
        <v>2.5</v>
      </c>
      <c r="N72" s="289">
        <f t="shared" si="28"/>
        <v>2.5</v>
      </c>
    </row>
    <row r="73" spans="1:14" x14ac:dyDescent="0.35">
      <c r="A73" s="308" t="s">
        <v>90</v>
      </c>
      <c r="B73" s="290">
        <f>B74*B75</f>
        <v>0</v>
      </c>
      <c r="C73" s="290">
        <f t="shared" ref="C73:M73" si="29">C74*C75</f>
        <v>0</v>
      </c>
      <c r="D73" s="290">
        <f t="shared" si="29"/>
        <v>0</v>
      </c>
      <c r="E73" s="290">
        <f t="shared" si="29"/>
        <v>0</v>
      </c>
      <c r="F73" s="290">
        <f t="shared" si="29"/>
        <v>0</v>
      </c>
      <c r="G73" s="290">
        <f t="shared" si="29"/>
        <v>0</v>
      </c>
      <c r="H73" s="290">
        <f t="shared" si="29"/>
        <v>0</v>
      </c>
      <c r="I73" s="290">
        <f t="shared" si="29"/>
        <v>0</v>
      </c>
      <c r="J73" s="290">
        <f t="shared" si="29"/>
        <v>0</v>
      </c>
      <c r="K73" s="290">
        <f t="shared" si="29"/>
        <v>0</v>
      </c>
      <c r="L73" s="290">
        <f t="shared" si="29"/>
        <v>0</v>
      </c>
      <c r="M73" s="290">
        <f t="shared" si="29"/>
        <v>0</v>
      </c>
      <c r="N73" s="291">
        <f>SUM(B73:M73)</f>
        <v>0</v>
      </c>
    </row>
    <row r="74" spans="1:14" x14ac:dyDescent="0.35">
      <c r="A74" s="309" t="s">
        <v>480</v>
      </c>
      <c r="B74" s="281">
        <f>+'Budget Volumes ML'!B73</f>
        <v>0</v>
      </c>
      <c r="C74" s="281">
        <f>+'Budget Volumes ML'!C73</f>
        <v>0</v>
      </c>
      <c r="D74" s="281">
        <f>+'Budget Volumes ML'!D73</f>
        <v>0</v>
      </c>
      <c r="E74" s="281">
        <f>+'Budget Volumes ML'!E73</f>
        <v>0</v>
      </c>
      <c r="F74" s="281">
        <f>+'Budget Volumes ML'!F73</f>
        <v>0</v>
      </c>
      <c r="G74" s="281">
        <f>+'Budget Volumes ML'!G73</f>
        <v>0</v>
      </c>
      <c r="H74" s="281">
        <f>+'Budget Volumes ML'!H73</f>
        <v>0</v>
      </c>
      <c r="I74" s="281">
        <f>+'Budget Volumes ML'!I73</f>
        <v>0</v>
      </c>
      <c r="J74" s="281">
        <f>+'Budget Volumes ML'!J73</f>
        <v>0</v>
      </c>
      <c r="K74" s="281">
        <f>+'Budget Volumes ML'!K73</f>
        <v>0</v>
      </c>
      <c r="L74" s="281">
        <f>+'Budget Volumes ML'!L73</f>
        <v>0</v>
      </c>
      <c r="M74" s="281">
        <f>+'Budget Volumes ML'!M73</f>
        <v>0</v>
      </c>
      <c r="N74" s="282">
        <f>SUM(B74:M74)</f>
        <v>0</v>
      </c>
    </row>
    <row r="75" spans="1:14" x14ac:dyDescent="0.35">
      <c r="A75" s="309" t="s">
        <v>469</v>
      </c>
      <c r="B75" s="292">
        <v>1</v>
      </c>
      <c r="C75" s="292">
        <v>1</v>
      </c>
      <c r="D75" s="292">
        <v>1</v>
      </c>
      <c r="E75" s="292">
        <v>1</v>
      </c>
      <c r="F75" s="292">
        <v>1</v>
      </c>
      <c r="G75" s="292">
        <v>1</v>
      </c>
      <c r="H75" s="292">
        <v>1</v>
      </c>
      <c r="I75" s="292">
        <v>1</v>
      </c>
      <c r="J75" s="292">
        <v>1</v>
      </c>
      <c r="K75" s="292">
        <v>1</v>
      </c>
      <c r="L75" s="292">
        <v>1</v>
      </c>
      <c r="M75" s="292">
        <v>1</v>
      </c>
      <c r="N75" s="293" t="e">
        <f>+N73/N74/1000</f>
        <v>#DIV/0!</v>
      </c>
    </row>
    <row r="76" spans="1:14" x14ac:dyDescent="0.35">
      <c r="A76" s="308" t="s">
        <v>91</v>
      </c>
      <c r="B76" s="290">
        <f>B77*B78</f>
        <v>0</v>
      </c>
      <c r="C76" s="290">
        <f t="shared" ref="C76:M76" si="30">C77*C78</f>
        <v>0</v>
      </c>
      <c r="D76" s="290">
        <f t="shared" si="30"/>
        <v>0</v>
      </c>
      <c r="E76" s="290">
        <f t="shared" si="30"/>
        <v>0</v>
      </c>
      <c r="F76" s="290">
        <f t="shared" si="30"/>
        <v>0</v>
      </c>
      <c r="G76" s="290">
        <f t="shared" si="30"/>
        <v>0</v>
      </c>
      <c r="H76" s="290">
        <f t="shared" si="30"/>
        <v>0</v>
      </c>
      <c r="I76" s="290">
        <f t="shared" si="30"/>
        <v>0</v>
      </c>
      <c r="J76" s="290">
        <f t="shared" si="30"/>
        <v>0</v>
      </c>
      <c r="K76" s="290">
        <f t="shared" si="30"/>
        <v>0</v>
      </c>
      <c r="L76" s="290">
        <f t="shared" si="30"/>
        <v>0</v>
      </c>
      <c r="M76" s="290">
        <f t="shared" si="30"/>
        <v>0</v>
      </c>
      <c r="N76" s="291">
        <f>SUM(B76:M76)</f>
        <v>0</v>
      </c>
    </row>
    <row r="77" spans="1:14" x14ac:dyDescent="0.35">
      <c r="A77" s="309" t="s">
        <v>480</v>
      </c>
      <c r="B77" s="281">
        <f>+'Budget Volumes ML'!B76</f>
        <v>0</v>
      </c>
      <c r="C77" s="281">
        <f>+'Budget Volumes ML'!C76</f>
        <v>0</v>
      </c>
      <c r="D77" s="281">
        <f>+'Budget Volumes ML'!D76</f>
        <v>0</v>
      </c>
      <c r="E77" s="281">
        <f>+'Budget Volumes ML'!E76</f>
        <v>0</v>
      </c>
      <c r="F77" s="281">
        <f>+'Budget Volumes ML'!F76</f>
        <v>0</v>
      </c>
      <c r="G77" s="281">
        <f>+'Budget Volumes ML'!G76</f>
        <v>0</v>
      </c>
      <c r="H77" s="281">
        <f>+'Budget Volumes ML'!H76</f>
        <v>0</v>
      </c>
      <c r="I77" s="281">
        <f>+'Budget Volumes ML'!I76</f>
        <v>0</v>
      </c>
      <c r="J77" s="281">
        <f>+'Budget Volumes ML'!J76</f>
        <v>0</v>
      </c>
      <c r="K77" s="281">
        <f>+'Budget Volumes ML'!K76</f>
        <v>0</v>
      </c>
      <c r="L77" s="281">
        <f>+'Budget Volumes ML'!L76</f>
        <v>0</v>
      </c>
      <c r="M77" s="281">
        <f>+'Budget Volumes ML'!M76</f>
        <v>0</v>
      </c>
      <c r="N77" s="282">
        <f>+'Plan de culture 104 '!$X$13</f>
        <v>0</v>
      </c>
    </row>
    <row r="78" spans="1:14" x14ac:dyDescent="0.35">
      <c r="A78" s="309" t="s">
        <v>469</v>
      </c>
      <c r="B78" s="292">
        <v>1</v>
      </c>
      <c r="C78" s="292">
        <v>1</v>
      </c>
      <c r="D78" s="292">
        <v>1</v>
      </c>
      <c r="E78" s="292">
        <v>1</v>
      </c>
      <c r="F78" s="292">
        <v>1</v>
      </c>
      <c r="G78" s="292">
        <v>1</v>
      </c>
      <c r="H78" s="292">
        <v>1</v>
      </c>
      <c r="I78" s="292">
        <v>1</v>
      </c>
      <c r="J78" s="292">
        <v>1</v>
      </c>
      <c r="K78" s="292">
        <v>1</v>
      </c>
      <c r="L78" s="292">
        <v>1</v>
      </c>
      <c r="M78" s="292">
        <v>1</v>
      </c>
      <c r="N78" s="293" t="e">
        <f>+N76/N77/1000</f>
        <v>#DIV/0!</v>
      </c>
    </row>
    <row r="79" spans="1:14" x14ac:dyDescent="0.35">
      <c r="A79" s="308" t="s">
        <v>376</v>
      </c>
      <c r="B79" s="290">
        <f>B80*B81</f>
        <v>0</v>
      </c>
      <c r="C79" s="290">
        <f t="shared" ref="C79:M79" si="31">C80*C81</f>
        <v>0</v>
      </c>
      <c r="D79" s="290">
        <f t="shared" si="31"/>
        <v>0</v>
      </c>
      <c r="E79" s="290">
        <f t="shared" si="31"/>
        <v>0</v>
      </c>
      <c r="F79" s="290">
        <f t="shared" si="31"/>
        <v>0</v>
      </c>
      <c r="G79" s="290">
        <f t="shared" si="31"/>
        <v>0</v>
      </c>
      <c r="H79" s="290">
        <f t="shared" si="31"/>
        <v>0</v>
      </c>
      <c r="I79" s="290">
        <f t="shared" si="31"/>
        <v>0</v>
      </c>
      <c r="J79" s="290">
        <f t="shared" si="31"/>
        <v>0</v>
      </c>
      <c r="K79" s="290">
        <f t="shared" si="31"/>
        <v>0</v>
      </c>
      <c r="L79" s="290">
        <f t="shared" si="31"/>
        <v>0</v>
      </c>
      <c r="M79" s="290">
        <f t="shared" si="31"/>
        <v>0</v>
      </c>
      <c r="N79" s="291">
        <f>SUM(B79:M79)</f>
        <v>0</v>
      </c>
    </row>
    <row r="80" spans="1:14" x14ac:dyDescent="0.35">
      <c r="A80" s="309" t="s">
        <v>480</v>
      </c>
      <c r="B80" s="281">
        <f>+'Budget Volumes ML'!B79</f>
        <v>0</v>
      </c>
      <c r="C80" s="281">
        <f>+'Budget Volumes ML'!C79</f>
        <v>0</v>
      </c>
      <c r="D80" s="281">
        <f>+'Budget Volumes ML'!D79</f>
        <v>0</v>
      </c>
      <c r="E80" s="281">
        <f>+'Budget Volumes ML'!E79</f>
        <v>0</v>
      </c>
      <c r="F80" s="281">
        <f>+'Budget Volumes ML'!F79</f>
        <v>0</v>
      </c>
      <c r="G80" s="281">
        <f>+'Budget Volumes ML'!G79</f>
        <v>0</v>
      </c>
      <c r="H80" s="281">
        <f>+'Budget Volumes ML'!H79</f>
        <v>0</v>
      </c>
      <c r="I80" s="281">
        <f>+'Budget Volumes ML'!I79</f>
        <v>0</v>
      </c>
      <c r="J80" s="281">
        <f>+'Budget Volumes ML'!J79</f>
        <v>0</v>
      </c>
      <c r="K80" s="281">
        <f>+'Budget Volumes ML'!K79</f>
        <v>0</v>
      </c>
      <c r="L80" s="281">
        <f>+'Budget Volumes ML'!L79</f>
        <v>0</v>
      </c>
      <c r="M80" s="281">
        <f>+'Budget Volumes ML'!M79</f>
        <v>0</v>
      </c>
      <c r="N80" s="282">
        <f>SUM(B80:M80)</f>
        <v>0</v>
      </c>
    </row>
    <row r="81" spans="1:14" x14ac:dyDescent="0.35">
      <c r="A81" s="309" t="s">
        <v>469</v>
      </c>
      <c r="B81" s="292">
        <v>1</v>
      </c>
      <c r="C81" s="292">
        <v>1</v>
      </c>
      <c r="D81" s="292">
        <v>1</v>
      </c>
      <c r="E81" s="292">
        <v>1</v>
      </c>
      <c r="F81" s="292">
        <v>1</v>
      </c>
      <c r="G81" s="292">
        <v>1</v>
      </c>
      <c r="H81" s="292">
        <v>1</v>
      </c>
      <c r="I81" s="292">
        <v>1</v>
      </c>
      <c r="J81" s="292">
        <v>1</v>
      </c>
      <c r="K81" s="292">
        <v>1</v>
      </c>
      <c r="L81" s="292">
        <v>1</v>
      </c>
      <c r="M81" s="292">
        <v>1</v>
      </c>
      <c r="N81" s="293" t="e">
        <f>+N79/N80/1000</f>
        <v>#DIV/0!</v>
      </c>
    </row>
    <row r="82" spans="1:14" x14ac:dyDescent="0.35">
      <c r="A82" s="308" t="s">
        <v>92</v>
      </c>
      <c r="B82" s="290">
        <f>B83*B84</f>
        <v>0</v>
      </c>
      <c r="C82" s="290">
        <f t="shared" ref="C82:M82" si="32">C83*C84</f>
        <v>0</v>
      </c>
      <c r="D82" s="290">
        <f t="shared" si="32"/>
        <v>0</v>
      </c>
      <c r="E82" s="290">
        <f t="shared" si="32"/>
        <v>165580</v>
      </c>
      <c r="F82" s="290">
        <f t="shared" si="32"/>
        <v>165580</v>
      </c>
      <c r="G82" s="290">
        <f t="shared" si="32"/>
        <v>124185</v>
      </c>
      <c r="H82" s="290">
        <f t="shared" si="32"/>
        <v>124185</v>
      </c>
      <c r="I82" s="290">
        <f t="shared" si="32"/>
        <v>124185</v>
      </c>
      <c r="J82" s="290">
        <f t="shared" si="32"/>
        <v>124185</v>
      </c>
      <c r="K82" s="290">
        <f t="shared" si="32"/>
        <v>124185</v>
      </c>
      <c r="L82" s="290">
        <f t="shared" si="32"/>
        <v>124185</v>
      </c>
      <c r="M82" s="290">
        <f t="shared" si="32"/>
        <v>82790</v>
      </c>
      <c r="N82" s="291">
        <f>SUM(B82:M82)</f>
        <v>1159060</v>
      </c>
    </row>
    <row r="83" spans="1:14" x14ac:dyDescent="0.35">
      <c r="A83" s="309" t="s">
        <v>480</v>
      </c>
      <c r="B83" s="281">
        <f>+'Budget Volumes ML'!B82</f>
        <v>0</v>
      </c>
      <c r="C83" s="281">
        <f>+'Budget Volumes ML'!C82</f>
        <v>0</v>
      </c>
      <c r="D83" s="281">
        <f>+'Budget Volumes ML'!D82</f>
        <v>0</v>
      </c>
      <c r="E83" s="281">
        <f>+'Budget Volumes ML'!E82</f>
        <v>66232</v>
      </c>
      <c r="F83" s="281">
        <f>+'Budget Volumes ML'!F82</f>
        <v>66232</v>
      </c>
      <c r="G83" s="281">
        <f>+'Budget Volumes ML'!G82</f>
        <v>49674</v>
      </c>
      <c r="H83" s="281">
        <f>+'Budget Volumes ML'!H82</f>
        <v>49674</v>
      </c>
      <c r="I83" s="281">
        <f>+'Budget Volumes ML'!I82</f>
        <v>49674</v>
      </c>
      <c r="J83" s="281">
        <f>+'Budget Volumes ML'!J82</f>
        <v>49674</v>
      </c>
      <c r="K83" s="281">
        <f>+'Budget Volumes ML'!K82</f>
        <v>49674</v>
      </c>
      <c r="L83" s="281">
        <f>+'Budget Volumes ML'!L82</f>
        <v>49674</v>
      </c>
      <c r="M83" s="281">
        <f>+'Budget Volumes ML'!M82</f>
        <v>33116</v>
      </c>
      <c r="N83" s="282">
        <f>SUM(B83:M83)</f>
        <v>463624</v>
      </c>
    </row>
    <row r="84" spans="1:14" x14ac:dyDescent="0.35">
      <c r="A84" s="309" t="s">
        <v>469</v>
      </c>
      <c r="B84" s="292">
        <v>2.5</v>
      </c>
      <c r="C84" s="292">
        <v>2.5</v>
      </c>
      <c r="D84" s="292">
        <v>2.5</v>
      </c>
      <c r="E84" s="292">
        <v>2.5</v>
      </c>
      <c r="F84" s="292">
        <v>2.5</v>
      </c>
      <c r="G84" s="292">
        <v>2.5</v>
      </c>
      <c r="H84" s="292">
        <v>2.5</v>
      </c>
      <c r="I84" s="292">
        <v>2.5</v>
      </c>
      <c r="J84" s="292">
        <v>2.5</v>
      </c>
      <c r="K84" s="292">
        <v>2.5</v>
      </c>
      <c r="L84" s="292">
        <v>2.5</v>
      </c>
      <c r="M84" s="292">
        <v>2.5</v>
      </c>
      <c r="N84" s="293">
        <f>+N82/N83/1000</f>
        <v>2.5000000000000001E-3</v>
      </c>
    </row>
    <row r="85" spans="1:14" x14ac:dyDescent="0.35">
      <c r="A85" s="308" t="s">
        <v>377</v>
      </c>
      <c r="B85" s="290">
        <f>B86*B87</f>
        <v>0</v>
      </c>
      <c r="C85" s="290">
        <f t="shared" ref="C85:M85" si="33">C86*C87</f>
        <v>0</v>
      </c>
      <c r="D85" s="290">
        <f t="shared" si="33"/>
        <v>0</v>
      </c>
      <c r="E85" s="290">
        <f t="shared" si="33"/>
        <v>0</v>
      </c>
      <c r="F85" s="290">
        <f t="shared" si="33"/>
        <v>0</v>
      </c>
      <c r="G85" s="290">
        <f t="shared" si="33"/>
        <v>0</v>
      </c>
      <c r="H85" s="290">
        <f t="shared" si="33"/>
        <v>0</v>
      </c>
      <c r="I85" s="290">
        <f t="shared" si="33"/>
        <v>0</v>
      </c>
      <c r="J85" s="290">
        <f t="shared" si="33"/>
        <v>0</v>
      </c>
      <c r="K85" s="290">
        <f t="shared" si="33"/>
        <v>0</v>
      </c>
      <c r="L85" s="290">
        <f t="shared" si="33"/>
        <v>0</v>
      </c>
      <c r="M85" s="290">
        <f t="shared" si="33"/>
        <v>0</v>
      </c>
      <c r="N85" s="291">
        <f>SUM(B85:M85)</f>
        <v>0</v>
      </c>
    </row>
    <row r="86" spans="1:14" x14ac:dyDescent="0.35">
      <c r="A86" s="309" t="s">
        <v>480</v>
      </c>
      <c r="B86" s="281">
        <f>+'Budget Volumes ML'!B85</f>
        <v>0</v>
      </c>
      <c r="C86" s="281">
        <f>+'Budget Volumes ML'!C85</f>
        <v>0</v>
      </c>
      <c r="D86" s="281">
        <f>+'Budget Volumes ML'!D85</f>
        <v>0</v>
      </c>
      <c r="E86" s="281">
        <f>+'Budget Volumes ML'!E85</f>
        <v>0</v>
      </c>
      <c r="F86" s="281">
        <f>+'Budget Volumes ML'!F85</f>
        <v>0</v>
      </c>
      <c r="G86" s="281">
        <f>+'Budget Volumes ML'!G85</f>
        <v>0</v>
      </c>
      <c r="H86" s="281">
        <f>+'Budget Volumes ML'!H85</f>
        <v>0</v>
      </c>
      <c r="I86" s="281">
        <f>+'Budget Volumes ML'!I85</f>
        <v>0</v>
      </c>
      <c r="J86" s="281">
        <f>+'Budget Volumes ML'!J85</f>
        <v>0</v>
      </c>
      <c r="K86" s="281">
        <f>+'Budget Volumes ML'!K85</f>
        <v>0</v>
      </c>
      <c r="L86" s="281">
        <f>+'Budget Volumes ML'!L85</f>
        <v>0</v>
      </c>
      <c r="M86" s="281">
        <f>+'Budget Volumes ML'!M85</f>
        <v>0</v>
      </c>
      <c r="N86" s="282">
        <f>SUM(B86:M86)</f>
        <v>0</v>
      </c>
    </row>
    <row r="87" spans="1:14" x14ac:dyDescent="0.35">
      <c r="A87" s="309" t="s">
        <v>469</v>
      </c>
      <c r="B87" s="292">
        <v>20</v>
      </c>
      <c r="C87" s="292">
        <v>20</v>
      </c>
      <c r="D87" s="292">
        <v>20</v>
      </c>
      <c r="E87" s="292">
        <v>20</v>
      </c>
      <c r="F87" s="292">
        <v>20</v>
      </c>
      <c r="G87" s="292">
        <v>20</v>
      </c>
      <c r="H87" s="292">
        <v>20</v>
      </c>
      <c r="I87" s="292">
        <v>20</v>
      </c>
      <c r="J87" s="292">
        <v>20</v>
      </c>
      <c r="K87" s="292">
        <v>20</v>
      </c>
      <c r="L87" s="292">
        <v>20</v>
      </c>
      <c r="M87" s="292">
        <v>20</v>
      </c>
      <c r="N87" s="293" t="e">
        <f>+N85/N86/1000</f>
        <v>#DIV/0!</v>
      </c>
    </row>
    <row r="88" spans="1:14" x14ac:dyDescent="0.35">
      <c r="A88" s="308" t="s">
        <v>378</v>
      </c>
      <c r="B88" s="290">
        <f>B89*B90</f>
        <v>0</v>
      </c>
      <c r="C88" s="290">
        <f t="shared" ref="C88:M88" si="34">C89*C90</f>
        <v>0</v>
      </c>
      <c r="D88" s="290">
        <f t="shared" si="34"/>
        <v>0</v>
      </c>
      <c r="E88" s="290">
        <f t="shared" si="34"/>
        <v>0</v>
      </c>
      <c r="F88" s="290">
        <f t="shared" si="34"/>
        <v>0</v>
      </c>
      <c r="G88" s="290">
        <f t="shared" si="34"/>
        <v>0</v>
      </c>
      <c r="H88" s="290">
        <f t="shared" si="34"/>
        <v>0</v>
      </c>
      <c r="I88" s="290">
        <f t="shared" si="34"/>
        <v>0</v>
      </c>
      <c r="J88" s="290">
        <f t="shared" si="34"/>
        <v>0</v>
      </c>
      <c r="K88" s="290">
        <f t="shared" si="34"/>
        <v>0</v>
      </c>
      <c r="L88" s="290">
        <f t="shared" si="34"/>
        <v>0</v>
      </c>
      <c r="M88" s="290">
        <f t="shared" si="34"/>
        <v>0</v>
      </c>
      <c r="N88" s="291">
        <f>SUM(B88:M88)</f>
        <v>0</v>
      </c>
    </row>
    <row r="89" spans="1:14" x14ac:dyDescent="0.35">
      <c r="A89" s="309" t="s">
        <v>480</v>
      </c>
      <c r="B89" s="281">
        <f>+'Budget Volumes ML'!B88</f>
        <v>0</v>
      </c>
      <c r="C89" s="281">
        <f>+'Budget Volumes ML'!C88</f>
        <v>0</v>
      </c>
      <c r="D89" s="281">
        <f>+'Budget Volumes ML'!D88</f>
        <v>0</v>
      </c>
      <c r="E89" s="281">
        <f>+'Budget Volumes ML'!E88</f>
        <v>0</v>
      </c>
      <c r="F89" s="281">
        <f>+'Budget Volumes ML'!F88</f>
        <v>0</v>
      </c>
      <c r="G89" s="281">
        <f>+'Budget Volumes ML'!G88</f>
        <v>0</v>
      </c>
      <c r="H89" s="281">
        <f>+'Budget Volumes ML'!H88</f>
        <v>0</v>
      </c>
      <c r="I89" s="281">
        <f>+'Budget Volumes ML'!I88</f>
        <v>0</v>
      </c>
      <c r="J89" s="281">
        <f>+'Budget Volumes ML'!J88</f>
        <v>0</v>
      </c>
      <c r="K89" s="281">
        <f>+'Budget Volumes ML'!K88</f>
        <v>0</v>
      </c>
      <c r="L89" s="281">
        <f>+'Budget Volumes ML'!L88</f>
        <v>0</v>
      </c>
      <c r="M89" s="281">
        <f>+'Budget Volumes ML'!M88</f>
        <v>0</v>
      </c>
      <c r="N89" s="282">
        <f>SUM(B89:M89)</f>
        <v>0</v>
      </c>
    </row>
    <row r="90" spans="1:14" ht="12" thickBot="1" x14ac:dyDescent="0.4">
      <c r="A90" s="309" t="s">
        <v>469</v>
      </c>
      <c r="B90" s="294">
        <v>5</v>
      </c>
      <c r="C90" s="294">
        <v>5</v>
      </c>
      <c r="D90" s="294">
        <v>5</v>
      </c>
      <c r="E90" s="294">
        <v>5</v>
      </c>
      <c r="F90" s="294">
        <v>5</v>
      </c>
      <c r="G90" s="294">
        <v>5</v>
      </c>
      <c r="H90" s="294">
        <v>5</v>
      </c>
      <c r="I90" s="294">
        <v>5</v>
      </c>
      <c r="J90" s="294">
        <v>5</v>
      </c>
      <c r="K90" s="294">
        <v>5</v>
      </c>
      <c r="L90" s="294">
        <v>5</v>
      </c>
      <c r="M90" s="294">
        <v>5</v>
      </c>
      <c r="N90" s="295" t="e">
        <f>+N88/N89/1000</f>
        <v>#DIV/0!</v>
      </c>
    </row>
    <row r="91" spans="1:14" x14ac:dyDescent="0.35">
      <c r="A91" s="306" t="s">
        <v>380</v>
      </c>
      <c r="B91" s="285">
        <f>+B94+B97+B100+B103+B106+B109</f>
        <v>0</v>
      </c>
      <c r="C91" s="285">
        <f t="shared" ref="C91:M92" si="35">+C94+C97+C100+C103+C106+C109</f>
        <v>0</v>
      </c>
      <c r="D91" s="285">
        <f t="shared" si="35"/>
        <v>0</v>
      </c>
      <c r="E91" s="285">
        <f t="shared" si="35"/>
        <v>52180</v>
      </c>
      <c r="F91" s="285">
        <f t="shared" si="35"/>
        <v>52180</v>
      </c>
      <c r="G91" s="285">
        <f t="shared" si="35"/>
        <v>39135</v>
      </c>
      <c r="H91" s="285">
        <f t="shared" si="35"/>
        <v>39135</v>
      </c>
      <c r="I91" s="285">
        <f t="shared" si="35"/>
        <v>52180</v>
      </c>
      <c r="J91" s="285">
        <f t="shared" si="35"/>
        <v>39135</v>
      </c>
      <c r="K91" s="285">
        <f t="shared" si="35"/>
        <v>39135</v>
      </c>
      <c r="L91" s="285">
        <f t="shared" si="35"/>
        <v>26090</v>
      </c>
      <c r="M91" s="285">
        <f t="shared" si="35"/>
        <v>13045</v>
      </c>
      <c r="N91" s="286">
        <f>SUM(B91:M91)</f>
        <v>352215</v>
      </c>
    </row>
    <row r="92" spans="1:14" x14ac:dyDescent="0.35">
      <c r="A92" s="307" t="s">
        <v>480</v>
      </c>
      <c r="B92" s="287">
        <f>+B95+B98+B101+B104+B107+B110</f>
        <v>0</v>
      </c>
      <c r="C92" s="287">
        <f t="shared" si="35"/>
        <v>0</v>
      </c>
      <c r="D92" s="287">
        <f t="shared" si="35"/>
        <v>0</v>
      </c>
      <c r="E92" s="287">
        <f t="shared" si="35"/>
        <v>52180</v>
      </c>
      <c r="F92" s="287">
        <f t="shared" si="35"/>
        <v>52180</v>
      </c>
      <c r="G92" s="287">
        <f t="shared" si="35"/>
        <v>39135</v>
      </c>
      <c r="H92" s="287">
        <f t="shared" si="35"/>
        <v>39135</v>
      </c>
      <c r="I92" s="287">
        <f t="shared" si="35"/>
        <v>52180</v>
      </c>
      <c r="J92" s="287">
        <f t="shared" si="35"/>
        <v>39135</v>
      </c>
      <c r="K92" s="287">
        <f t="shared" si="35"/>
        <v>39135</v>
      </c>
      <c r="L92" s="287">
        <f t="shared" si="35"/>
        <v>26090</v>
      </c>
      <c r="M92" s="287">
        <f t="shared" si="35"/>
        <v>13045</v>
      </c>
      <c r="N92" s="288">
        <f>SUM(B92:M92)</f>
        <v>352215</v>
      </c>
    </row>
    <row r="93" spans="1:14" x14ac:dyDescent="0.35">
      <c r="A93" s="307" t="s">
        <v>469</v>
      </c>
      <c r="B93" s="289" t="e">
        <f>+B91/B92</f>
        <v>#DIV/0!</v>
      </c>
      <c r="C93" s="289" t="e">
        <f t="shared" ref="C93:N93" si="36">+C91/C92</f>
        <v>#DIV/0!</v>
      </c>
      <c r="D93" s="289" t="e">
        <f t="shared" si="36"/>
        <v>#DIV/0!</v>
      </c>
      <c r="E93" s="289">
        <f t="shared" si="36"/>
        <v>1</v>
      </c>
      <c r="F93" s="289">
        <f t="shared" si="36"/>
        <v>1</v>
      </c>
      <c r="G93" s="289">
        <f t="shared" si="36"/>
        <v>1</v>
      </c>
      <c r="H93" s="289">
        <f t="shared" si="36"/>
        <v>1</v>
      </c>
      <c r="I93" s="289">
        <f t="shared" si="36"/>
        <v>1</v>
      </c>
      <c r="J93" s="289">
        <f t="shared" si="36"/>
        <v>1</v>
      </c>
      <c r="K93" s="289">
        <f t="shared" si="36"/>
        <v>1</v>
      </c>
      <c r="L93" s="289">
        <f t="shared" si="36"/>
        <v>1</v>
      </c>
      <c r="M93" s="289">
        <f t="shared" si="36"/>
        <v>1</v>
      </c>
      <c r="N93" s="289">
        <f t="shared" si="36"/>
        <v>1</v>
      </c>
    </row>
    <row r="94" spans="1:14" x14ac:dyDescent="0.35">
      <c r="A94" s="308" t="s">
        <v>90</v>
      </c>
      <c r="B94" s="290">
        <f>B95*B96</f>
        <v>0</v>
      </c>
      <c r="C94" s="290">
        <f t="shared" ref="C94:M94" si="37">C95*C96</f>
        <v>0</v>
      </c>
      <c r="D94" s="290">
        <f t="shared" si="37"/>
        <v>0</v>
      </c>
      <c r="E94" s="290">
        <f t="shared" si="37"/>
        <v>0</v>
      </c>
      <c r="F94" s="290">
        <f t="shared" si="37"/>
        <v>0</v>
      </c>
      <c r="G94" s="290">
        <f t="shared" si="37"/>
        <v>0</v>
      </c>
      <c r="H94" s="290">
        <f t="shared" si="37"/>
        <v>0</v>
      </c>
      <c r="I94" s="290">
        <f t="shared" si="37"/>
        <v>0</v>
      </c>
      <c r="J94" s="290">
        <f t="shared" si="37"/>
        <v>0</v>
      </c>
      <c r="K94" s="290">
        <f t="shared" si="37"/>
        <v>0</v>
      </c>
      <c r="L94" s="290">
        <f t="shared" si="37"/>
        <v>0</v>
      </c>
      <c r="M94" s="290">
        <f t="shared" si="37"/>
        <v>0</v>
      </c>
      <c r="N94" s="291">
        <f>SUM(B94:M94)</f>
        <v>0</v>
      </c>
    </row>
    <row r="95" spans="1:14" x14ac:dyDescent="0.35">
      <c r="A95" s="309" t="s">
        <v>480</v>
      </c>
      <c r="B95" s="281">
        <f>+'Budget Volumes ML'!B94</f>
        <v>0</v>
      </c>
      <c r="C95" s="281">
        <f>+'Budget Volumes ML'!C94</f>
        <v>0</v>
      </c>
      <c r="D95" s="281">
        <f>+'Budget Volumes ML'!D94</f>
        <v>0</v>
      </c>
      <c r="E95" s="281">
        <f>+'Budget Volumes ML'!E94</f>
        <v>0</v>
      </c>
      <c r="F95" s="281">
        <f>+'Budget Volumes ML'!F94</f>
        <v>0</v>
      </c>
      <c r="G95" s="281">
        <f>+'Budget Volumes ML'!G94</f>
        <v>0</v>
      </c>
      <c r="H95" s="281">
        <f>+'Budget Volumes ML'!H94</f>
        <v>0</v>
      </c>
      <c r="I95" s="281">
        <f>+'Budget Volumes ML'!I94</f>
        <v>0</v>
      </c>
      <c r="J95" s="281">
        <f>+'Budget Volumes ML'!J94</f>
        <v>0</v>
      </c>
      <c r="K95" s="281">
        <f>+'Budget Volumes ML'!K94</f>
        <v>0</v>
      </c>
      <c r="L95" s="281">
        <f>+'Budget Volumes ML'!L94</f>
        <v>0</v>
      </c>
      <c r="M95" s="281">
        <f>+'Budget Volumes ML'!M94</f>
        <v>0</v>
      </c>
      <c r="N95" s="282">
        <f>SUM(B95:M95)</f>
        <v>0</v>
      </c>
    </row>
    <row r="96" spans="1:14" x14ac:dyDescent="0.35">
      <c r="A96" s="309" t="s">
        <v>469</v>
      </c>
      <c r="B96" s="292">
        <v>1</v>
      </c>
      <c r="C96" s="292">
        <v>1</v>
      </c>
      <c r="D96" s="292">
        <v>1</v>
      </c>
      <c r="E96" s="292">
        <v>1</v>
      </c>
      <c r="F96" s="292">
        <v>1</v>
      </c>
      <c r="G96" s="292">
        <v>1</v>
      </c>
      <c r="H96" s="292">
        <v>1</v>
      </c>
      <c r="I96" s="292">
        <v>1</v>
      </c>
      <c r="J96" s="292">
        <v>1</v>
      </c>
      <c r="K96" s="292">
        <v>1</v>
      </c>
      <c r="L96" s="292">
        <v>1</v>
      </c>
      <c r="M96" s="292">
        <v>1</v>
      </c>
      <c r="N96" s="293" t="e">
        <f>+N94/N95/1000</f>
        <v>#DIV/0!</v>
      </c>
    </row>
    <row r="97" spans="1:14" x14ac:dyDescent="0.35">
      <c r="A97" s="308" t="s">
        <v>91</v>
      </c>
      <c r="B97" s="290">
        <f>B98*B99</f>
        <v>0</v>
      </c>
      <c r="C97" s="290">
        <f t="shared" ref="C97:M97" si="38">C98*C99</f>
        <v>0</v>
      </c>
      <c r="D97" s="290">
        <f t="shared" si="38"/>
        <v>0</v>
      </c>
      <c r="E97" s="290">
        <f t="shared" si="38"/>
        <v>52180</v>
      </c>
      <c r="F97" s="290">
        <f t="shared" si="38"/>
        <v>52180</v>
      </c>
      <c r="G97" s="290">
        <f t="shared" si="38"/>
        <v>39135</v>
      </c>
      <c r="H97" s="290">
        <f t="shared" si="38"/>
        <v>39135</v>
      </c>
      <c r="I97" s="290">
        <f t="shared" si="38"/>
        <v>52180</v>
      </c>
      <c r="J97" s="290">
        <f t="shared" si="38"/>
        <v>39135</v>
      </c>
      <c r="K97" s="290">
        <f t="shared" si="38"/>
        <v>39135</v>
      </c>
      <c r="L97" s="290">
        <f t="shared" si="38"/>
        <v>26090</v>
      </c>
      <c r="M97" s="290">
        <f t="shared" si="38"/>
        <v>13045</v>
      </c>
      <c r="N97" s="291">
        <f>SUM(B97:M97)</f>
        <v>352215</v>
      </c>
    </row>
    <row r="98" spans="1:14" x14ac:dyDescent="0.35">
      <c r="A98" s="309" t="s">
        <v>480</v>
      </c>
      <c r="B98" s="281">
        <f>+'Budget Volumes ML'!B97</f>
        <v>0</v>
      </c>
      <c r="C98" s="281">
        <f>+'Budget Volumes ML'!C97</f>
        <v>0</v>
      </c>
      <c r="D98" s="281">
        <f>+'Budget Volumes ML'!D97</f>
        <v>0</v>
      </c>
      <c r="E98" s="281">
        <f>+'Budget Volumes ML'!E97</f>
        <v>52180</v>
      </c>
      <c r="F98" s="281">
        <f>+'Budget Volumes ML'!F97</f>
        <v>52180</v>
      </c>
      <c r="G98" s="281">
        <f>+'Budget Volumes ML'!G97</f>
        <v>39135</v>
      </c>
      <c r="H98" s="281">
        <f>+'Budget Volumes ML'!H97</f>
        <v>39135</v>
      </c>
      <c r="I98" s="281">
        <f>+'Budget Volumes ML'!I97</f>
        <v>52180</v>
      </c>
      <c r="J98" s="281">
        <f>+'Budget Volumes ML'!J97</f>
        <v>39135</v>
      </c>
      <c r="K98" s="281">
        <f>+'Budget Volumes ML'!K97</f>
        <v>39135</v>
      </c>
      <c r="L98" s="281">
        <f>+'Budget Volumes ML'!L97</f>
        <v>26090</v>
      </c>
      <c r="M98" s="281">
        <f>+'Budget Volumes ML'!M97</f>
        <v>13045</v>
      </c>
      <c r="N98" s="282">
        <f>+'Plan de culture 104 '!$X$13</f>
        <v>0</v>
      </c>
    </row>
    <row r="99" spans="1:14" x14ac:dyDescent="0.35">
      <c r="A99" s="309" t="s">
        <v>469</v>
      </c>
      <c r="B99" s="292">
        <v>1</v>
      </c>
      <c r="C99" s="292">
        <v>1</v>
      </c>
      <c r="D99" s="292">
        <v>1</v>
      </c>
      <c r="E99" s="292">
        <v>1</v>
      </c>
      <c r="F99" s="292">
        <v>1</v>
      </c>
      <c r="G99" s="292">
        <v>1</v>
      </c>
      <c r="H99" s="292">
        <v>1</v>
      </c>
      <c r="I99" s="292">
        <v>1</v>
      </c>
      <c r="J99" s="292">
        <v>1</v>
      </c>
      <c r="K99" s="292">
        <v>1</v>
      </c>
      <c r="L99" s="292">
        <v>1</v>
      </c>
      <c r="M99" s="292">
        <v>1</v>
      </c>
      <c r="N99" s="293" t="e">
        <f>+N97/N98/1000</f>
        <v>#DIV/0!</v>
      </c>
    </row>
    <row r="100" spans="1:14" x14ac:dyDescent="0.35">
      <c r="A100" s="308" t="s">
        <v>376</v>
      </c>
      <c r="B100" s="290">
        <f>B101*B102</f>
        <v>0</v>
      </c>
      <c r="C100" s="290">
        <f t="shared" ref="C100:M100" si="39">C101*C102</f>
        <v>0</v>
      </c>
      <c r="D100" s="290">
        <f t="shared" si="39"/>
        <v>0</v>
      </c>
      <c r="E100" s="290">
        <f t="shared" si="39"/>
        <v>0</v>
      </c>
      <c r="F100" s="290">
        <f t="shared" si="39"/>
        <v>0</v>
      </c>
      <c r="G100" s="290">
        <f t="shared" si="39"/>
        <v>0</v>
      </c>
      <c r="H100" s="290">
        <f t="shared" si="39"/>
        <v>0</v>
      </c>
      <c r="I100" s="290">
        <f t="shared" si="39"/>
        <v>0</v>
      </c>
      <c r="J100" s="290">
        <f t="shared" si="39"/>
        <v>0</v>
      </c>
      <c r="K100" s="290">
        <f t="shared" si="39"/>
        <v>0</v>
      </c>
      <c r="L100" s="290">
        <f t="shared" si="39"/>
        <v>0</v>
      </c>
      <c r="M100" s="290">
        <f t="shared" si="39"/>
        <v>0</v>
      </c>
      <c r="N100" s="291">
        <f>SUM(B100:M100)</f>
        <v>0</v>
      </c>
    </row>
    <row r="101" spans="1:14" x14ac:dyDescent="0.35">
      <c r="A101" s="309" t="s">
        <v>480</v>
      </c>
      <c r="B101" s="281">
        <f>+'Budget Volumes ML'!B100</f>
        <v>0</v>
      </c>
      <c r="C101" s="281">
        <f>+'Budget Volumes ML'!C100</f>
        <v>0</v>
      </c>
      <c r="D101" s="281">
        <f>+'Budget Volumes ML'!D100</f>
        <v>0</v>
      </c>
      <c r="E101" s="281">
        <f>+'Budget Volumes ML'!E100</f>
        <v>0</v>
      </c>
      <c r="F101" s="281">
        <f>+'Budget Volumes ML'!F100</f>
        <v>0</v>
      </c>
      <c r="G101" s="281">
        <f>+'Budget Volumes ML'!G100</f>
        <v>0</v>
      </c>
      <c r="H101" s="281">
        <f>+'Budget Volumes ML'!H100</f>
        <v>0</v>
      </c>
      <c r="I101" s="281">
        <f>+'Budget Volumes ML'!I100</f>
        <v>0</v>
      </c>
      <c r="J101" s="281">
        <f>+'Budget Volumes ML'!J100</f>
        <v>0</v>
      </c>
      <c r="K101" s="281">
        <f>+'Budget Volumes ML'!K100</f>
        <v>0</v>
      </c>
      <c r="L101" s="281">
        <f>+'Budget Volumes ML'!L100</f>
        <v>0</v>
      </c>
      <c r="M101" s="281">
        <f>+'Budget Volumes ML'!M100</f>
        <v>0</v>
      </c>
      <c r="N101" s="282">
        <f>SUM(B101:M101)</f>
        <v>0</v>
      </c>
    </row>
    <row r="102" spans="1:14" x14ac:dyDescent="0.35">
      <c r="A102" s="309" t="s">
        <v>469</v>
      </c>
      <c r="B102" s="292">
        <v>1</v>
      </c>
      <c r="C102" s="292">
        <v>1</v>
      </c>
      <c r="D102" s="292">
        <v>1</v>
      </c>
      <c r="E102" s="292">
        <v>1</v>
      </c>
      <c r="F102" s="292">
        <v>1</v>
      </c>
      <c r="G102" s="292">
        <v>1</v>
      </c>
      <c r="H102" s="292">
        <v>1</v>
      </c>
      <c r="I102" s="292">
        <v>1</v>
      </c>
      <c r="J102" s="292">
        <v>1</v>
      </c>
      <c r="K102" s="292">
        <v>1</v>
      </c>
      <c r="L102" s="292">
        <v>1</v>
      </c>
      <c r="M102" s="292">
        <v>1</v>
      </c>
      <c r="N102" s="293" t="e">
        <f>+N100/N101/1000</f>
        <v>#DIV/0!</v>
      </c>
    </row>
    <row r="103" spans="1:14" x14ac:dyDescent="0.35">
      <c r="A103" s="308" t="s">
        <v>92</v>
      </c>
      <c r="B103" s="290">
        <f>B104*B105</f>
        <v>0</v>
      </c>
      <c r="C103" s="290">
        <f t="shared" ref="C103:M103" si="40">C104*C105</f>
        <v>0</v>
      </c>
      <c r="D103" s="290">
        <f t="shared" si="40"/>
        <v>0</v>
      </c>
      <c r="E103" s="290">
        <f t="shared" si="40"/>
        <v>0</v>
      </c>
      <c r="F103" s="290">
        <f t="shared" si="40"/>
        <v>0</v>
      </c>
      <c r="G103" s="290">
        <f t="shared" si="40"/>
        <v>0</v>
      </c>
      <c r="H103" s="290">
        <f t="shared" si="40"/>
        <v>0</v>
      </c>
      <c r="I103" s="290">
        <f t="shared" si="40"/>
        <v>0</v>
      </c>
      <c r="J103" s="290">
        <f t="shared" si="40"/>
        <v>0</v>
      </c>
      <c r="K103" s="290">
        <f t="shared" si="40"/>
        <v>0</v>
      </c>
      <c r="L103" s="290">
        <f t="shared" si="40"/>
        <v>0</v>
      </c>
      <c r="M103" s="290">
        <f t="shared" si="40"/>
        <v>0</v>
      </c>
      <c r="N103" s="291">
        <f>SUM(B103:M103)</f>
        <v>0</v>
      </c>
    </row>
    <row r="104" spans="1:14" x14ac:dyDescent="0.35">
      <c r="A104" s="309" t="s">
        <v>480</v>
      </c>
      <c r="B104" s="281">
        <f>+'Budget Volumes ML'!B103</f>
        <v>0</v>
      </c>
      <c r="C104" s="281">
        <f>+'Budget Volumes ML'!C103</f>
        <v>0</v>
      </c>
      <c r="D104" s="281">
        <f>+'Budget Volumes ML'!D103</f>
        <v>0</v>
      </c>
      <c r="E104" s="281">
        <f>+'Budget Volumes ML'!E103</f>
        <v>0</v>
      </c>
      <c r="F104" s="281">
        <f>+'Budget Volumes ML'!F103</f>
        <v>0</v>
      </c>
      <c r="G104" s="281">
        <f>+'Budget Volumes ML'!G103</f>
        <v>0</v>
      </c>
      <c r="H104" s="281">
        <f>+'Budget Volumes ML'!H103</f>
        <v>0</v>
      </c>
      <c r="I104" s="281">
        <f>+'Budget Volumes ML'!I103</f>
        <v>0</v>
      </c>
      <c r="J104" s="281">
        <f>+'Budget Volumes ML'!J103</f>
        <v>0</v>
      </c>
      <c r="K104" s="281">
        <f>+'Budget Volumes ML'!K103</f>
        <v>0</v>
      </c>
      <c r="L104" s="281">
        <f>+'Budget Volumes ML'!L103</f>
        <v>0</v>
      </c>
      <c r="M104" s="281">
        <f>+'Budget Volumes ML'!M103</f>
        <v>0</v>
      </c>
      <c r="N104" s="282">
        <f>SUM(B104:M104)</f>
        <v>0</v>
      </c>
    </row>
    <row r="105" spans="1:14" x14ac:dyDescent="0.35">
      <c r="A105" s="309" t="s">
        <v>469</v>
      </c>
      <c r="B105" s="292">
        <v>2.5</v>
      </c>
      <c r="C105" s="292">
        <v>2.5</v>
      </c>
      <c r="D105" s="292">
        <v>2.5</v>
      </c>
      <c r="E105" s="292">
        <v>2.5</v>
      </c>
      <c r="F105" s="292">
        <v>2.5</v>
      </c>
      <c r="G105" s="292">
        <v>2.5</v>
      </c>
      <c r="H105" s="292">
        <v>2.5</v>
      </c>
      <c r="I105" s="292">
        <v>2.5</v>
      </c>
      <c r="J105" s="292">
        <v>2.5</v>
      </c>
      <c r="K105" s="292">
        <v>2.5</v>
      </c>
      <c r="L105" s="292">
        <v>2.5</v>
      </c>
      <c r="M105" s="292">
        <v>2.5</v>
      </c>
      <c r="N105" s="293" t="e">
        <f>+N103/N104/1000</f>
        <v>#DIV/0!</v>
      </c>
    </row>
    <row r="106" spans="1:14" x14ac:dyDescent="0.35">
      <c r="A106" s="308" t="s">
        <v>377</v>
      </c>
      <c r="B106" s="290">
        <f>B107*B108</f>
        <v>0</v>
      </c>
      <c r="C106" s="290">
        <f t="shared" ref="C106:M106" si="41">C107*C108</f>
        <v>0</v>
      </c>
      <c r="D106" s="290">
        <f t="shared" si="41"/>
        <v>0</v>
      </c>
      <c r="E106" s="290">
        <f t="shared" si="41"/>
        <v>0</v>
      </c>
      <c r="F106" s="290">
        <f t="shared" si="41"/>
        <v>0</v>
      </c>
      <c r="G106" s="290">
        <f t="shared" si="41"/>
        <v>0</v>
      </c>
      <c r="H106" s="290">
        <f t="shared" si="41"/>
        <v>0</v>
      </c>
      <c r="I106" s="290">
        <f t="shared" si="41"/>
        <v>0</v>
      </c>
      <c r="J106" s="290">
        <f t="shared" si="41"/>
        <v>0</v>
      </c>
      <c r="K106" s="290">
        <f t="shared" si="41"/>
        <v>0</v>
      </c>
      <c r="L106" s="290">
        <f t="shared" si="41"/>
        <v>0</v>
      </c>
      <c r="M106" s="290">
        <f t="shared" si="41"/>
        <v>0</v>
      </c>
      <c r="N106" s="291">
        <f>SUM(B106:M106)</f>
        <v>0</v>
      </c>
    </row>
    <row r="107" spans="1:14" x14ac:dyDescent="0.35">
      <c r="A107" s="309" t="s">
        <v>480</v>
      </c>
      <c r="B107" s="281">
        <f>+'Budget Volumes ML'!B106</f>
        <v>0</v>
      </c>
      <c r="C107" s="281">
        <f>+'Budget Volumes ML'!C106</f>
        <v>0</v>
      </c>
      <c r="D107" s="281">
        <f>+'Budget Volumes ML'!D106</f>
        <v>0</v>
      </c>
      <c r="E107" s="281">
        <f>+'Budget Volumes ML'!E106</f>
        <v>0</v>
      </c>
      <c r="F107" s="281">
        <f>+'Budget Volumes ML'!F106</f>
        <v>0</v>
      </c>
      <c r="G107" s="281">
        <f>+'Budget Volumes ML'!G106</f>
        <v>0</v>
      </c>
      <c r="H107" s="281">
        <f>+'Budget Volumes ML'!H106</f>
        <v>0</v>
      </c>
      <c r="I107" s="281">
        <f>+'Budget Volumes ML'!I106</f>
        <v>0</v>
      </c>
      <c r="J107" s="281">
        <f>+'Budget Volumes ML'!J106</f>
        <v>0</v>
      </c>
      <c r="K107" s="281">
        <f>+'Budget Volumes ML'!K106</f>
        <v>0</v>
      </c>
      <c r="L107" s="281">
        <f>+'Budget Volumes ML'!L106</f>
        <v>0</v>
      </c>
      <c r="M107" s="281">
        <f>+'Budget Volumes ML'!M106</f>
        <v>0</v>
      </c>
      <c r="N107" s="282">
        <f>SUM(B107:M107)</f>
        <v>0</v>
      </c>
    </row>
    <row r="108" spans="1:14" x14ac:dyDescent="0.35">
      <c r="A108" s="309" t="s">
        <v>469</v>
      </c>
      <c r="B108" s="292">
        <v>20</v>
      </c>
      <c r="C108" s="292">
        <v>20</v>
      </c>
      <c r="D108" s="292">
        <v>20</v>
      </c>
      <c r="E108" s="292">
        <v>20</v>
      </c>
      <c r="F108" s="292">
        <v>20</v>
      </c>
      <c r="G108" s="292">
        <v>20</v>
      </c>
      <c r="H108" s="292">
        <v>20</v>
      </c>
      <c r="I108" s="292">
        <v>20</v>
      </c>
      <c r="J108" s="292">
        <v>20</v>
      </c>
      <c r="K108" s="292">
        <v>20</v>
      </c>
      <c r="L108" s="292">
        <v>20</v>
      </c>
      <c r="M108" s="292">
        <v>20</v>
      </c>
      <c r="N108" s="293" t="e">
        <f>+N106/N107/1000</f>
        <v>#DIV/0!</v>
      </c>
    </row>
    <row r="109" spans="1:14" x14ac:dyDescent="0.35">
      <c r="A109" s="308" t="s">
        <v>378</v>
      </c>
      <c r="B109" s="290">
        <f>B110*B111</f>
        <v>0</v>
      </c>
      <c r="C109" s="290">
        <f t="shared" ref="C109:M109" si="42">C110*C111</f>
        <v>0</v>
      </c>
      <c r="D109" s="290">
        <f t="shared" si="42"/>
        <v>0</v>
      </c>
      <c r="E109" s="290">
        <f t="shared" si="42"/>
        <v>0</v>
      </c>
      <c r="F109" s="290">
        <f t="shared" si="42"/>
        <v>0</v>
      </c>
      <c r="G109" s="290">
        <f t="shared" si="42"/>
        <v>0</v>
      </c>
      <c r="H109" s="290">
        <f t="shared" si="42"/>
        <v>0</v>
      </c>
      <c r="I109" s="290">
        <f t="shared" si="42"/>
        <v>0</v>
      </c>
      <c r="J109" s="290">
        <f t="shared" si="42"/>
        <v>0</v>
      </c>
      <c r="K109" s="290">
        <f t="shared" si="42"/>
        <v>0</v>
      </c>
      <c r="L109" s="290">
        <f t="shared" si="42"/>
        <v>0</v>
      </c>
      <c r="M109" s="290">
        <f t="shared" si="42"/>
        <v>0</v>
      </c>
      <c r="N109" s="291">
        <f>SUM(B109:M109)</f>
        <v>0</v>
      </c>
    </row>
    <row r="110" spans="1:14" x14ac:dyDescent="0.35">
      <c r="A110" s="309" t="s">
        <v>480</v>
      </c>
      <c r="B110" s="281">
        <f>+'Budget Volumes ML'!B109</f>
        <v>0</v>
      </c>
      <c r="C110" s="281">
        <f>+'Budget Volumes ML'!C109</f>
        <v>0</v>
      </c>
      <c r="D110" s="281">
        <f>+'Budget Volumes ML'!D109</f>
        <v>0</v>
      </c>
      <c r="E110" s="281">
        <f>+'Budget Volumes ML'!E109</f>
        <v>0</v>
      </c>
      <c r="F110" s="281">
        <f>+'Budget Volumes ML'!F109</f>
        <v>0</v>
      </c>
      <c r="G110" s="281">
        <f>+'Budget Volumes ML'!G109</f>
        <v>0</v>
      </c>
      <c r="H110" s="281">
        <f>+'Budget Volumes ML'!H109</f>
        <v>0</v>
      </c>
      <c r="I110" s="281">
        <f>+'Budget Volumes ML'!I109</f>
        <v>0</v>
      </c>
      <c r="J110" s="281">
        <f>+'Budget Volumes ML'!J109</f>
        <v>0</v>
      </c>
      <c r="K110" s="281">
        <f>+'Budget Volumes ML'!K109</f>
        <v>0</v>
      </c>
      <c r="L110" s="281">
        <f>+'Budget Volumes ML'!L109</f>
        <v>0</v>
      </c>
      <c r="M110" s="281">
        <f>+'Budget Volumes ML'!M109</f>
        <v>0</v>
      </c>
      <c r="N110" s="282">
        <f>SUM(B110:M110)</f>
        <v>0</v>
      </c>
    </row>
    <row r="111" spans="1:14" ht="12" thickBot="1" x14ac:dyDescent="0.4">
      <c r="A111" s="310" t="s">
        <v>469</v>
      </c>
      <c r="B111" s="294">
        <v>5</v>
      </c>
      <c r="C111" s="294">
        <v>5</v>
      </c>
      <c r="D111" s="294">
        <v>5</v>
      </c>
      <c r="E111" s="294">
        <v>5</v>
      </c>
      <c r="F111" s="294">
        <v>5</v>
      </c>
      <c r="G111" s="294">
        <v>5</v>
      </c>
      <c r="H111" s="294">
        <v>5</v>
      </c>
      <c r="I111" s="294">
        <v>5</v>
      </c>
      <c r="J111" s="294">
        <v>5</v>
      </c>
      <c r="K111" s="294">
        <v>5</v>
      </c>
      <c r="L111" s="294">
        <v>5</v>
      </c>
      <c r="M111" s="294">
        <v>5</v>
      </c>
      <c r="N111" s="295" t="e">
        <f>+N109/N110/1000</f>
        <v>#DIV/0!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171"/>
  <sheetViews>
    <sheetView zoomScaleNormal="100" workbookViewId="0">
      <selection activeCell="B168" sqref="B168:N168"/>
    </sheetView>
  </sheetViews>
  <sheetFormatPr baseColWidth="10" defaultColWidth="11.46484375" defaultRowHeight="11.65" x14ac:dyDescent="0.35"/>
  <cols>
    <col min="1" max="1" width="24.73046875" style="32" bestFit="1" customWidth="1"/>
    <col min="2" max="2" width="7.86328125" style="32" bestFit="1" customWidth="1"/>
    <col min="3" max="3" width="10.19921875" style="32" bestFit="1" customWidth="1"/>
    <col min="4" max="13" width="7.3984375" style="32" bestFit="1" customWidth="1"/>
    <col min="14" max="14" width="7.796875" style="32" bestFit="1" customWidth="1"/>
    <col min="15" max="16384" width="11.46484375" style="32"/>
  </cols>
  <sheetData>
    <row r="1" spans="1:16" ht="35.25" thickBot="1" x14ac:dyDescent="0.4">
      <c r="A1" s="68" t="s">
        <v>311</v>
      </c>
    </row>
    <row r="3" spans="1:16" s="57" customFormat="1" ht="12" thickBot="1" x14ac:dyDescent="0.4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259" t="s">
        <v>386</v>
      </c>
      <c r="B4" s="260">
        <f>B7+B40+B73+B106++B139</f>
        <v>0</v>
      </c>
      <c r="C4" s="260">
        <f t="shared" ref="C4:M4" si="1">C7+C40+C73+C106++C139</f>
        <v>2614600</v>
      </c>
      <c r="D4" s="260">
        <f t="shared" si="1"/>
        <v>0</v>
      </c>
      <c r="E4" s="260">
        <f t="shared" si="1"/>
        <v>0</v>
      </c>
      <c r="F4" s="260">
        <f t="shared" si="1"/>
        <v>0</v>
      </c>
      <c r="G4" s="260">
        <f t="shared" si="1"/>
        <v>0</v>
      </c>
      <c r="H4" s="260">
        <f t="shared" si="1"/>
        <v>0</v>
      </c>
      <c r="I4" s="260">
        <f t="shared" si="1"/>
        <v>0</v>
      </c>
      <c r="J4" s="260">
        <f t="shared" si="1"/>
        <v>0</v>
      </c>
      <c r="K4" s="260">
        <f t="shared" si="1"/>
        <v>0</v>
      </c>
      <c r="L4" s="260">
        <f t="shared" si="1"/>
        <v>0</v>
      </c>
      <c r="M4" s="260">
        <f t="shared" si="1"/>
        <v>0</v>
      </c>
      <c r="N4" s="261">
        <f>N7+N40+N73+N106+N139</f>
        <v>2614600</v>
      </c>
    </row>
    <row r="5" spans="1:16" s="57" customFormat="1" x14ac:dyDescent="0.35">
      <c r="A5" s="262" t="s">
        <v>93</v>
      </c>
      <c r="B5" s="263">
        <f>B8+B41+B74+B107+B140</f>
        <v>68.968000000000004</v>
      </c>
      <c r="C5" s="263">
        <f t="shared" ref="C5:M5" si="2">C8+C41+C74+C107+C140</f>
        <v>68.968000000000004</v>
      </c>
      <c r="D5" s="263">
        <f t="shared" si="2"/>
        <v>68.968000000000004</v>
      </c>
      <c r="E5" s="263">
        <f t="shared" si="2"/>
        <v>68.968000000000004</v>
      </c>
      <c r="F5" s="263">
        <f t="shared" si="2"/>
        <v>68.968000000000004</v>
      </c>
      <c r="G5" s="263">
        <f t="shared" si="2"/>
        <v>68.968000000000004</v>
      </c>
      <c r="H5" s="263">
        <f t="shared" si="2"/>
        <v>68.968000000000004</v>
      </c>
      <c r="I5" s="263">
        <f t="shared" si="2"/>
        <v>68.968000000000004</v>
      </c>
      <c r="J5" s="263">
        <f t="shared" si="2"/>
        <v>68.968000000000004</v>
      </c>
      <c r="K5" s="263">
        <f t="shared" si="2"/>
        <v>68.968000000000004</v>
      </c>
      <c r="L5" s="263">
        <f t="shared" si="2"/>
        <v>68.968000000000004</v>
      </c>
      <c r="M5" s="263">
        <f t="shared" si="2"/>
        <v>68.968000000000004</v>
      </c>
      <c r="N5" s="264">
        <f>N8+N41+N74+N107+N140</f>
        <v>68.968000000000004</v>
      </c>
    </row>
    <row r="6" spans="1:16" s="57" customFormat="1" ht="12" thickBot="1" x14ac:dyDescent="0.4">
      <c r="A6" s="265" t="s">
        <v>94</v>
      </c>
      <c r="B6" s="266">
        <f>+B4/B5</f>
        <v>0</v>
      </c>
      <c r="C6" s="266">
        <f>+C4/C5</f>
        <v>37910.335227931791</v>
      </c>
      <c r="D6" s="266">
        <f t="shared" ref="D6:M6" si="3">+D4/D5</f>
        <v>0</v>
      </c>
      <c r="E6" s="266">
        <f t="shared" si="3"/>
        <v>0</v>
      </c>
      <c r="F6" s="266">
        <f t="shared" si="3"/>
        <v>0</v>
      </c>
      <c r="G6" s="266">
        <f t="shared" si="3"/>
        <v>0</v>
      </c>
      <c r="H6" s="266">
        <f t="shared" si="3"/>
        <v>0</v>
      </c>
      <c r="I6" s="266">
        <f t="shared" si="3"/>
        <v>0</v>
      </c>
      <c r="J6" s="266">
        <f t="shared" si="3"/>
        <v>0</v>
      </c>
      <c r="K6" s="266">
        <f t="shared" si="3"/>
        <v>0</v>
      </c>
      <c r="L6" s="266">
        <f t="shared" si="3"/>
        <v>0</v>
      </c>
      <c r="M6" s="266">
        <f t="shared" si="3"/>
        <v>0</v>
      </c>
      <c r="N6" s="267">
        <f>+N4/N5</f>
        <v>37910.335227931791</v>
      </c>
    </row>
    <row r="7" spans="1:16" x14ac:dyDescent="0.35">
      <c r="A7" s="233" t="s">
        <v>381</v>
      </c>
      <c r="B7" s="242">
        <f>+B10+B15+B20+B25+B30+B35</f>
        <v>0</v>
      </c>
      <c r="C7" s="242">
        <f t="shared" ref="C7:M7" si="4">+C10+C15+C20+C25+C30+C35</f>
        <v>1494600</v>
      </c>
      <c r="D7" s="242">
        <f t="shared" si="4"/>
        <v>0</v>
      </c>
      <c r="E7" s="242">
        <f t="shared" si="4"/>
        <v>0</v>
      </c>
      <c r="F7" s="242">
        <f t="shared" si="4"/>
        <v>0</v>
      </c>
      <c r="G7" s="242">
        <f t="shared" si="4"/>
        <v>0</v>
      </c>
      <c r="H7" s="242">
        <f t="shared" si="4"/>
        <v>0</v>
      </c>
      <c r="I7" s="242">
        <f t="shared" si="4"/>
        <v>0</v>
      </c>
      <c r="J7" s="242">
        <f t="shared" si="4"/>
        <v>0</v>
      </c>
      <c r="K7" s="242">
        <f t="shared" si="4"/>
        <v>0</v>
      </c>
      <c r="L7" s="242">
        <f t="shared" si="4"/>
        <v>0</v>
      </c>
      <c r="M7" s="242">
        <f t="shared" si="4"/>
        <v>0</v>
      </c>
      <c r="N7" s="243">
        <f>SUM(B7:M7)</f>
        <v>1494600</v>
      </c>
    </row>
    <row r="8" spans="1:16" x14ac:dyDescent="0.35">
      <c r="A8" s="234" t="s">
        <v>93</v>
      </c>
      <c r="B8" s="83">
        <f>+B11+B16+B21+B26+B31+B36</f>
        <v>15.350000000000003</v>
      </c>
      <c r="C8" s="81">
        <f t="shared" ref="C8:M8" si="5">+C11</f>
        <v>15.350000000000003</v>
      </c>
      <c r="D8" s="81">
        <f t="shared" si="5"/>
        <v>15.350000000000003</v>
      </c>
      <c r="E8" s="81">
        <f t="shared" si="5"/>
        <v>15.350000000000003</v>
      </c>
      <c r="F8" s="81">
        <f t="shared" si="5"/>
        <v>15.350000000000003</v>
      </c>
      <c r="G8" s="81">
        <f t="shared" si="5"/>
        <v>15.350000000000003</v>
      </c>
      <c r="H8" s="81">
        <f t="shared" si="5"/>
        <v>15.350000000000003</v>
      </c>
      <c r="I8" s="81">
        <f t="shared" si="5"/>
        <v>15.350000000000003</v>
      </c>
      <c r="J8" s="81">
        <f t="shared" si="5"/>
        <v>15.350000000000003</v>
      </c>
      <c r="K8" s="81">
        <f t="shared" si="5"/>
        <v>15.350000000000003</v>
      </c>
      <c r="L8" s="81">
        <f t="shared" si="5"/>
        <v>15.350000000000003</v>
      </c>
      <c r="M8" s="81">
        <f t="shared" si="5"/>
        <v>15.350000000000003</v>
      </c>
      <c r="N8" s="248">
        <f>+M8</f>
        <v>15.350000000000003</v>
      </c>
    </row>
    <row r="9" spans="1:16" x14ac:dyDescent="0.35">
      <c r="A9" s="234" t="s">
        <v>94</v>
      </c>
      <c r="B9" s="83">
        <f t="shared" ref="B9:N9" si="6">+B7/B8</f>
        <v>0</v>
      </c>
      <c r="C9" s="83">
        <f t="shared" si="6"/>
        <v>97368.078175895746</v>
      </c>
      <c r="D9" s="83">
        <f t="shared" si="6"/>
        <v>0</v>
      </c>
      <c r="E9" s="83">
        <f t="shared" si="6"/>
        <v>0</v>
      </c>
      <c r="F9" s="83">
        <f t="shared" si="6"/>
        <v>0</v>
      </c>
      <c r="G9" s="83">
        <f t="shared" si="6"/>
        <v>0</v>
      </c>
      <c r="H9" s="83">
        <f t="shared" si="6"/>
        <v>0</v>
      </c>
      <c r="I9" s="83">
        <f t="shared" si="6"/>
        <v>0</v>
      </c>
      <c r="J9" s="83">
        <f t="shared" si="6"/>
        <v>0</v>
      </c>
      <c r="K9" s="83">
        <f t="shared" si="6"/>
        <v>0</v>
      </c>
      <c r="L9" s="83">
        <f t="shared" si="6"/>
        <v>0</v>
      </c>
      <c r="M9" s="83">
        <f t="shared" si="6"/>
        <v>0</v>
      </c>
      <c r="N9" s="249">
        <f t="shared" si="6"/>
        <v>97368.078175895746</v>
      </c>
      <c r="P9" s="62"/>
    </row>
    <row r="10" spans="1:16" x14ac:dyDescent="0.35">
      <c r="A10" s="235" t="s">
        <v>90</v>
      </c>
      <c r="B10" s="80">
        <f>(B14*B13)</f>
        <v>0</v>
      </c>
      <c r="C10" s="80">
        <f t="shared" ref="C10:M10" si="7">(C12*C11)</f>
        <v>1494600</v>
      </c>
      <c r="D10" s="80">
        <f t="shared" si="7"/>
        <v>0</v>
      </c>
      <c r="E10" s="80">
        <f t="shared" si="7"/>
        <v>0</v>
      </c>
      <c r="F10" s="80">
        <f t="shared" si="7"/>
        <v>0</v>
      </c>
      <c r="G10" s="80">
        <f t="shared" si="7"/>
        <v>0</v>
      </c>
      <c r="H10" s="80">
        <f t="shared" si="7"/>
        <v>0</v>
      </c>
      <c r="I10" s="80">
        <f t="shared" si="7"/>
        <v>0</v>
      </c>
      <c r="J10" s="80">
        <f t="shared" si="7"/>
        <v>0</v>
      </c>
      <c r="K10" s="80">
        <f t="shared" si="7"/>
        <v>0</v>
      </c>
      <c r="L10" s="80">
        <f t="shared" si="7"/>
        <v>0</v>
      </c>
      <c r="M10" s="80">
        <f t="shared" si="7"/>
        <v>0</v>
      </c>
      <c r="N10" s="244">
        <f>SUM(B10:M10)</f>
        <v>1494600</v>
      </c>
    </row>
    <row r="11" spans="1:16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8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8"/>
        <v>15.350000000000003</v>
      </c>
      <c r="I11" s="239">
        <f t="shared" si="8"/>
        <v>15.350000000000003</v>
      </c>
      <c r="J11" s="239">
        <f t="shared" si="8"/>
        <v>15.350000000000003</v>
      </c>
      <c r="K11" s="239">
        <f t="shared" si="8"/>
        <v>15.350000000000003</v>
      </c>
      <c r="L11" s="239">
        <f t="shared" si="8"/>
        <v>15.350000000000003</v>
      </c>
      <c r="M11" s="239">
        <f t="shared" si="8"/>
        <v>15.350000000000003</v>
      </c>
      <c r="N11" s="240">
        <f>+'Plan de culture 104 '!X7</f>
        <v>15.350000000000003</v>
      </c>
    </row>
    <row r="12" spans="1:16" x14ac:dyDescent="0.35">
      <c r="A12" s="238" t="s">
        <v>94</v>
      </c>
      <c r="B12" s="254">
        <f>IFERROR((B14*B13)/B11,"0,00")</f>
        <v>0</v>
      </c>
      <c r="C12" s="254">
        <f t="shared" ref="C12:M12" si="9">IFERROR((C14*C13)/C11,"0,00")</f>
        <v>97368.078175895746</v>
      </c>
      <c r="D12" s="254">
        <f t="shared" si="9"/>
        <v>0</v>
      </c>
      <c r="E12" s="254">
        <f t="shared" si="9"/>
        <v>0</v>
      </c>
      <c r="F12" s="254">
        <f t="shared" si="9"/>
        <v>0</v>
      </c>
      <c r="G12" s="254">
        <f t="shared" si="9"/>
        <v>0</v>
      </c>
      <c r="H12" s="254">
        <f t="shared" si="9"/>
        <v>0</v>
      </c>
      <c r="I12" s="254">
        <f t="shared" si="9"/>
        <v>0</v>
      </c>
      <c r="J12" s="254">
        <f t="shared" si="9"/>
        <v>0</v>
      </c>
      <c r="K12" s="254">
        <f t="shared" si="9"/>
        <v>0</v>
      </c>
      <c r="L12" s="254">
        <f t="shared" si="9"/>
        <v>0</v>
      </c>
      <c r="M12" s="254">
        <f t="shared" si="9"/>
        <v>0</v>
      </c>
      <c r="N12" s="245">
        <f>+N10/N11</f>
        <v>97368.078175895746</v>
      </c>
    </row>
    <row r="13" spans="1:16" x14ac:dyDescent="0.35">
      <c r="A13" s="250" t="s">
        <v>96</v>
      </c>
      <c r="B13" s="87">
        <v>4.7</v>
      </c>
      <c r="C13" s="87">
        <f>+B13</f>
        <v>4.7</v>
      </c>
      <c r="D13" s="87">
        <f t="shared" ref="D13:M13" si="10">+C13</f>
        <v>4.7</v>
      </c>
      <c r="E13" s="87">
        <f t="shared" si="10"/>
        <v>4.7</v>
      </c>
      <c r="F13" s="87">
        <f t="shared" si="10"/>
        <v>4.7</v>
      </c>
      <c r="G13" s="87">
        <f t="shared" si="10"/>
        <v>4.7</v>
      </c>
      <c r="H13" s="87">
        <f t="shared" si="10"/>
        <v>4.7</v>
      </c>
      <c r="I13" s="87">
        <f t="shared" si="10"/>
        <v>4.7</v>
      </c>
      <c r="J13" s="87">
        <f t="shared" si="10"/>
        <v>4.7</v>
      </c>
      <c r="K13" s="87">
        <f t="shared" si="10"/>
        <v>4.7</v>
      </c>
      <c r="L13" s="87">
        <f t="shared" si="10"/>
        <v>4.7</v>
      </c>
      <c r="M13" s="87">
        <f t="shared" si="10"/>
        <v>4.7</v>
      </c>
      <c r="N13" s="245"/>
    </row>
    <row r="14" spans="1:16" x14ac:dyDescent="0.35">
      <c r="A14" s="250" t="s">
        <v>97</v>
      </c>
      <c r="B14" s="88">
        <v>0</v>
      </c>
      <c r="C14" s="88">
        <v>318000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245"/>
    </row>
    <row r="15" spans="1:16" x14ac:dyDescent="0.35">
      <c r="A15" s="235" t="s">
        <v>91</v>
      </c>
      <c r="B15" s="80">
        <f>(B17*B16)</f>
        <v>0</v>
      </c>
      <c r="C15" s="80">
        <f t="shared" ref="C15:M15" si="11">(C17*C16)</f>
        <v>0</v>
      </c>
      <c r="D15" s="80">
        <f t="shared" si="11"/>
        <v>0</v>
      </c>
      <c r="E15" s="80">
        <f t="shared" si="11"/>
        <v>0</v>
      </c>
      <c r="F15" s="80">
        <f t="shared" si="11"/>
        <v>0</v>
      </c>
      <c r="G15" s="80">
        <f t="shared" si="11"/>
        <v>0</v>
      </c>
      <c r="H15" s="80">
        <f t="shared" si="11"/>
        <v>0</v>
      </c>
      <c r="I15" s="80">
        <f t="shared" si="11"/>
        <v>0</v>
      </c>
      <c r="J15" s="80">
        <f t="shared" si="11"/>
        <v>0</v>
      </c>
      <c r="K15" s="80">
        <f t="shared" si="11"/>
        <v>0</v>
      </c>
      <c r="L15" s="80">
        <f t="shared" si="11"/>
        <v>0</v>
      </c>
      <c r="M15" s="80">
        <f t="shared" si="11"/>
        <v>0</v>
      </c>
      <c r="N15" s="244">
        <f>SUM(B15:M15)</f>
        <v>0</v>
      </c>
    </row>
    <row r="16" spans="1:16" x14ac:dyDescent="0.35">
      <c r="A16" s="238" t="s">
        <v>93</v>
      </c>
      <c r="B16" s="239">
        <f>+'Plan de culture 104 '!$X$13</f>
        <v>0</v>
      </c>
      <c r="C16" s="239">
        <f>+B16</f>
        <v>0</v>
      </c>
      <c r="D16" s="239">
        <f t="shared" ref="D16:M16" si="12">+C16</f>
        <v>0</v>
      </c>
      <c r="E16" s="239">
        <f t="shared" si="12"/>
        <v>0</v>
      </c>
      <c r="F16" s="239">
        <f t="shared" si="12"/>
        <v>0</v>
      </c>
      <c r="G16" s="239">
        <f t="shared" si="12"/>
        <v>0</v>
      </c>
      <c r="H16" s="239">
        <f t="shared" si="12"/>
        <v>0</v>
      </c>
      <c r="I16" s="239">
        <f t="shared" si="12"/>
        <v>0</v>
      </c>
      <c r="J16" s="239">
        <f t="shared" si="12"/>
        <v>0</v>
      </c>
      <c r="K16" s="239">
        <f t="shared" si="12"/>
        <v>0</v>
      </c>
      <c r="L16" s="239">
        <f t="shared" si="12"/>
        <v>0</v>
      </c>
      <c r="M16" s="239">
        <f t="shared" si="12"/>
        <v>0</v>
      </c>
      <c r="N16" s="240">
        <f>+'Plan de culture 104 '!$X$13</f>
        <v>0</v>
      </c>
    </row>
    <row r="17" spans="1:14" x14ac:dyDescent="0.35">
      <c r="A17" s="238" t="s">
        <v>94</v>
      </c>
      <c r="B17" s="253" t="str">
        <f>IFERROR((B19*B18)/B16,"0,00")</f>
        <v>0,00</v>
      </c>
      <c r="C17" s="253" t="str">
        <f t="shared" ref="C17:M17" si="13">IFERROR((C19*C18)/C16,"0,00")</f>
        <v>0,00</v>
      </c>
      <c r="D17" s="253" t="str">
        <f t="shared" si="13"/>
        <v>0,00</v>
      </c>
      <c r="E17" s="253" t="str">
        <f t="shared" si="13"/>
        <v>0,00</v>
      </c>
      <c r="F17" s="253" t="str">
        <f t="shared" si="13"/>
        <v>0,00</v>
      </c>
      <c r="G17" s="253" t="str">
        <f t="shared" si="13"/>
        <v>0,00</v>
      </c>
      <c r="H17" s="253" t="str">
        <f t="shared" si="13"/>
        <v>0,00</v>
      </c>
      <c r="I17" s="253" t="str">
        <f t="shared" si="13"/>
        <v>0,00</v>
      </c>
      <c r="J17" s="253" t="str">
        <f t="shared" si="13"/>
        <v>0,00</v>
      </c>
      <c r="K17" s="253" t="str">
        <f t="shared" si="13"/>
        <v>0,00</v>
      </c>
      <c r="L17" s="253" t="str">
        <f t="shared" si="13"/>
        <v>0,00</v>
      </c>
      <c r="M17" s="253" t="str">
        <f t="shared" si="13"/>
        <v>0,00</v>
      </c>
      <c r="N17" s="245" t="e">
        <f>+N15/N16</f>
        <v>#DIV/0!</v>
      </c>
    </row>
    <row r="18" spans="1:14" x14ac:dyDescent="0.35">
      <c r="A18" s="250" t="s">
        <v>96</v>
      </c>
      <c r="B18" s="87">
        <v>10</v>
      </c>
      <c r="C18" s="87">
        <f>+B18</f>
        <v>10</v>
      </c>
      <c r="D18" s="87">
        <f t="shared" ref="D18:M18" si="14">+C18</f>
        <v>10</v>
      </c>
      <c r="E18" s="87">
        <f t="shared" si="14"/>
        <v>10</v>
      </c>
      <c r="F18" s="87">
        <f t="shared" si="14"/>
        <v>10</v>
      </c>
      <c r="G18" s="87">
        <f t="shared" si="14"/>
        <v>10</v>
      </c>
      <c r="H18" s="87">
        <f t="shared" si="14"/>
        <v>10</v>
      </c>
      <c r="I18" s="87">
        <f t="shared" si="14"/>
        <v>10</v>
      </c>
      <c r="J18" s="87">
        <f t="shared" si="14"/>
        <v>10</v>
      </c>
      <c r="K18" s="87">
        <f t="shared" si="14"/>
        <v>10</v>
      </c>
      <c r="L18" s="87">
        <f t="shared" si="14"/>
        <v>10</v>
      </c>
      <c r="M18" s="87">
        <f t="shared" si="14"/>
        <v>10</v>
      </c>
      <c r="N18" s="245"/>
    </row>
    <row r="19" spans="1:14" x14ac:dyDescent="0.35">
      <c r="A19" s="250" t="s">
        <v>97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245"/>
    </row>
    <row r="20" spans="1:14" x14ac:dyDescent="0.35">
      <c r="A20" s="235" t="s">
        <v>376</v>
      </c>
      <c r="B20" s="80">
        <f>(B22*B21)</f>
        <v>0</v>
      </c>
      <c r="C20" s="80">
        <f t="shared" ref="C20:M20" si="15">(C22*C21)</f>
        <v>0</v>
      </c>
      <c r="D20" s="80">
        <f t="shared" si="15"/>
        <v>0</v>
      </c>
      <c r="E20" s="80">
        <f t="shared" si="15"/>
        <v>0</v>
      </c>
      <c r="F20" s="80">
        <f t="shared" si="15"/>
        <v>0</v>
      </c>
      <c r="G20" s="80">
        <f t="shared" si="15"/>
        <v>0</v>
      </c>
      <c r="H20" s="80">
        <f t="shared" si="15"/>
        <v>0</v>
      </c>
      <c r="I20" s="80">
        <f t="shared" si="15"/>
        <v>0</v>
      </c>
      <c r="J20" s="80">
        <f t="shared" si="15"/>
        <v>0</v>
      </c>
      <c r="K20" s="80">
        <f t="shared" si="15"/>
        <v>0</v>
      </c>
      <c r="L20" s="80">
        <f t="shared" si="15"/>
        <v>0</v>
      </c>
      <c r="M20" s="80">
        <f t="shared" si="15"/>
        <v>0</v>
      </c>
      <c r="N20" s="244">
        <f>SUM(B20:M20)</f>
        <v>0</v>
      </c>
    </row>
    <row r="21" spans="1:14" x14ac:dyDescent="0.35">
      <c r="A21" s="238" t="s">
        <v>93</v>
      </c>
      <c r="B21" s="239">
        <f>+'Plan de culture 104 '!$X$19</f>
        <v>0</v>
      </c>
      <c r="C21" s="239">
        <f>+B21</f>
        <v>0</v>
      </c>
      <c r="D21" s="239">
        <f t="shared" ref="D21" si="16">+C21</f>
        <v>0</v>
      </c>
      <c r="E21" s="239">
        <f>+'Plan de culture 104 '!C17</f>
        <v>0</v>
      </c>
      <c r="F21" s="239">
        <f>+E21+'Plan de culture 104 '!D17+'Plan de culture 104 '!E17</f>
        <v>0</v>
      </c>
      <c r="G21" s="239">
        <f>+F21</f>
        <v>0</v>
      </c>
      <c r="H21" s="239">
        <f t="shared" ref="H21:M21" si="17">+G21</f>
        <v>0</v>
      </c>
      <c r="I21" s="239">
        <f t="shared" si="17"/>
        <v>0</v>
      </c>
      <c r="J21" s="239">
        <f t="shared" si="17"/>
        <v>0</v>
      </c>
      <c r="K21" s="239">
        <f t="shared" si="17"/>
        <v>0</v>
      </c>
      <c r="L21" s="239">
        <f t="shared" si="17"/>
        <v>0</v>
      </c>
      <c r="M21" s="239">
        <f t="shared" si="17"/>
        <v>0</v>
      </c>
      <c r="N21" s="240">
        <f>+'Plan de culture 104 '!$X$19</f>
        <v>0</v>
      </c>
    </row>
    <row r="22" spans="1:14" x14ac:dyDescent="0.35">
      <c r="A22" s="238" t="s">
        <v>94</v>
      </c>
      <c r="B22" s="253" t="str">
        <f>IFERROR((B24*B23)/B21,"0,00")</f>
        <v>0,00</v>
      </c>
      <c r="C22" s="253" t="str">
        <f t="shared" ref="C22:M22" si="18">IFERROR((C24*C23)/C21,"0,00")</f>
        <v>0,00</v>
      </c>
      <c r="D22" s="253" t="str">
        <f t="shared" si="18"/>
        <v>0,00</v>
      </c>
      <c r="E22" s="253" t="str">
        <f t="shared" si="18"/>
        <v>0,00</v>
      </c>
      <c r="F22" s="253" t="str">
        <f t="shared" si="18"/>
        <v>0,00</v>
      </c>
      <c r="G22" s="253" t="str">
        <f t="shared" si="18"/>
        <v>0,00</v>
      </c>
      <c r="H22" s="253" t="str">
        <f t="shared" si="18"/>
        <v>0,00</v>
      </c>
      <c r="I22" s="253" t="str">
        <f t="shared" si="18"/>
        <v>0,00</v>
      </c>
      <c r="J22" s="253" t="str">
        <f t="shared" si="18"/>
        <v>0,00</v>
      </c>
      <c r="K22" s="253" t="str">
        <f t="shared" si="18"/>
        <v>0,00</v>
      </c>
      <c r="L22" s="253" t="str">
        <f t="shared" si="18"/>
        <v>0,00</v>
      </c>
      <c r="M22" s="253" t="str">
        <f t="shared" si="18"/>
        <v>0,00</v>
      </c>
      <c r="N22" s="245" t="e">
        <f>+N20/N21</f>
        <v>#DIV/0!</v>
      </c>
    </row>
    <row r="23" spans="1:14" x14ac:dyDescent="0.35">
      <c r="A23" s="250" t="s">
        <v>96</v>
      </c>
      <c r="B23" s="87">
        <v>4.7</v>
      </c>
      <c r="C23" s="87">
        <f>+B23</f>
        <v>4.7</v>
      </c>
      <c r="D23" s="87">
        <f t="shared" ref="D23:M23" si="19">+C23</f>
        <v>4.7</v>
      </c>
      <c r="E23" s="87">
        <f t="shared" si="19"/>
        <v>4.7</v>
      </c>
      <c r="F23" s="87">
        <f t="shared" si="19"/>
        <v>4.7</v>
      </c>
      <c r="G23" s="87">
        <f t="shared" si="19"/>
        <v>4.7</v>
      </c>
      <c r="H23" s="87">
        <f t="shared" si="19"/>
        <v>4.7</v>
      </c>
      <c r="I23" s="87">
        <f t="shared" si="19"/>
        <v>4.7</v>
      </c>
      <c r="J23" s="87">
        <f t="shared" si="19"/>
        <v>4.7</v>
      </c>
      <c r="K23" s="87">
        <f t="shared" si="19"/>
        <v>4.7</v>
      </c>
      <c r="L23" s="87">
        <f t="shared" si="19"/>
        <v>4.7</v>
      </c>
      <c r="M23" s="87">
        <f t="shared" si="19"/>
        <v>4.7</v>
      </c>
      <c r="N23" s="245"/>
    </row>
    <row r="24" spans="1:14" x14ac:dyDescent="0.35">
      <c r="A24" s="250" t="s">
        <v>97</v>
      </c>
      <c r="B24" s="88">
        <v>0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245"/>
    </row>
    <row r="25" spans="1:14" x14ac:dyDescent="0.35">
      <c r="A25" s="235" t="s">
        <v>92</v>
      </c>
      <c r="B25" s="80">
        <f>(B27*B26)</f>
        <v>0</v>
      </c>
      <c r="C25" s="80">
        <f t="shared" ref="C25:M25" si="20">(C27*C26)</f>
        <v>0</v>
      </c>
      <c r="D25" s="80">
        <f t="shared" si="20"/>
        <v>0</v>
      </c>
      <c r="E25" s="80">
        <f t="shared" si="20"/>
        <v>0</v>
      </c>
      <c r="F25" s="80">
        <f t="shared" si="20"/>
        <v>0</v>
      </c>
      <c r="G25" s="80">
        <f t="shared" si="20"/>
        <v>0</v>
      </c>
      <c r="H25" s="80">
        <f t="shared" si="20"/>
        <v>0</v>
      </c>
      <c r="I25" s="80">
        <f t="shared" si="20"/>
        <v>0</v>
      </c>
      <c r="J25" s="80">
        <f t="shared" si="20"/>
        <v>0</v>
      </c>
      <c r="K25" s="80">
        <f t="shared" si="20"/>
        <v>0</v>
      </c>
      <c r="L25" s="80">
        <f t="shared" si="20"/>
        <v>0</v>
      </c>
      <c r="M25" s="80">
        <f t="shared" si="20"/>
        <v>0</v>
      </c>
      <c r="N25" s="244">
        <f>SUM(B25:M25)</f>
        <v>0</v>
      </c>
    </row>
    <row r="26" spans="1:14" x14ac:dyDescent="0.35">
      <c r="A26" s="238" t="s">
        <v>93</v>
      </c>
      <c r="B26" s="239">
        <f>+'Plan de culture 104 '!$X$25</f>
        <v>0</v>
      </c>
      <c r="C26" s="239">
        <f>+B26</f>
        <v>0</v>
      </c>
      <c r="D26" s="239">
        <f t="shared" ref="D26" si="21">+C26</f>
        <v>0</v>
      </c>
      <c r="E26" s="239">
        <f>+'Plan de culture 104 '!C22</f>
        <v>0</v>
      </c>
      <c r="F26" s="239">
        <f>+E26+'Plan de culture 104 '!D22+'Plan de culture 104 '!E22</f>
        <v>0</v>
      </c>
      <c r="G26" s="239">
        <f>+F26</f>
        <v>0</v>
      </c>
      <c r="H26" s="239">
        <f t="shared" ref="H26:M26" si="22">+G26</f>
        <v>0</v>
      </c>
      <c r="I26" s="239">
        <f t="shared" si="22"/>
        <v>0</v>
      </c>
      <c r="J26" s="239">
        <f t="shared" si="22"/>
        <v>0</v>
      </c>
      <c r="K26" s="239">
        <f t="shared" si="22"/>
        <v>0</v>
      </c>
      <c r="L26" s="239">
        <f t="shared" si="22"/>
        <v>0</v>
      </c>
      <c r="M26" s="239">
        <f t="shared" si="22"/>
        <v>0</v>
      </c>
      <c r="N26" s="240">
        <f>+'Plan de culture 104 '!$X$25</f>
        <v>0</v>
      </c>
    </row>
    <row r="27" spans="1:14" x14ac:dyDescent="0.35">
      <c r="A27" s="238" t="s">
        <v>94</v>
      </c>
      <c r="B27" s="253" t="str">
        <f>IFERROR((B29*B28)/B26,"0,00")</f>
        <v>0,00</v>
      </c>
      <c r="C27" s="253" t="str">
        <f t="shared" ref="C27:M27" si="23">IFERROR((C29*C28)/C26,"0,00")</f>
        <v>0,00</v>
      </c>
      <c r="D27" s="253" t="str">
        <f t="shared" si="23"/>
        <v>0,00</v>
      </c>
      <c r="E27" s="253" t="str">
        <f t="shared" si="23"/>
        <v>0,00</v>
      </c>
      <c r="F27" s="253" t="str">
        <f t="shared" si="23"/>
        <v>0,00</v>
      </c>
      <c r="G27" s="253" t="str">
        <f t="shared" si="23"/>
        <v>0,00</v>
      </c>
      <c r="H27" s="253" t="str">
        <f t="shared" si="23"/>
        <v>0,00</v>
      </c>
      <c r="I27" s="253" t="str">
        <f t="shared" si="23"/>
        <v>0,00</v>
      </c>
      <c r="J27" s="253" t="str">
        <f t="shared" si="23"/>
        <v>0,00</v>
      </c>
      <c r="K27" s="253" t="str">
        <f t="shared" si="23"/>
        <v>0,00</v>
      </c>
      <c r="L27" s="253" t="str">
        <f t="shared" si="23"/>
        <v>0,00</v>
      </c>
      <c r="M27" s="253" t="str">
        <f t="shared" si="23"/>
        <v>0,00</v>
      </c>
      <c r="N27" s="245" t="e">
        <f>+N25/N26</f>
        <v>#DIV/0!</v>
      </c>
    </row>
    <row r="28" spans="1:14" x14ac:dyDescent="0.35">
      <c r="A28" s="250" t="s">
        <v>96</v>
      </c>
      <c r="B28" s="87">
        <v>3.2</v>
      </c>
      <c r="C28" s="87">
        <f>+B28</f>
        <v>3.2</v>
      </c>
      <c r="D28" s="87">
        <f t="shared" ref="D28:M28" si="24">+C28</f>
        <v>3.2</v>
      </c>
      <c r="E28" s="87">
        <f t="shared" si="24"/>
        <v>3.2</v>
      </c>
      <c r="F28" s="87">
        <f t="shared" si="24"/>
        <v>3.2</v>
      </c>
      <c r="G28" s="87">
        <f t="shared" si="24"/>
        <v>3.2</v>
      </c>
      <c r="H28" s="87">
        <f t="shared" si="24"/>
        <v>3.2</v>
      </c>
      <c r="I28" s="87">
        <f t="shared" si="24"/>
        <v>3.2</v>
      </c>
      <c r="J28" s="87">
        <f t="shared" si="24"/>
        <v>3.2</v>
      </c>
      <c r="K28" s="87">
        <f t="shared" si="24"/>
        <v>3.2</v>
      </c>
      <c r="L28" s="87">
        <f t="shared" si="24"/>
        <v>3.2</v>
      </c>
      <c r="M28" s="87">
        <f t="shared" si="24"/>
        <v>3.2</v>
      </c>
      <c r="N28" s="245"/>
    </row>
    <row r="29" spans="1:14" x14ac:dyDescent="0.35">
      <c r="A29" s="250" t="s">
        <v>97</v>
      </c>
      <c r="B29" s="88">
        <v>0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245"/>
    </row>
    <row r="30" spans="1:14" x14ac:dyDescent="0.35">
      <c r="A30" s="235" t="s">
        <v>377</v>
      </c>
      <c r="B30" s="80">
        <f>(B32*B31)</f>
        <v>0</v>
      </c>
      <c r="C30" s="80">
        <f t="shared" ref="C30:M30" si="25">(C32*C31)</f>
        <v>0</v>
      </c>
      <c r="D30" s="80">
        <f t="shared" si="25"/>
        <v>0</v>
      </c>
      <c r="E30" s="80">
        <f t="shared" si="25"/>
        <v>0</v>
      </c>
      <c r="F30" s="80">
        <f t="shared" si="25"/>
        <v>0</v>
      </c>
      <c r="G30" s="80">
        <f t="shared" si="25"/>
        <v>0</v>
      </c>
      <c r="H30" s="80">
        <f t="shared" si="25"/>
        <v>0</v>
      </c>
      <c r="I30" s="80">
        <f t="shared" si="25"/>
        <v>0</v>
      </c>
      <c r="J30" s="80">
        <f t="shared" si="25"/>
        <v>0</v>
      </c>
      <c r="K30" s="80">
        <f t="shared" si="25"/>
        <v>0</v>
      </c>
      <c r="L30" s="80">
        <f t="shared" si="25"/>
        <v>0</v>
      </c>
      <c r="M30" s="80">
        <f t="shared" si="25"/>
        <v>0</v>
      </c>
      <c r="N30" s="244">
        <f>SUM(B30:M30)</f>
        <v>0</v>
      </c>
    </row>
    <row r="31" spans="1:14" x14ac:dyDescent="0.35">
      <c r="A31" s="238" t="s">
        <v>93</v>
      </c>
      <c r="B31" s="239">
        <f>+'Plan de culture 104 '!$X$31</f>
        <v>0</v>
      </c>
      <c r="C31" s="239">
        <f>+B31</f>
        <v>0</v>
      </c>
      <c r="D31" s="239">
        <f t="shared" ref="D31" si="26">+C31</f>
        <v>0</v>
      </c>
      <c r="E31" s="239">
        <f>+'Plan de culture 104 '!C27</f>
        <v>0</v>
      </c>
      <c r="F31" s="239">
        <f>+E31+'Plan de culture 104 '!D27+'Plan de culture 104 '!E27</f>
        <v>0</v>
      </c>
      <c r="G31" s="239">
        <f>+F31</f>
        <v>0</v>
      </c>
      <c r="H31" s="239">
        <f t="shared" ref="H31:M31" si="27">+G31</f>
        <v>0</v>
      </c>
      <c r="I31" s="239">
        <f t="shared" si="27"/>
        <v>0</v>
      </c>
      <c r="J31" s="239">
        <f t="shared" si="27"/>
        <v>0</v>
      </c>
      <c r="K31" s="239">
        <f t="shared" si="27"/>
        <v>0</v>
      </c>
      <c r="L31" s="239">
        <f t="shared" si="27"/>
        <v>0</v>
      </c>
      <c r="M31" s="239">
        <f t="shared" si="27"/>
        <v>0</v>
      </c>
      <c r="N31" s="240">
        <f>+'Plan de culture 104 '!$X$31</f>
        <v>0</v>
      </c>
    </row>
    <row r="32" spans="1:14" x14ac:dyDescent="0.35">
      <c r="A32" s="238" t="s">
        <v>94</v>
      </c>
      <c r="B32" s="253" t="str">
        <f>IFERROR((B34*B33)/B31,"0,00")</f>
        <v>0,00</v>
      </c>
      <c r="C32" s="253" t="str">
        <f t="shared" ref="C32:M32" si="28">IFERROR((C34*C33)/C31,"0,00")</f>
        <v>0,00</v>
      </c>
      <c r="D32" s="253" t="str">
        <f t="shared" si="28"/>
        <v>0,00</v>
      </c>
      <c r="E32" s="253" t="str">
        <f t="shared" si="28"/>
        <v>0,00</v>
      </c>
      <c r="F32" s="253" t="str">
        <f t="shared" si="28"/>
        <v>0,00</v>
      </c>
      <c r="G32" s="253" t="str">
        <f t="shared" si="28"/>
        <v>0,00</v>
      </c>
      <c r="H32" s="253" t="str">
        <f t="shared" si="28"/>
        <v>0,00</v>
      </c>
      <c r="I32" s="253" t="str">
        <f t="shared" si="28"/>
        <v>0,00</v>
      </c>
      <c r="J32" s="253" t="str">
        <f t="shared" si="28"/>
        <v>0,00</v>
      </c>
      <c r="K32" s="253" t="str">
        <f t="shared" si="28"/>
        <v>0,00</v>
      </c>
      <c r="L32" s="253" t="str">
        <f t="shared" si="28"/>
        <v>0,00</v>
      </c>
      <c r="M32" s="253" t="str">
        <f t="shared" si="28"/>
        <v>0,00</v>
      </c>
      <c r="N32" s="245" t="e">
        <f>+N30/N31</f>
        <v>#DIV/0!</v>
      </c>
    </row>
    <row r="33" spans="1:14" x14ac:dyDescent="0.35">
      <c r="A33" s="250" t="s">
        <v>96</v>
      </c>
      <c r="B33" s="87">
        <v>0</v>
      </c>
      <c r="C33" s="87">
        <f>+B33</f>
        <v>0</v>
      </c>
      <c r="D33" s="87">
        <f t="shared" ref="D33:M33" si="29">+C33</f>
        <v>0</v>
      </c>
      <c r="E33" s="87">
        <f t="shared" si="29"/>
        <v>0</v>
      </c>
      <c r="F33" s="87">
        <f t="shared" si="29"/>
        <v>0</v>
      </c>
      <c r="G33" s="87">
        <f t="shared" si="29"/>
        <v>0</v>
      </c>
      <c r="H33" s="87">
        <f t="shared" si="29"/>
        <v>0</v>
      </c>
      <c r="I33" s="87">
        <f t="shared" si="29"/>
        <v>0</v>
      </c>
      <c r="J33" s="87">
        <f t="shared" si="29"/>
        <v>0</v>
      </c>
      <c r="K33" s="87">
        <f t="shared" si="29"/>
        <v>0</v>
      </c>
      <c r="L33" s="87">
        <f t="shared" si="29"/>
        <v>0</v>
      </c>
      <c r="M33" s="87">
        <f t="shared" si="29"/>
        <v>0</v>
      </c>
      <c r="N33" s="245"/>
    </row>
    <row r="34" spans="1:14" x14ac:dyDescent="0.35">
      <c r="A34" s="250" t="s">
        <v>97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245"/>
    </row>
    <row r="35" spans="1:14" x14ac:dyDescent="0.35">
      <c r="A35" s="235" t="s">
        <v>378</v>
      </c>
      <c r="B35" s="80">
        <f>(B37*B36)</f>
        <v>0</v>
      </c>
      <c r="C35" s="80">
        <f t="shared" ref="C35:M35" si="30">(C37*C36)</f>
        <v>0</v>
      </c>
      <c r="D35" s="80">
        <f t="shared" si="30"/>
        <v>0</v>
      </c>
      <c r="E35" s="80">
        <f t="shared" si="30"/>
        <v>0</v>
      </c>
      <c r="F35" s="80">
        <f t="shared" si="30"/>
        <v>0</v>
      </c>
      <c r="G35" s="80">
        <f t="shared" si="30"/>
        <v>0</v>
      </c>
      <c r="H35" s="80">
        <f t="shared" si="30"/>
        <v>0</v>
      </c>
      <c r="I35" s="80">
        <f t="shared" si="30"/>
        <v>0</v>
      </c>
      <c r="J35" s="80">
        <f t="shared" si="30"/>
        <v>0</v>
      </c>
      <c r="K35" s="80">
        <f t="shared" si="30"/>
        <v>0</v>
      </c>
      <c r="L35" s="80">
        <f t="shared" si="30"/>
        <v>0</v>
      </c>
      <c r="M35" s="80">
        <f t="shared" si="30"/>
        <v>0</v>
      </c>
      <c r="N35" s="244">
        <f>SUM(B35:M35)</f>
        <v>0</v>
      </c>
    </row>
    <row r="36" spans="1:14" x14ac:dyDescent="0.35">
      <c r="A36" s="238" t="s">
        <v>93</v>
      </c>
      <c r="B36" s="239">
        <f>+'Plan de culture 104 '!$X$37</f>
        <v>0</v>
      </c>
      <c r="C36" s="239">
        <f>+B36</f>
        <v>0</v>
      </c>
      <c r="D36" s="239">
        <f t="shared" ref="D36" si="31">+C36</f>
        <v>0</v>
      </c>
      <c r="E36" s="239">
        <f>+'Plan de culture 104 '!C32</f>
        <v>0</v>
      </c>
      <c r="F36" s="239">
        <f>+E36+'Plan de culture 104 '!D32+'Plan de culture 104 '!E32</f>
        <v>0</v>
      </c>
      <c r="G36" s="239">
        <f>+F36</f>
        <v>0</v>
      </c>
      <c r="H36" s="239">
        <f t="shared" ref="H36:M36" si="32">+G36</f>
        <v>0</v>
      </c>
      <c r="I36" s="239">
        <f t="shared" si="32"/>
        <v>0</v>
      </c>
      <c r="J36" s="239">
        <f t="shared" si="32"/>
        <v>0</v>
      </c>
      <c r="K36" s="239">
        <f t="shared" si="32"/>
        <v>0</v>
      </c>
      <c r="L36" s="239">
        <f t="shared" si="32"/>
        <v>0</v>
      </c>
      <c r="M36" s="239">
        <f t="shared" si="32"/>
        <v>0</v>
      </c>
      <c r="N36" s="240">
        <f>+'Plan de culture 104 '!$X$37</f>
        <v>0</v>
      </c>
    </row>
    <row r="37" spans="1:14" x14ac:dyDescent="0.35">
      <c r="A37" s="238" t="s">
        <v>94</v>
      </c>
      <c r="B37" s="253" t="str">
        <f>IFERROR((B39*B38)/B36,"0,00")</f>
        <v>0,00</v>
      </c>
      <c r="C37" s="253" t="str">
        <f t="shared" ref="C37:M37" si="33">IFERROR((C39*C38)/C36,"0,00")</f>
        <v>0,00</v>
      </c>
      <c r="D37" s="253" t="str">
        <f t="shared" si="33"/>
        <v>0,00</v>
      </c>
      <c r="E37" s="253" t="str">
        <f t="shared" si="33"/>
        <v>0,00</v>
      </c>
      <c r="F37" s="253" t="str">
        <f t="shared" si="33"/>
        <v>0,00</v>
      </c>
      <c r="G37" s="253" t="str">
        <f t="shared" si="33"/>
        <v>0,00</v>
      </c>
      <c r="H37" s="253" t="str">
        <f t="shared" si="33"/>
        <v>0,00</v>
      </c>
      <c r="I37" s="253" t="str">
        <f t="shared" si="33"/>
        <v>0,00</v>
      </c>
      <c r="J37" s="253" t="str">
        <f t="shared" si="33"/>
        <v>0,00</v>
      </c>
      <c r="K37" s="253" t="str">
        <f t="shared" si="33"/>
        <v>0,00</v>
      </c>
      <c r="L37" s="253" t="str">
        <f t="shared" si="33"/>
        <v>0,00</v>
      </c>
      <c r="M37" s="253" t="str">
        <f t="shared" si="33"/>
        <v>0,00</v>
      </c>
      <c r="N37" s="245" t="e">
        <f>+N35/N36</f>
        <v>#DIV/0!</v>
      </c>
    </row>
    <row r="38" spans="1:14" x14ac:dyDescent="0.35">
      <c r="A38" s="250" t="s">
        <v>96</v>
      </c>
      <c r="B38" s="87">
        <v>4.7</v>
      </c>
      <c r="C38" s="87">
        <f>+B38</f>
        <v>4.7</v>
      </c>
      <c r="D38" s="87">
        <f t="shared" ref="D38:M38" si="34">+C38</f>
        <v>4.7</v>
      </c>
      <c r="E38" s="87">
        <f t="shared" si="34"/>
        <v>4.7</v>
      </c>
      <c r="F38" s="87">
        <f t="shared" si="34"/>
        <v>4.7</v>
      </c>
      <c r="G38" s="87">
        <f t="shared" si="34"/>
        <v>4.7</v>
      </c>
      <c r="H38" s="87">
        <f t="shared" si="34"/>
        <v>4.7</v>
      </c>
      <c r="I38" s="87">
        <f t="shared" si="34"/>
        <v>4.7</v>
      </c>
      <c r="J38" s="87">
        <f t="shared" si="34"/>
        <v>4.7</v>
      </c>
      <c r="K38" s="87">
        <f t="shared" si="34"/>
        <v>4.7</v>
      </c>
      <c r="L38" s="87">
        <f t="shared" si="34"/>
        <v>4.7</v>
      </c>
      <c r="M38" s="87">
        <f t="shared" si="34"/>
        <v>4.7</v>
      </c>
      <c r="N38" s="245"/>
    </row>
    <row r="39" spans="1:14" ht="12" thickBot="1" x14ac:dyDescent="0.4">
      <c r="A39" s="250" t="s">
        <v>97</v>
      </c>
      <c r="B39" s="88">
        <v>0</v>
      </c>
      <c r="C39" s="88">
        <v>0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245"/>
    </row>
    <row r="40" spans="1:14" x14ac:dyDescent="0.35">
      <c r="A40" s="233" t="s">
        <v>382</v>
      </c>
      <c r="B40" s="242">
        <f>+B43+B48+B53+B58+B63+B68</f>
        <v>0</v>
      </c>
      <c r="C40" s="242">
        <f t="shared" ref="C40:M41" si="35">+C43+C48+C53+C58+C63+C68</f>
        <v>1120000</v>
      </c>
      <c r="D40" s="242">
        <f t="shared" si="35"/>
        <v>0</v>
      </c>
      <c r="E40" s="242">
        <f t="shared" si="35"/>
        <v>0</v>
      </c>
      <c r="F40" s="242">
        <f t="shared" si="35"/>
        <v>0</v>
      </c>
      <c r="G40" s="242">
        <f t="shared" si="35"/>
        <v>0</v>
      </c>
      <c r="H40" s="242">
        <f t="shared" si="35"/>
        <v>0</v>
      </c>
      <c r="I40" s="242">
        <f t="shared" si="35"/>
        <v>0</v>
      </c>
      <c r="J40" s="242">
        <f t="shared" si="35"/>
        <v>0</v>
      </c>
      <c r="K40" s="242">
        <f t="shared" si="35"/>
        <v>0</v>
      </c>
      <c r="L40" s="242">
        <f t="shared" si="35"/>
        <v>0</v>
      </c>
      <c r="M40" s="242">
        <f t="shared" si="35"/>
        <v>0</v>
      </c>
      <c r="N40" s="243">
        <f>SUM(B40:M40)</f>
        <v>1120000</v>
      </c>
    </row>
    <row r="41" spans="1:14" x14ac:dyDescent="0.35">
      <c r="A41" s="234" t="s">
        <v>93</v>
      </c>
      <c r="B41" s="83">
        <f>+B44+B49+B54+B59+B64+B69</f>
        <v>5.3950000000000005</v>
      </c>
      <c r="C41" s="81">
        <f t="shared" si="35"/>
        <v>5.3950000000000005</v>
      </c>
      <c r="D41" s="81">
        <f t="shared" si="35"/>
        <v>5.3950000000000005</v>
      </c>
      <c r="E41" s="81">
        <f t="shared" si="35"/>
        <v>5.3950000000000005</v>
      </c>
      <c r="F41" s="81">
        <f t="shared" si="35"/>
        <v>5.3950000000000005</v>
      </c>
      <c r="G41" s="81">
        <f t="shared" si="35"/>
        <v>5.3950000000000005</v>
      </c>
      <c r="H41" s="81">
        <f t="shared" si="35"/>
        <v>5.3950000000000005</v>
      </c>
      <c r="I41" s="81">
        <f t="shared" si="35"/>
        <v>5.3950000000000005</v>
      </c>
      <c r="J41" s="81">
        <f t="shared" si="35"/>
        <v>5.3950000000000005</v>
      </c>
      <c r="K41" s="81">
        <f t="shared" si="35"/>
        <v>5.3950000000000005</v>
      </c>
      <c r="L41" s="81">
        <f t="shared" si="35"/>
        <v>5.3950000000000005</v>
      </c>
      <c r="M41" s="81">
        <f t="shared" si="35"/>
        <v>5.3950000000000005</v>
      </c>
      <c r="N41" s="248">
        <f>+M41</f>
        <v>5.3950000000000005</v>
      </c>
    </row>
    <row r="42" spans="1:14" x14ac:dyDescent="0.35">
      <c r="A42" s="234" t="s">
        <v>94</v>
      </c>
      <c r="B42" s="83">
        <f t="shared" ref="B42:N42" si="36">+B40/B41</f>
        <v>0</v>
      </c>
      <c r="C42" s="83">
        <f t="shared" si="36"/>
        <v>207599.62928637626</v>
      </c>
      <c r="D42" s="83">
        <f t="shared" si="36"/>
        <v>0</v>
      </c>
      <c r="E42" s="83">
        <f t="shared" si="36"/>
        <v>0</v>
      </c>
      <c r="F42" s="83">
        <f t="shared" si="36"/>
        <v>0</v>
      </c>
      <c r="G42" s="83">
        <f t="shared" si="36"/>
        <v>0</v>
      </c>
      <c r="H42" s="83">
        <f t="shared" si="36"/>
        <v>0</v>
      </c>
      <c r="I42" s="83">
        <f t="shared" si="36"/>
        <v>0</v>
      </c>
      <c r="J42" s="83">
        <f t="shared" si="36"/>
        <v>0</v>
      </c>
      <c r="K42" s="83">
        <f t="shared" si="36"/>
        <v>0</v>
      </c>
      <c r="L42" s="83">
        <f t="shared" si="36"/>
        <v>0</v>
      </c>
      <c r="M42" s="83">
        <f t="shared" si="36"/>
        <v>0</v>
      </c>
      <c r="N42" s="249">
        <f t="shared" si="36"/>
        <v>207599.62928637626</v>
      </c>
    </row>
    <row r="43" spans="1:14" x14ac:dyDescent="0.35">
      <c r="A43" s="235" t="s">
        <v>90</v>
      </c>
      <c r="B43" s="80">
        <f>(B47*B46)</f>
        <v>0</v>
      </c>
      <c r="C43" s="80">
        <f t="shared" ref="C43:M43" si="37">(C45*C44)</f>
        <v>0</v>
      </c>
      <c r="D43" s="80">
        <f t="shared" si="37"/>
        <v>0</v>
      </c>
      <c r="E43" s="80">
        <f t="shared" si="37"/>
        <v>0</v>
      </c>
      <c r="F43" s="80">
        <f t="shared" si="37"/>
        <v>0</v>
      </c>
      <c r="G43" s="80">
        <f t="shared" si="37"/>
        <v>0</v>
      </c>
      <c r="H43" s="80">
        <f t="shared" si="37"/>
        <v>0</v>
      </c>
      <c r="I43" s="80">
        <f t="shared" si="37"/>
        <v>0</v>
      </c>
      <c r="J43" s="80">
        <f t="shared" si="37"/>
        <v>0</v>
      </c>
      <c r="K43" s="80">
        <f t="shared" si="37"/>
        <v>0</v>
      </c>
      <c r="L43" s="80">
        <f t="shared" si="37"/>
        <v>0</v>
      </c>
      <c r="M43" s="80">
        <f t="shared" si="37"/>
        <v>0</v>
      </c>
      <c r="N43" s="244">
        <f>SUM(B43:M43)</f>
        <v>0</v>
      </c>
    </row>
    <row r="44" spans="1:14" x14ac:dyDescent="0.35">
      <c r="A44" s="238" t="s">
        <v>93</v>
      </c>
      <c r="B44" s="239">
        <f>+'Plan de culture 105'!$I$7</f>
        <v>0</v>
      </c>
      <c r="C44" s="239">
        <f>+B44</f>
        <v>0</v>
      </c>
      <c r="D44" s="239">
        <f t="shared" ref="D44" si="38">+C44</f>
        <v>0</v>
      </c>
      <c r="E44" s="239">
        <f>+D44</f>
        <v>0</v>
      </c>
      <c r="F44" s="239">
        <f>+E44</f>
        <v>0</v>
      </c>
      <c r="G44" s="239">
        <f>+F44</f>
        <v>0</v>
      </c>
      <c r="H44" s="239">
        <f t="shared" ref="H44:M44" si="39">+G44</f>
        <v>0</v>
      </c>
      <c r="I44" s="239">
        <f t="shared" si="39"/>
        <v>0</v>
      </c>
      <c r="J44" s="239">
        <f t="shared" si="39"/>
        <v>0</v>
      </c>
      <c r="K44" s="239">
        <f t="shared" si="39"/>
        <v>0</v>
      </c>
      <c r="L44" s="239">
        <f t="shared" si="39"/>
        <v>0</v>
      </c>
      <c r="M44" s="239">
        <f t="shared" si="39"/>
        <v>0</v>
      </c>
      <c r="N44" s="240">
        <f>+'Plan de culture 105'!$I$7</f>
        <v>0</v>
      </c>
    </row>
    <row r="45" spans="1:14" x14ac:dyDescent="0.35">
      <c r="A45" s="238" t="s">
        <v>94</v>
      </c>
      <c r="B45" s="253" t="str">
        <f>IFERROR((B47*B46)/B44,"0,00")</f>
        <v>0,00</v>
      </c>
      <c r="C45" s="253" t="str">
        <f t="shared" ref="C45:M45" si="40">IFERROR((C47*C46)/C44,"0,00")</f>
        <v>0,00</v>
      </c>
      <c r="D45" s="253" t="str">
        <f t="shared" si="40"/>
        <v>0,00</v>
      </c>
      <c r="E45" s="253" t="str">
        <f t="shared" si="40"/>
        <v>0,00</v>
      </c>
      <c r="F45" s="253" t="str">
        <f t="shared" si="40"/>
        <v>0,00</v>
      </c>
      <c r="G45" s="253" t="str">
        <f t="shared" si="40"/>
        <v>0,00</v>
      </c>
      <c r="H45" s="253" t="str">
        <f t="shared" si="40"/>
        <v>0,00</v>
      </c>
      <c r="I45" s="253" t="str">
        <f t="shared" si="40"/>
        <v>0,00</v>
      </c>
      <c r="J45" s="253" t="str">
        <f t="shared" si="40"/>
        <v>0,00</v>
      </c>
      <c r="K45" s="253" t="str">
        <f t="shared" si="40"/>
        <v>0,00</v>
      </c>
      <c r="L45" s="253" t="str">
        <f t="shared" si="40"/>
        <v>0,00</v>
      </c>
      <c r="M45" s="253" t="str">
        <f t="shared" si="40"/>
        <v>0,00</v>
      </c>
      <c r="N45" s="245" t="e">
        <f>+N43/N44</f>
        <v>#DIV/0!</v>
      </c>
    </row>
    <row r="46" spans="1:14" x14ac:dyDescent="0.35">
      <c r="A46" s="250" t="s">
        <v>96</v>
      </c>
      <c r="B46" s="87">
        <v>4.7</v>
      </c>
      <c r="C46" s="87">
        <f>+B46</f>
        <v>4.7</v>
      </c>
      <c r="D46" s="87">
        <f t="shared" ref="D46:M46" si="41">+C46</f>
        <v>4.7</v>
      </c>
      <c r="E46" s="87">
        <f t="shared" si="41"/>
        <v>4.7</v>
      </c>
      <c r="F46" s="87">
        <f t="shared" si="41"/>
        <v>4.7</v>
      </c>
      <c r="G46" s="87">
        <f t="shared" si="41"/>
        <v>4.7</v>
      </c>
      <c r="H46" s="87">
        <f t="shared" si="41"/>
        <v>4.7</v>
      </c>
      <c r="I46" s="87">
        <f t="shared" si="41"/>
        <v>4.7</v>
      </c>
      <c r="J46" s="87">
        <f t="shared" si="41"/>
        <v>4.7</v>
      </c>
      <c r="K46" s="87">
        <f t="shared" si="41"/>
        <v>4.7</v>
      </c>
      <c r="L46" s="87">
        <f t="shared" si="41"/>
        <v>4.7</v>
      </c>
      <c r="M46" s="87">
        <f t="shared" si="41"/>
        <v>4.7</v>
      </c>
      <c r="N46" s="245"/>
    </row>
    <row r="47" spans="1:14" x14ac:dyDescent="0.35">
      <c r="A47" s="250" t="s">
        <v>97</v>
      </c>
      <c r="B47" s="88">
        <v>0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245"/>
    </row>
    <row r="48" spans="1:14" x14ac:dyDescent="0.35">
      <c r="A48" s="235" t="s">
        <v>91</v>
      </c>
      <c r="B48" s="80">
        <f>(B50*B49)</f>
        <v>0</v>
      </c>
      <c r="C48" s="80">
        <f t="shared" ref="C48:M48" si="42">(C50*C49)</f>
        <v>1120000</v>
      </c>
      <c r="D48" s="80">
        <f t="shared" si="42"/>
        <v>0</v>
      </c>
      <c r="E48" s="80">
        <f t="shared" si="42"/>
        <v>0</v>
      </c>
      <c r="F48" s="80">
        <f t="shared" si="42"/>
        <v>0</v>
      </c>
      <c r="G48" s="80">
        <f t="shared" si="42"/>
        <v>0</v>
      </c>
      <c r="H48" s="80">
        <f t="shared" si="42"/>
        <v>0</v>
      </c>
      <c r="I48" s="80">
        <f t="shared" si="42"/>
        <v>0</v>
      </c>
      <c r="J48" s="80">
        <f t="shared" si="42"/>
        <v>0</v>
      </c>
      <c r="K48" s="80">
        <f t="shared" si="42"/>
        <v>0</v>
      </c>
      <c r="L48" s="80">
        <f t="shared" si="42"/>
        <v>0</v>
      </c>
      <c r="M48" s="80">
        <f t="shared" si="42"/>
        <v>0</v>
      </c>
      <c r="N48" s="244">
        <f>SUM(B48:M48)</f>
        <v>1120000</v>
      </c>
    </row>
    <row r="49" spans="1:14" x14ac:dyDescent="0.35">
      <c r="A49" s="238" t="s">
        <v>93</v>
      </c>
      <c r="B49" s="239">
        <f>+'Plan de culture 105'!$I$13</f>
        <v>5.3950000000000005</v>
      </c>
      <c r="C49" s="239">
        <f>+B49</f>
        <v>5.3950000000000005</v>
      </c>
      <c r="D49" s="239">
        <f t="shared" ref="D49:M49" si="43">+C49</f>
        <v>5.3950000000000005</v>
      </c>
      <c r="E49" s="239">
        <f t="shared" si="43"/>
        <v>5.3950000000000005</v>
      </c>
      <c r="F49" s="239">
        <f t="shared" si="43"/>
        <v>5.3950000000000005</v>
      </c>
      <c r="G49" s="239">
        <f t="shared" si="43"/>
        <v>5.3950000000000005</v>
      </c>
      <c r="H49" s="239">
        <f t="shared" si="43"/>
        <v>5.3950000000000005</v>
      </c>
      <c r="I49" s="239">
        <f t="shared" si="43"/>
        <v>5.3950000000000005</v>
      </c>
      <c r="J49" s="239">
        <f t="shared" si="43"/>
        <v>5.3950000000000005</v>
      </c>
      <c r="K49" s="239">
        <f t="shared" si="43"/>
        <v>5.3950000000000005</v>
      </c>
      <c r="L49" s="239">
        <f t="shared" si="43"/>
        <v>5.3950000000000005</v>
      </c>
      <c r="M49" s="239">
        <f t="shared" si="43"/>
        <v>5.3950000000000005</v>
      </c>
      <c r="N49" s="240">
        <f>+'Plan de culture 105'!$I$13</f>
        <v>5.3950000000000005</v>
      </c>
    </row>
    <row r="50" spans="1:14" x14ac:dyDescent="0.35">
      <c r="A50" s="238" t="s">
        <v>94</v>
      </c>
      <c r="B50" s="254">
        <f>IFERROR((B52*B51)/B49,"0,00")</f>
        <v>0</v>
      </c>
      <c r="C50" s="254">
        <f t="shared" ref="C50:M50" si="44">IFERROR((C52*C51)/C49,"0,00")</f>
        <v>207599.62928637626</v>
      </c>
      <c r="D50" s="254">
        <f t="shared" si="44"/>
        <v>0</v>
      </c>
      <c r="E50" s="254">
        <f t="shared" si="44"/>
        <v>0</v>
      </c>
      <c r="F50" s="254">
        <f t="shared" si="44"/>
        <v>0</v>
      </c>
      <c r="G50" s="254">
        <f t="shared" si="44"/>
        <v>0</v>
      </c>
      <c r="H50" s="254">
        <f t="shared" si="44"/>
        <v>0</v>
      </c>
      <c r="I50" s="254">
        <f t="shared" si="44"/>
        <v>0</v>
      </c>
      <c r="J50" s="254">
        <f t="shared" si="44"/>
        <v>0</v>
      </c>
      <c r="K50" s="254">
        <f t="shared" si="44"/>
        <v>0</v>
      </c>
      <c r="L50" s="254">
        <f t="shared" si="44"/>
        <v>0</v>
      </c>
      <c r="M50" s="254">
        <f t="shared" si="44"/>
        <v>0</v>
      </c>
      <c r="N50" s="245">
        <f>+N48/N49</f>
        <v>207599.62928637626</v>
      </c>
    </row>
    <row r="51" spans="1:14" x14ac:dyDescent="0.35">
      <c r="A51" s="250" t="s">
        <v>96</v>
      </c>
      <c r="B51" s="87">
        <v>10</v>
      </c>
      <c r="C51" s="87">
        <f>+B51</f>
        <v>10</v>
      </c>
      <c r="D51" s="87">
        <f t="shared" ref="D51:M51" si="45">+C51</f>
        <v>10</v>
      </c>
      <c r="E51" s="87">
        <f t="shared" si="45"/>
        <v>10</v>
      </c>
      <c r="F51" s="87">
        <f t="shared" si="45"/>
        <v>10</v>
      </c>
      <c r="G51" s="87">
        <f t="shared" si="45"/>
        <v>10</v>
      </c>
      <c r="H51" s="87">
        <f t="shared" si="45"/>
        <v>10</v>
      </c>
      <c r="I51" s="87">
        <f t="shared" si="45"/>
        <v>10</v>
      </c>
      <c r="J51" s="87">
        <f t="shared" si="45"/>
        <v>10</v>
      </c>
      <c r="K51" s="87">
        <f t="shared" si="45"/>
        <v>10</v>
      </c>
      <c r="L51" s="87">
        <f t="shared" si="45"/>
        <v>10</v>
      </c>
      <c r="M51" s="87">
        <f t="shared" si="45"/>
        <v>10</v>
      </c>
      <c r="N51" s="245"/>
    </row>
    <row r="52" spans="1:14" x14ac:dyDescent="0.35">
      <c r="A52" s="250" t="s">
        <v>97</v>
      </c>
      <c r="B52" s="88">
        <v>0</v>
      </c>
      <c r="C52" s="88">
        <v>112000</v>
      </c>
      <c r="D52" s="88">
        <v>0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245"/>
    </row>
    <row r="53" spans="1:14" x14ac:dyDescent="0.35">
      <c r="A53" s="235" t="s">
        <v>376</v>
      </c>
      <c r="B53" s="80">
        <f>(B55*B54)</f>
        <v>0</v>
      </c>
      <c r="C53" s="80">
        <f t="shared" ref="C53:M53" si="46">(C55*C54)</f>
        <v>0</v>
      </c>
      <c r="D53" s="80">
        <f t="shared" si="46"/>
        <v>0</v>
      </c>
      <c r="E53" s="80">
        <f t="shared" si="46"/>
        <v>0</v>
      </c>
      <c r="F53" s="80">
        <f t="shared" si="46"/>
        <v>0</v>
      </c>
      <c r="G53" s="80">
        <f t="shared" si="46"/>
        <v>0</v>
      </c>
      <c r="H53" s="80">
        <f t="shared" si="46"/>
        <v>0</v>
      </c>
      <c r="I53" s="80">
        <f t="shared" si="46"/>
        <v>0</v>
      </c>
      <c r="J53" s="80">
        <f t="shared" si="46"/>
        <v>0</v>
      </c>
      <c r="K53" s="80">
        <f t="shared" si="46"/>
        <v>0</v>
      </c>
      <c r="L53" s="80">
        <f t="shared" si="46"/>
        <v>0</v>
      </c>
      <c r="M53" s="80">
        <f t="shared" si="46"/>
        <v>0</v>
      </c>
      <c r="N53" s="244">
        <f>SUM(B53:M53)</f>
        <v>0</v>
      </c>
    </row>
    <row r="54" spans="1:14" x14ac:dyDescent="0.35">
      <c r="A54" s="238" t="s">
        <v>93</v>
      </c>
      <c r="B54" s="239">
        <f>+'Plan de culture 105'!$I$19</f>
        <v>0</v>
      </c>
      <c r="C54" s="239">
        <f>+B54</f>
        <v>0</v>
      </c>
      <c r="D54" s="239">
        <f t="shared" ref="D54" si="47">+C54</f>
        <v>0</v>
      </c>
      <c r="E54" s="239">
        <f>+'Plan de culture 104 '!C50</f>
        <v>0</v>
      </c>
      <c r="F54" s="239">
        <f>+E54+'Plan de culture 104 '!D50+'Plan de culture 104 '!E50</f>
        <v>0</v>
      </c>
      <c r="G54" s="239">
        <f>+F54</f>
        <v>0</v>
      </c>
      <c r="H54" s="239">
        <f t="shared" ref="H54:M54" si="48">+G54</f>
        <v>0</v>
      </c>
      <c r="I54" s="239">
        <f t="shared" si="48"/>
        <v>0</v>
      </c>
      <c r="J54" s="239">
        <f t="shared" si="48"/>
        <v>0</v>
      </c>
      <c r="K54" s="239">
        <f t="shared" si="48"/>
        <v>0</v>
      </c>
      <c r="L54" s="239">
        <f t="shared" si="48"/>
        <v>0</v>
      </c>
      <c r="M54" s="239">
        <f t="shared" si="48"/>
        <v>0</v>
      </c>
      <c r="N54" s="240">
        <f>+'Plan de culture 105'!$I$19</f>
        <v>0</v>
      </c>
    </row>
    <row r="55" spans="1:14" x14ac:dyDescent="0.35">
      <c r="A55" s="238" t="s">
        <v>94</v>
      </c>
      <c r="B55" s="253" t="str">
        <f>IFERROR((B57*B56)/B54,"0,00")</f>
        <v>0,00</v>
      </c>
      <c r="C55" s="253" t="str">
        <f t="shared" ref="C55:M55" si="49">IFERROR((C57*C56)/C54,"0,00")</f>
        <v>0,00</v>
      </c>
      <c r="D55" s="253" t="str">
        <f t="shared" si="49"/>
        <v>0,00</v>
      </c>
      <c r="E55" s="253" t="str">
        <f t="shared" si="49"/>
        <v>0,00</v>
      </c>
      <c r="F55" s="253" t="str">
        <f t="shared" si="49"/>
        <v>0,00</v>
      </c>
      <c r="G55" s="253" t="str">
        <f t="shared" si="49"/>
        <v>0,00</v>
      </c>
      <c r="H55" s="253" t="str">
        <f t="shared" si="49"/>
        <v>0,00</v>
      </c>
      <c r="I55" s="253" t="str">
        <f t="shared" si="49"/>
        <v>0,00</v>
      </c>
      <c r="J55" s="253" t="str">
        <f t="shared" si="49"/>
        <v>0,00</v>
      </c>
      <c r="K55" s="253" t="str">
        <f t="shared" si="49"/>
        <v>0,00</v>
      </c>
      <c r="L55" s="253" t="str">
        <f t="shared" si="49"/>
        <v>0,00</v>
      </c>
      <c r="M55" s="253" t="str">
        <f t="shared" si="49"/>
        <v>0,00</v>
      </c>
      <c r="N55" s="245" t="e">
        <f>+N53/N54</f>
        <v>#DIV/0!</v>
      </c>
    </row>
    <row r="56" spans="1:14" x14ac:dyDescent="0.35">
      <c r="A56" s="250" t="s">
        <v>96</v>
      </c>
      <c r="B56" s="87">
        <v>4.7</v>
      </c>
      <c r="C56" s="87">
        <f>+B56</f>
        <v>4.7</v>
      </c>
      <c r="D56" s="87">
        <f t="shared" ref="D56:M56" si="50">+C56</f>
        <v>4.7</v>
      </c>
      <c r="E56" s="87">
        <f t="shared" si="50"/>
        <v>4.7</v>
      </c>
      <c r="F56" s="87">
        <f t="shared" si="50"/>
        <v>4.7</v>
      </c>
      <c r="G56" s="87">
        <f t="shared" si="50"/>
        <v>4.7</v>
      </c>
      <c r="H56" s="87">
        <f t="shared" si="50"/>
        <v>4.7</v>
      </c>
      <c r="I56" s="87">
        <f t="shared" si="50"/>
        <v>4.7</v>
      </c>
      <c r="J56" s="87">
        <f t="shared" si="50"/>
        <v>4.7</v>
      </c>
      <c r="K56" s="87">
        <f t="shared" si="50"/>
        <v>4.7</v>
      </c>
      <c r="L56" s="87">
        <f t="shared" si="50"/>
        <v>4.7</v>
      </c>
      <c r="M56" s="87">
        <f t="shared" si="50"/>
        <v>4.7</v>
      </c>
      <c r="N56" s="245"/>
    </row>
    <row r="57" spans="1:14" x14ac:dyDescent="0.35">
      <c r="A57" s="250" t="s">
        <v>97</v>
      </c>
      <c r="B57" s="88">
        <v>0</v>
      </c>
      <c r="C57" s="88">
        <v>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245"/>
    </row>
    <row r="58" spans="1:14" x14ac:dyDescent="0.35">
      <c r="A58" s="235" t="s">
        <v>92</v>
      </c>
      <c r="B58" s="80">
        <f>(B60*B59)</f>
        <v>0</v>
      </c>
      <c r="C58" s="80">
        <f t="shared" ref="C58:M58" si="51">(C60*C59)</f>
        <v>0</v>
      </c>
      <c r="D58" s="80">
        <f t="shared" si="51"/>
        <v>0</v>
      </c>
      <c r="E58" s="80">
        <f t="shared" si="51"/>
        <v>0</v>
      </c>
      <c r="F58" s="80">
        <f t="shared" si="51"/>
        <v>0</v>
      </c>
      <c r="G58" s="80">
        <f t="shared" si="51"/>
        <v>0</v>
      </c>
      <c r="H58" s="80">
        <f t="shared" si="51"/>
        <v>0</v>
      </c>
      <c r="I58" s="80">
        <f t="shared" si="51"/>
        <v>0</v>
      </c>
      <c r="J58" s="80">
        <f t="shared" si="51"/>
        <v>0</v>
      </c>
      <c r="K58" s="80">
        <f t="shared" si="51"/>
        <v>0</v>
      </c>
      <c r="L58" s="80">
        <f t="shared" si="51"/>
        <v>0</v>
      </c>
      <c r="M58" s="80">
        <f t="shared" si="51"/>
        <v>0</v>
      </c>
      <c r="N58" s="244">
        <f>SUM(B58:M58)</f>
        <v>0</v>
      </c>
    </row>
    <row r="59" spans="1:14" x14ac:dyDescent="0.35">
      <c r="A59" s="238" t="s">
        <v>93</v>
      </c>
      <c r="B59" s="239">
        <f>+'Plan de culture 105'!$I$25</f>
        <v>0</v>
      </c>
      <c r="C59" s="239">
        <f>+B59</f>
        <v>0</v>
      </c>
      <c r="D59" s="239">
        <f t="shared" ref="D59" si="52">+C59</f>
        <v>0</v>
      </c>
      <c r="E59" s="239">
        <f>+'Plan de culture 104 '!C55</f>
        <v>0</v>
      </c>
      <c r="F59" s="239">
        <f>+E59+'Plan de culture 104 '!D55+'Plan de culture 104 '!E55</f>
        <v>0</v>
      </c>
      <c r="G59" s="239">
        <f>+F59</f>
        <v>0</v>
      </c>
      <c r="H59" s="239">
        <f t="shared" ref="H59:M59" si="53">+G59</f>
        <v>0</v>
      </c>
      <c r="I59" s="239">
        <f t="shared" si="53"/>
        <v>0</v>
      </c>
      <c r="J59" s="239">
        <f t="shared" si="53"/>
        <v>0</v>
      </c>
      <c r="K59" s="239">
        <f t="shared" si="53"/>
        <v>0</v>
      </c>
      <c r="L59" s="239">
        <f t="shared" si="53"/>
        <v>0</v>
      </c>
      <c r="M59" s="239">
        <f t="shared" si="53"/>
        <v>0</v>
      </c>
      <c r="N59" s="240">
        <f>+'Plan de culture 105'!$I$25</f>
        <v>0</v>
      </c>
    </row>
    <row r="60" spans="1:14" x14ac:dyDescent="0.35">
      <c r="A60" s="238" t="s">
        <v>94</v>
      </c>
      <c r="B60" s="253" t="str">
        <f>IFERROR((B62*B61)/B59,"0,00")</f>
        <v>0,00</v>
      </c>
      <c r="C60" s="253" t="str">
        <f t="shared" ref="C60:M60" si="54">IFERROR((C62*C61)/C59,"0,00")</f>
        <v>0,00</v>
      </c>
      <c r="D60" s="253" t="str">
        <f t="shared" si="54"/>
        <v>0,00</v>
      </c>
      <c r="E60" s="253" t="str">
        <f t="shared" si="54"/>
        <v>0,00</v>
      </c>
      <c r="F60" s="253" t="str">
        <f t="shared" si="54"/>
        <v>0,00</v>
      </c>
      <c r="G60" s="253" t="str">
        <f t="shared" si="54"/>
        <v>0,00</v>
      </c>
      <c r="H60" s="253" t="str">
        <f t="shared" si="54"/>
        <v>0,00</v>
      </c>
      <c r="I60" s="253" t="str">
        <f t="shared" si="54"/>
        <v>0,00</v>
      </c>
      <c r="J60" s="253" t="str">
        <f t="shared" si="54"/>
        <v>0,00</v>
      </c>
      <c r="K60" s="253" t="str">
        <f t="shared" si="54"/>
        <v>0,00</v>
      </c>
      <c r="L60" s="253" t="str">
        <f t="shared" si="54"/>
        <v>0,00</v>
      </c>
      <c r="M60" s="253" t="str">
        <f t="shared" si="54"/>
        <v>0,00</v>
      </c>
      <c r="N60" s="245" t="e">
        <f>+N58/N59</f>
        <v>#DIV/0!</v>
      </c>
    </row>
    <row r="61" spans="1:14" x14ac:dyDescent="0.35">
      <c r="A61" s="250" t="s">
        <v>96</v>
      </c>
      <c r="B61" s="87">
        <v>3.2</v>
      </c>
      <c r="C61" s="87">
        <f>+B61</f>
        <v>3.2</v>
      </c>
      <c r="D61" s="87">
        <f t="shared" ref="D61:M61" si="55">+C61</f>
        <v>3.2</v>
      </c>
      <c r="E61" s="87">
        <f t="shared" si="55"/>
        <v>3.2</v>
      </c>
      <c r="F61" s="87">
        <f t="shared" si="55"/>
        <v>3.2</v>
      </c>
      <c r="G61" s="87">
        <f t="shared" si="55"/>
        <v>3.2</v>
      </c>
      <c r="H61" s="87">
        <f t="shared" si="55"/>
        <v>3.2</v>
      </c>
      <c r="I61" s="87">
        <f t="shared" si="55"/>
        <v>3.2</v>
      </c>
      <c r="J61" s="87">
        <f t="shared" si="55"/>
        <v>3.2</v>
      </c>
      <c r="K61" s="87">
        <f t="shared" si="55"/>
        <v>3.2</v>
      </c>
      <c r="L61" s="87">
        <f t="shared" si="55"/>
        <v>3.2</v>
      </c>
      <c r="M61" s="87">
        <f t="shared" si="55"/>
        <v>3.2</v>
      </c>
      <c r="N61" s="245"/>
    </row>
    <row r="62" spans="1:14" x14ac:dyDescent="0.35">
      <c r="A62" s="250" t="s">
        <v>97</v>
      </c>
      <c r="B62" s="88">
        <v>0</v>
      </c>
      <c r="C62" s="88">
        <v>0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245"/>
    </row>
    <row r="63" spans="1:14" x14ac:dyDescent="0.35">
      <c r="A63" s="235" t="s">
        <v>377</v>
      </c>
      <c r="B63" s="80">
        <f>(B65*B64)</f>
        <v>0</v>
      </c>
      <c r="C63" s="80">
        <f t="shared" ref="C63:M63" si="56">(C65*C64)</f>
        <v>0</v>
      </c>
      <c r="D63" s="80">
        <f t="shared" si="56"/>
        <v>0</v>
      </c>
      <c r="E63" s="80">
        <f t="shared" si="56"/>
        <v>0</v>
      </c>
      <c r="F63" s="80">
        <f t="shared" si="56"/>
        <v>0</v>
      </c>
      <c r="G63" s="80">
        <f t="shared" si="56"/>
        <v>0</v>
      </c>
      <c r="H63" s="80">
        <f t="shared" si="56"/>
        <v>0</v>
      </c>
      <c r="I63" s="80">
        <f t="shared" si="56"/>
        <v>0</v>
      </c>
      <c r="J63" s="80">
        <f t="shared" si="56"/>
        <v>0</v>
      </c>
      <c r="K63" s="80">
        <f t="shared" si="56"/>
        <v>0</v>
      </c>
      <c r="L63" s="80">
        <f t="shared" si="56"/>
        <v>0</v>
      </c>
      <c r="M63" s="80">
        <f t="shared" si="56"/>
        <v>0</v>
      </c>
      <c r="N63" s="244">
        <f>SUM(B63:M63)</f>
        <v>0</v>
      </c>
    </row>
    <row r="64" spans="1:14" x14ac:dyDescent="0.35">
      <c r="A64" s="238" t="s">
        <v>93</v>
      </c>
      <c r="B64" s="239">
        <f>+'Plan de culture 105'!$I$31</f>
        <v>0</v>
      </c>
      <c r="C64" s="239">
        <f>+B64</f>
        <v>0</v>
      </c>
      <c r="D64" s="239">
        <f t="shared" ref="D64" si="57">+C64</f>
        <v>0</v>
      </c>
      <c r="E64" s="239">
        <f>+'Plan de culture 104 '!C60</f>
        <v>0</v>
      </c>
      <c r="F64" s="239">
        <f>+E64+'Plan de culture 104 '!D60+'Plan de culture 104 '!E60</f>
        <v>0</v>
      </c>
      <c r="G64" s="239">
        <f>+F64</f>
        <v>0</v>
      </c>
      <c r="H64" s="239">
        <f t="shared" ref="H64:M64" si="58">+G64</f>
        <v>0</v>
      </c>
      <c r="I64" s="239">
        <f t="shared" si="58"/>
        <v>0</v>
      </c>
      <c r="J64" s="239">
        <f t="shared" si="58"/>
        <v>0</v>
      </c>
      <c r="K64" s="239">
        <f t="shared" si="58"/>
        <v>0</v>
      </c>
      <c r="L64" s="239">
        <f t="shared" si="58"/>
        <v>0</v>
      </c>
      <c r="M64" s="239">
        <f t="shared" si="58"/>
        <v>0</v>
      </c>
      <c r="N64" s="240">
        <f>+'Plan de culture 105'!$I$31</f>
        <v>0</v>
      </c>
    </row>
    <row r="65" spans="1:14" x14ac:dyDescent="0.35">
      <c r="A65" s="238" t="s">
        <v>94</v>
      </c>
      <c r="B65" s="253" t="str">
        <f>IFERROR((B67*B66)/B64,"0,00")</f>
        <v>0,00</v>
      </c>
      <c r="C65" s="253" t="str">
        <f t="shared" ref="C65:M65" si="59">IFERROR((C67*C66)/C64,"0,00")</f>
        <v>0,00</v>
      </c>
      <c r="D65" s="253" t="str">
        <f t="shared" si="59"/>
        <v>0,00</v>
      </c>
      <c r="E65" s="253" t="str">
        <f t="shared" si="59"/>
        <v>0,00</v>
      </c>
      <c r="F65" s="253" t="str">
        <f t="shared" si="59"/>
        <v>0,00</v>
      </c>
      <c r="G65" s="253" t="str">
        <f t="shared" si="59"/>
        <v>0,00</v>
      </c>
      <c r="H65" s="253" t="str">
        <f t="shared" si="59"/>
        <v>0,00</v>
      </c>
      <c r="I65" s="253" t="str">
        <f t="shared" si="59"/>
        <v>0,00</v>
      </c>
      <c r="J65" s="253" t="str">
        <f t="shared" si="59"/>
        <v>0,00</v>
      </c>
      <c r="K65" s="253" t="str">
        <f t="shared" si="59"/>
        <v>0,00</v>
      </c>
      <c r="L65" s="253" t="str">
        <f t="shared" si="59"/>
        <v>0,00</v>
      </c>
      <c r="M65" s="253" t="str">
        <f t="shared" si="59"/>
        <v>0,00</v>
      </c>
      <c r="N65" s="245" t="e">
        <f>+N63/N64</f>
        <v>#DIV/0!</v>
      </c>
    </row>
    <row r="66" spans="1:14" x14ac:dyDescent="0.35">
      <c r="A66" s="250" t="s">
        <v>96</v>
      </c>
      <c r="B66" s="87">
        <v>4.7</v>
      </c>
      <c r="C66" s="87">
        <f>+B66</f>
        <v>4.7</v>
      </c>
      <c r="D66" s="87">
        <f t="shared" ref="D66:M66" si="60">+C66</f>
        <v>4.7</v>
      </c>
      <c r="E66" s="87">
        <f t="shared" si="60"/>
        <v>4.7</v>
      </c>
      <c r="F66" s="87">
        <f t="shared" si="60"/>
        <v>4.7</v>
      </c>
      <c r="G66" s="87">
        <f t="shared" si="60"/>
        <v>4.7</v>
      </c>
      <c r="H66" s="87">
        <f t="shared" si="60"/>
        <v>4.7</v>
      </c>
      <c r="I66" s="87">
        <f t="shared" si="60"/>
        <v>4.7</v>
      </c>
      <c r="J66" s="87">
        <f t="shared" si="60"/>
        <v>4.7</v>
      </c>
      <c r="K66" s="87">
        <f t="shared" si="60"/>
        <v>4.7</v>
      </c>
      <c r="L66" s="87">
        <f t="shared" si="60"/>
        <v>4.7</v>
      </c>
      <c r="M66" s="87">
        <f t="shared" si="60"/>
        <v>4.7</v>
      </c>
      <c r="N66" s="245"/>
    </row>
    <row r="67" spans="1:14" x14ac:dyDescent="0.35">
      <c r="A67" s="250" t="s">
        <v>97</v>
      </c>
      <c r="B67" s="88">
        <v>0</v>
      </c>
      <c r="C67" s="88">
        <v>0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245"/>
    </row>
    <row r="68" spans="1:14" x14ac:dyDescent="0.35">
      <c r="A68" s="235" t="s">
        <v>378</v>
      </c>
      <c r="B68" s="80">
        <f>(B70*B69)</f>
        <v>0</v>
      </c>
      <c r="C68" s="80">
        <f t="shared" ref="C68:M68" si="61">(C70*C69)</f>
        <v>0</v>
      </c>
      <c r="D68" s="80">
        <f t="shared" si="61"/>
        <v>0</v>
      </c>
      <c r="E68" s="80">
        <f t="shared" si="61"/>
        <v>0</v>
      </c>
      <c r="F68" s="80">
        <f t="shared" si="61"/>
        <v>0</v>
      </c>
      <c r="G68" s="80">
        <f t="shared" si="61"/>
        <v>0</v>
      </c>
      <c r="H68" s="80">
        <f t="shared" si="61"/>
        <v>0</v>
      </c>
      <c r="I68" s="80">
        <f t="shared" si="61"/>
        <v>0</v>
      </c>
      <c r="J68" s="80">
        <f t="shared" si="61"/>
        <v>0</v>
      </c>
      <c r="K68" s="80">
        <f t="shared" si="61"/>
        <v>0</v>
      </c>
      <c r="L68" s="80">
        <f t="shared" si="61"/>
        <v>0</v>
      </c>
      <c r="M68" s="80">
        <f t="shared" si="61"/>
        <v>0</v>
      </c>
      <c r="N68" s="244">
        <f>SUM(B68:M68)</f>
        <v>0</v>
      </c>
    </row>
    <row r="69" spans="1:14" x14ac:dyDescent="0.35">
      <c r="A69" s="238" t="s">
        <v>93</v>
      </c>
      <c r="B69" s="239">
        <f>+'Plan de culture 105'!$I$37</f>
        <v>0</v>
      </c>
      <c r="C69" s="239">
        <f>+B69</f>
        <v>0</v>
      </c>
      <c r="D69" s="239">
        <f t="shared" ref="D69" si="62">+C69</f>
        <v>0</v>
      </c>
      <c r="E69" s="239">
        <f>+'Plan de culture 104 '!C65</f>
        <v>0</v>
      </c>
      <c r="F69" s="239">
        <f>+E69+'Plan de culture 104 '!D65+'Plan de culture 104 '!E65</f>
        <v>0</v>
      </c>
      <c r="G69" s="239">
        <f>+F69</f>
        <v>0</v>
      </c>
      <c r="H69" s="239">
        <f t="shared" ref="H69:M69" si="63">+G69</f>
        <v>0</v>
      </c>
      <c r="I69" s="239">
        <f t="shared" si="63"/>
        <v>0</v>
      </c>
      <c r="J69" s="239">
        <f t="shared" si="63"/>
        <v>0</v>
      </c>
      <c r="K69" s="239">
        <f t="shared" si="63"/>
        <v>0</v>
      </c>
      <c r="L69" s="239">
        <f t="shared" si="63"/>
        <v>0</v>
      </c>
      <c r="M69" s="239">
        <f t="shared" si="63"/>
        <v>0</v>
      </c>
      <c r="N69" s="240">
        <f>+'Plan de culture 105'!$I$37</f>
        <v>0</v>
      </c>
    </row>
    <row r="70" spans="1:14" x14ac:dyDescent="0.35">
      <c r="A70" s="238" t="s">
        <v>94</v>
      </c>
      <c r="B70" s="253" t="str">
        <f>IFERROR((B72*B71)/B69,"0,00")</f>
        <v>0,00</v>
      </c>
      <c r="C70" s="253" t="str">
        <f t="shared" ref="C70:M70" si="64">IFERROR((C72*C71)/C69,"0,00")</f>
        <v>0,00</v>
      </c>
      <c r="D70" s="253" t="str">
        <f t="shared" si="64"/>
        <v>0,00</v>
      </c>
      <c r="E70" s="253" t="str">
        <f t="shared" si="64"/>
        <v>0,00</v>
      </c>
      <c r="F70" s="253" t="str">
        <f t="shared" si="64"/>
        <v>0,00</v>
      </c>
      <c r="G70" s="253" t="str">
        <f t="shared" si="64"/>
        <v>0,00</v>
      </c>
      <c r="H70" s="253" t="str">
        <f t="shared" si="64"/>
        <v>0,00</v>
      </c>
      <c r="I70" s="253" t="str">
        <f t="shared" si="64"/>
        <v>0,00</v>
      </c>
      <c r="J70" s="253" t="str">
        <f t="shared" si="64"/>
        <v>0,00</v>
      </c>
      <c r="K70" s="253" t="str">
        <f t="shared" si="64"/>
        <v>0,00</v>
      </c>
      <c r="L70" s="253" t="str">
        <f t="shared" si="64"/>
        <v>0,00</v>
      </c>
      <c r="M70" s="253" t="str">
        <f t="shared" si="64"/>
        <v>0,00</v>
      </c>
      <c r="N70" s="245" t="e">
        <f>+N68/N69</f>
        <v>#DIV/0!</v>
      </c>
    </row>
    <row r="71" spans="1:14" x14ac:dyDescent="0.35">
      <c r="A71" s="250" t="s">
        <v>96</v>
      </c>
      <c r="B71" s="87">
        <v>4.7</v>
      </c>
      <c r="C71" s="87">
        <f>+B71</f>
        <v>4.7</v>
      </c>
      <c r="D71" s="87">
        <f t="shared" ref="D71:M71" si="65">+C71</f>
        <v>4.7</v>
      </c>
      <c r="E71" s="87">
        <f t="shared" si="65"/>
        <v>4.7</v>
      </c>
      <c r="F71" s="87">
        <f t="shared" si="65"/>
        <v>4.7</v>
      </c>
      <c r="G71" s="87">
        <f t="shared" si="65"/>
        <v>4.7</v>
      </c>
      <c r="H71" s="87">
        <f t="shared" si="65"/>
        <v>4.7</v>
      </c>
      <c r="I71" s="87">
        <f t="shared" si="65"/>
        <v>4.7</v>
      </c>
      <c r="J71" s="87">
        <f t="shared" si="65"/>
        <v>4.7</v>
      </c>
      <c r="K71" s="87">
        <f t="shared" si="65"/>
        <v>4.7</v>
      </c>
      <c r="L71" s="87">
        <f t="shared" si="65"/>
        <v>4.7</v>
      </c>
      <c r="M71" s="87">
        <f t="shared" si="65"/>
        <v>4.7</v>
      </c>
      <c r="N71" s="245"/>
    </row>
    <row r="72" spans="1:14" ht="12" thickBot="1" x14ac:dyDescent="0.4">
      <c r="A72" s="251" t="s">
        <v>97</v>
      </c>
      <c r="B72" s="88">
        <v>0</v>
      </c>
      <c r="C72" s="88">
        <v>0</v>
      </c>
      <c r="D72" s="88">
        <v>0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245"/>
    </row>
    <row r="73" spans="1:14" x14ac:dyDescent="0.35">
      <c r="A73" s="233" t="s">
        <v>383</v>
      </c>
      <c r="B73" s="242">
        <f>+B76+B81+B86+B91+B96+B101</f>
        <v>0</v>
      </c>
      <c r="C73" s="242">
        <f t="shared" ref="C73:M74" si="66">+C76+C81+C86+C91+C96+C101</f>
        <v>0</v>
      </c>
      <c r="D73" s="242">
        <f t="shared" si="66"/>
        <v>0</v>
      </c>
      <c r="E73" s="242">
        <f t="shared" si="66"/>
        <v>0</v>
      </c>
      <c r="F73" s="242">
        <f t="shared" si="66"/>
        <v>0</v>
      </c>
      <c r="G73" s="242">
        <f t="shared" si="66"/>
        <v>0</v>
      </c>
      <c r="H73" s="242">
        <f t="shared" si="66"/>
        <v>0</v>
      </c>
      <c r="I73" s="242">
        <f t="shared" si="66"/>
        <v>0</v>
      </c>
      <c r="J73" s="242">
        <f t="shared" si="66"/>
        <v>0</v>
      </c>
      <c r="K73" s="242">
        <f t="shared" si="66"/>
        <v>0</v>
      </c>
      <c r="L73" s="242">
        <f t="shared" si="66"/>
        <v>0</v>
      </c>
      <c r="M73" s="242">
        <f t="shared" si="66"/>
        <v>0</v>
      </c>
      <c r="N73" s="243">
        <f>SUM(B73:M73)</f>
        <v>0</v>
      </c>
    </row>
    <row r="74" spans="1:14" x14ac:dyDescent="0.35">
      <c r="A74" s="234" t="s">
        <v>93</v>
      </c>
      <c r="B74" s="83">
        <f>+B77+B82+B87+B92+B97+B102</f>
        <v>5.5750000000000002</v>
      </c>
      <c r="C74" s="83">
        <f t="shared" si="66"/>
        <v>5.5750000000000002</v>
      </c>
      <c r="D74" s="83">
        <f t="shared" si="66"/>
        <v>5.5750000000000002</v>
      </c>
      <c r="E74" s="83">
        <f t="shared" si="66"/>
        <v>5.5750000000000002</v>
      </c>
      <c r="F74" s="83">
        <f t="shared" si="66"/>
        <v>5.5750000000000002</v>
      </c>
      <c r="G74" s="83">
        <f t="shared" si="66"/>
        <v>5.5750000000000002</v>
      </c>
      <c r="H74" s="83">
        <f t="shared" si="66"/>
        <v>5.5750000000000002</v>
      </c>
      <c r="I74" s="83">
        <f t="shared" si="66"/>
        <v>5.5750000000000002</v>
      </c>
      <c r="J74" s="83">
        <f t="shared" si="66"/>
        <v>5.5750000000000002</v>
      </c>
      <c r="K74" s="83">
        <f t="shared" si="66"/>
        <v>5.5750000000000002</v>
      </c>
      <c r="L74" s="83">
        <f t="shared" si="66"/>
        <v>5.5750000000000002</v>
      </c>
      <c r="M74" s="83">
        <f t="shared" si="66"/>
        <v>5.5750000000000002</v>
      </c>
      <c r="N74" s="248">
        <f>+M74</f>
        <v>5.5750000000000002</v>
      </c>
    </row>
    <row r="75" spans="1:14" x14ac:dyDescent="0.35">
      <c r="A75" s="234" t="s">
        <v>94</v>
      </c>
      <c r="B75" s="83">
        <f t="shared" ref="B75:N75" si="67">+B73/B74</f>
        <v>0</v>
      </c>
      <c r="C75" s="83">
        <f t="shared" si="67"/>
        <v>0</v>
      </c>
      <c r="D75" s="83">
        <f t="shared" si="67"/>
        <v>0</v>
      </c>
      <c r="E75" s="83">
        <f t="shared" si="67"/>
        <v>0</v>
      </c>
      <c r="F75" s="83">
        <f t="shared" si="67"/>
        <v>0</v>
      </c>
      <c r="G75" s="83">
        <f t="shared" si="67"/>
        <v>0</v>
      </c>
      <c r="H75" s="83">
        <f t="shared" si="67"/>
        <v>0</v>
      </c>
      <c r="I75" s="83">
        <f t="shared" si="67"/>
        <v>0</v>
      </c>
      <c r="J75" s="83">
        <f t="shared" si="67"/>
        <v>0</v>
      </c>
      <c r="K75" s="83">
        <f t="shared" si="67"/>
        <v>0</v>
      </c>
      <c r="L75" s="83">
        <f t="shared" si="67"/>
        <v>0</v>
      </c>
      <c r="M75" s="83">
        <f t="shared" si="67"/>
        <v>0</v>
      </c>
      <c r="N75" s="249">
        <f t="shared" si="67"/>
        <v>0</v>
      </c>
    </row>
    <row r="76" spans="1:14" x14ac:dyDescent="0.35">
      <c r="A76" s="235" t="s">
        <v>90</v>
      </c>
      <c r="B76" s="80">
        <f>(B80*B79)</f>
        <v>0</v>
      </c>
      <c r="C76" s="80">
        <f t="shared" ref="C76:M76" si="68">(C78*C77)</f>
        <v>0</v>
      </c>
      <c r="D76" s="80">
        <f t="shared" si="68"/>
        <v>0</v>
      </c>
      <c r="E76" s="80">
        <f t="shared" si="68"/>
        <v>0</v>
      </c>
      <c r="F76" s="80">
        <f t="shared" si="68"/>
        <v>0</v>
      </c>
      <c r="G76" s="80">
        <f t="shared" si="68"/>
        <v>0</v>
      </c>
      <c r="H76" s="80">
        <f t="shared" si="68"/>
        <v>0</v>
      </c>
      <c r="I76" s="80">
        <f t="shared" si="68"/>
        <v>0</v>
      </c>
      <c r="J76" s="80">
        <f t="shared" si="68"/>
        <v>0</v>
      </c>
      <c r="K76" s="80">
        <f t="shared" si="68"/>
        <v>0</v>
      </c>
      <c r="L76" s="80">
        <f t="shared" si="68"/>
        <v>0</v>
      </c>
      <c r="M76" s="80">
        <f t="shared" si="68"/>
        <v>0</v>
      </c>
      <c r="N76" s="244">
        <f>SUM(B76:M76)</f>
        <v>0</v>
      </c>
    </row>
    <row r="77" spans="1:14" x14ac:dyDescent="0.35">
      <c r="A77" s="238" t="s">
        <v>93</v>
      </c>
      <c r="B77" s="239">
        <f>+'Plan de culture 106'!$J$7</f>
        <v>0</v>
      </c>
      <c r="C77" s="239">
        <f>+B77</f>
        <v>0</v>
      </c>
      <c r="D77" s="239">
        <f t="shared" ref="D77" si="69">+C77</f>
        <v>0</v>
      </c>
      <c r="E77" s="239">
        <f>+D77</f>
        <v>0</v>
      </c>
      <c r="F77" s="239">
        <f>+E77</f>
        <v>0</v>
      </c>
      <c r="G77" s="239">
        <f>+F77</f>
        <v>0</v>
      </c>
      <c r="H77" s="239">
        <f t="shared" ref="H77:M77" si="70">+G77</f>
        <v>0</v>
      </c>
      <c r="I77" s="239">
        <f t="shared" si="70"/>
        <v>0</v>
      </c>
      <c r="J77" s="239">
        <f t="shared" si="70"/>
        <v>0</v>
      </c>
      <c r="K77" s="239">
        <f t="shared" si="70"/>
        <v>0</v>
      </c>
      <c r="L77" s="239">
        <f t="shared" si="70"/>
        <v>0</v>
      </c>
      <c r="M77" s="239">
        <f t="shared" si="70"/>
        <v>0</v>
      </c>
      <c r="N77" s="240">
        <f>+'Plan de culture 106'!$J$7</f>
        <v>0</v>
      </c>
    </row>
    <row r="78" spans="1:14" x14ac:dyDescent="0.35">
      <c r="A78" s="238" t="s">
        <v>94</v>
      </c>
      <c r="B78" s="253" t="str">
        <f>IFERROR((B80*B79)/B77,"0,00")</f>
        <v>0,00</v>
      </c>
      <c r="C78" s="253" t="str">
        <f t="shared" ref="C78:M78" si="71">IFERROR((C80*C79)/C77,"0,00")</f>
        <v>0,00</v>
      </c>
      <c r="D78" s="253" t="str">
        <f t="shared" si="71"/>
        <v>0,00</v>
      </c>
      <c r="E78" s="253" t="str">
        <f t="shared" si="71"/>
        <v>0,00</v>
      </c>
      <c r="F78" s="253" t="str">
        <f t="shared" si="71"/>
        <v>0,00</v>
      </c>
      <c r="G78" s="253" t="str">
        <f t="shared" si="71"/>
        <v>0,00</v>
      </c>
      <c r="H78" s="253" t="str">
        <f t="shared" si="71"/>
        <v>0,00</v>
      </c>
      <c r="I78" s="253" t="str">
        <f t="shared" si="71"/>
        <v>0,00</v>
      </c>
      <c r="J78" s="253" t="str">
        <f t="shared" si="71"/>
        <v>0,00</v>
      </c>
      <c r="K78" s="253" t="str">
        <f t="shared" si="71"/>
        <v>0,00</v>
      </c>
      <c r="L78" s="253" t="str">
        <f t="shared" si="71"/>
        <v>0,00</v>
      </c>
      <c r="M78" s="253" t="str">
        <f t="shared" si="71"/>
        <v>0,00</v>
      </c>
      <c r="N78" s="245" t="e">
        <f>+N76/N77</f>
        <v>#DIV/0!</v>
      </c>
    </row>
    <row r="79" spans="1:14" x14ac:dyDescent="0.35">
      <c r="A79" s="250" t="s">
        <v>96</v>
      </c>
      <c r="B79" s="87">
        <v>4.7</v>
      </c>
      <c r="C79" s="87">
        <f>+B79</f>
        <v>4.7</v>
      </c>
      <c r="D79" s="87">
        <f t="shared" ref="D79:M79" si="72">+C79</f>
        <v>4.7</v>
      </c>
      <c r="E79" s="87">
        <f t="shared" si="72"/>
        <v>4.7</v>
      </c>
      <c r="F79" s="87">
        <f t="shared" si="72"/>
        <v>4.7</v>
      </c>
      <c r="G79" s="87">
        <f t="shared" si="72"/>
        <v>4.7</v>
      </c>
      <c r="H79" s="87">
        <f t="shared" si="72"/>
        <v>4.7</v>
      </c>
      <c r="I79" s="87">
        <f t="shared" si="72"/>
        <v>4.7</v>
      </c>
      <c r="J79" s="87">
        <f t="shared" si="72"/>
        <v>4.7</v>
      </c>
      <c r="K79" s="87">
        <f t="shared" si="72"/>
        <v>4.7</v>
      </c>
      <c r="L79" s="87">
        <f t="shared" si="72"/>
        <v>4.7</v>
      </c>
      <c r="M79" s="87">
        <f t="shared" si="72"/>
        <v>4.7</v>
      </c>
      <c r="N79" s="245"/>
    </row>
    <row r="80" spans="1:14" x14ac:dyDescent="0.35">
      <c r="A80" s="250" t="s">
        <v>97</v>
      </c>
      <c r="B80" s="88">
        <v>0</v>
      </c>
      <c r="C80" s="88">
        <v>318000</v>
      </c>
      <c r="D80" s="88">
        <v>0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245"/>
    </row>
    <row r="81" spans="1:14" x14ac:dyDescent="0.35">
      <c r="A81" s="235" t="s">
        <v>91</v>
      </c>
      <c r="B81" s="80">
        <f>(B83*B82)</f>
        <v>0</v>
      </c>
      <c r="C81" s="80">
        <f t="shared" ref="C81:M81" si="73">(C83*C82)</f>
        <v>0</v>
      </c>
      <c r="D81" s="80">
        <f t="shared" si="73"/>
        <v>0</v>
      </c>
      <c r="E81" s="80">
        <f t="shared" si="73"/>
        <v>0</v>
      </c>
      <c r="F81" s="80">
        <f t="shared" si="73"/>
        <v>0</v>
      </c>
      <c r="G81" s="80">
        <f t="shared" si="73"/>
        <v>0</v>
      </c>
      <c r="H81" s="80">
        <f t="shared" si="73"/>
        <v>0</v>
      </c>
      <c r="I81" s="80">
        <f t="shared" si="73"/>
        <v>0</v>
      </c>
      <c r="J81" s="80">
        <f t="shared" si="73"/>
        <v>0</v>
      </c>
      <c r="K81" s="80">
        <f t="shared" si="73"/>
        <v>0</v>
      </c>
      <c r="L81" s="80">
        <f t="shared" si="73"/>
        <v>0</v>
      </c>
      <c r="M81" s="80">
        <f t="shared" si="73"/>
        <v>0</v>
      </c>
      <c r="N81" s="244">
        <f>SUM(B81:M81)</f>
        <v>0</v>
      </c>
    </row>
    <row r="82" spans="1:14" x14ac:dyDescent="0.35">
      <c r="A82" s="238" t="s">
        <v>93</v>
      </c>
      <c r="B82" s="239">
        <f>+'Plan de culture 106'!$J$13</f>
        <v>0</v>
      </c>
      <c r="C82" s="239">
        <f>+B82</f>
        <v>0</v>
      </c>
      <c r="D82" s="239">
        <f t="shared" ref="D82:M82" si="74">+C82</f>
        <v>0</v>
      </c>
      <c r="E82" s="239">
        <f t="shared" si="74"/>
        <v>0</v>
      </c>
      <c r="F82" s="239">
        <f t="shared" si="74"/>
        <v>0</v>
      </c>
      <c r="G82" s="239">
        <f t="shared" si="74"/>
        <v>0</v>
      </c>
      <c r="H82" s="239">
        <f t="shared" si="74"/>
        <v>0</v>
      </c>
      <c r="I82" s="239">
        <f t="shared" si="74"/>
        <v>0</v>
      </c>
      <c r="J82" s="239">
        <f t="shared" si="74"/>
        <v>0</v>
      </c>
      <c r="K82" s="239">
        <f t="shared" si="74"/>
        <v>0</v>
      </c>
      <c r="L82" s="239">
        <f t="shared" si="74"/>
        <v>0</v>
      </c>
      <c r="M82" s="239">
        <f t="shared" si="74"/>
        <v>0</v>
      </c>
      <c r="N82" s="240">
        <f>+'Plan de culture 106'!$J$13</f>
        <v>0</v>
      </c>
    </row>
    <row r="83" spans="1:14" x14ac:dyDescent="0.35">
      <c r="A83" s="238" t="s">
        <v>94</v>
      </c>
      <c r="B83" s="253" t="str">
        <f>IFERROR((B85*B84)/B82,"0,00")</f>
        <v>0,00</v>
      </c>
      <c r="C83" s="253" t="str">
        <f t="shared" ref="C83:M83" si="75">IFERROR((C85*C84)/C82,"0,00")</f>
        <v>0,00</v>
      </c>
      <c r="D83" s="253" t="str">
        <f t="shared" si="75"/>
        <v>0,00</v>
      </c>
      <c r="E83" s="253" t="str">
        <f t="shared" si="75"/>
        <v>0,00</v>
      </c>
      <c r="F83" s="253" t="str">
        <f t="shared" si="75"/>
        <v>0,00</v>
      </c>
      <c r="G83" s="253" t="str">
        <f t="shared" si="75"/>
        <v>0,00</v>
      </c>
      <c r="H83" s="253" t="str">
        <f t="shared" si="75"/>
        <v>0,00</v>
      </c>
      <c r="I83" s="253" t="str">
        <f t="shared" si="75"/>
        <v>0,00</v>
      </c>
      <c r="J83" s="253" t="str">
        <f t="shared" si="75"/>
        <v>0,00</v>
      </c>
      <c r="K83" s="253" t="str">
        <f t="shared" si="75"/>
        <v>0,00</v>
      </c>
      <c r="L83" s="253" t="str">
        <f t="shared" si="75"/>
        <v>0,00</v>
      </c>
      <c r="M83" s="253" t="str">
        <f t="shared" si="75"/>
        <v>0,00</v>
      </c>
      <c r="N83" s="245" t="e">
        <f>+N81/N82</f>
        <v>#DIV/0!</v>
      </c>
    </row>
    <row r="84" spans="1:14" x14ac:dyDescent="0.35">
      <c r="A84" s="250" t="s">
        <v>96</v>
      </c>
      <c r="B84" s="87">
        <v>4.7</v>
      </c>
      <c r="C84" s="87">
        <f>+B84</f>
        <v>4.7</v>
      </c>
      <c r="D84" s="87">
        <f t="shared" ref="D84:M84" si="76">+C84</f>
        <v>4.7</v>
      </c>
      <c r="E84" s="87">
        <f t="shared" si="76"/>
        <v>4.7</v>
      </c>
      <c r="F84" s="87">
        <f t="shared" si="76"/>
        <v>4.7</v>
      </c>
      <c r="G84" s="87">
        <f t="shared" si="76"/>
        <v>4.7</v>
      </c>
      <c r="H84" s="87">
        <f t="shared" si="76"/>
        <v>4.7</v>
      </c>
      <c r="I84" s="87">
        <f t="shared" si="76"/>
        <v>4.7</v>
      </c>
      <c r="J84" s="87">
        <f t="shared" si="76"/>
        <v>4.7</v>
      </c>
      <c r="K84" s="87">
        <f t="shared" si="76"/>
        <v>4.7</v>
      </c>
      <c r="L84" s="87">
        <f t="shared" si="76"/>
        <v>4.7</v>
      </c>
      <c r="M84" s="87">
        <f t="shared" si="76"/>
        <v>4.7</v>
      </c>
      <c r="N84" s="245"/>
    </row>
    <row r="85" spans="1:14" x14ac:dyDescent="0.35">
      <c r="A85" s="250" t="s">
        <v>97</v>
      </c>
      <c r="B85" s="88">
        <v>0</v>
      </c>
      <c r="C85" s="88">
        <v>0</v>
      </c>
      <c r="D85" s="88">
        <v>0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245"/>
    </row>
    <row r="86" spans="1:14" x14ac:dyDescent="0.35">
      <c r="A86" s="235" t="s">
        <v>376</v>
      </c>
      <c r="B86" s="80">
        <f>(B88*B87)</f>
        <v>0</v>
      </c>
      <c r="C86" s="80">
        <f t="shared" ref="C86:M86" si="77">(C88*C87)</f>
        <v>0</v>
      </c>
      <c r="D86" s="80">
        <f t="shared" si="77"/>
        <v>0</v>
      </c>
      <c r="E86" s="80">
        <f t="shared" si="77"/>
        <v>0</v>
      </c>
      <c r="F86" s="80">
        <f t="shared" si="77"/>
        <v>0</v>
      </c>
      <c r="G86" s="80">
        <f t="shared" si="77"/>
        <v>0</v>
      </c>
      <c r="H86" s="80">
        <f t="shared" si="77"/>
        <v>0</v>
      </c>
      <c r="I86" s="80">
        <f t="shared" si="77"/>
        <v>0</v>
      </c>
      <c r="J86" s="80">
        <f t="shared" si="77"/>
        <v>0</v>
      </c>
      <c r="K86" s="80">
        <f t="shared" si="77"/>
        <v>0</v>
      </c>
      <c r="L86" s="80">
        <f t="shared" si="77"/>
        <v>0</v>
      </c>
      <c r="M86" s="80">
        <f t="shared" si="77"/>
        <v>0</v>
      </c>
      <c r="N86" s="244">
        <f>SUM(B86:M86)</f>
        <v>0</v>
      </c>
    </row>
    <row r="87" spans="1:14" x14ac:dyDescent="0.35">
      <c r="A87" s="238" t="s">
        <v>93</v>
      </c>
      <c r="B87" s="239">
        <f>+'Plan de culture 106'!$J$19</f>
        <v>5.5750000000000002</v>
      </c>
      <c r="C87" s="239">
        <f>+B87</f>
        <v>5.5750000000000002</v>
      </c>
      <c r="D87" s="239">
        <f t="shared" ref="D87:M87" si="78">+C87</f>
        <v>5.5750000000000002</v>
      </c>
      <c r="E87" s="239">
        <f t="shared" si="78"/>
        <v>5.5750000000000002</v>
      </c>
      <c r="F87" s="239">
        <f t="shared" si="78"/>
        <v>5.5750000000000002</v>
      </c>
      <c r="G87" s="239">
        <f t="shared" si="78"/>
        <v>5.5750000000000002</v>
      </c>
      <c r="H87" s="239">
        <f t="shared" si="78"/>
        <v>5.5750000000000002</v>
      </c>
      <c r="I87" s="239">
        <f t="shared" si="78"/>
        <v>5.5750000000000002</v>
      </c>
      <c r="J87" s="239">
        <f t="shared" si="78"/>
        <v>5.5750000000000002</v>
      </c>
      <c r="K87" s="239">
        <f t="shared" si="78"/>
        <v>5.5750000000000002</v>
      </c>
      <c r="L87" s="239">
        <f t="shared" si="78"/>
        <v>5.5750000000000002</v>
      </c>
      <c r="M87" s="239">
        <f t="shared" si="78"/>
        <v>5.5750000000000002</v>
      </c>
      <c r="N87" s="240">
        <f>+'Plan de culture 106'!$J$19</f>
        <v>5.5750000000000002</v>
      </c>
    </row>
    <row r="88" spans="1:14" x14ac:dyDescent="0.35">
      <c r="A88" s="238" t="s">
        <v>94</v>
      </c>
      <c r="B88" s="254">
        <f>IFERROR((B90*B89)/B87,"0,00")</f>
        <v>0</v>
      </c>
      <c r="C88" s="254">
        <f t="shared" ref="C88:M88" si="79">IFERROR((C90*C89)/C87,"0,00")</f>
        <v>0</v>
      </c>
      <c r="D88" s="254">
        <f t="shared" si="79"/>
        <v>0</v>
      </c>
      <c r="E88" s="254">
        <f t="shared" si="79"/>
        <v>0</v>
      </c>
      <c r="F88" s="254">
        <f t="shared" si="79"/>
        <v>0</v>
      </c>
      <c r="G88" s="254">
        <f t="shared" si="79"/>
        <v>0</v>
      </c>
      <c r="H88" s="254">
        <f t="shared" si="79"/>
        <v>0</v>
      </c>
      <c r="I88" s="254">
        <f t="shared" si="79"/>
        <v>0</v>
      </c>
      <c r="J88" s="254">
        <f t="shared" si="79"/>
        <v>0</v>
      </c>
      <c r="K88" s="254">
        <f t="shared" si="79"/>
        <v>0</v>
      </c>
      <c r="L88" s="254">
        <f t="shared" si="79"/>
        <v>0</v>
      </c>
      <c r="M88" s="254">
        <f t="shared" si="79"/>
        <v>0</v>
      </c>
      <c r="N88" s="245">
        <f>+N86/N87</f>
        <v>0</v>
      </c>
    </row>
    <row r="89" spans="1:14" x14ac:dyDescent="0.35">
      <c r="A89" s="250" t="s">
        <v>96</v>
      </c>
      <c r="B89" s="87">
        <v>4.7</v>
      </c>
      <c r="C89" s="87">
        <f>+B89</f>
        <v>4.7</v>
      </c>
      <c r="D89" s="87">
        <f t="shared" ref="D89:M89" si="80">+C89</f>
        <v>4.7</v>
      </c>
      <c r="E89" s="87">
        <f t="shared" si="80"/>
        <v>4.7</v>
      </c>
      <c r="F89" s="87">
        <f t="shared" si="80"/>
        <v>4.7</v>
      </c>
      <c r="G89" s="87">
        <f t="shared" si="80"/>
        <v>4.7</v>
      </c>
      <c r="H89" s="87">
        <f t="shared" si="80"/>
        <v>4.7</v>
      </c>
      <c r="I89" s="87">
        <f t="shared" si="80"/>
        <v>4.7</v>
      </c>
      <c r="J89" s="87">
        <f t="shared" si="80"/>
        <v>4.7</v>
      </c>
      <c r="K89" s="87">
        <f t="shared" si="80"/>
        <v>4.7</v>
      </c>
      <c r="L89" s="87">
        <f t="shared" si="80"/>
        <v>4.7</v>
      </c>
      <c r="M89" s="87">
        <f t="shared" si="80"/>
        <v>4.7</v>
      </c>
      <c r="N89" s="245"/>
    </row>
    <row r="90" spans="1:14" x14ac:dyDescent="0.35">
      <c r="A90" s="250" t="s">
        <v>97</v>
      </c>
      <c r="B90" s="88">
        <v>0</v>
      </c>
      <c r="C90" s="88">
        <v>0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245"/>
    </row>
    <row r="91" spans="1:14" x14ac:dyDescent="0.35">
      <c r="A91" s="235" t="s">
        <v>92</v>
      </c>
      <c r="B91" s="80">
        <f>(B93*B92)</f>
        <v>0</v>
      </c>
      <c r="C91" s="80">
        <f t="shared" ref="C91:M91" si="81">(C93*C92)</f>
        <v>0</v>
      </c>
      <c r="D91" s="80">
        <f t="shared" si="81"/>
        <v>0</v>
      </c>
      <c r="E91" s="80">
        <f t="shared" si="81"/>
        <v>0</v>
      </c>
      <c r="F91" s="80">
        <f t="shared" si="81"/>
        <v>0</v>
      </c>
      <c r="G91" s="80">
        <f t="shared" si="81"/>
        <v>0</v>
      </c>
      <c r="H91" s="80">
        <f t="shared" si="81"/>
        <v>0</v>
      </c>
      <c r="I91" s="80">
        <f t="shared" si="81"/>
        <v>0</v>
      </c>
      <c r="J91" s="80">
        <f t="shared" si="81"/>
        <v>0</v>
      </c>
      <c r="K91" s="80">
        <f t="shared" si="81"/>
        <v>0</v>
      </c>
      <c r="L91" s="80">
        <f t="shared" si="81"/>
        <v>0</v>
      </c>
      <c r="M91" s="80">
        <f t="shared" si="81"/>
        <v>0</v>
      </c>
      <c r="N91" s="244">
        <f>SUM(B91:M91)</f>
        <v>0</v>
      </c>
    </row>
    <row r="92" spans="1:14" x14ac:dyDescent="0.35">
      <c r="A92" s="238" t="s">
        <v>93</v>
      </c>
      <c r="B92" s="239">
        <f>+'Plan de culture 106'!$J$25</f>
        <v>0</v>
      </c>
      <c r="C92" s="239">
        <f>+B92</f>
        <v>0</v>
      </c>
      <c r="D92" s="239">
        <f t="shared" ref="D92" si="82">+C92</f>
        <v>0</v>
      </c>
      <c r="E92" s="239">
        <f>+'Plan de culture 104 '!C88</f>
        <v>0</v>
      </c>
      <c r="F92" s="239">
        <f>+E92+'Plan de culture 104 '!D88+'Plan de culture 104 '!E88</f>
        <v>0</v>
      </c>
      <c r="G92" s="239">
        <f>+F92</f>
        <v>0</v>
      </c>
      <c r="H92" s="239">
        <f t="shared" ref="H92:M92" si="83">+G92</f>
        <v>0</v>
      </c>
      <c r="I92" s="239">
        <f t="shared" si="83"/>
        <v>0</v>
      </c>
      <c r="J92" s="239">
        <f t="shared" si="83"/>
        <v>0</v>
      </c>
      <c r="K92" s="239">
        <f t="shared" si="83"/>
        <v>0</v>
      </c>
      <c r="L92" s="239">
        <f t="shared" si="83"/>
        <v>0</v>
      </c>
      <c r="M92" s="239">
        <f t="shared" si="83"/>
        <v>0</v>
      </c>
      <c r="N92" s="240">
        <f>+'Plan de culture 106'!$J$25</f>
        <v>0</v>
      </c>
    </row>
    <row r="93" spans="1:14" x14ac:dyDescent="0.35">
      <c r="A93" s="238" t="s">
        <v>94</v>
      </c>
      <c r="B93" s="253" t="str">
        <f>IFERROR((B95*B94)/B92,"0,00")</f>
        <v>0,00</v>
      </c>
      <c r="C93" s="253" t="str">
        <f t="shared" ref="C93:M93" si="84">IFERROR((C95*C94)/C92,"0,00")</f>
        <v>0,00</v>
      </c>
      <c r="D93" s="253" t="str">
        <f t="shared" si="84"/>
        <v>0,00</v>
      </c>
      <c r="E93" s="253" t="str">
        <f t="shared" si="84"/>
        <v>0,00</v>
      </c>
      <c r="F93" s="253" t="str">
        <f t="shared" si="84"/>
        <v>0,00</v>
      </c>
      <c r="G93" s="253" t="str">
        <f t="shared" si="84"/>
        <v>0,00</v>
      </c>
      <c r="H93" s="253" t="str">
        <f t="shared" si="84"/>
        <v>0,00</v>
      </c>
      <c r="I93" s="253" t="str">
        <f t="shared" si="84"/>
        <v>0,00</v>
      </c>
      <c r="J93" s="253" t="str">
        <f t="shared" si="84"/>
        <v>0,00</v>
      </c>
      <c r="K93" s="253" t="str">
        <f t="shared" si="84"/>
        <v>0,00</v>
      </c>
      <c r="L93" s="253" t="str">
        <f t="shared" si="84"/>
        <v>0,00</v>
      </c>
      <c r="M93" s="253" t="str">
        <f t="shared" si="84"/>
        <v>0,00</v>
      </c>
      <c r="N93" s="245" t="e">
        <f>+N91/N92</f>
        <v>#DIV/0!</v>
      </c>
    </row>
    <row r="94" spans="1:14" x14ac:dyDescent="0.35">
      <c r="A94" s="250" t="s">
        <v>96</v>
      </c>
      <c r="B94" s="87">
        <v>4.7</v>
      </c>
      <c r="C94" s="87">
        <f>+B94</f>
        <v>4.7</v>
      </c>
      <c r="D94" s="87">
        <f t="shared" ref="D94:M94" si="85">+C94</f>
        <v>4.7</v>
      </c>
      <c r="E94" s="87">
        <f t="shared" si="85"/>
        <v>4.7</v>
      </c>
      <c r="F94" s="87">
        <f t="shared" si="85"/>
        <v>4.7</v>
      </c>
      <c r="G94" s="87">
        <f t="shared" si="85"/>
        <v>4.7</v>
      </c>
      <c r="H94" s="87">
        <f t="shared" si="85"/>
        <v>4.7</v>
      </c>
      <c r="I94" s="87">
        <f t="shared" si="85"/>
        <v>4.7</v>
      </c>
      <c r="J94" s="87">
        <f t="shared" si="85"/>
        <v>4.7</v>
      </c>
      <c r="K94" s="87">
        <f t="shared" si="85"/>
        <v>4.7</v>
      </c>
      <c r="L94" s="87">
        <f t="shared" si="85"/>
        <v>4.7</v>
      </c>
      <c r="M94" s="87">
        <f t="shared" si="85"/>
        <v>4.7</v>
      </c>
      <c r="N94" s="245"/>
    </row>
    <row r="95" spans="1:14" x14ac:dyDescent="0.35">
      <c r="A95" s="250" t="s">
        <v>97</v>
      </c>
      <c r="B95" s="88">
        <v>0</v>
      </c>
      <c r="C95" s="88">
        <v>0</v>
      </c>
      <c r="D95" s="88">
        <v>0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245"/>
    </row>
    <row r="96" spans="1:14" x14ac:dyDescent="0.35">
      <c r="A96" s="235" t="s">
        <v>377</v>
      </c>
      <c r="B96" s="80">
        <f>(B98*B97)</f>
        <v>0</v>
      </c>
      <c r="C96" s="80">
        <f t="shared" ref="C96:M96" si="86">(C98*C97)</f>
        <v>0</v>
      </c>
      <c r="D96" s="80">
        <f t="shared" si="86"/>
        <v>0</v>
      </c>
      <c r="E96" s="80">
        <f t="shared" si="86"/>
        <v>0</v>
      </c>
      <c r="F96" s="80">
        <f t="shared" si="86"/>
        <v>0</v>
      </c>
      <c r="G96" s="80">
        <f t="shared" si="86"/>
        <v>0</v>
      </c>
      <c r="H96" s="80">
        <f t="shared" si="86"/>
        <v>0</v>
      </c>
      <c r="I96" s="80">
        <f t="shared" si="86"/>
        <v>0</v>
      </c>
      <c r="J96" s="80">
        <f t="shared" si="86"/>
        <v>0</v>
      </c>
      <c r="K96" s="80">
        <f t="shared" si="86"/>
        <v>0</v>
      </c>
      <c r="L96" s="80">
        <f t="shared" si="86"/>
        <v>0</v>
      </c>
      <c r="M96" s="80">
        <f t="shared" si="86"/>
        <v>0</v>
      </c>
      <c r="N96" s="244">
        <f>SUM(B96:M96)</f>
        <v>0</v>
      </c>
    </row>
    <row r="97" spans="1:14" x14ac:dyDescent="0.35">
      <c r="A97" s="238" t="s">
        <v>93</v>
      </c>
      <c r="B97" s="239">
        <f>+'Plan de culture 106'!$J$31</f>
        <v>0</v>
      </c>
      <c r="C97" s="239">
        <f>+B97</f>
        <v>0</v>
      </c>
      <c r="D97" s="239">
        <f t="shared" ref="D97" si="87">+C97</f>
        <v>0</v>
      </c>
      <c r="E97" s="239">
        <f>+'Plan de culture 104 '!C93</f>
        <v>0</v>
      </c>
      <c r="F97" s="239">
        <f>+E97+'Plan de culture 104 '!D93+'Plan de culture 104 '!E93</f>
        <v>0</v>
      </c>
      <c r="G97" s="239">
        <f>+F97</f>
        <v>0</v>
      </c>
      <c r="H97" s="239">
        <f t="shared" ref="H97:M97" si="88">+G97</f>
        <v>0</v>
      </c>
      <c r="I97" s="239">
        <f t="shared" si="88"/>
        <v>0</v>
      </c>
      <c r="J97" s="239">
        <f t="shared" si="88"/>
        <v>0</v>
      </c>
      <c r="K97" s="239">
        <f t="shared" si="88"/>
        <v>0</v>
      </c>
      <c r="L97" s="239">
        <f t="shared" si="88"/>
        <v>0</v>
      </c>
      <c r="M97" s="239">
        <f t="shared" si="88"/>
        <v>0</v>
      </c>
      <c r="N97" s="240">
        <f>+'Plan de culture 106'!$J$31</f>
        <v>0</v>
      </c>
    </row>
    <row r="98" spans="1:14" x14ac:dyDescent="0.35">
      <c r="A98" s="238" t="s">
        <v>94</v>
      </c>
      <c r="B98" s="253" t="str">
        <f>IFERROR((B100*B99)/B97,"0,00")</f>
        <v>0,00</v>
      </c>
      <c r="C98" s="253" t="str">
        <f t="shared" ref="C98:M98" si="89">IFERROR((C100*C99)/C97,"0,00")</f>
        <v>0,00</v>
      </c>
      <c r="D98" s="253" t="str">
        <f t="shared" si="89"/>
        <v>0,00</v>
      </c>
      <c r="E98" s="253" t="str">
        <f t="shared" si="89"/>
        <v>0,00</v>
      </c>
      <c r="F98" s="253" t="str">
        <f t="shared" si="89"/>
        <v>0,00</v>
      </c>
      <c r="G98" s="253" t="str">
        <f t="shared" si="89"/>
        <v>0,00</v>
      </c>
      <c r="H98" s="253" t="str">
        <f t="shared" si="89"/>
        <v>0,00</v>
      </c>
      <c r="I98" s="253" t="str">
        <f t="shared" si="89"/>
        <v>0,00</v>
      </c>
      <c r="J98" s="253" t="str">
        <f t="shared" si="89"/>
        <v>0,00</v>
      </c>
      <c r="K98" s="253" t="str">
        <f t="shared" si="89"/>
        <v>0,00</v>
      </c>
      <c r="L98" s="253" t="str">
        <f t="shared" si="89"/>
        <v>0,00</v>
      </c>
      <c r="M98" s="253" t="str">
        <f t="shared" si="89"/>
        <v>0,00</v>
      </c>
      <c r="N98" s="245" t="e">
        <f>+N96/N97</f>
        <v>#DIV/0!</v>
      </c>
    </row>
    <row r="99" spans="1:14" x14ac:dyDescent="0.35">
      <c r="A99" s="250" t="s">
        <v>96</v>
      </c>
      <c r="B99" s="87">
        <v>4.7</v>
      </c>
      <c r="C99" s="87">
        <f>+B99</f>
        <v>4.7</v>
      </c>
      <c r="D99" s="87">
        <f t="shared" ref="D99:M99" si="90">+C99</f>
        <v>4.7</v>
      </c>
      <c r="E99" s="87">
        <f t="shared" si="90"/>
        <v>4.7</v>
      </c>
      <c r="F99" s="87">
        <f t="shared" si="90"/>
        <v>4.7</v>
      </c>
      <c r="G99" s="87">
        <f t="shared" si="90"/>
        <v>4.7</v>
      </c>
      <c r="H99" s="87">
        <f t="shared" si="90"/>
        <v>4.7</v>
      </c>
      <c r="I99" s="87">
        <f t="shared" si="90"/>
        <v>4.7</v>
      </c>
      <c r="J99" s="87">
        <f t="shared" si="90"/>
        <v>4.7</v>
      </c>
      <c r="K99" s="87">
        <f t="shared" si="90"/>
        <v>4.7</v>
      </c>
      <c r="L99" s="87">
        <f t="shared" si="90"/>
        <v>4.7</v>
      </c>
      <c r="M99" s="87">
        <f t="shared" si="90"/>
        <v>4.7</v>
      </c>
      <c r="N99" s="245"/>
    </row>
    <row r="100" spans="1:14" x14ac:dyDescent="0.35">
      <c r="A100" s="250" t="s">
        <v>97</v>
      </c>
      <c r="B100" s="88">
        <v>0</v>
      </c>
      <c r="C100" s="88">
        <v>0</v>
      </c>
      <c r="D100" s="88">
        <v>0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245"/>
    </row>
    <row r="101" spans="1:14" x14ac:dyDescent="0.35">
      <c r="A101" s="235" t="s">
        <v>378</v>
      </c>
      <c r="B101" s="80">
        <f>(B103*B102)</f>
        <v>0</v>
      </c>
      <c r="C101" s="80">
        <f t="shared" ref="C101:M101" si="91">(C103*C102)</f>
        <v>0</v>
      </c>
      <c r="D101" s="80">
        <f t="shared" si="91"/>
        <v>0</v>
      </c>
      <c r="E101" s="80">
        <f t="shared" si="91"/>
        <v>0</v>
      </c>
      <c r="F101" s="80">
        <f t="shared" si="91"/>
        <v>0</v>
      </c>
      <c r="G101" s="80">
        <f t="shared" si="91"/>
        <v>0</v>
      </c>
      <c r="H101" s="80">
        <f t="shared" si="91"/>
        <v>0</v>
      </c>
      <c r="I101" s="80">
        <f t="shared" si="91"/>
        <v>0</v>
      </c>
      <c r="J101" s="80">
        <f t="shared" si="91"/>
        <v>0</v>
      </c>
      <c r="K101" s="80">
        <f t="shared" si="91"/>
        <v>0</v>
      </c>
      <c r="L101" s="80">
        <f t="shared" si="91"/>
        <v>0</v>
      </c>
      <c r="M101" s="80">
        <f t="shared" si="91"/>
        <v>0</v>
      </c>
      <c r="N101" s="244">
        <f>SUM(B101:M101)</f>
        <v>0</v>
      </c>
    </row>
    <row r="102" spans="1:14" x14ac:dyDescent="0.35">
      <c r="A102" s="238" t="s">
        <v>93</v>
      </c>
      <c r="B102" s="239">
        <f>+'Plan de culture 106'!$J$37</f>
        <v>0</v>
      </c>
      <c r="C102" s="239">
        <f>+B102</f>
        <v>0</v>
      </c>
      <c r="D102" s="239">
        <f t="shared" ref="D102" si="92">+C102</f>
        <v>0</v>
      </c>
      <c r="E102" s="239">
        <f>+'Plan de culture 104 '!C98</f>
        <v>0</v>
      </c>
      <c r="F102" s="239">
        <f>+E102+'Plan de culture 104 '!D98+'Plan de culture 104 '!E98</f>
        <v>0</v>
      </c>
      <c r="G102" s="239">
        <f>+F102</f>
        <v>0</v>
      </c>
      <c r="H102" s="239">
        <f t="shared" ref="H102:M102" si="93">+G102</f>
        <v>0</v>
      </c>
      <c r="I102" s="239">
        <f t="shared" si="93"/>
        <v>0</v>
      </c>
      <c r="J102" s="239">
        <f t="shared" si="93"/>
        <v>0</v>
      </c>
      <c r="K102" s="239">
        <f t="shared" si="93"/>
        <v>0</v>
      </c>
      <c r="L102" s="239">
        <f t="shared" si="93"/>
        <v>0</v>
      </c>
      <c r="M102" s="239">
        <f t="shared" si="93"/>
        <v>0</v>
      </c>
      <c r="N102" s="240">
        <f>+'Plan de culture 106'!$J$37</f>
        <v>0</v>
      </c>
    </row>
    <row r="103" spans="1:14" x14ac:dyDescent="0.35">
      <c r="A103" s="238" t="s">
        <v>94</v>
      </c>
      <c r="B103" s="253" t="str">
        <f>IFERROR((B105*B104)/B102,"0,00")</f>
        <v>0,00</v>
      </c>
      <c r="C103" s="253" t="str">
        <f t="shared" ref="C103:M103" si="94">IFERROR((C105*C104)/C102,"0,00")</f>
        <v>0,00</v>
      </c>
      <c r="D103" s="253" t="str">
        <f t="shared" si="94"/>
        <v>0,00</v>
      </c>
      <c r="E103" s="253" t="str">
        <f t="shared" si="94"/>
        <v>0,00</v>
      </c>
      <c r="F103" s="253" t="str">
        <f t="shared" si="94"/>
        <v>0,00</v>
      </c>
      <c r="G103" s="253" t="str">
        <f t="shared" si="94"/>
        <v>0,00</v>
      </c>
      <c r="H103" s="253" t="str">
        <f t="shared" si="94"/>
        <v>0,00</v>
      </c>
      <c r="I103" s="253" t="str">
        <f t="shared" si="94"/>
        <v>0,00</v>
      </c>
      <c r="J103" s="253" t="str">
        <f t="shared" si="94"/>
        <v>0,00</v>
      </c>
      <c r="K103" s="253" t="str">
        <f t="shared" si="94"/>
        <v>0,00</v>
      </c>
      <c r="L103" s="253" t="str">
        <f t="shared" si="94"/>
        <v>0,00</v>
      </c>
      <c r="M103" s="253" t="str">
        <f t="shared" si="94"/>
        <v>0,00</v>
      </c>
      <c r="N103" s="245" t="e">
        <f>+N101/N102</f>
        <v>#DIV/0!</v>
      </c>
    </row>
    <row r="104" spans="1:14" x14ac:dyDescent="0.35">
      <c r="A104" s="250" t="s">
        <v>96</v>
      </c>
      <c r="B104" s="87">
        <v>4.7</v>
      </c>
      <c r="C104" s="87">
        <f>+B104</f>
        <v>4.7</v>
      </c>
      <c r="D104" s="87">
        <f t="shared" ref="D104:M104" si="95">+C104</f>
        <v>4.7</v>
      </c>
      <c r="E104" s="87">
        <f t="shared" si="95"/>
        <v>4.7</v>
      </c>
      <c r="F104" s="87">
        <f t="shared" si="95"/>
        <v>4.7</v>
      </c>
      <c r="G104" s="87">
        <f t="shared" si="95"/>
        <v>4.7</v>
      </c>
      <c r="H104" s="87">
        <f t="shared" si="95"/>
        <v>4.7</v>
      </c>
      <c r="I104" s="87">
        <f t="shared" si="95"/>
        <v>4.7</v>
      </c>
      <c r="J104" s="87">
        <f t="shared" si="95"/>
        <v>4.7</v>
      </c>
      <c r="K104" s="87">
        <f t="shared" si="95"/>
        <v>4.7</v>
      </c>
      <c r="L104" s="87">
        <f t="shared" si="95"/>
        <v>4.7</v>
      </c>
      <c r="M104" s="87">
        <f t="shared" si="95"/>
        <v>4.7</v>
      </c>
      <c r="N104" s="245"/>
    </row>
    <row r="105" spans="1:14" ht="12" thickBot="1" x14ac:dyDescent="0.4">
      <c r="A105" s="251" t="s">
        <v>97</v>
      </c>
      <c r="B105" s="88">
        <v>0</v>
      </c>
      <c r="C105" s="88">
        <v>0</v>
      </c>
      <c r="D105" s="88">
        <v>0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245"/>
    </row>
    <row r="106" spans="1:14" x14ac:dyDescent="0.35">
      <c r="A106" s="233" t="s">
        <v>384</v>
      </c>
      <c r="B106" s="242">
        <f>+B109+B114+B119+B124+B129+B134</f>
        <v>0</v>
      </c>
      <c r="C106" s="242">
        <f t="shared" ref="C106:M107" si="96">+C109+C114+C119+C124+C129+C134</f>
        <v>0</v>
      </c>
      <c r="D106" s="242">
        <f t="shared" si="96"/>
        <v>0</v>
      </c>
      <c r="E106" s="242">
        <f t="shared" si="96"/>
        <v>0</v>
      </c>
      <c r="F106" s="242">
        <f t="shared" si="96"/>
        <v>0</v>
      </c>
      <c r="G106" s="242">
        <f t="shared" si="96"/>
        <v>0</v>
      </c>
      <c r="H106" s="242">
        <f t="shared" si="96"/>
        <v>0</v>
      </c>
      <c r="I106" s="242">
        <f t="shared" si="96"/>
        <v>0</v>
      </c>
      <c r="J106" s="242">
        <f t="shared" si="96"/>
        <v>0</v>
      </c>
      <c r="K106" s="242">
        <f t="shared" si="96"/>
        <v>0</v>
      </c>
      <c r="L106" s="242">
        <f t="shared" si="96"/>
        <v>0</v>
      </c>
      <c r="M106" s="242">
        <f t="shared" si="96"/>
        <v>0</v>
      </c>
      <c r="N106" s="243">
        <f>SUM(B106:M106)</f>
        <v>0</v>
      </c>
    </row>
    <row r="107" spans="1:14" x14ac:dyDescent="0.35">
      <c r="A107" s="234" t="s">
        <v>93</v>
      </c>
      <c r="B107" s="83">
        <f>+B110+B115+B120+B125+B130+B135</f>
        <v>16.558</v>
      </c>
      <c r="C107" s="83">
        <f t="shared" si="96"/>
        <v>16.558</v>
      </c>
      <c r="D107" s="83">
        <f t="shared" si="96"/>
        <v>16.558</v>
      </c>
      <c r="E107" s="83">
        <f t="shared" si="96"/>
        <v>16.558</v>
      </c>
      <c r="F107" s="83">
        <f t="shared" si="96"/>
        <v>16.558</v>
      </c>
      <c r="G107" s="83">
        <f t="shared" si="96"/>
        <v>16.558</v>
      </c>
      <c r="H107" s="83">
        <f t="shared" si="96"/>
        <v>16.558</v>
      </c>
      <c r="I107" s="83">
        <f t="shared" si="96"/>
        <v>16.558</v>
      </c>
      <c r="J107" s="83">
        <f t="shared" si="96"/>
        <v>16.558</v>
      </c>
      <c r="K107" s="83">
        <f t="shared" si="96"/>
        <v>16.558</v>
      </c>
      <c r="L107" s="83">
        <f t="shared" si="96"/>
        <v>16.558</v>
      </c>
      <c r="M107" s="83">
        <f t="shared" si="96"/>
        <v>16.558</v>
      </c>
      <c r="N107" s="248">
        <f>+M107</f>
        <v>16.558</v>
      </c>
    </row>
    <row r="108" spans="1:14" x14ac:dyDescent="0.35">
      <c r="A108" s="234" t="s">
        <v>94</v>
      </c>
      <c r="B108" s="83">
        <f t="shared" ref="B108:N108" si="97">+B106/B107</f>
        <v>0</v>
      </c>
      <c r="C108" s="83">
        <f t="shared" si="97"/>
        <v>0</v>
      </c>
      <c r="D108" s="83">
        <f t="shared" si="97"/>
        <v>0</v>
      </c>
      <c r="E108" s="83">
        <f t="shared" si="97"/>
        <v>0</v>
      </c>
      <c r="F108" s="83">
        <f t="shared" si="97"/>
        <v>0</v>
      </c>
      <c r="G108" s="83">
        <f t="shared" si="97"/>
        <v>0</v>
      </c>
      <c r="H108" s="83">
        <f t="shared" si="97"/>
        <v>0</v>
      </c>
      <c r="I108" s="83">
        <f t="shared" si="97"/>
        <v>0</v>
      </c>
      <c r="J108" s="83">
        <f t="shared" si="97"/>
        <v>0</v>
      </c>
      <c r="K108" s="83">
        <f t="shared" si="97"/>
        <v>0</v>
      </c>
      <c r="L108" s="83">
        <f t="shared" si="97"/>
        <v>0</v>
      </c>
      <c r="M108" s="83">
        <f t="shared" si="97"/>
        <v>0</v>
      </c>
      <c r="N108" s="249">
        <f t="shared" si="97"/>
        <v>0</v>
      </c>
    </row>
    <row r="109" spans="1:14" x14ac:dyDescent="0.35">
      <c r="A109" s="235" t="s">
        <v>90</v>
      </c>
      <c r="B109" s="80">
        <f>(B113*B112)</f>
        <v>0</v>
      </c>
      <c r="C109" s="80">
        <f t="shared" ref="C109:M109" si="98">(C111*C110)</f>
        <v>0</v>
      </c>
      <c r="D109" s="80">
        <f t="shared" si="98"/>
        <v>0</v>
      </c>
      <c r="E109" s="80">
        <f t="shared" si="98"/>
        <v>0</v>
      </c>
      <c r="F109" s="80">
        <f t="shared" si="98"/>
        <v>0</v>
      </c>
      <c r="G109" s="80">
        <f t="shared" si="98"/>
        <v>0</v>
      </c>
      <c r="H109" s="80">
        <f t="shared" si="98"/>
        <v>0</v>
      </c>
      <c r="I109" s="80">
        <f t="shared" si="98"/>
        <v>0</v>
      </c>
      <c r="J109" s="80">
        <f t="shared" si="98"/>
        <v>0</v>
      </c>
      <c r="K109" s="80">
        <f t="shared" si="98"/>
        <v>0</v>
      </c>
      <c r="L109" s="80">
        <f t="shared" si="98"/>
        <v>0</v>
      </c>
      <c r="M109" s="80">
        <f t="shared" si="98"/>
        <v>0</v>
      </c>
      <c r="N109" s="244">
        <f>SUM(B109:M109)</f>
        <v>0</v>
      </c>
    </row>
    <row r="110" spans="1:14" x14ac:dyDescent="0.35">
      <c r="A110" s="238" t="s">
        <v>93</v>
      </c>
      <c r="B110" s="239">
        <f>+'Plan de culture 107'!$Z$7</f>
        <v>0</v>
      </c>
      <c r="C110" s="239">
        <f>+B110</f>
        <v>0</v>
      </c>
      <c r="D110" s="239">
        <f t="shared" ref="D110" si="99">+C110</f>
        <v>0</v>
      </c>
      <c r="E110" s="239">
        <f>+D110</f>
        <v>0</v>
      </c>
      <c r="F110" s="239">
        <f>+E110</f>
        <v>0</v>
      </c>
      <c r="G110" s="239">
        <f>+F110</f>
        <v>0</v>
      </c>
      <c r="H110" s="239">
        <f t="shared" ref="H110:M110" si="100">+G110</f>
        <v>0</v>
      </c>
      <c r="I110" s="239">
        <f t="shared" si="100"/>
        <v>0</v>
      </c>
      <c r="J110" s="239">
        <f t="shared" si="100"/>
        <v>0</v>
      </c>
      <c r="K110" s="239">
        <f t="shared" si="100"/>
        <v>0</v>
      </c>
      <c r="L110" s="239">
        <f t="shared" si="100"/>
        <v>0</v>
      </c>
      <c r="M110" s="239">
        <f t="shared" si="100"/>
        <v>0</v>
      </c>
      <c r="N110" s="240">
        <f>+'Plan de culture 107'!$Z$7</f>
        <v>0</v>
      </c>
    </row>
    <row r="111" spans="1:14" x14ac:dyDescent="0.35">
      <c r="A111" s="238" t="s">
        <v>94</v>
      </c>
      <c r="B111" s="253" t="str">
        <f>IFERROR((B113*B112)/B110,"0,00")</f>
        <v>0,00</v>
      </c>
      <c r="C111" s="253" t="str">
        <f t="shared" ref="C111:M111" si="101">IFERROR((C113*C112)/C110,"0,00")</f>
        <v>0,00</v>
      </c>
      <c r="D111" s="253" t="str">
        <f t="shared" si="101"/>
        <v>0,00</v>
      </c>
      <c r="E111" s="253" t="str">
        <f t="shared" si="101"/>
        <v>0,00</v>
      </c>
      <c r="F111" s="253" t="str">
        <f t="shared" si="101"/>
        <v>0,00</v>
      </c>
      <c r="G111" s="253" t="str">
        <f t="shared" si="101"/>
        <v>0,00</v>
      </c>
      <c r="H111" s="253" t="str">
        <f t="shared" si="101"/>
        <v>0,00</v>
      </c>
      <c r="I111" s="253" t="str">
        <f t="shared" si="101"/>
        <v>0,00</v>
      </c>
      <c r="J111" s="253" t="str">
        <f t="shared" si="101"/>
        <v>0,00</v>
      </c>
      <c r="K111" s="253" t="str">
        <f t="shared" si="101"/>
        <v>0,00</v>
      </c>
      <c r="L111" s="253" t="str">
        <f t="shared" si="101"/>
        <v>0,00</v>
      </c>
      <c r="M111" s="253" t="str">
        <f t="shared" si="101"/>
        <v>0,00</v>
      </c>
      <c r="N111" s="245" t="e">
        <f>+N109/N110</f>
        <v>#DIV/0!</v>
      </c>
    </row>
    <row r="112" spans="1:14" x14ac:dyDescent="0.35">
      <c r="A112" s="250" t="s">
        <v>96</v>
      </c>
      <c r="B112" s="87">
        <v>4.7</v>
      </c>
      <c r="C112" s="87">
        <f>+B112</f>
        <v>4.7</v>
      </c>
      <c r="D112" s="87">
        <f t="shared" ref="D112:M112" si="102">+C112</f>
        <v>4.7</v>
      </c>
      <c r="E112" s="87">
        <f t="shared" si="102"/>
        <v>4.7</v>
      </c>
      <c r="F112" s="87">
        <f t="shared" si="102"/>
        <v>4.7</v>
      </c>
      <c r="G112" s="87">
        <f t="shared" si="102"/>
        <v>4.7</v>
      </c>
      <c r="H112" s="87">
        <f t="shared" si="102"/>
        <v>4.7</v>
      </c>
      <c r="I112" s="87">
        <f t="shared" si="102"/>
        <v>4.7</v>
      </c>
      <c r="J112" s="87">
        <f t="shared" si="102"/>
        <v>4.7</v>
      </c>
      <c r="K112" s="87">
        <f t="shared" si="102"/>
        <v>4.7</v>
      </c>
      <c r="L112" s="87">
        <f t="shared" si="102"/>
        <v>4.7</v>
      </c>
      <c r="M112" s="87">
        <f t="shared" si="102"/>
        <v>4.7</v>
      </c>
      <c r="N112" s="245"/>
    </row>
    <row r="113" spans="1:14" x14ac:dyDescent="0.35">
      <c r="A113" s="250" t="s">
        <v>97</v>
      </c>
      <c r="B113" s="88">
        <v>0</v>
      </c>
      <c r="C113" s="88">
        <v>318000</v>
      </c>
      <c r="D113" s="88">
        <v>0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0</v>
      </c>
      <c r="N113" s="245"/>
    </row>
    <row r="114" spans="1:14" x14ac:dyDescent="0.35">
      <c r="A114" s="235" t="s">
        <v>91</v>
      </c>
      <c r="B114" s="80">
        <f>(B116*B115)</f>
        <v>0</v>
      </c>
      <c r="C114" s="80">
        <f t="shared" ref="C114:M114" si="103">(C116*C115)</f>
        <v>0</v>
      </c>
      <c r="D114" s="80">
        <f t="shared" si="103"/>
        <v>0</v>
      </c>
      <c r="E114" s="80">
        <f t="shared" si="103"/>
        <v>0</v>
      </c>
      <c r="F114" s="80">
        <f t="shared" si="103"/>
        <v>0</v>
      </c>
      <c r="G114" s="80">
        <f t="shared" si="103"/>
        <v>0</v>
      </c>
      <c r="H114" s="80">
        <f t="shared" si="103"/>
        <v>0</v>
      </c>
      <c r="I114" s="80">
        <f t="shared" si="103"/>
        <v>0</v>
      </c>
      <c r="J114" s="80">
        <f t="shared" si="103"/>
        <v>0</v>
      </c>
      <c r="K114" s="80">
        <f t="shared" si="103"/>
        <v>0</v>
      </c>
      <c r="L114" s="80">
        <f t="shared" si="103"/>
        <v>0</v>
      </c>
      <c r="M114" s="80">
        <f t="shared" si="103"/>
        <v>0</v>
      </c>
      <c r="N114" s="244">
        <f>SUM(B114:M114)</f>
        <v>0</v>
      </c>
    </row>
    <row r="115" spans="1:14" x14ac:dyDescent="0.35">
      <c r="A115" s="238" t="s">
        <v>93</v>
      </c>
      <c r="B115" s="239">
        <f>+'Plan de culture 107'!$Z$13</f>
        <v>0</v>
      </c>
      <c r="C115" s="239">
        <f>+B115</f>
        <v>0</v>
      </c>
      <c r="D115" s="239">
        <f t="shared" ref="D115:M115" si="104">+C115</f>
        <v>0</v>
      </c>
      <c r="E115" s="239">
        <f t="shared" si="104"/>
        <v>0</v>
      </c>
      <c r="F115" s="239">
        <f t="shared" si="104"/>
        <v>0</v>
      </c>
      <c r="G115" s="239">
        <f t="shared" si="104"/>
        <v>0</v>
      </c>
      <c r="H115" s="239">
        <f t="shared" si="104"/>
        <v>0</v>
      </c>
      <c r="I115" s="239">
        <f t="shared" si="104"/>
        <v>0</v>
      </c>
      <c r="J115" s="239">
        <f t="shared" si="104"/>
        <v>0</v>
      </c>
      <c r="K115" s="239">
        <f t="shared" si="104"/>
        <v>0</v>
      </c>
      <c r="L115" s="239">
        <f t="shared" si="104"/>
        <v>0</v>
      </c>
      <c r="M115" s="239">
        <f t="shared" si="104"/>
        <v>0</v>
      </c>
      <c r="N115" s="240">
        <f>+'Plan de culture 107'!$Z$13</f>
        <v>0</v>
      </c>
    </row>
    <row r="116" spans="1:14" x14ac:dyDescent="0.35">
      <c r="A116" s="238" t="s">
        <v>94</v>
      </c>
      <c r="B116" s="253" t="str">
        <f>IFERROR((B118*B117)/B115,"0,00")</f>
        <v>0,00</v>
      </c>
      <c r="C116" s="253" t="str">
        <f t="shared" ref="C116:M116" si="105">IFERROR((C118*C117)/C115,"0,00")</f>
        <v>0,00</v>
      </c>
      <c r="D116" s="253" t="str">
        <f t="shared" si="105"/>
        <v>0,00</v>
      </c>
      <c r="E116" s="253" t="str">
        <f t="shared" si="105"/>
        <v>0,00</v>
      </c>
      <c r="F116" s="253" t="str">
        <f t="shared" si="105"/>
        <v>0,00</v>
      </c>
      <c r="G116" s="253" t="str">
        <f t="shared" si="105"/>
        <v>0,00</v>
      </c>
      <c r="H116" s="253" t="str">
        <f t="shared" si="105"/>
        <v>0,00</v>
      </c>
      <c r="I116" s="253" t="str">
        <f t="shared" si="105"/>
        <v>0,00</v>
      </c>
      <c r="J116" s="253" t="str">
        <f t="shared" si="105"/>
        <v>0,00</v>
      </c>
      <c r="K116" s="253" t="str">
        <f t="shared" si="105"/>
        <v>0,00</v>
      </c>
      <c r="L116" s="253" t="str">
        <f t="shared" si="105"/>
        <v>0,00</v>
      </c>
      <c r="M116" s="253" t="str">
        <f t="shared" si="105"/>
        <v>0,00</v>
      </c>
      <c r="N116" s="245" t="e">
        <f>+N114/N115</f>
        <v>#DIV/0!</v>
      </c>
    </row>
    <row r="117" spans="1:14" x14ac:dyDescent="0.35">
      <c r="A117" s="250" t="s">
        <v>96</v>
      </c>
      <c r="B117" s="87">
        <v>4.7</v>
      </c>
      <c r="C117" s="87">
        <f>+B117</f>
        <v>4.7</v>
      </c>
      <c r="D117" s="87">
        <f t="shared" ref="D117:M117" si="106">+C117</f>
        <v>4.7</v>
      </c>
      <c r="E117" s="87">
        <f t="shared" si="106"/>
        <v>4.7</v>
      </c>
      <c r="F117" s="87">
        <f t="shared" si="106"/>
        <v>4.7</v>
      </c>
      <c r="G117" s="87">
        <f t="shared" si="106"/>
        <v>4.7</v>
      </c>
      <c r="H117" s="87">
        <f t="shared" si="106"/>
        <v>4.7</v>
      </c>
      <c r="I117" s="87">
        <f t="shared" si="106"/>
        <v>4.7</v>
      </c>
      <c r="J117" s="87">
        <f t="shared" si="106"/>
        <v>4.7</v>
      </c>
      <c r="K117" s="87">
        <f t="shared" si="106"/>
        <v>4.7</v>
      </c>
      <c r="L117" s="87">
        <f t="shared" si="106"/>
        <v>4.7</v>
      </c>
      <c r="M117" s="87">
        <f t="shared" si="106"/>
        <v>4.7</v>
      </c>
      <c r="N117" s="245"/>
    </row>
    <row r="118" spans="1:14" x14ac:dyDescent="0.35">
      <c r="A118" s="250" t="s">
        <v>97</v>
      </c>
      <c r="B118" s="88">
        <v>0</v>
      </c>
      <c r="C118" s="88">
        <v>0</v>
      </c>
      <c r="D118" s="88">
        <v>0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245"/>
    </row>
    <row r="119" spans="1:14" x14ac:dyDescent="0.35">
      <c r="A119" s="235" t="s">
        <v>376</v>
      </c>
      <c r="B119" s="80">
        <f>(B121*B120)</f>
        <v>0</v>
      </c>
      <c r="C119" s="80">
        <f t="shared" ref="C119:M119" si="107">(C121*C120)</f>
        <v>0</v>
      </c>
      <c r="D119" s="80">
        <f t="shared" si="107"/>
        <v>0</v>
      </c>
      <c r="E119" s="80">
        <f t="shared" si="107"/>
        <v>0</v>
      </c>
      <c r="F119" s="80">
        <f t="shared" si="107"/>
        <v>0</v>
      </c>
      <c r="G119" s="80">
        <f t="shared" si="107"/>
        <v>0</v>
      </c>
      <c r="H119" s="80">
        <f t="shared" si="107"/>
        <v>0</v>
      </c>
      <c r="I119" s="80">
        <f t="shared" si="107"/>
        <v>0</v>
      </c>
      <c r="J119" s="80">
        <f t="shared" si="107"/>
        <v>0</v>
      </c>
      <c r="K119" s="80">
        <f t="shared" si="107"/>
        <v>0</v>
      </c>
      <c r="L119" s="80">
        <f t="shared" si="107"/>
        <v>0</v>
      </c>
      <c r="M119" s="80">
        <f t="shared" si="107"/>
        <v>0</v>
      </c>
      <c r="N119" s="244">
        <f>SUM(B119:M119)</f>
        <v>0</v>
      </c>
    </row>
    <row r="120" spans="1:14" x14ac:dyDescent="0.35">
      <c r="A120" s="238" t="s">
        <v>93</v>
      </c>
      <c r="B120" s="239">
        <f>+'Plan de culture 107'!$Z$19</f>
        <v>0</v>
      </c>
      <c r="C120" s="239">
        <f>+B120</f>
        <v>0</v>
      </c>
      <c r="D120" s="239">
        <f t="shared" ref="D120" si="108">+C120</f>
        <v>0</v>
      </c>
      <c r="E120" s="239">
        <f>+'Plan de culture 104 '!C116</f>
        <v>0</v>
      </c>
      <c r="F120" s="239">
        <f>+E120+'Plan de culture 104 '!D116+'Plan de culture 104 '!E116</f>
        <v>0</v>
      </c>
      <c r="G120" s="239">
        <f>+F120</f>
        <v>0</v>
      </c>
      <c r="H120" s="239">
        <f t="shared" ref="H120:M120" si="109">+G120</f>
        <v>0</v>
      </c>
      <c r="I120" s="239">
        <f t="shared" si="109"/>
        <v>0</v>
      </c>
      <c r="J120" s="239">
        <f t="shared" si="109"/>
        <v>0</v>
      </c>
      <c r="K120" s="239">
        <f t="shared" si="109"/>
        <v>0</v>
      </c>
      <c r="L120" s="239">
        <f t="shared" si="109"/>
        <v>0</v>
      </c>
      <c r="M120" s="239">
        <f t="shared" si="109"/>
        <v>0</v>
      </c>
      <c r="N120" s="240">
        <f>+'Plan de culture 107'!$Z$19</f>
        <v>0</v>
      </c>
    </row>
    <row r="121" spans="1:14" x14ac:dyDescent="0.35">
      <c r="A121" s="238" t="s">
        <v>94</v>
      </c>
      <c r="B121" s="253" t="str">
        <f>IFERROR((B123*B122)/B120,"0,00")</f>
        <v>0,00</v>
      </c>
      <c r="C121" s="253" t="str">
        <f t="shared" ref="C121:M121" si="110">IFERROR((C123*C122)/C120,"0,00")</f>
        <v>0,00</v>
      </c>
      <c r="D121" s="253" t="str">
        <f t="shared" si="110"/>
        <v>0,00</v>
      </c>
      <c r="E121" s="253" t="str">
        <f t="shared" si="110"/>
        <v>0,00</v>
      </c>
      <c r="F121" s="253" t="str">
        <f t="shared" si="110"/>
        <v>0,00</v>
      </c>
      <c r="G121" s="253" t="str">
        <f t="shared" si="110"/>
        <v>0,00</v>
      </c>
      <c r="H121" s="253" t="str">
        <f t="shared" si="110"/>
        <v>0,00</v>
      </c>
      <c r="I121" s="253" t="str">
        <f t="shared" si="110"/>
        <v>0,00</v>
      </c>
      <c r="J121" s="253" t="str">
        <f t="shared" si="110"/>
        <v>0,00</v>
      </c>
      <c r="K121" s="253" t="str">
        <f t="shared" si="110"/>
        <v>0,00</v>
      </c>
      <c r="L121" s="253" t="str">
        <f t="shared" si="110"/>
        <v>0,00</v>
      </c>
      <c r="M121" s="253" t="str">
        <f t="shared" si="110"/>
        <v>0,00</v>
      </c>
      <c r="N121" s="245" t="e">
        <f>+N119/N120</f>
        <v>#DIV/0!</v>
      </c>
    </row>
    <row r="122" spans="1:14" x14ac:dyDescent="0.35">
      <c r="A122" s="250" t="s">
        <v>96</v>
      </c>
      <c r="B122" s="87">
        <v>4.7</v>
      </c>
      <c r="C122" s="87">
        <f>+B122</f>
        <v>4.7</v>
      </c>
      <c r="D122" s="87">
        <f t="shared" ref="D122:M122" si="111">+C122</f>
        <v>4.7</v>
      </c>
      <c r="E122" s="87">
        <f t="shared" si="111"/>
        <v>4.7</v>
      </c>
      <c r="F122" s="87">
        <f t="shared" si="111"/>
        <v>4.7</v>
      </c>
      <c r="G122" s="87">
        <f t="shared" si="111"/>
        <v>4.7</v>
      </c>
      <c r="H122" s="87">
        <f t="shared" si="111"/>
        <v>4.7</v>
      </c>
      <c r="I122" s="87">
        <f t="shared" si="111"/>
        <v>4.7</v>
      </c>
      <c r="J122" s="87">
        <f t="shared" si="111"/>
        <v>4.7</v>
      </c>
      <c r="K122" s="87">
        <f t="shared" si="111"/>
        <v>4.7</v>
      </c>
      <c r="L122" s="87">
        <f t="shared" si="111"/>
        <v>4.7</v>
      </c>
      <c r="M122" s="87">
        <f t="shared" si="111"/>
        <v>4.7</v>
      </c>
      <c r="N122" s="245"/>
    </row>
    <row r="123" spans="1:14" x14ac:dyDescent="0.35">
      <c r="A123" s="250" t="s">
        <v>97</v>
      </c>
      <c r="B123" s="88">
        <v>0</v>
      </c>
      <c r="C123" s="88">
        <v>0</v>
      </c>
      <c r="D123" s="88">
        <v>0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245"/>
    </row>
    <row r="124" spans="1:14" x14ac:dyDescent="0.35">
      <c r="A124" s="235" t="s">
        <v>92</v>
      </c>
      <c r="B124" s="80">
        <f>(B126*B125)</f>
        <v>0</v>
      </c>
      <c r="C124" s="80">
        <f t="shared" ref="C124:M124" si="112">(C126*C125)</f>
        <v>0</v>
      </c>
      <c r="D124" s="80">
        <f t="shared" si="112"/>
        <v>0</v>
      </c>
      <c r="E124" s="80">
        <f t="shared" si="112"/>
        <v>0</v>
      </c>
      <c r="F124" s="80">
        <f t="shared" si="112"/>
        <v>0</v>
      </c>
      <c r="G124" s="80">
        <f t="shared" si="112"/>
        <v>0</v>
      </c>
      <c r="H124" s="80">
        <f t="shared" si="112"/>
        <v>0</v>
      </c>
      <c r="I124" s="80">
        <f t="shared" si="112"/>
        <v>0</v>
      </c>
      <c r="J124" s="80">
        <f t="shared" si="112"/>
        <v>0</v>
      </c>
      <c r="K124" s="80">
        <f t="shared" si="112"/>
        <v>0</v>
      </c>
      <c r="L124" s="80">
        <f t="shared" si="112"/>
        <v>0</v>
      </c>
      <c r="M124" s="80">
        <f t="shared" si="112"/>
        <v>0</v>
      </c>
      <c r="N124" s="244">
        <f>SUM(B124:M124)</f>
        <v>0</v>
      </c>
    </row>
    <row r="125" spans="1:14" x14ac:dyDescent="0.35">
      <c r="A125" s="238" t="s">
        <v>93</v>
      </c>
      <c r="B125" s="239">
        <f>+'Plan de culture 107'!$Z$25</f>
        <v>16.558</v>
      </c>
      <c r="C125" s="239">
        <f>+B125</f>
        <v>16.558</v>
      </c>
      <c r="D125" s="239">
        <f t="shared" ref="D125:M125" si="113">+C125</f>
        <v>16.558</v>
      </c>
      <c r="E125" s="239">
        <f t="shared" si="113"/>
        <v>16.558</v>
      </c>
      <c r="F125" s="239">
        <f t="shared" si="113"/>
        <v>16.558</v>
      </c>
      <c r="G125" s="239">
        <f t="shared" si="113"/>
        <v>16.558</v>
      </c>
      <c r="H125" s="239">
        <f t="shared" si="113"/>
        <v>16.558</v>
      </c>
      <c r="I125" s="239">
        <f t="shared" si="113"/>
        <v>16.558</v>
      </c>
      <c r="J125" s="239">
        <f t="shared" si="113"/>
        <v>16.558</v>
      </c>
      <c r="K125" s="239">
        <f t="shared" si="113"/>
        <v>16.558</v>
      </c>
      <c r="L125" s="239">
        <f t="shared" si="113"/>
        <v>16.558</v>
      </c>
      <c r="M125" s="239">
        <f t="shared" si="113"/>
        <v>16.558</v>
      </c>
      <c r="N125" s="240">
        <f>+'Plan de culture 107'!$Z$25</f>
        <v>16.558</v>
      </c>
    </row>
    <row r="126" spans="1:14" x14ac:dyDescent="0.35">
      <c r="A126" s="238" t="s">
        <v>94</v>
      </c>
      <c r="B126" s="254">
        <f>IFERROR((B128*B127)/B125,"0,00")</f>
        <v>0</v>
      </c>
      <c r="C126" s="254">
        <f t="shared" ref="C126:M126" si="114">IFERROR((C128*C127)/C125,"0,00")</f>
        <v>0</v>
      </c>
      <c r="D126" s="254">
        <f t="shared" si="114"/>
        <v>0</v>
      </c>
      <c r="E126" s="254">
        <f t="shared" si="114"/>
        <v>0</v>
      </c>
      <c r="F126" s="254">
        <f t="shared" si="114"/>
        <v>0</v>
      </c>
      <c r="G126" s="254">
        <f t="shared" si="114"/>
        <v>0</v>
      </c>
      <c r="H126" s="254">
        <f t="shared" si="114"/>
        <v>0</v>
      </c>
      <c r="I126" s="254">
        <f t="shared" si="114"/>
        <v>0</v>
      </c>
      <c r="J126" s="254">
        <f t="shared" si="114"/>
        <v>0</v>
      </c>
      <c r="K126" s="254">
        <f t="shared" si="114"/>
        <v>0</v>
      </c>
      <c r="L126" s="254">
        <f t="shared" si="114"/>
        <v>0</v>
      </c>
      <c r="M126" s="254">
        <f t="shared" si="114"/>
        <v>0</v>
      </c>
      <c r="N126" s="245">
        <f>+N124/N125</f>
        <v>0</v>
      </c>
    </row>
    <row r="127" spans="1:14" x14ac:dyDescent="0.35">
      <c r="A127" s="250" t="s">
        <v>96</v>
      </c>
      <c r="B127" s="87">
        <v>4.7</v>
      </c>
      <c r="C127" s="87">
        <f>+B127</f>
        <v>4.7</v>
      </c>
      <c r="D127" s="87">
        <f t="shared" ref="D127:M127" si="115">+C127</f>
        <v>4.7</v>
      </c>
      <c r="E127" s="87">
        <f t="shared" si="115"/>
        <v>4.7</v>
      </c>
      <c r="F127" s="87">
        <f t="shared" si="115"/>
        <v>4.7</v>
      </c>
      <c r="G127" s="87">
        <f t="shared" si="115"/>
        <v>4.7</v>
      </c>
      <c r="H127" s="87">
        <f t="shared" si="115"/>
        <v>4.7</v>
      </c>
      <c r="I127" s="87">
        <f t="shared" si="115"/>
        <v>4.7</v>
      </c>
      <c r="J127" s="87">
        <f t="shared" si="115"/>
        <v>4.7</v>
      </c>
      <c r="K127" s="87">
        <f t="shared" si="115"/>
        <v>4.7</v>
      </c>
      <c r="L127" s="87">
        <f t="shared" si="115"/>
        <v>4.7</v>
      </c>
      <c r="M127" s="87">
        <f t="shared" si="115"/>
        <v>4.7</v>
      </c>
      <c r="N127" s="245"/>
    </row>
    <row r="128" spans="1:14" x14ac:dyDescent="0.35">
      <c r="A128" s="250" t="s">
        <v>97</v>
      </c>
      <c r="B128" s="88">
        <v>0</v>
      </c>
      <c r="C128" s="88">
        <v>0</v>
      </c>
      <c r="D128" s="88">
        <v>0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245"/>
    </row>
    <row r="129" spans="1:14" x14ac:dyDescent="0.35">
      <c r="A129" s="235" t="s">
        <v>377</v>
      </c>
      <c r="B129" s="80">
        <f>(B131*B130)</f>
        <v>0</v>
      </c>
      <c r="C129" s="80">
        <f t="shared" ref="C129:M129" si="116">(C131*C130)</f>
        <v>0</v>
      </c>
      <c r="D129" s="80">
        <f t="shared" si="116"/>
        <v>0</v>
      </c>
      <c r="E129" s="80">
        <f t="shared" si="116"/>
        <v>0</v>
      </c>
      <c r="F129" s="80">
        <f t="shared" si="116"/>
        <v>0</v>
      </c>
      <c r="G129" s="80">
        <f t="shared" si="116"/>
        <v>0</v>
      </c>
      <c r="H129" s="80">
        <f t="shared" si="116"/>
        <v>0</v>
      </c>
      <c r="I129" s="80">
        <f t="shared" si="116"/>
        <v>0</v>
      </c>
      <c r="J129" s="80">
        <f t="shared" si="116"/>
        <v>0</v>
      </c>
      <c r="K129" s="80">
        <f t="shared" si="116"/>
        <v>0</v>
      </c>
      <c r="L129" s="80">
        <f t="shared" si="116"/>
        <v>0</v>
      </c>
      <c r="M129" s="80">
        <f t="shared" si="116"/>
        <v>0</v>
      </c>
      <c r="N129" s="244">
        <f>SUM(B129:M129)</f>
        <v>0</v>
      </c>
    </row>
    <row r="130" spans="1:14" x14ac:dyDescent="0.35">
      <c r="A130" s="238" t="s">
        <v>93</v>
      </c>
      <c r="B130" s="239">
        <f>+'Plan de culture 107'!$Z$31</f>
        <v>0</v>
      </c>
      <c r="C130" s="239">
        <f>+B130</f>
        <v>0</v>
      </c>
      <c r="D130" s="239">
        <f t="shared" ref="D130" si="117">+C130</f>
        <v>0</v>
      </c>
      <c r="E130" s="239">
        <f>+'Plan de culture 104 '!C126</f>
        <v>0</v>
      </c>
      <c r="F130" s="239">
        <f>+E130+'Plan de culture 104 '!D126+'Plan de culture 104 '!E126</f>
        <v>0</v>
      </c>
      <c r="G130" s="239">
        <f>+F130</f>
        <v>0</v>
      </c>
      <c r="H130" s="239">
        <f t="shared" ref="H130:M130" si="118">+G130</f>
        <v>0</v>
      </c>
      <c r="I130" s="239">
        <f t="shared" si="118"/>
        <v>0</v>
      </c>
      <c r="J130" s="239">
        <f t="shared" si="118"/>
        <v>0</v>
      </c>
      <c r="K130" s="239">
        <f t="shared" si="118"/>
        <v>0</v>
      </c>
      <c r="L130" s="239">
        <f t="shared" si="118"/>
        <v>0</v>
      </c>
      <c r="M130" s="239">
        <f t="shared" si="118"/>
        <v>0</v>
      </c>
      <c r="N130" s="240">
        <f>+'Plan de culture 107'!$Z$31</f>
        <v>0</v>
      </c>
    </row>
    <row r="131" spans="1:14" x14ac:dyDescent="0.35">
      <c r="A131" s="238" t="s">
        <v>94</v>
      </c>
      <c r="B131" s="253" t="str">
        <f>IFERROR((B133*B132)/B130,"0,00")</f>
        <v>0,00</v>
      </c>
      <c r="C131" s="253" t="str">
        <f t="shared" ref="C131:M131" si="119">IFERROR((C133*C132)/C130,"0,00")</f>
        <v>0,00</v>
      </c>
      <c r="D131" s="253" t="str">
        <f t="shared" si="119"/>
        <v>0,00</v>
      </c>
      <c r="E131" s="253" t="str">
        <f t="shared" si="119"/>
        <v>0,00</v>
      </c>
      <c r="F131" s="253" t="str">
        <f t="shared" si="119"/>
        <v>0,00</v>
      </c>
      <c r="G131" s="253" t="str">
        <f t="shared" si="119"/>
        <v>0,00</v>
      </c>
      <c r="H131" s="253" t="str">
        <f t="shared" si="119"/>
        <v>0,00</v>
      </c>
      <c r="I131" s="253" t="str">
        <f t="shared" si="119"/>
        <v>0,00</v>
      </c>
      <c r="J131" s="253" t="str">
        <f t="shared" si="119"/>
        <v>0,00</v>
      </c>
      <c r="K131" s="253" t="str">
        <f t="shared" si="119"/>
        <v>0,00</v>
      </c>
      <c r="L131" s="253" t="str">
        <f t="shared" si="119"/>
        <v>0,00</v>
      </c>
      <c r="M131" s="253" t="str">
        <f t="shared" si="119"/>
        <v>0,00</v>
      </c>
      <c r="N131" s="245" t="e">
        <f>+N129/N130</f>
        <v>#DIV/0!</v>
      </c>
    </row>
    <row r="132" spans="1:14" x14ac:dyDescent="0.35">
      <c r="A132" s="250" t="s">
        <v>96</v>
      </c>
      <c r="B132" s="87">
        <v>4.7</v>
      </c>
      <c r="C132" s="87">
        <f>+B132</f>
        <v>4.7</v>
      </c>
      <c r="D132" s="87">
        <f t="shared" ref="D132:M132" si="120">+C132</f>
        <v>4.7</v>
      </c>
      <c r="E132" s="87">
        <f t="shared" si="120"/>
        <v>4.7</v>
      </c>
      <c r="F132" s="87">
        <f t="shared" si="120"/>
        <v>4.7</v>
      </c>
      <c r="G132" s="87">
        <f t="shared" si="120"/>
        <v>4.7</v>
      </c>
      <c r="H132" s="87">
        <f t="shared" si="120"/>
        <v>4.7</v>
      </c>
      <c r="I132" s="87">
        <f t="shared" si="120"/>
        <v>4.7</v>
      </c>
      <c r="J132" s="87">
        <f t="shared" si="120"/>
        <v>4.7</v>
      </c>
      <c r="K132" s="87">
        <f t="shared" si="120"/>
        <v>4.7</v>
      </c>
      <c r="L132" s="87">
        <f t="shared" si="120"/>
        <v>4.7</v>
      </c>
      <c r="M132" s="87">
        <f t="shared" si="120"/>
        <v>4.7</v>
      </c>
      <c r="N132" s="245"/>
    </row>
    <row r="133" spans="1:14" x14ac:dyDescent="0.35">
      <c r="A133" s="250" t="s">
        <v>97</v>
      </c>
      <c r="B133" s="88">
        <v>0</v>
      </c>
      <c r="C133" s="88">
        <v>0</v>
      </c>
      <c r="D133" s="88">
        <v>0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245"/>
    </row>
    <row r="134" spans="1:14" x14ac:dyDescent="0.35">
      <c r="A134" s="235" t="s">
        <v>378</v>
      </c>
      <c r="B134" s="80">
        <f>(B136*B135)</f>
        <v>0</v>
      </c>
      <c r="C134" s="80">
        <f t="shared" ref="C134:M134" si="121">(C136*C135)</f>
        <v>0</v>
      </c>
      <c r="D134" s="80">
        <f t="shared" si="121"/>
        <v>0</v>
      </c>
      <c r="E134" s="80">
        <f t="shared" si="121"/>
        <v>0</v>
      </c>
      <c r="F134" s="80">
        <f t="shared" si="121"/>
        <v>0</v>
      </c>
      <c r="G134" s="80">
        <f t="shared" si="121"/>
        <v>0</v>
      </c>
      <c r="H134" s="80">
        <f t="shared" si="121"/>
        <v>0</v>
      </c>
      <c r="I134" s="80">
        <f t="shared" si="121"/>
        <v>0</v>
      </c>
      <c r="J134" s="80">
        <f t="shared" si="121"/>
        <v>0</v>
      </c>
      <c r="K134" s="80">
        <f t="shared" si="121"/>
        <v>0</v>
      </c>
      <c r="L134" s="80">
        <f t="shared" si="121"/>
        <v>0</v>
      </c>
      <c r="M134" s="80">
        <f t="shared" si="121"/>
        <v>0</v>
      </c>
      <c r="N134" s="244">
        <f>SUM(B134:M134)</f>
        <v>0</v>
      </c>
    </row>
    <row r="135" spans="1:14" x14ac:dyDescent="0.35">
      <c r="A135" s="238" t="s">
        <v>93</v>
      </c>
      <c r="B135" s="239">
        <f>+'Plan de culture 107'!$Z$37</f>
        <v>0</v>
      </c>
      <c r="C135" s="239">
        <f>+B135</f>
        <v>0</v>
      </c>
      <c r="D135" s="239">
        <f t="shared" ref="D135" si="122">+C135</f>
        <v>0</v>
      </c>
      <c r="E135" s="239">
        <f>+'Plan de culture 104 '!C131</f>
        <v>0</v>
      </c>
      <c r="F135" s="239">
        <f>+E135+'Plan de culture 104 '!D131+'Plan de culture 104 '!E131</f>
        <v>0</v>
      </c>
      <c r="G135" s="239">
        <f>+F135</f>
        <v>0</v>
      </c>
      <c r="H135" s="239">
        <f t="shared" ref="H135:M135" si="123">+G135</f>
        <v>0</v>
      </c>
      <c r="I135" s="239">
        <f t="shared" si="123"/>
        <v>0</v>
      </c>
      <c r="J135" s="239">
        <f t="shared" si="123"/>
        <v>0</v>
      </c>
      <c r="K135" s="239">
        <f t="shared" si="123"/>
        <v>0</v>
      </c>
      <c r="L135" s="239">
        <f t="shared" si="123"/>
        <v>0</v>
      </c>
      <c r="M135" s="239">
        <f t="shared" si="123"/>
        <v>0</v>
      </c>
      <c r="N135" s="240">
        <f>+'Plan de culture 107'!$Z$37</f>
        <v>0</v>
      </c>
    </row>
    <row r="136" spans="1:14" x14ac:dyDescent="0.35">
      <c r="A136" s="238" t="s">
        <v>94</v>
      </c>
      <c r="B136" s="253" t="str">
        <f>IFERROR((B138*B137)/B135,"0,00")</f>
        <v>0,00</v>
      </c>
      <c r="C136" s="253" t="str">
        <f t="shared" ref="C136:M136" si="124">IFERROR((C138*C137)/C135,"0,00")</f>
        <v>0,00</v>
      </c>
      <c r="D136" s="253" t="str">
        <f t="shared" si="124"/>
        <v>0,00</v>
      </c>
      <c r="E136" s="253" t="str">
        <f t="shared" si="124"/>
        <v>0,00</v>
      </c>
      <c r="F136" s="253" t="str">
        <f t="shared" si="124"/>
        <v>0,00</v>
      </c>
      <c r="G136" s="253" t="str">
        <f t="shared" si="124"/>
        <v>0,00</v>
      </c>
      <c r="H136" s="253" t="str">
        <f t="shared" si="124"/>
        <v>0,00</v>
      </c>
      <c r="I136" s="253" t="str">
        <f t="shared" si="124"/>
        <v>0,00</v>
      </c>
      <c r="J136" s="253" t="str">
        <f t="shared" si="124"/>
        <v>0,00</v>
      </c>
      <c r="K136" s="253" t="str">
        <f t="shared" si="124"/>
        <v>0,00</v>
      </c>
      <c r="L136" s="253" t="str">
        <f t="shared" si="124"/>
        <v>0,00</v>
      </c>
      <c r="M136" s="253" t="str">
        <f t="shared" si="124"/>
        <v>0,00</v>
      </c>
      <c r="N136" s="245" t="e">
        <f>+N134/N135</f>
        <v>#DIV/0!</v>
      </c>
    </row>
    <row r="137" spans="1:14" x14ac:dyDescent="0.35">
      <c r="A137" s="250" t="s">
        <v>96</v>
      </c>
      <c r="B137" s="87">
        <v>4.7</v>
      </c>
      <c r="C137" s="87">
        <f>+B137</f>
        <v>4.7</v>
      </c>
      <c r="D137" s="87">
        <f t="shared" ref="D137:M137" si="125">+C137</f>
        <v>4.7</v>
      </c>
      <c r="E137" s="87">
        <f t="shared" si="125"/>
        <v>4.7</v>
      </c>
      <c r="F137" s="87">
        <f t="shared" si="125"/>
        <v>4.7</v>
      </c>
      <c r="G137" s="87">
        <f t="shared" si="125"/>
        <v>4.7</v>
      </c>
      <c r="H137" s="87">
        <f t="shared" si="125"/>
        <v>4.7</v>
      </c>
      <c r="I137" s="87">
        <f t="shared" si="125"/>
        <v>4.7</v>
      </c>
      <c r="J137" s="87">
        <f t="shared" si="125"/>
        <v>4.7</v>
      </c>
      <c r="K137" s="87">
        <f t="shared" si="125"/>
        <v>4.7</v>
      </c>
      <c r="L137" s="87">
        <f t="shared" si="125"/>
        <v>4.7</v>
      </c>
      <c r="M137" s="87">
        <f t="shared" si="125"/>
        <v>4.7</v>
      </c>
      <c r="N137" s="245"/>
    </row>
    <row r="138" spans="1:14" ht="12" thickBot="1" x14ac:dyDescent="0.4">
      <c r="A138" s="251" t="s">
        <v>97</v>
      </c>
      <c r="B138" s="88">
        <v>0</v>
      </c>
      <c r="C138" s="88">
        <v>0</v>
      </c>
      <c r="D138" s="88">
        <v>0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245"/>
    </row>
    <row r="139" spans="1:14" x14ac:dyDescent="0.35">
      <c r="A139" s="233" t="s">
        <v>385</v>
      </c>
      <c r="B139" s="242">
        <f>+B142+B147+B152+B157+B162+B167</f>
        <v>0</v>
      </c>
      <c r="C139" s="242">
        <f t="shared" ref="C139:M140" si="126">+C142+C147+C152+C157+C162+C167</f>
        <v>0</v>
      </c>
      <c r="D139" s="242">
        <f t="shared" si="126"/>
        <v>0</v>
      </c>
      <c r="E139" s="242">
        <f t="shared" si="126"/>
        <v>0</v>
      </c>
      <c r="F139" s="242">
        <f t="shared" si="126"/>
        <v>0</v>
      </c>
      <c r="G139" s="242">
        <f t="shared" si="126"/>
        <v>0</v>
      </c>
      <c r="H139" s="242">
        <f t="shared" si="126"/>
        <v>0</v>
      </c>
      <c r="I139" s="242">
        <f t="shared" si="126"/>
        <v>0</v>
      </c>
      <c r="J139" s="242">
        <f t="shared" si="126"/>
        <v>0</v>
      </c>
      <c r="K139" s="242">
        <f t="shared" si="126"/>
        <v>0</v>
      </c>
      <c r="L139" s="242">
        <f t="shared" si="126"/>
        <v>0</v>
      </c>
      <c r="M139" s="242">
        <f t="shared" si="126"/>
        <v>0</v>
      </c>
      <c r="N139" s="243">
        <f>SUM(B139:M139)</f>
        <v>0</v>
      </c>
    </row>
    <row r="140" spans="1:14" x14ac:dyDescent="0.35">
      <c r="A140" s="234" t="s">
        <v>93</v>
      </c>
      <c r="B140" s="83">
        <f>+B143+B148+B153+B158+B163+B168</f>
        <v>26.09</v>
      </c>
      <c r="C140" s="83">
        <f t="shared" si="126"/>
        <v>26.09</v>
      </c>
      <c r="D140" s="83">
        <f t="shared" si="126"/>
        <v>26.09</v>
      </c>
      <c r="E140" s="83">
        <f t="shared" si="126"/>
        <v>26.09</v>
      </c>
      <c r="F140" s="83">
        <f t="shared" si="126"/>
        <v>26.09</v>
      </c>
      <c r="G140" s="83">
        <f t="shared" si="126"/>
        <v>26.09</v>
      </c>
      <c r="H140" s="83">
        <f t="shared" si="126"/>
        <v>26.09</v>
      </c>
      <c r="I140" s="83">
        <f t="shared" si="126"/>
        <v>26.09</v>
      </c>
      <c r="J140" s="83">
        <f t="shared" si="126"/>
        <v>26.09</v>
      </c>
      <c r="K140" s="83">
        <f t="shared" si="126"/>
        <v>26.09</v>
      </c>
      <c r="L140" s="83">
        <f t="shared" si="126"/>
        <v>26.09</v>
      </c>
      <c r="M140" s="83">
        <f t="shared" si="126"/>
        <v>26.09</v>
      </c>
      <c r="N140" s="248">
        <f>+M140</f>
        <v>26.09</v>
      </c>
    </row>
    <row r="141" spans="1:14" x14ac:dyDescent="0.35">
      <c r="A141" s="234" t="s">
        <v>94</v>
      </c>
      <c r="B141" s="83">
        <f t="shared" ref="B141:N141" si="127">+B139/B140</f>
        <v>0</v>
      </c>
      <c r="C141" s="83">
        <f t="shared" si="127"/>
        <v>0</v>
      </c>
      <c r="D141" s="83">
        <f t="shared" si="127"/>
        <v>0</v>
      </c>
      <c r="E141" s="83">
        <f t="shared" si="127"/>
        <v>0</v>
      </c>
      <c r="F141" s="83">
        <f t="shared" si="127"/>
        <v>0</v>
      </c>
      <c r="G141" s="83">
        <f t="shared" si="127"/>
        <v>0</v>
      </c>
      <c r="H141" s="83">
        <f t="shared" si="127"/>
        <v>0</v>
      </c>
      <c r="I141" s="83">
        <f t="shared" si="127"/>
        <v>0</v>
      </c>
      <c r="J141" s="83">
        <f t="shared" si="127"/>
        <v>0</v>
      </c>
      <c r="K141" s="83">
        <f t="shared" si="127"/>
        <v>0</v>
      </c>
      <c r="L141" s="83">
        <f t="shared" si="127"/>
        <v>0</v>
      </c>
      <c r="M141" s="83">
        <f t="shared" si="127"/>
        <v>0</v>
      </c>
      <c r="N141" s="249">
        <f t="shared" si="127"/>
        <v>0</v>
      </c>
    </row>
    <row r="142" spans="1:14" x14ac:dyDescent="0.35">
      <c r="A142" s="235" t="s">
        <v>90</v>
      </c>
      <c r="B142" s="80">
        <f>(B146*B145)</f>
        <v>0</v>
      </c>
      <c r="C142" s="80">
        <f t="shared" ref="C142:M142" si="128">(C144*C143)</f>
        <v>0</v>
      </c>
      <c r="D142" s="80">
        <f t="shared" si="128"/>
        <v>0</v>
      </c>
      <c r="E142" s="80">
        <f t="shared" si="128"/>
        <v>0</v>
      </c>
      <c r="F142" s="80">
        <f t="shared" si="128"/>
        <v>0</v>
      </c>
      <c r="G142" s="80">
        <f t="shared" si="128"/>
        <v>0</v>
      </c>
      <c r="H142" s="80">
        <f t="shared" si="128"/>
        <v>0</v>
      </c>
      <c r="I142" s="80">
        <f t="shared" si="128"/>
        <v>0</v>
      </c>
      <c r="J142" s="80">
        <f t="shared" si="128"/>
        <v>0</v>
      </c>
      <c r="K142" s="80">
        <f t="shared" si="128"/>
        <v>0</v>
      </c>
      <c r="L142" s="80">
        <f t="shared" si="128"/>
        <v>0</v>
      </c>
      <c r="M142" s="80">
        <f t="shared" si="128"/>
        <v>0</v>
      </c>
      <c r="N142" s="244">
        <f>SUM(B142:M142)</f>
        <v>0</v>
      </c>
    </row>
    <row r="143" spans="1:14" x14ac:dyDescent="0.35">
      <c r="A143" s="238" t="s">
        <v>93</v>
      </c>
      <c r="B143" s="239">
        <f>+'Plan de culture 114'!$AE$7</f>
        <v>0</v>
      </c>
      <c r="C143" s="239">
        <f>+B143</f>
        <v>0</v>
      </c>
      <c r="D143" s="239">
        <f t="shared" ref="D143" si="129">+C143</f>
        <v>0</v>
      </c>
      <c r="E143" s="239">
        <f>+D143</f>
        <v>0</v>
      </c>
      <c r="F143" s="239">
        <f>+E143</f>
        <v>0</v>
      </c>
      <c r="G143" s="239">
        <f>+F143</f>
        <v>0</v>
      </c>
      <c r="H143" s="239">
        <f t="shared" ref="H143:M143" si="130">+G143</f>
        <v>0</v>
      </c>
      <c r="I143" s="239">
        <f t="shared" si="130"/>
        <v>0</v>
      </c>
      <c r="J143" s="239">
        <f t="shared" si="130"/>
        <v>0</v>
      </c>
      <c r="K143" s="239">
        <f t="shared" si="130"/>
        <v>0</v>
      </c>
      <c r="L143" s="239">
        <f t="shared" si="130"/>
        <v>0</v>
      </c>
      <c r="M143" s="239">
        <f t="shared" si="130"/>
        <v>0</v>
      </c>
      <c r="N143" s="240">
        <f>+'Plan de culture 114'!$AE$7</f>
        <v>0</v>
      </c>
    </row>
    <row r="144" spans="1:14" x14ac:dyDescent="0.35">
      <c r="A144" s="238" t="s">
        <v>94</v>
      </c>
      <c r="B144" s="254" t="str">
        <f>IFERROR((B146*B145)/B143,"0,00")</f>
        <v>0,00</v>
      </c>
      <c r="C144" s="254" t="str">
        <f t="shared" ref="C144:M144" si="131">IFERROR((C146*C145)/C143,"0,00")</f>
        <v>0,00</v>
      </c>
      <c r="D144" s="254" t="str">
        <f t="shared" si="131"/>
        <v>0,00</v>
      </c>
      <c r="E144" s="254" t="str">
        <f t="shared" si="131"/>
        <v>0,00</v>
      </c>
      <c r="F144" s="254" t="str">
        <f t="shared" si="131"/>
        <v>0,00</v>
      </c>
      <c r="G144" s="254" t="str">
        <f t="shared" si="131"/>
        <v>0,00</v>
      </c>
      <c r="H144" s="254" t="str">
        <f t="shared" si="131"/>
        <v>0,00</v>
      </c>
      <c r="I144" s="254" t="str">
        <f t="shared" si="131"/>
        <v>0,00</v>
      </c>
      <c r="J144" s="254" t="str">
        <f t="shared" si="131"/>
        <v>0,00</v>
      </c>
      <c r="K144" s="254" t="str">
        <f t="shared" si="131"/>
        <v>0,00</v>
      </c>
      <c r="L144" s="254" t="str">
        <f t="shared" si="131"/>
        <v>0,00</v>
      </c>
      <c r="M144" s="254" t="str">
        <f t="shared" si="131"/>
        <v>0,00</v>
      </c>
      <c r="N144" s="245" t="e">
        <f>+N142/N143</f>
        <v>#DIV/0!</v>
      </c>
    </row>
    <row r="145" spans="1:14" x14ac:dyDescent="0.35">
      <c r="A145" s="250" t="s">
        <v>96</v>
      </c>
      <c r="B145" s="87">
        <v>4.7</v>
      </c>
      <c r="C145" s="87">
        <f>+B145</f>
        <v>4.7</v>
      </c>
      <c r="D145" s="87">
        <f t="shared" ref="D145:M145" si="132">+C145</f>
        <v>4.7</v>
      </c>
      <c r="E145" s="87">
        <f t="shared" si="132"/>
        <v>4.7</v>
      </c>
      <c r="F145" s="87">
        <f t="shared" si="132"/>
        <v>4.7</v>
      </c>
      <c r="G145" s="87">
        <f t="shared" si="132"/>
        <v>4.7</v>
      </c>
      <c r="H145" s="87">
        <f t="shared" si="132"/>
        <v>4.7</v>
      </c>
      <c r="I145" s="87">
        <f t="shared" si="132"/>
        <v>4.7</v>
      </c>
      <c r="J145" s="87">
        <f t="shared" si="132"/>
        <v>4.7</v>
      </c>
      <c r="K145" s="87">
        <f t="shared" si="132"/>
        <v>4.7</v>
      </c>
      <c r="L145" s="87">
        <f t="shared" si="132"/>
        <v>4.7</v>
      </c>
      <c r="M145" s="87">
        <f t="shared" si="132"/>
        <v>4.7</v>
      </c>
      <c r="N145" s="245"/>
    </row>
    <row r="146" spans="1:14" x14ac:dyDescent="0.35">
      <c r="A146" s="250" t="s">
        <v>97</v>
      </c>
      <c r="B146" s="88">
        <v>0</v>
      </c>
      <c r="C146" s="88">
        <v>318000</v>
      </c>
      <c r="D146" s="88">
        <v>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245"/>
    </row>
    <row r="147" spans="1:14" x14ac:dyDescent="0.35">
      <c r="A147" s="235" t="s">
        <v>91</v>
      </c>
      <c r="B147" s="80">
        <f>(B149*B148)</f>
        <v>0</v>
      </c>
      <c r="C147" s="80">
        <f t="shared" ref="C147:M147" si="133">(C149*C148)</f>
        <v>0</v>
      </c>
      <c r="D147" s="80">
        <f t="shared" si="133"/>
        <v>0</v>
      </c>
      <c r="E147" s="80">
        <f t="shared" si="133"/>
        <v>0</v>
      </c>
      <c r="F147" s="80">
        <f t="shared" si="133"/>
        <v>0</v>
      </c>
      <c r="G147" s="80">
        <f t="shared" si="133"/>
        <v>0</v>
      </c>
      <c r="H147" s="80">
        <f t="shared" si="133"/>
        <v>0</v>
      </c>
      <c r="I147" s="80">
        <f t="shared" si="133"/>
        <v>0</v>
      </c>
      <c r="J147" s="80">
        <f t="shared" si="133"/>
        <v>0</v>
      </c>
      <c r="K147" s="80">
        <f t="shared" si="133"/>
        <v>0</v>
      </c>
      <c r="L147" s="80">
        <f t="shared" si="133"/>
        <v>0</v>
      </c>
      <c r="M147" s="80">
        <f t="shared" si="133"/>
        <v>0</v>
      </c>
      <c r="N147" s="244">
        <f>SUM(B147:M147)</f>
        <v>0</v>
      </c>
    </row>
    <row r="148" spans="1:14" x14ac:dyDescent="0.35">
      <c r="A148" s="238" t="s">
        <v>93</v>
      </c>
      <c r="B148" s="239">
        <f>+'Plan de culture 114'!$AE$13</f>
        <v>26.09</v>
      </c>
      <c r="C148" s="239">
        <f>+B148</f>
        <v>26.09</v>
      </c>
      <c r="D148" s="239">
        <f t="shared" ref="D148:M148" si="134">+C148</f>
        <v>26.09</v>
      </c>
      <c r="E148" s="239">
        <f t="shared" si="134"/>
        <v>26.09</v>
      </c>
      <c r="F148" s="239">
        <f t="shared" si="134"/>
        <v>26.09</v>
      </c>
      <c r="G148" s="239">
        <f t="shared" si="134"/>
        <v>26.09</v>
      </c>
      <c r="H148" s="239">
        <f t="shared" si="134"/>
        <v>26.09</v>
      </c>
      <c r="I148" s="239">
        <f t="shared" si="134"/>
        <v>26.09</v>
      </c>
      <c r="J148" s="239">
        <f t="shared" si="134"/>
        <v>26.09</v>
      </c>
      <c r="K148" s="239">
        <f t="shared" si="134"/>
        <v>26.09</v>
      </c>
      <c r="L148" s="239">
        <f t="shared" si="134"/>
        <v>26.09</v>
      </c>
      <c r="M148" s="239">
        <f t="shared" si="134"/>
        <v>26.09</v>
      </c>
      <c r="N148" s="240">
        <f>+'Plan de culture 114'!$AE$13</f>
        <v>26.09</v>
      </c>
    </row>
    <row r="149" spans="1:14" x14ac:dyDescent="0.35">
      <c r="A149" s="238" t="s">
        <v>94</v>
      </c>
      <c r="B149" s="254">
        <f>IFERROR((B151*B150)/B148,"0,00")</f>
        <v>0</v>
      </c>
      <c r="C149" s="254">
        <f t="shared" ref="C149:M149" si="135">IFERROR((C151*C150)/C148,"0,00")</f>
        <v>0</v>
      </c>
      <c r="D149" s="254">
        <f t="shared" si="135"/>
        <v>0</v>
      </c>
      <c r="E149" s="254">
        <f t="shared" si="135"/>
        <v>0</v>
      </c>
      <c r="F149" s="254">
        <f t="shared" si="135"/>
        <v>0</v>
      </c>
      <c r="G149" s="254">
        <f t="shared" si="135"/>
        <v>0</v>
      </c>
      <c r="H149" s="254">
        <f t="shared" si="135"/>
        <v>0</v>
      </c>
      <c r="I149" s="254">
        <f t="shared" si="135"/>
        <v>0</v>
      </c>
      <c r="J149" s="254">
        <f t="shared" si="135"/>
        <v>0</v>
      </c>
      <c r="K149" s="254">
        <f t="shared" si="135"/>
        <v>0</v>
      </c>
      <c r="L149" s="254">
        <f t="shared" si="135"/>
        <v>0</v>
      </c>
      <c r="M149" s="254">
        <f t="shared" si="135"/>
        <v>0</v>
      </c>
      <c r="N149" s="245">
        <f>+N147/N148</f>
        <v>0</v>
      </c>
    </row>
    <row r="150" spans="1:14" x14ac:dyDescent="0.35">
      <c r="A150" s="250" t="s">
        <v>96</v>
      </c>
      <c r="B150" s="87">
        <v>4.7</v>
      </c>
      <c r="C150" s="87">
        <f>+B150</f>
        <v>4.7</v>
      </c>
      <c r="D150" s="87">
        <f t="shared" ref="D150:M150" si="136">+C150</f>
        <v>4.7</v>
      </c>
      <c r="E150" s="87">
        <f t="shared" si="136"/>
        <v>4.7</v>
      </c>
      <c r="F150" s="87">
        <f t="shared" si="136"/>
        <v>4.7</v>
      </c>
      <c r="G150" s="87">
        <f t="shared" si="136"/>
        <v>4.7</v>
      </c>
      <c r="H150" s="87">
        <f t="shared" si="136"/>
        <v>4.7</v>
      </c>
      <c r="I150" s="87">
        <f t="shared" si="136"/>
        <v>4.7</v>
      </c>
      <c r="J150" s="87">
        <f t="shared" si="136"/>
        <v>4.7</v>
      </c>
      <c r="K150" s="87">
        <f t="shared" si="136"/>
        <v>4.7</v>
      </c>
      <c r="L150" s="87">
        <f t="shared" si="136"/>
        <v>4.7</v>
      </c>
      <c r="M150" s="87">
        <f t="shared" si="136"/>
        <v>4.7</v>
      </c>
      <c r="N150" s="245"/>
    </row>
    <row r="151" spans="1:14" x14ac:dyDescent="0.35">
      <c r="A151" s="250" t="s">
        <v>97</v>
      </c>
      <c r="B151" s="88">
        <v>0</v>
      </c>
      <c r="C151" s="88">
        <v>0</v>
      </c>
      <c r="D151" s="88">
        <v>0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245"/>
    </row>
    <row r="152" spans="1:14" x14ac:dyDescent="0.35">
      <c r="A152" s="235" t="s">
        <v>376</v>
      </c>
      <c r="B152" s="80">
        <f>(B154*B153)</f>
        <v>0</v>
      </c>
      <c r="C152" s="80">
        <f t="shared" ref="C152:M152" si="137">(C154*C153)</f>
        <v>0</v>
      </c>
      <c r="D152" s="80">
        <f t="shared" si="137"/>
        <v>0</v>
      </c>
      <c r="E152" s="80">
        <f t="shared" si="137"/>
        <v>0</v>
      </c>
      <c r="F152" s="80">
        <f t="shared" si="137"/>
        <v>0</v>
      </c>
      <c r="G152" s="80">
        <f t="shared" si="137"/>
        <v>0</v>
      </c>
      <c r="H152" s="80">
        <f t="shared" si="137"/>
        <v>0</v>
      </c>
      <c r="I152" s="80">
        <f t="shared" si="137"/>
        <v>0</v>
      </c>
      <c r="J152" s="80">
        <f t="shared" si="137"/>
        <v>0</v>
      </c>
      <c r="K152" s="80">
        <f t="shared" si="137"/>
        <v>0</v>
      </c>
      <c r="L152" s="80">
        <f t="shared" si="137"/>
        <v>0</v>
      </c>
      <c r="M152" s="80">
        <f t="shared" si="137"/>
        <v>0</v>
      </c>
      <c r="N152" s="244">
        <f>SUM(B152:M152)</f>
        <v>0</v>
      </c>
    </row>
    <row r="153" spans="1:14" x14ac:dyDescent="0.35">
      <c r="A153" s="238" t="s">
        <v>93</v>
      </c>
      <c r="B153" s="239">
        <f>+'Plan de culture 114'!$AE$19</f>
        <v>0</v>
      </c>
      <c r="C153" s="239">
        <f>+B153</f>
        <v>0</v>
      </c>
      <c r="D153" s="239">
        <f t="shared" ref="D153" si="138">+C153</f>
        <v>0</v>
      </c>
      <c r="E153" s="239">
        <f>+'Plan de culture 104 '!C149</f>
        <v>0</v>
      </c>
      <c r="F153" s="239">
        <f>+E153+'Plan de culture 104 '!D149+'Plan de culture 104 '!E149</f>
        <v>0</v>
      </c>
      <c r="G153" s="239">
        <f>+F153</f>
        <v>0</v>
      </c>
      <c r="H153" s="239">
        <f t="shared" ref="H153:M153" si="139">+G153</f>
        <v>0</v>
      </c>
      <c r="I153" s="239">
        <f t="shared" si="139"/>
        <v>0</v>
      </c>
      <c r="J153" s="239">
        <f t="shared" si="139"/>
        <v>0</v>
      </c>
      <c r="K153" s="239">
        <f t="shared" si="139"/>
        <v>0</v>
      </c>
      <c r="L153" s="239">
        <f t="shared" si="139"/>
        <v>0</v>
      </c>
      <c r="M153" s="239">
        <f t="shared" si="139"/>
        <v>0</v>
      </c>
      <c r="N153" s="240">
        <f>+'Plan de culture 114'!$AE$19</f>
        <v>0</v>
      </c>
    </row>
    <row r="154" spans="1:14" x14ac:dyDescent="0.35">
      <c r="A154" s="238" t="s">
        <v>94</v>
      </c>
      <c r="B154" s="253" t="str">
        <f>IFERROR((B156*B155)/B153,"0,00")</f>
        <v>0,00</v>
      </c>
      <c r="C154" s="253" t="str">
        <f t="shared" ref="C154:M154" si="140">IFERROR((C156*C155)/C153,"0,00")</f>
        <v>0,00</v>
      </c>
      <c r="D154" s="253" t="str">
        <f t="shared" si="140"/>
        <v>0,00</v>
      </c>
      <c r="E154" s="253" t="str">
        <f t="shared" si="140"/>
        <v>0,00</v>
      </c>
      <c r="F154" s="253" t="str">
        <f t="shared" si="140"/>
        <v>0,00</v>
      </c>
      <c r="G154" s="253" t="str">
        <f t="shared" si="140"/>
        <v>0,00</v>
      </c>
      <c r="H154" s="253" t="str">
        <f t="shared" si="140"/>
        <v>0,00</v>
      </c>
      <c r="I154" s="253" t="str">
        <f t="shared" si="140"/>
        <v>0,00</v>
      </c>
      <c r="J154" s="253" t="str">
        <f t="shared" si="140"/>
        <v>0,00</v>
      </c>
      <c r="K154" s="253" t="str">
        <f t="shared" si="140"/>
        <v>0,00</v>
      </c>
      <c r="L154" s="253" t="str">
        <f t="shared" si="140"/>
        <v>0,00</v>
      </c>
      <c r="M154" s="253" t="str">
        <f t="shared" si="140"/>
        <v>0,00</v>
      </c>
      <c r="N154" s="245" t="e">
        <f>+N152/N153</f>
        <v>#DIV/0!</v>
      </c>
    </row>
    <row r="155" spans="1:14" x14ac:dyDescent="0.35">
      <c r="A155" s="250" t="s">
        <v>96</v>
      </c>
      <c r="B155" s="87">
        <v>4.7</v>
      </c>
      <c r="C155" s="87">
        <f>+B155</f>
        <v>4.7</v>
      </c>
      <c r="D155" s="87">
        <f t="shared" ref="D155:M155" si="141">+C155</f>
        <v>4.7</v>
      </c>
      <c r="E155" s="87">
        <f t="shared" si="141"/>
        <v>4.7</v>
      </c>
      <c r="F155" s="87">
        <f t="shared" si="141"/>
        <v>4.7</v>
      </c>
      <c r="G155" s="87">
        <f t="shared" si="141"/>
        <v>4.7</v>
      </c>
      <c r="H155" s="87">
        <f t="shared" si="141"/>
        <v>4.7</v>
      </c>
      <c r="I155" s="87">
        <f t="shared" si="141"/>
        <v>4.7</v>
      </c>
      <c r="J155" s="87">
        <f t="shared" si="141"/>
        <v>4.7</v>
      </c>
      <c r="K155" s="87">
        <f t="shared" si="141"/>
        <v>4.7</v>
      </c>
      <c r="L155" s="87">
        <f t="shared" si="141"/>
        <v>4.7</v>
      </c>
      <c r="M155" s="87">
        <f t="shared" si="141"/>
        <v>4.7</v>
      </c>
      <c r="N155" s="245"/>
    </row>
    <row r="156" spans="1:14" x14ac:dyDescent="0.35">
      <c r="A156" s="250" t="s">
        <v>97</v>
      </c>
      <c r="B156" s="88">
        <v>0</v>
      </c>
      <c r="C156" s="88">
        <v>0</v>
      </c>
      <c r="D156" s="88">
        <v>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245"/>
    </row>
    <row r="157" spans="1:14" x14ac:dyDescent="0.35">
      <c r="A157" s="235" t="s">
        <v>92</v>
      </c>
      <c r="B157" s="80">
        <f>(B159*B158)</f>
        <v>0</v>
      </c>
      <c r="C157" s="80">
        <f t="shared" ref="C157:M157" si="142">(C159*C158)</f>
        <v>0</v>
      </c>
      <c r="D157" s="80">
        <f t="shared" si="142"/>
        <v>0</v>
      </c>
      <c r="E157" s="80">
        <f t="shared" si="142"/>
        <v>0</v>
      </c>
      <c r="F157" s="80">
        <f t="shared" si="142"/>
        <v>0</v>
      </c>
      <c r="G157" s="80">
        <f t="shared" si="142"/>
        <v>0</v>
      </c>
      <c r="H157" s="80">
        <f t="shared" si="142"/>
        <v>0</v>
      </c>
      <c r="I157" s="80">
        <f t="shared" si="142"/>
        <v>0</v>
      </c>
      <c r="J157" s="80">
        <f t="shared" si="142"/>
        <v>0</v>
      </c>
      <c r="K157" s="80">
        <f t="shared" si="142"/>
        <v>0</v>
      </c>
      <c r="L157" s="80">
        <f t="shared" si="142"/>
        <v>0</v>
      </c>
      <c r="M157" s="80">
        <f t="shared" si="142"/>
        <v>0</v>
      </c>
      <c r="N157" s="244">
        <f>SUM(B157:M157)</f>
        <v>0</v>
      </c>
    </row>
    <row r="158" spans="1:14" x14ac:dyDescent="0.35">
      <c r="A158" s="238" t="s">
        <v>93</v>
      </c>
      <c r="B158" s="239">
        <f>+'Plan de culture 114'!$AE$25</f>
        <v>0</v>
      </c>
      <c r="C158" s="239">
        <f>+B158</f>
        <v>0</v>
      </c>
      <c r="D158" s="239">
        <f t="shared" ref="D158" si="143">+C158</f>
        <v>0</v>
      </c>
      <c r="E158" s="239">
        <f>+'Plan de culture 104 '!C154</f>
        <v>0</v>
      </c>
      <c r="F158" s="239">
        <f>+E158+'Plan de culture 104 '!D154+'Plan de culture 104 '!E154</f>
        <v>0</v>
      </c>
      <c r="G158" s="239">
        <f>+F158</f>
        <v>0</v>
      </c>
      <c r="H158" s="239">
        <f t="shared" ref="H158:M158" si="144">+G158</f>
        <v>0</v>
      </c>
      <c r="I158" s="239">
        <f t="shared" si="144"/>
        <v>0</v>
      </c>
      <c r="J158" s="239">
        <f t="shared" si="144"/>
        <v>0</v>
      </c>
      <c r="K158" s="239">
        <f t="shared" si="144"/>
        <v>0</v>
      </c>
      <c r="L158" s="239">
        <f t="shared" si="144"/>
        <v>0</v>
      </c>
      <c r="M158" s="239">
        <f t="shared" si="144"/>
        <v>0</v>
      </c>
      <c r="N158" s="240">
        <f>+'Plan de culture 114'!$AE$25</f>
        <v>0</v>
      </c>
    </row>
    <row r="159" spans="1:14" x14ac:dyDescent="0.35">
      <c r="A159" s="238" t="s">
        <v>94</v>
      </c>
      <c r="B159" s="253" t="str">
        <f>IFERROR((B161*B160)/B158,"0,00")</f>
        <v>0,00</v>
      </c>
      <c r="C159" s="253" t="str">
        <f t="shared" ref="C159:M159" si="145">IFERROR((C161*C160)/C158,"0,00")</f>
        <v>0,00</v>
      </c>
      <c r="D159" s="253" t="str">
        <f t="shared" si="145"/>
        <v>0,00</v>
      </c>
      <c r="E159" s="253" t="str">
        <f t="shared" si="145"/>
        <v>0,00</v>
      </c>
      <c r="F159" s="253" t="str">
        <f t="shared" si="145"/>
        <v>0,00</v>
      </c>
      <c r="G159" s="253" t="str">
        <f t="shared" si="145"/>
        <v>0,00</v>
      </c>
      <c r="H159" s="253" t="str">
        <f t="shared" si="145"/>
        <v>0,00</v>
      </c>
      <c r="I159" s="253" t="str">
        <f t="shared" si="145"/>
        <v>0,00</v>
      </c>
      <c r="J159" s="253" t="str">
        <f t="shared" si="145"/>
        <v>0,00</v>
      </c>
      <c r="K159" s="253" t="str">
        <f t="shared" si="145"/>
        <v>0,00</v>
      </c>
      <c r="L159" s="253" t="str">
        <f t="shared" si="145"/>
        <v>0,00</v>
      </c>
      <c r="M159" s="253" t="str">
        <f t="shared" si="145"/>
        <v>0,00</v>
      </c>
      <c r="N159" s="245" t="e">
        <f>+N157/N158</f>
        <v>#DIV/0!</v>
      </c>
    </row>
    <row r="160" spans="1:14" x14ac:dyDescent="0.35">
      <c r="A160" s="250" t="s">
        <v>96</v>
      </c>
      <c r="B160" s="87">
        <v>4.7</v>
      </c>
      <c r="C160" s="87">
        <f>+B160</f>
        <v>4.7</v>
      </c>
      <c r="D160" s="87">
        <f t="shared" ref="D160:M160" si="146">+C160</f>
        <v>4.7</v>
      </c>
      <c r="E160" s="87">
        <f t="shared" si="146"/>
        <v>4.7</v>
      </c>
      <c r="F160" s="87">
        <f t="shared" si="146"/>
        <v>4.7</v>
      </c>
      <c r="G160" s="87">
        <f t="shared" si="146"/>
        <v>4.7</v>
      </c>
      <c r="H160" s="87">
        <f t="shared" si="146"/>
        <v>4.7</v>
      </c>
      <c r="I160" s="87">
        <f t="shared" si="146"/>
        <v>4.7</v>
      </c>
      <c r="J160" s="87">
        <f t="shared" si="146"/>
        <v>4.7</v>
      </c>
      <c r="K160" s="87">
        <f t="shared" si="146"/>
        <v>4.7</v>
      </c>
      <c r="L160" s="87">
        <f t="shared" si="146"/>
        <v>4.7</v>
      </c>
      <c r="M160" s="87">
        <f t="shared" si="146"/>
        <v>4.7</v>
      </c>
      <c r="N160" s="245"/>
    </row>
    <row r="161" spans="1:14" x14ac:dyDescent="0.35">
      <c r="A161" s="250" t="s">
        <v>97</v>
      </c>
      <c r="B161" s="88">
        <v>0</v>
      </c>
      <c r="C161" s="88">
        <v>0</v>
      </c>
      <c r="D161" s="88">
        <v>0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245"/>
    </row>
    <row r="162" spans="1:14" x14ac:dyDescent="0.35">
      <c r="A162" s="235" t="s">
        <v>377</v>
      </c>
      <c r="B162" s="80">
        <f>(B164*B163)</f>
        <v>0</v>
      </c>
      <c r="C162" s="80">
        <f t="shared" ref="C162:M162" si="147">(C164*C163)</f>
        <v>0</v>
      </c>
      <c r="D162" s="80">
        <f t="shared" si="147"/>
        <v>0</v>
      </c>
      <c r="E162" s="80">
        <f t="shared" si="147"/>
        <v>0</v>
      </c>
      <c r="F162" s="80">
        <f t="shared" si="147"/>
        <v>0</v>
      </c>
      <c r="G162" s="80">
        <f t="shared" si="147"/>
        <v>0</v>
      </c>
      <c r="H162" s="80">
        <f t="shared" si="147"/>
        <v>0</v>
      </c>
      <c r="I162" s="80">
        <f t="shared" si="147"/>
        <v>0</v>
      </c>
      <c r="J162" s="80">
        <f t="shared" si="147"/>
        <v>0</v>
      </c>
      <c r="K162" s="80">
        <f t="shared" si="147"/>
        <v>0</v>
      </c>
      <c r="L162" s="80">
        <f t="shared" si="147"/>
        <v>0</v>
      </c>
      <c r="M162" s="80">
        <f t="shared" si="147"/>
        <v>0</v>
      </c>
      <c r="N162" s="244">
        <f>SUM(B162:M162)</f>
        <v>0</v>
      </c>
    </row>
    <row r="163" spans="1:14" x14ac:dyDescent="0.35">
      <c r="A163" s="238" t="s">
        <v>93</v>
      </c>
      <c r="B163" s="239">
        <f>+'Plan de culture 114'!$AE$31</f>
        <v>0</v>
      </c>
      <c r="C163" s="239">
        <f>+B163</f>
        <v>0</v>
      </c>
      <c r="D163" s="239">
        <f t="shared" ref="D163" si="148">+C163</f>
        <v>0</v>
      </c>
      <c r="E163" s="239">
        <f>+'Plan de culture 104 '!C159</f>
        <v>0</v>
      </c>
      <c r="F163" s="239">
        <f>+E163+'Plan de culture 104 '!D159+'Plan de culture 104 '!E159</f>
        <v>0</v>
      </c>
      <c r="G163" s="239">
        <f>+F163</f>
        <v>0</v>
      </c>
      <c r="H163" s="239">
        <f t="shared" ref="H163:M163" si="149">+G163</f>
        <v>0</v>
      </c>
      <c r="I163" s="239">
        <f t="shared" si="149"/>
        <v>0</v>
      </c>
      <c r="J163" s="239">
        <f t="shared" si="149"/>
        <v>0</v>
      </c>
      <c r="K163" s="239">
        <f t="shared" si="149"/>
        <v>0</v>
      </c>
      <c r="L163" s="239">
        <f t="shared" si="149"/>
        <v>0</v>
      </c>
      <c r="M163" s="239">
        <f t="shared" si="149"/>
        <v>0</v>
      </c>
      <c r="N163" s="240">
        <f>+'Plan de culture 114'!$AE$31</f>
        <v>0</v>
      </c>
    </row>
    <row r="164" spans="1:14" x14ac:dyDescent="0.35">
      <c r="A164" s="238" t="s">
        <v>94</v>
      </c>
      <c r="B164" s="253" t="str">
        <f>IFERROR((B166*B165)/B163,"0,00")</f>
        <v>0,00</v>
      </c>
      <c r="C164" s="253" t="str">
        <f t="shared" ref="C164:M164" si="150">IFERROR((C166*C165)/C163,"0,00")</f>
        <v>0,00</v>
      </c>
      <c r="D164" s="253" t="str">
        <f t="shared" si="150"/>
        <v>0,00</v>
      </c>
      <c r="E164" s="253" t="str">
        <f t="shared" si="150"/>
        <v>0,00</v>
      </c>
      <c r="F164" s="253" t="str">
        <f t="shared" si="150"/>
        <v>0,00</v>
      </c>
      <c r="G164" s="253" t="str">
        <f t="shared" si="150"/>
        <v>0,00</v>
      </c>
      <c r="H164" s="253" t="str">
        <f t="shared" si="150"/>
        <v>0,00</v>
      </c>
      <c r="I164" s="253" t="str">
        <f t="shared" si="150"/>
        <v>0,00</v>
      </c>
      <c r="J164" s="253" t="str">
        <f t="shared" si="150"/>
        <v>0,00</v>
      </c>
      <c r="K164" s="253" t="str">
        <f t="shared" si="150"/>
        <v>0,00</v>
      </c>
      <c r="L164" s="253" t="str">
        <f t="shared" si="150"/>
        <v>0,00</v>
      </c>
      <c r="M164" s="253" t="str">
        <f t="shared" si="150"/>
        <v>0,00</v>
      </c>
      <c r="N164" s="245" t="e">
        <f>+N162/N163</f>
        <v>#DIV/0!</v>
      </c>
    </row>
    <row r="165" spans="1:14" x14ac:dyDescent="0.35">
      <c r="A165" s="250" t="s">
        <v>96</v>
      </c>
      <c r="B165" s="87">
        <v>4.7</v>
      </c>
      <c r="C165" s="87">
        <f>+B165</f>
        <v>4.7</v>
      </c>
      <c r="D165" s="87">
        <f t="shared" ref="D165:M165" si="151">+C165</f>
        <v>4.7</v>
      </c>
      <c r="E165" s="87">
        <f t="shared" si="151"/>
        <v>4.7</v>
      </c>
      <c r="F165" s="87">
        <f t="shared" si="151"/>
        <v>4.7</v>
      </c>
      <c r="G165" s="87">
        <f t="shared" si="151"/>
        <v>4.7</v>
      </c>
      <c r="H165" s="87">
        <f t="shared" si="151"/>
        <v>4.7</v>
      </c>
      <c r="I165" s="87">
        <f t="shared" si="151"/>
        <v>4.7</v>
      </c>
      <c r="J165" s="87">
        <f t="shared" si="151"/>
        <v>4.7</v>
      </c>
      <c r="K165" s="87">
        <f t="shared" si="151"/>
        <v>4.7</v>
      </c>
      <c r="L165" s="87">
        <f t="shared" si="151"/>
        <v>4.7</v>
      </c>
      <c r="M165" s="87">
        <f t="shared" si="151"/>
        <v>4.7</v>
      </c>
      <c r="N165" s="245"/>
    </row>
    <row r="166" spans="1:14" x14ac:dyDescent="0.35">
      <c r="A166" s="250" t="s">
        <v>97</v>
      </c>
      <c r="B166" s="88">
        <v>0</v>
      </c>
      <c r="C166" s="88">
        <v>0</v>
      </c>
      <c r="D166" s="88">
        <v>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245"/>
    </row>
    <row r="167" spans="1:14" x14ac:dyDescent="0.35">
      <c r="A167" s="235" t="s">
        <v>378</v>
      </c>
      <c r="B167" s="80">
        <f>(B169*B168)</f>
        <v>0</v>
      </c>
      <c r="C167" s="80">
        <f t="shared" ref="C167:M167" si="152">(C169*C168)</f>
        <v>0</v>
      </c>
      <c r="D167" s="80">
        <f t="shared" si="152"/>
        <v>0</v>
      </c>
      <c r="E167" s="80">
        <f t="shared" si="152"/>
        <v>0</v>
      </c>
      <c r="F167" s="80">
        <f t="shared" si="152"/>
        <v>0</v>
      </c>
      <c r="G167" s="80">
        <f t="shared" si="152"/>
        <v>0</v>
      </c>
      <c r="H167" s="80">
        <f t="shared" si="152"/>
        <v>0</v>
      </c>
      <c r="I167" s="80">
        <f t="shared" si="152"/>
        <v>0</v>
      </c>
      <c r="J167" s="80">
        <f t="shared" si="152"/>
        <v>0</v>
      </c>
      <c r="K167" s="80">
        <f t="shared" si="152"/>
        <v>0</v>
      </c>
      <c r="L167" s="80">
        <f t="shared" si="152"/>
        <v>0</v>
      </c>
      <c r="M167" s="80">
        <f t="shared" si="152"/>
        <v>0</v>
      </c>
      <c r="N167" s="244">
        <f>SUM(B167:M167)</f>
        <v>0</v>
      </c>
    </row>
    <row r="168" spans="1:14" x14ac:dyDescent="0.35">
      <c r="A168" s="238" t="s">
        <v>93</v>
      </c>
      <c r="B168" s="239">
        <f>+'Plan de culture 114'!$AE$37</f>
        <v>0</v>
      </c>
      <c r="C168" s="239">
        <f>+B168</f>
        <v>0</v>
      </c>
      <c r="D168" s="239">
        <f t="shared" ref="D168" si="153">+C168</f>
        <v>0</v>
      </c>
      <c r="E168" s="239">
        <f>+'Plan de culture 104 '!C164</f>
        <v>0</v>
      </c>
      <c r="F168" s="239">
        <f>+E168+'Plan de culture 104 '!D164+'Plan de culture 104 '!E164</f>
        <v>0</v>
      </c>
      <c r="G168" s="239">
        <f>+F168</f>
        <v>0</v>
      </c>
      <c r="H168" s="239">
        <f t="shared" ref="H168:M168" si="154">+G168</f>
        <v>0</v>
      </c>
      <c r="I168" s="239">
        <f t="shared" si="154"/>
        <v>0</v>
      </c>
      <c r="J168" s="239">
        <f t="shared" si="154"/>
        <v>0</v>
      </c>
      <c r="K168" s="239">
        <f t="shared" si="154"/>
        <v>0</v>
      </c>
      <c r="L168" s="239">
        <f t="shared" si="154"/>
        <v>0</v>
      </c>
      <c r="M168" s="239">
        <f t="shared" si="154"/>
        <v>0</v>
      </c>
      <c r="N168" s="240">
        <f>+'Plan de culture 114'!$AE$37</f>
        <v>0</v>
      </c>
    </row>
    <row r="169" spans="1:14" x14ac:dyDescent="0.35">
      <c r="A169" s="238" t="s">
        <v>94</v>
      </c>
      <c r="B169" s="253" t="str">
        <f>IFERROR((B171*B170)/B168,"0,00")</f>
        <v>0,00</v>
      </c>
      <c r="C169" s="253" t="str">
        <f t="shared" ref="C169:M169" si="155">IFERROR((C171*C170)/C168,"0,00")</f>
        <v>0,00</v>
      </c>
      <c r="D169" s="253" t="str">
        <f t="shared" si="155"/>
        <v>0,00</v>
      </c>
      <c r="E169" s="253" t="str">
        <f t="shared" si="155"/>
        <v>0,00</v>
      </c>
      <c r="F169" s="253" t="str">
        <f t="shared" si="155"/>
        <v>0,00</v>
      </c>
      <c r="G169" s="253" t="str">
        <f t="shared" si="155"/>
        <v>0,00</v>
      </c>
      <c r="H169" s="253" t="str">
        <f t="shared" si="155"/>
        <v>0,00</v>
      </c>
      <c r="I169" s="253" t="str">
        <f t="shared" si="155"/>
        <v>0,00</v>
      </c>
      <c r="J169" s="253" t="str">
        <f t="shared" si="155"/>
        <v>0,00</v>
      </c>
      <c r="K169" s="253" t="str">
        <f t="shared" si="155"/>
        <v>0,00</v>
      </c>
      <c r="L169" s="253" t="str">
        <f t="shared" si="155"/>
        <v>0,00</v>
      </c>
      <c r="M169" s="253" t="str">
        <f t="shared" si="155"/>
        <v>0,00</v>
      </c>
      <c r="N169" s="245" t="e">
        <f>+N167/N168</f>
        <v>#DIV/0!</v>
      </c>
    </row>
    <row r="170" spans="1:14" x14ac:dyDescent="0.35">
      <c r="A170" s="250" t="s">
        <v>96</v>
      </c>
      <c r="B170" s="87">
        <v>4.7</v>
      </c>
      <c r="C170" s="87">
        <f>+B170</f>
        <v>4.7</v>
      </c>
      <c r="D170" s="87">
        <f t="shared" ref="D170:M170" si="156">+C170</f>
        <v>4.7</v>
      </c>
      <c r="E170" s="87">
        <f t="shared" si="156"/>
        <v>4.7</v>
      </c>
      <c r="F170" s="87">
        <f t="shared" si="156"/>
        <v>4.7</v>
      </c>
      <c r="G170" s="87">
        <f t="shared" si="156"/>
        <v>4.7</v>
      </c>
      <c r="H170" s="87">
        <f t="shared" si="156"/>
        <v>4.7</v>
      </c>
      <c r="I170" s="87">
        <f t="shared" si="156"/>
        <v>4.7</v>
      </c>
      <c r="J170" s="87">
        <f t="shared" si="156"/>
        <v>4.7</v>
      </c>
      <c r="K170" s="87">
        <f t="shared" si="156"/>
        <v>4.7</v>
      </c>
      <c r="L170" s="87">
        <f t="shared" si="156"/>
        <v>4.7</v>
      </c>
      <c r="M170" s="87">
        <f t="shared" si="156"/>
        <v>4.7</v>
      </c>
      <c r="N170" s="245"/>
    </row>
    <row r="171" spans="1:14" ht="12" thickBot="1" x14ac:dyDescent="0.4">
      <c r="A171" s="251" t="s">
        <v>97</v>
      </c>
      <c r="B171" s="252">
        <v>0</v>
      </c>
      <c r="C171" s="252">
        <v>0</v>
      </c>
      <c r="D171" s="252">
        <v>0</v>
      </c>
      <c r="E171" s="252">
        <v>0</v>
      </c>
      <c r="F171" s="252">
        <v>0</v>
      </c>
      <c r="G171" s="252">
        <v>0</v>
      </c>
      <c r="H171" s="252">
        <v>0</v>
      </c>
      <c r="I171" s="252">
        <v>0</v>
      </c>
      <c r="J171" s="252">
        <v>0</v>
      </c>
      <c r="K171" s="252">
        <v>0</v>
      </c>
      <c r="L171" s="252">
        <v>0</v>
      </c>
      <c r="M171" s="252">
        <v>0</v>
      </c>
      <c r="N171" s="247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P171"/>
  <sheetViews>
    <sheetView zoomScaleNormal="100" workbookViewId="0">
      <selection activeCell="B168" sqref="B168:N168"/>
    </sheetView>
  </sheetViews>
  <sheetFormatPr baseColWidth="10" defaultColWidth="11.46484375" defaultRowHeight="11.65" x14ac:dyDescent="0.35"/>
  <cols>
    <col min="1" max="1" width="24.73046875" style="32" bestFit="1" customWidth="1"/>
    <col min="2" max="2" width="7.86328125" style="32" bestFit="1" customWidth="1"/>
    <col min="3" max="3" width="10.19921875" style="32" bestFit="1" customWidth="1"/>
    <col min="4" max="13" width="7.3984375" style="32" bestFit="1" customWidth="1"/>
    <col min="14" max="14" width="7.796875" style="32" bestFit="1" customWidth="1"/>
    <col min="15" max="16384" width="11.46484375" style="32"/>
  </cols>
  <sheetData>
    <row r="1" spans="1:16" ht="35.25" thickBot="1" x14ac:dyDescent="0.4">
      <c r="A1" s="68" t="s">
        <v>312</v>
      </c>
    </row>
    <row r="3" spans="1:16" s="57" customFormat="1" ht="12" thickBot="1" x14ac:dyDescent="0.4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259" t="s">
        <v>388</v>
      </c>
      <c r="B4" s="260">
        <f>B7+B40+B73+B106++B139</f>
        <v>0</v>
      </c>
      <c r="C4" s="260">
        <f t="shared" ref="C4:M4" si="1">C7+C40+C73+C106++C139</f>
        <v>1505000</v>
      </c>
      <c r="D4" s="260">
        <f t="shared" si="1"/>
        <v>0</v>
      </c>
      <c r="E4" s="260">
        <f t="shared" si="1"/>
        <v>0</v>
      </c>
      <c r="F4" s="260">
        <f t="shared" si="1"/>
        <v>0</v>
      </c>
      <c r="G4" s="260">
        <f t="shared" si="1"/>
        <v>0</v>
      </c>
      <c r="H4" s="260">
        <f t="shared" si="1"/>
        <v>0</v>
      </c>
      <c r="I4" s="260">
        <f t="shared" si="1"/>
        <v>0</v>
      </c>
      <c r="J4" s="260">
        <f t="shared" si="1"/>
        <v>0</v>
      </c>
      <c r="K4" s="260">
        <f t="shared" si="1"/>
        <v>0</v>
      </c>
      <c r="L4" s="260">
        <f t="shared" si="1"/>
        <v>0</v>
      </c>
      <c r="M4" s="260">
        <f t="shared" si="1"/>
        <v>0</v>
      </c>
      <c r="N4" s="261">
        <f>N7+N40+N73+N106+N139</f>
        <v>1505000</v>
      </c>
    </row>
    <row r="5" spans="1:16" s="57" customFormat="1" x14ac:dyDescent="0.35">
      <c r="A5" s="262" t="s">
        <v>93</v>
      </c>
      <c r="B5" s="263">
        <f>B8+B41+B74+B107+B140</f>
        <v>68.968000000000004</v>
      </c>
      <c r="C5" s="263">
        <f t="shared" ref="C5:M5" si="2">C8+C41+C74+C107+C140</f>
        <v>68.968000000000004</v>
      </c>
      <c r="D5" s="263">
        <f t="shared" si="2"/>
        <v>68.968000000000004</v>
      </c>
      <c r="E5" s="263">
        <f t="shared" si="2"/>
        <v>68.968000000000004</v>
      </c>
      <c r="F5" s="263">
        <f t="shared" si="2"/>
        <v>68.968000000000004</v>
      </c>
      <c r="G5" s="263">
        <f t="shared" si="2"/>
        <v>68.968000000000004</v>
      </c>
      <c r="H5" s="263">
        <f t="shared" si="2"/>
        <v>68.968000000000004</v>
      </c>
      <c r="I5" s="263">
        <f t="shared" si="2"/>
        <v>68.968000000000004</v>
      </c>
      <c r="J5" s="263">
        <f t="shared" si="2"/>
        <v>68.968000000000004</v>
      </c>
      <c r="K5" s="263">
        <f t="shared" si="2"/>
        <v>68.968000000000004</v>
      </c>
      <c r="L5" s="263">
        <f t="shared" si="2"/>
        <v>68.968000000000004</v>
      </c>
      <c r="M5" s="263">
        <f t="shared" si="2"/>
        <v>68.968000000000004</v>
      </c>
      <c r="N5" s="264">
        <f>N8+N41+N74+N107+N140</f>
        <v>68.968000000000004</v>
      </c>
    </row>
    <row r="6" spans="1:16" s="57" customFormat="1" ht="12" thickBot="1" x14ac:dyDescent="0.4">
      <c r="A6" s="265" t="s">
        <v>94</v>
      </c>
      <c r="B6" s="266">
        <f>+B4/B5</f>
        <v>0</v>
      </c>
      <c r="C6" s="266">
        <f>+C4/C5</f>
        <v>21821.714418280942</v>
      </c>
      <c r="D6" s="266">
        <f t="shared" ref="D6:M6" si="3">+D4/D5</f>
        <v>0</v>
      </c>
      <c r="E6" s="266">
        <f t="shared" si="3"/>
        <v>0</v>
      </c>
      <c r="F6" s="266">
        <f t="shared" si="3"/>
        <v>0</v>
      </c>
      <c r="G6" s="266">
        <f t="shared" si="3"/>
        <v>0</v>
      </c>
      <c r="H6" s="266">
        <f t="shared" si="3"/>
        <v>0</v>
      </c>
      <c r="I6" s="266">
        <f t="shared" si="3"/>
        <v>0</v>
      </c>
      <c r="J6" s="266">
        <f t="shared" si="3"/>
        <v>0</v>
      </c>
      <c r="K6" s="266">
        <f t="shared" si="3"/>
        <v>0</v>
      </c>
      <c r="L6" s="266">
        <f t="shared" si="3"/>
        <v>0</v>
      </c>
      <c r="M6" s="266">
        <f t="shared" si="3"/>
        <v>0</v>
      </c>
      <c r="N6" s="267">
        <f>+N4/N5</f>
        <v>21821.714418280942</v>
      </c>
    </row>
    <row r="7" spans="1:16" x14ac:dyDescent="0.35">
      <c r="A7" s="233" t="s">
        <v>390</v>
      </c>
      <c r="B7" s="242">
        <f>+B10+B15+B20+B25+B30+B35</f>
        <v>0</v>
      </c>
      <c r="C7" s="242">
        <f t="shared" ref="C7:M7" si="4">+C10+C15+C20+C25+C30+C35</f>
        <v>1113000</v>
      </c>
      <c r="D7" s="242">
        <f t="shared" si="4"/>
        <v>0</v>
      </c>
      <c r="E7" s="242">
        <f t="shared" si="4"/>
        <v>0</v>
      </c>
      <c r="F7" s="242">
        <f t="shared" si="4"/>
        <v>0</v>
      </c>
      <c r="G7" s="242">
        <f t="shared" si="4"/>
        <v>0</v>
      </c>
      <c r="H7" s="242">
        <f t="shared" si="4"/>
        <v>0</v>
      </c>
      <c r="I7" s="242">
        <f t="shared" si="4"/>
        <v>0</v>
      </c>
      <c r="J7" s="242">
        <f t="shared" si="4"/>
        <v>0</v>
      </c>
      <c r="K7" s="242">
        <f t="shared" si="4"/>
        <v>0</v>
      </c>
      <c r="L7" s="242">
        <f t="shared" si="4"/>
        <v>0</v>
      </c>
      <c r="M7" s="242">
        <f t="shared" si="4"/>
        <v>0</v>
      </c>
      <c r="N7" s="243">
        <f>SUM(B7:M7)</f>
        <v>1113000</v>
      </c>
    </row>
    <row r="8" spans="1:16" x14ac:dyDescent="0.35">
      <c r="A8" s="234" t="s">
        <v>93</v>
      </c>
      <c r="B8" s="83">
        <f>+B11+B16+B21+B26+B31+B36</f>
        <v>15.350000000000003</v>
      </c>
      <c r="C8" s="81">
        <f t="shared" ref="C8:M8" si="5">+C11</f>
        <v>15.350000000000003</v>
      </c>
      <c r="D8" s="81">
        <f t="shared" si="5"/>
        <v>15.350000000000003</v>
      </c>
      <c r="E8" s="81">
        <f t="shared" si="5"/>
        <v>15.350000000000003</v>
      </c>
      <c r="F8" s="81">
        <f t="shared" si="5"/>
        <v>15.350000000000003</v>
      </c>
      <c r="G8" s="81">
        <f t="shared" si="5"/>
        <v>15.350000000000003</v>
      </c>
      <c r="H8" s="81">
        <f t="shared" si="5"/>
        <v>15.350000000000003</v>
      </c>
      <c r="I8" s="81">
        <f t="shared" si="5"/>
        <v>15.350000000000003</v>
      </c>
      <c r="J8" s="81">
        <f t="shared" si="5"/>
        <v>15.350000000000003</v>
      </c>
      <c r="K8" s="81">
        <f t="shared" si="5"/>
        <v>15.350000000000003</v>
      </c>
      <c r="L8" s="81">
        <f t="shared" si="5"/>
        <v>15.350000000000003</v>
      </c>
      <c r="M8" s="81">
        <f t="shared" si="5"/>
        <v>15.350000000000003</v>
      </c>
      <c r="N8" s="248">
        <f>+M8</f>
        <v>15.350000000000003</v>
      </c>
    </row>
    <row r="9" spans="1:16" x14ac:dyDescent="0.35">
      <c r="A9" s="234" t="s">
        <v>389</v>
      </c>
      <c r="B9" s="83">
        <f t="shared" ref="B9:N9" si="6">+B7/B8</f>
        <v>0</v>
      </c>
      <c r="C9" s="83">
        <f t="shared" si="6"/>
        <v>72508.14332247556</v>
      </c>
      <c r="D9" s="83">
        <f t="shared" si="6"/>
        <v>0</v>
      </c>
      <c r="E9" s="83">
        <f t="shared" si="6"/>
        <v>0</v>
      </c>
      <c r="F9" s="83">
        <f t="shared" si="6"/>
        <v>0</v>
      </c>
      <c r="G9" s="83">
        <f t="shared" si="6"/>
        <v>0</v>
      </c>
      <c r="H9" s="83">
        <f t="shared" si="6"/>
        <v>0</v>
      </c>
      <c r="I9" s="83">
        <f t="shared" si="6"/>
        <v>0</v>
      </c>
      <c r="J9" s="83">
        <f t="shared" si="6"/>
        <v>0</v>
      </c>
      <c r="K9" s="83">
        <f t="shared" si="6"/>
        <v>0</v>
      </c>
      <c r="L9" s="83">
        <f t="shared" si="6"/>
        <v>0</v>
      </c>
      <c r="M9" s="83">
        <f t="shared" si="6"/>
        <v>0</v>
      </c>
      <c r="N9" s="249">
        <f t="shared" si="6"/>
        <v>72508.14332247556</v>
      </c>
      <c r="P9" s="62"/>
    </row>
    <row r="10" spans="1:16" x14ac:dyDescent="0.35">
      <c r="A10" s="235" t="s">
        <v>90</v>
      </c>
      <c r="B10" s="80">
        <f>(B14*B13)</f>
        <v>0</v>
      </c>
      <c r="C10" s="80">
        <f t="shared" ref="C10:M10" si="7">(C12*C11)</f>
        <v>1113000</v>
      </c>
      <c r="D10" s="80">
        <f t="shared" si="7"/>
        <v>0</v>
      </c>
      <c r="E10" s="80">
        <f t="shared" si="7"/>
        <v>0</v>
      </c>
      <c r="F10" s="80">
        <f t="shared" si="7"/>
        <v>0</v>
      </c>
      <c r="G10" s="80">
        <f t="shared" si="7"/>
        <v>0</v>
      </c>
      <c r="H10" s="80">
        <f t="shared" si="7"/>
        <v>0</v>
      </c>
      <c r="I10" s="80">
        <f t="shared" si="7"/>
        <v>0</v>
      </c>
      <c r="J10" s="80">
        <f t="shared" si="7"/>
        <v>0</v>
      </c>
      <c r="K10" s="80">
        <f t="shared" si="7"/>
        <v>0</v>
      </c>
      <c r="L10" s="80">
        <f t="shared" si="7"/>
        <v>0</v>
      </c>
      <c r="M10" s="80">
        <f t="shared" si="7"/>
        <v>0</v>
      </c>
      <c r="N10" s="244">
        <f>SUM(B10:M10)</f>
        <v>1113000</v>
      </c>
    </row>
    <row r="11" spans="1:16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8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8"/>
        <v>15.350000000000003</v>
      </c>
      <c r="I11" s="239">
        <f t="shared" si="8"/>
        <v>15.350000000000003</v>
      </c>
      <c r="J11" s="239">
        <f t="shared" si="8"/>
        <v>15.350000000000003</v>
      </c>
      <c r="K11" s="239">
        <f t="shared" si="8"/>
        <v>15.350000000000003</v>
      </c>
      <c r="L11" s="239">
        <f t="shared" si="8"/>
        <v>15.350000000000003</v>
      </c>
      <c r="M11" s="239">
        <f t="shared" si="8"/>
        <v>15.350000000000003</v>
      </c>
      <c r="N11" s="240">
        <f>+'Plan de culture 104 '!X7</f>
        <v>15.350000000000003</v>
      </c>
    </row>
    <row r="12" spans="1:16" x14ac:dyDescent="0.35">
      <c r="A12" s="238" t="s">
        <v>95</v>
      </c>
      <c r="B12" s="254">
        <f>IFERROR((B14*B13)/B11,"0,00")</f>
        <v>0</v>
      </c>
      <c r="C12" s="254">
        <f t="shared" ref="C12:M12" si="9">IFERROR((C14*C13)/C11,"0,00")</f>
        <v>72508.14332247556</v>
      </c>
      <c r="D12" s="254">
        <f t="shared" si="9"/>
        <v>0</v>
      </c>
      <c r="E12" s="254">
        <f t="shared" si="9"/>
        <v>0</v>
      </c>
      <c r="F12" s="254">
        <f t="shared" si="9"/>
        <v>0</v>
      </c>
      <c r="G12" s="254">
        <f t="shared" si="9"/>
        <v>0</v>
      </c>
      <c r="H12" s="254">
        <f t="shared" si="9"/>
        <v>0</v>
      </c>
      <c r="I12" s="254">
        <f t="shared" si="9"/>
        <v>0</v>
      </c>
      <c r="J12" s="254">
        <f t="shared" si="9"/>
        <v>0</v>
      </c>
      <c r="K12" s="254">
        <f t="shared" si="9"/>
        <v>0</v>
      </c>
      <c r="L12" s="254">
        <f t="shared" si="9"/>
        <v>0</v>
      </c>
      <c r="M12" s="254">
        <f t="shared" si="9"/>
        <v>0</v>
      </c>
      <c r="N12" s="245">
        <f>+N10/N11</f>
        <v>72508.14332247556</v>
      </c>
    </row>
    <row r="13" spans="1:16" x14ac:dyDescent="0.35">
      <c r="A13" s="86" t="s">
        <v>99</v>
      </c>
      <c r="B13" s="87">
        <v>3.5</v>
      </c>
      <c r="C13" s="87">
        <f>+B13</f>
        <v>3.5</v>
      </c>
      <c r="D13" s="87">
        <f t="shared" ref="D13:M13" si="10">+C13</f>
        <v>3.5</v>
      </c>
      <c r="E13" s="87">
        <f t="shared" si="10"/>
        <v>3.5</v>
      </c>
      <c r="F13" s="87">
        <f t="shared" si="10"/>
        <v>3.5</v>
      </c>
      <c r="G13" s="87">
        <f t="shared" si="10"/>
        <v>3.5</v>
      </c>
      <c r="H13" s="87">
        <f t="shared" si="10"/>
        <v>3.5</v>
      </c>
      <c r="I13" s="87">
        <f t="shared" si="10"/>
        <v>3.5</v>
      </c>
      <c r="J13" s="87">
        <f t="shared" si="10"/>
        <v>3.5</v>
      </c>
      <c r="K13" s="87">
        <f t="shared" si="10"/>
        <v>3.5</v>
      </c>
      <c r="L13" s="87">
        <f t="shared" si="10"/>
        <v>3.5</v>
      </c>
      <c r="M13" s="87">
        <f t="shared" si="10"/>
        <v>3.5</v>
      </c>
      <c r="N13" s="245"/>
    </row>
    <row r="14" spans="1:16" x14ac:dyDescent="0.35">
      <c r="A14" s="86" t="s">
        <v>98</v>
      </c>
      <c r="B14" s="88">
        <v>0</v>
      </c>
      <c r="C14" s="88">
        <v>318000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245"/>
    </row>
    <row r="15" spans="1:16" x14ac:dyDescent="0.35">
      <c r="A15" s="235" t="s">
        <v>91</v>
      </c>
      <c r="B15" s="80">
        <f>(B17*B16)</f>
        <v>0</v>
      </c>
      <c r="C15" s="80">
        <f t="shared" ref="C15:M15" si="11">(C17*C16)</f>
        <v>0</v>
      </c>
      <c r="D15" s="80">
        <f t="shared" si="11"/>
        <v>0</v>
      </c>
      <c r="E15" s="80">
        <f t="shared" si="11"/>
        <v>0</v>
      </c>
      <c r="F15" s="80">
        <f t="shared" si="11"/>
        <v>0</v>
      </c>
      <c r="G15" s="80">
        <f t="shared" si="11"/>
        <v>0</v>
      </c>
      <c r="H15" s="80">
        <f t="shared" si="11"/>
        <v>0</v>
      </c>
      <c r="I15" s="80">
        <f t="shared" si="11"/>
        <v>0</v>
      </c>
      <c r="J15" s="80">
        <f t="shared" si="11"/>
        <v>0</v>
      </c>
      <c r="K15" s="80">
        <f t="shared" si="11"/>
        <v>0</v>
      </c>
      <c r="L15" s="80">
        <f t="shared" si="11"/>
        <v>0</v>
      </c>
      <c r="M15" s="80">
        <f t="shared" si="11"/>
        <v>0</v>
      </c>
      <c r="N15" s="244">
        <f>SUM(B15:M15)</f>
        <v>0</v>
      </c>
    </row>
    <row r="16" spans="1:16" x14ac:dyDescent="0.35">
      <c r="A16" s="238" t="s">
        <v>93</v>
      </c>
      <c r="B16" s="239">
        <f>+'Plan de culture 104 '!$X$13</f>
        <v>0</v>
      </c>
      <c r="C16" s="239">
        <f>+B16</f>
        <v>0</v>
      </c>
      <c r="D16" s="239">
        <f t="shared" ref="D16:M16" si="12">+C16</f>
        <v>0</v>
      </c>
      <c r="E16" s="239">
        <f t="shared" si="12"/>
        <v>0</v>
      </c>
      <c r="F16" s="239">
        <f t="shared" si="12"/>
        <v>0</v>
      </c>
      <c r="G16" s="239">
        <f t="shared" si="12"/>
        <v>0</v>
      </c>
      <c r="H16" s="239">
        <f t="shared" si="12"/>
        <v>0</v>
      </c>
      <c r="I16" s="239">
        <f t="shared" si="12"/>
        <v>0</v>
      </c>
      <c r="J16" s="239">
        <f t="shared" si="12"/>
        <v>0</v>
      </c>
      <c r="K16" s="239">
        <f t="shared" si="12"/>
        <v>0</v>
      </c>
      <c r="L16" s="239">
        <f t="shared" si="12"/>
        <v>0</v>
      </c>
      <c r="M16" s="239">
        <f t="shared" si="12"/>
        <v>0</v>
      </c>
      <c r="N16" s="240">
        <f>+'Plan de culture 104 '!$X$13</f>
        <v>0</v>
      </c>
    </row>
    <row r="17" spans="1:14" x14ac:dyDescent="0.35">
      <c r="A17" s="238" t="s">
        <v>95</v>
      </c>
      <c r="B17" s="253" t="str">
        <f>IFERROR((B19*B18)/B16,"0,00")</f>
        <v>0,00</v>
      </c>
      <c r="C17" s="253" t="str">
        <f t="shared" ref="C17:M17" si="13">IFERROR((C19*C18)/C16,"0,00")</f>
        <v>0,00</v>
      </c>
      <c r="D17" s="253" t="str">
        <f t="shared" si="13"/>
        <v>0,00</v>
      </c>
      <c r="E17" s="253" t="str">
        <f t="shared" si="13"/>
        <v>0,00</v>
      </c>
      <c r="F17" s="253" t="str">
        <f t="shared" si="13"/>
        <v>0,00</v>
      </c>
      <c r="G17" s="253" t="str">
        <f t="shared" si="13"/>
        <v>0,00</v>
      </c>
      <c r="H17" s="253" t="str">
        <f t="shared" si="13"/>
        <v>0,00</v>
      </c>
      <c r="I17" s="253" t="str">
        <f t="shared" si="13"/>
        <v>0,00</v>
      </c>
      <c r="J17" s="253" t="str">
        <f t="shared" si="13"/>
        <v>0,00</v>
      </c>
      <c r="K17" s="253" t="str">
        <f t="shared" si="13"/>
        <v>0,00</v>
      </c>
      <c r="L17" s="253" t="str">
        <f t="shared" si="13"/>
        <v>0,00</v>
      </c>
      <c r="M17" s="253" t="str">
        <f t="shared" si="13"/>
        <v>0,00</v>
      </c>
      <c r="N17" s="245" t="e">
        <f>+N15/N16</f>
        <v>#DIV/0!</v>
      </c>
    </row>
    <row r="18" spans="1:14" x14ac:dyDescent="0.35">
      <c r="A18" s="86" t="s">
        <v>99</v>
      </c>
      <c r="B18" s="87">
        <v>3.5</v>
      </c>
      <c r="C18" s="87">
        <f>+B18</f>
        <v>3.5</v>
      </c>
      <c r="D18" s="87">
        <f t="shared" ref="D18:M18" si="14">+C18</f>
        <v>3.5</v>
      </c>
      <c r="E18" s="87">
        <f t="shared" si="14"/>
        <v>3.5</v>
      </c>
      <c r="F18" s="87">
        <f t="shared" si="14"/>
        <v>3.5</v>
      </c>
      <c r="G18" s="87">
        <f t="shared" si="14"/>
        <v>3.5</v>
      </c>
      <c r="H18" s="87">
        <f t="shared" si="14"/>
        <v>3.5</v>
      </c>
      <c r="I18" s="87">
        <f t="shared" si="14"/>
        <v>3.5</v>
      </c>
      <c r="J18" s="87">
        <f t="shared" si="14"/>
        <v>3.5</v>
      </c>
      <c r="K18" s="87">
        <f t="shared" si="14"/>
        <v>3.5</v>
      </c>
      <c r="L18" s="87">
        <f t="shared" si="14"/>
        <v>3.5</v>
      </c>
      <c r="M18" s="87">
        <f t="shared" si="14"/>
        <v>3.5</v>
      </c>
      <c r="N18" s="245"/>
    </row>
    <row r="19" spans="1:14" x14ac:dyDescent="0.35">
      <c r="A19" s="86" t="s">
        <v>98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245"/>
    </row>
    <row r="20" spans="1:14" x14ac:dyDescent="0.35">
      <c r="A20" s="235" t="s">
        <v>376</v>
      </c>
      <c r="B20" s="80">
        <f>(B22*B21)</f>
        <v>0</v>
      </c>
      <c r="C20" s="80">
        <f t="shared" ref="C20:M20" si="15">(C22*C21)</f>
        <v>0</v>
      </c>
      <c r="D20" s="80">
        <f t="shared" si="15"/>
        <v>0</v>
      </c>
      <c r="E20" s="80">
        <f t="shared" si="15"/>
        <v>0</v>
      </c>
      <c r="F20" s="80">
        <f t="shared" si="15"/>
        <v>0</v>
      </c>
      <c r="G20" s="80">
        <f t="shared" si="15"/>
        <v>0</v>
      </c>
      <c r="H20" s="80">
        <f t="shared" si="15"/>
        <v>0</v>
      </c>
      <c r="I20" s="80">
        <f t="shared" si="15"/>
        <v>0</v>
      </c>
      <c r="J20" s="80">
        <f t="shared" si="15"/>
        <v>0</v>
      </c>
      <c r="K20" s="80">
        <f t="shared" si="15"/>
        <v>0</v>
      </c>
      <c r="L20" s="80">
        <f t="shared" si="15"/>
        <v>0</v>
      </c>
      <c r="M20" s="80">
        <f t="shared" si="15"/>
        <v>0</v>
      </c>
      <c r="N20" s="244">
        <f>SUM(B20:M20)</f>
        <v>0</v>
      </c>
    </row>
    <row r="21" spans="1:14" x14ac:dyDescent="0.35">
      <c r="A21" s="238" t="s">
        <v>93</v>
      </c>
      <c r="B21" s="239">
        <f>+'Plan de culture 104 '!$X$19</f>
        <v>0</v>
      </c>
      <c r="C21" s="239">
        <f>+B21</f>
        <v>0</v>
      </c>
      <c r="D21" s="239">
        <f t="shared" ref="D21" si="16">+C21</f>
        <v>0</v>
      </c>
      <c r="E21" s="239">
        <f>+'Plan de culture 104 '!C17</f>
        <v>0</v>
      </c>
      <c r="F21" s="239">
        <f>+E21+'Plan de culture 104 '!D17+'Plan de culture 104 '!E17</f>
        <v>0</v>
      </c>
      <c r="G21" s="239">
        <f>+F21</f>
        <v>0</v>
      </c>
      <c r="H21" s="239">
        <f t="shared" ref="H21:M21" si="17">+G21</f>
        <v>0</v>
      </c>
      <c r="I21" s="239">
        <f t="shared" si="17"/>
        <v>0</v>
      </c>
      <c r="J21" s="239">
        <f t="shared" si="17"/>
        <v>0</v>
      </c>
      <c r="K21" s="239">
        <f t="shared" si="17"/>
        <v>0</v>
      </c>
      <c r="L21" s="239">
        <f t="shared" si="17"/>
        <v>0</v>
      </c>
      <c r="M21" s="239">
        <f t="shared" si="17"/>
        <v>0</v>
      </c>
      <c r="N21" s="240">
        <f>+'Plan de culture 104 '!$X$19</f>
        <v>0</v>
      </c>
    </row>
    <row r="22" spans="1:14" x14ac:dyDescent="0.35">
      <c r="A22" s="238" t="s">
        <v>95</v>
      </c>
      <c r="B22" s="253" t="str">
        <f>IFERROR((B24*B23)/B21,"0,00")</f>
        <v>0,00</v>
      </c>
      <c r="C22" s="253" t="str">
        <f t="shared" ref="C22:M22" si="18">IFERROR((C24*C23)/C21,"0,00")</f>
        <v>0,00</v>
      </c>
      <c r="D22" s="253" t="str">
        <f t="shared" si="18"/>
        <v>0,00</v>
      </c>
      <c r="E22" s="253" t="str">
        <f t="shared" si="18"/>
        <v>0,00</v>
      </c>
      <c r="F22" s="253" t="str">
        <f t="shared" si="18"/>
        <v>0,00</v>
      </c>
      <c r="G22" s="253" t="str">
        <f t="shared" si="18"/>
        <v>0,00</v>
      </c>
      <c r="H22" s="253" t="str">
        <f t="shared" si="18"/>
        <v>0,00</v>
      </c>
      <c r="I22" s="253" t="str">
        <f t="shared" si="18"/>
        <v>0,00</v>
      </c>
      <c r="J22" s="253" t="str">
        <f t="shared" si="18"/>
        <v>0,00</v>
      </c>
      <c r="K22" s="253" t="str">
        <f t="shared" si="18"/>
        <v>0,00</v>
      </c>
      <c r="L22" s="253" t="str">
        <f t="shared" si="18"/>
        <v>0,00</v>
      </c>
      <c r="M22" s="253" t="str">
        <f t="shared" si="18"/>
        <v>0,00</v>
      </c>
      <c r="N22" s="245" t="e">
        <f>+N20/N21</f>
        <v>#DIV/0!</v>
      </c>
    </row>
    <row r="23" spans="1:14" x14ac:dyDescent="0.35">
      <c r="A23" s="86" t="s">
        <v>99</v>
      </c>
      <c r="B23" s="87">
        <v>3.5</v>
      </c>
      <c r="C23" s="87">
        <f>+B23</f>
        <v>3.5</v>
      </c>
      <c r="D23" s="87">
        <f t="shared" ref="D23:M23" si="19">+C23</f>
        <v>3.5</v>
      </c>
      <c r="E23" s="87">
        <f t="shared" si="19"/>
        <v>3.5</v>
      </c>
      <c r="F23" s="87">
        <f t="shared" si="19"/>
        <v>3.5</v>
      </c>
      <c r="G23" s="87">
        <f t="shared" si="19"/>
        <v>3.5</v>
      </c>
      <c r="H23" s="87">
        <f t="shared" si="19"/>
        <v>3.5</v>
      </c>
      <c r="I23" s="87">
        <f t="shared" si="19"/>
        <v>3.5</v>
      </c>
      <c r="J23" s="87">
        <f t="shared" si="19"/>
        <v>3.5</v>
      </c>
      <c r="K23" s="87">
        <f t="shared" si="19"/>
        <v>3.5</v>
      </c>
      <c r="L23" s="87">
        <f t="shared" si="19"/>
        <v>3.5</v>
      </c>
      <c r="M23" s="87">
        <f t="shared" si="19"/>
        <v>3.5</v>
      </c>
      <c r="N23" s="245"/>
    </row>
    <row r="24" spans="1:14" x14ac:dyDescent="0.35">
      <c r="A24" s="86" t="s">
        <v>98</v>
      </c>
      <c r="B24" s="88">
        <v>0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245"/>
    </row>
    <row r="25" spans="1:14" x14ac:dyDescent="0.35">
      <c r="A25" s="235" t="s">
        <v>92</v>
      </c>
      <c r="B25" s="80">
        <f>(B27*B26)</f>
        <v>0</v>
      </c>
      <c r="C25" s="80">
        <f t="shared" ref="C25:M25" si="20">(C27*C26)</f>
        <v>0</v>
      </c>
      <c r="D25" s="80">
        <f t="shared" si="20"/>
        <v>0</v>
      </c>
      <c r="E25" s="80">
        <f t="shared" si="20"/>
        <v>0</v>
      </c>
      <c r="F25" s="80">
        <f t="shared" si="20"/>
        <v>0</v>
      </c>
      <c r="G25" s="80">
        <f t="shared" si="20"/>
        <v>0</v>
      </c>
      <c r="H25" s="80">
        <f t="shared" si="20"/>
        <v>0</v>
      </c>
      <c r="I25" s="80">
        <f t="shared" si="20"/>
        <v>0</v>
      </c>
      <c r="J25" s="80">
        <f t="shared" si="20"/>
        <v>0</v>
      </c>
      <c r="K25" s="80">
        <f t="shared" si="20"/>
        <v>0</v>
      </c>
      <c r="L25" s="80">
        <f t="shared" si="20"/>
        <v>0</v>
      </c>
      <c r="M25" s="80">
        <f t="shared" si="20"/>
        <v>0</v>
      </c>
      <c r="N25" s="244">
        <f>SUM(B25:M25)</f>
        <v>0</v>
      </c>
    </row>
    <row r="26" spans="1:14" x14ac:dyDescent="0.35">
      <c r="A26" s="238" t="s">
        <v>93</v>
      </c>
      <c r="B26" s="239">
        <f>+'Plan de culture 104 '!$X$25</f>
        <v>0</v>
      </c>
      <c r="C26" s="239">
        <f>+B26</f>
        <v>0</v>
      </c>
      <c r="D26" s="239">
        <f t="shared" ref="D26" si="21">+C26</f>
        <v>0</v>
      </c>
      <c r="E26" s="239">
        <f>+'Plan de culture 104 '!C22</f>
        <v>0</v>
      </c>
      <c r="F26" s="239">
        <f>+E26+'Plan de culture 104 '!D22+'Plan de culture 104 '!E22</f>
        <v>0</v>
      </c>
      <c r="G26" s="239">
        <f>+F26</f>
        <v>0</v>
      </c>
      <c r="H26" s="239">
        <f t="shared" ref="H26:M26" si="22">+G26</f>
        <v>0</v>
      </c>
      <c r="I26" s="239">
        <f t="shared" si="22"/>
        <v>0</v>
      </c>
      <c r="J26" s="239">
        <f t="shared" si="22"/>
        <v>0</v>
      </c>
      <c r="K26" s="239">
        <f t="shared" si="22"/>
        <v>0</v>
      </c>
      <c r="L26" s="239">
        <f t="shared" si="22"/>
        <v>0</v>
      </c>
      <c r="M26" s="239">
        <f t="shared" si="22"/>
        <v>0</v>
      </c>
      <c r="N26" s="240">
        <f>+'Plan de culture 104 '!$X$25</f>
        <v>0</v>
      </c>
    </row>
    <row r="27" spans="1:14" x14ac:dyDescent="0.35">
      <c r="A27" s="238" t="s">
        <v>95</v>
      </c>
      <c r="B27" s="253" t="str">
        <f>IFERROR((B29*B28)/B26,"0,00")</f>
        <v>0,00</v>
      </c>
      <c r="C27" s="253" t="str">
        <f t="shared" ref="C27:M27" si="23">IFERROR((C29*C28)/C26,"0,00")</f>
        <v>0,00</v>
      </c>
      <c r="D27" s="253" t="str">
        <f t="shared" si="23"/>
        <v>0,00</v>
      </c>
      <c r="E27" s="253" t="str">
        <f t="shared" si="23"/>
        <v>0,00</v>
      </c>
      <c r="F27" s="253" t="str">
        <f t="shared" si="23"/>
        <v>0,00</v>
      </c>
      <c r="G27" s="253" t="str">
        <f t="shared" si="23"/>
        <v>0,00</v>
      </c>
      <c r="H27" s="253" t="str">
        <f t="shared" si="23"/>
        <v>0,00</v>
      </c>
      <c r="I27" s="253" t="str">
        <f t="shared" si="23"/>
        <v>0,00</v>
      </c>
      <c r="J27" s="253" t="str">
        <f t="shared" si="23"/>
        <v>0,00</v>
      </c>
      <c r="K27" s="253" t="str">
        <f t="shared" si="23"/>
        <v>0,00</v>
      </c>
      <c r="L27" s="253" t="str">
        <f t="shared" si="23"/>
        <v>0,00</v>
      </c>
      <c r="M27" s="253" t="str">
        <f t="shared" si="23"/>
        <v>0,00</v>
      </c>
      <c r="N27" s="245" t="e">
        <f>+N25/N26</f>
        <v>#DIV/0!</v>
      </c>
    </row>
    <row r="28" spans="1:14" x14ac:dyDescent="0.35">
      <c r="A28" s="86" t="s">
        <v>99</v>
      </c>
      <c r="B28" s="87">
        <v>3.5</v>
      </c>
      <c r="C28" s="87">
        <f>+B28</f>
        <v>3.5</v>
      </c>
      <c r="D28" s="87">
        <f t="shared" ref="D28:M28" si="24">+C28</f>
        <v>3.5</v>
      </c>
      <c r="E28" s="87">
        <f t="shared" si="24"/>
        <v>3.5</v>
      </c>
      <c r="F28" s="87">
        <f t="shared" si="24"/>
        <v>3.5</v>
      </c>
      <c r="G28" s="87">
        <f t="shared" si="24"/>
        <v>3.5</v>
      </c>
      <c r="H28" s="87">
        <f t="shared" si="24"/>
        <v>3.5</v>
      </c>
      <c r="I28" s="87">
        <f t="shared" si="24"/>
        <v>3.5</v>
      </c>
      <c r="J28" s="87">
        <f t="shared" si="24"/>
        <v>3.5</v>
      </c>
      <c r="K28" s="87">
        <f t="shared" si="24"/>
        <v>3.5</v>
      </c>
      <c r="L28" s="87">
        <f t="shared" si="24"/>
        <v>3.5</v>
      </c>
      <c r="M28" s="87">
        <f t="shared" si="24"/>
        <v>3.5</v>
      </c>
      <c r="N28" s="245"/>
    </row>
    <row r="29" spans="1:14" x14ac:dyDescent="0.35">
      <c r="A29" s="86" t="s">
        <v>98</v>
      </c>
      <c r="B29" s="88">
        <v>0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245"/>
    </row>
    <row r="30" spans="1:14" x14ac:dyDescent="0.35">
      <c r="A30" s="235" t="s">
        <v>377</v>
      </c>
      <c r="B30" s="80">
        <f>(B32*B31)</f>
        <v>0</v>
      </c>
      <c r="C30" s="80">
        <f t="shared" ref="C30:M30" si="25">(C32*C31)</f>
        <v>0</v>
      </c>
      <c r="D30" s="80">
        <f t="shared" si="25"/>
        <v>0</v>
      </c>
      <c r="E30" s="80">
        <f t="shared" si="25"/>
        <v>0</v>
      </c>
      <c r="F30" s="80">
        <f t="shared" si="25"/>
        <v>0</v>
      </c>
      <c r="G30" s="80">
        <f t="shared" si="25"/>
        <v>0</v>
      </c>
      <c r="H30" s="80">
        <f t="shared" si="25"/>
        <v>0</v>
      </c>
      <c r="I30" s="80">
        <f t="shared" si="25"/>
        <v>0</v>
      </c>
      <c r="J30" s="80">
        <f t="shared" si="25"/>
        <v>0</v>
      </c>
      <c r="K30" s="80">
        <f t="shared" si="25"/>
        <v>0</v>
      </c>
      <c r="L30" s="80">
        <f t="shared" si="25"/>
        <v>0</v>
      </c>
      <c r="M30" s="80">
        <f t="shared" si="25"/>
        <v>0</v>
      </c>
      <c r="N30" s="244">
        <f>SUM(B30:M30)</f>
        <v>0</v>
      </c>
    </row>
    <row r="31" spans="1:14" x14ac:dyDescent="0.35">
      <c r="A31" s="238" t="s">
        <v>93</v>
      </c>
      <c r="B31" s="239">
        <f>+'Plan de culture 104 '!$X$31</f>
        <v>0</v>
      </c>
      <c r="C31" s="239">
        <f>+B31</f>
        <v>0</v>
      </c>
      <c r="D31" s="239">
        <f t="shared" ref="D31" si="26">+C31</f>
        <v>0</v>
      </c>
      <c r="E31" s="239">
        <f>+'Plan de culture 104 '!C27</f>
        <v>0</v>
      </c>
      <c r="F31" s="239">
        <f>+E31+'Plan de culture 104 '!D27+'Plan de culture 104 '!E27</f>
        <v>0</v>
      </c>
      <c r="G31" s="239">
        <f>+F31</f>
        <v>0</v>
      </c>
      <c r="H31" s="239">
        <f t="shared" ref="H31:M31" si="27">+G31</f>
        <v>0</v>
      </c>
      <c r="I31" s="239">
        <f t="shared" si="27"/>
        <v>0</v>
      </c>
      <c r="J31" s="239">
        <f t="shared" si="27"/>
        <v>0</v>
      </c>
      <c r="K31" s="239">
        <f t="shared" si="27"/>
        <v>0</v>
      </c>
      <c r="L31" s="239">
        <f t="shared" si="27"/>
        <v>0</v>
      </c>
      <c r="M31" s="239">
        <f t="shared" si="27"/>
        <v>0</v>
      </c>
      <c r="N31" s="240">
        <f>+'Plan de culture 104 '!$X$31</f>
        <v>0</v>
      </c>
    </row>
    <row r="32" spans="1:14" x14ac:dyDescent="0.35">
      <c r="A32" s="238" t="s">
        <v>95</v>
      </c>
      <c r="B32" s="253" t="str">
        <f>IFERROR((B34*B33)/B31,"0,00")</f>
        <v>0,00</v>
      </c>
      <c r="C32" s="253" t="str">
        <f t="shared" ref="C32:M32" si="28">IFERROR((C34*C33)/C31,"0,00")</f>
        <v>0,00</v>
      </c>
      <c r="D32" s="253" t="str">
        <f t="shared" si="28"/>
        <v>0,00</v>
      </c>
      <c r="E32" s="253" t="str">
        <f t="shared" si="28"/>
        <v>0,00</v>
      </c>
      <c r="F32" s="253" t="str">
        <f t="shared" si="28"/>
        <v>0,00</v>
      </c>
      <c r="G32" s="253" t="str">
        <f t="shared" si="28"/>
        <v>0,00</v>
      </c>
      <c r="H32" s="253" t="str">
        <f t="shared" si="28"/>
        <v>0,00</v>
      </c>
      <c r="I32" s="253" t="str">
        <f t="shared" si="28"/>
        <v>0,00</v>
      </c>
      <c r="J32" s="253" t="str">
        <f t="shared" si="28"/>
        <v>0,00</v>
      </c>
      <c r="K32" s="253" t="str">
        <f t="shared" si="28"/>
        <v>0,00</v>
      </c>
      <c r="L32" s="253" t="str">
        <f t="shared" si="28"/>
        <v>0,00</v>
      </c>
      <c r="M32" s="253" t="str">
        <f t="shared" si="28"/>
        <v>0,00</v>
      </c>
      <c r="N32" s="245" t="e">
        <f>+N30/N31</f>
        <v>#DIV/0!</v>
      </c>
    </row>
    <row r="33" spans="1:14" x14ac:dyDescent="0.35">
      <c r="A33" s="86" t="s">
        <v>99</v>
      </c>
      <c r="B33" s="87">
        <v>3.5</v>
      </c>
      <c r="C33" s="87">
        <f>+B33</f>
        <v>3.5</v>
      </c>
      <c r="D33" s="87">
        <f t="shared" ref="D33:M33" si="29">+C33</f>
        <v>3.5</v>
      </c>
      <c r="E33" s="87">
        <f t="shared" si="29"/>
        <v>3.5</v>
      </c>
      <c r="F33" s="87">
        <f t="shared" si="29"/>
        <v>3.5</v>
      </c>
      <c r="G33" s="87">
        <f t="shared" si="29"/>
        <v>3.5</v>
      </c>
      <c r="H33" s="87">
        <f t="shared" si="29"/>
        <v>3.5</v>
      </c>
      <c r="I33" s="87">
        <f t="shared" si="29"/>
        <v>3.5</v>
      </c>
      <c r="J33" s="87">
        <f t="shared" si="29"/>
        <v>3.5</v>
      </c>
      <c r="K33" s="87">
        <f t="shared" si="29"/>
        <v>3.5</v>
      </c>
      <c r="L33" s="87">
        <f t="shared" si="29"/>
        <v>3.5</v>
      </c>
      <c r="M33" s="87">
        <f t="shared" si="29"/>
        <v>3.5</v>
      </c>
      <c r="N33" s="245"/>
    </row>
    <row r="34" spans="1:14" x14ac:dyDescent="0.35">
      <c r="A34" s="86" t="s">
        <v>98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245"/>
    </row>
    <row r="35" spans="1:14" x14ac:dyDescent="0.35">
      <c r="A35" s="235" t="s">
        <v>378</v>
      </c>
      <c r="B35" s="80">
        <f>(B37*B36)</f>
        <v>0</v>
      </c>
      <c r="C35" s="80">
        <f t="shared" ref="C35:M35" si="30">(C37*C36)</f>
        <v>0</v>
      </c>
      <c r="D35" s="80">
        <f t="shared" si="30"/>
        <v>0</v>
      </c>
      <c r="E35" s="80">
        <f t="shared" si="30"/>
        <v>0</v>
      </c>
      <c r="F35" s="80">
        <f t="shared" si="30"/>
        <v>0</v>
      </c>
      <c r="G35" s="80">
        <f t="shared" si="30"/>
        <v>0</v>
      </c>
      <c r="H35" s="80">
        <f t="shared" si="30"/>
        <v>0</v>
      </c>
      <c r="I35" s="80">
        <f t="shared" si="30"/>
        <v>0</v>
      </c>
      <c r="J35" s="80">
        <f t="shared" si="30"/>
        <v>0</v>
      </c>
      <c r="K35" s="80">
        <f t="shared" si="30"/>
        <v>0</v>
      </c>
      <c r="L35" s="80">
        <f t="shared" si="30"/>
        <v>0</v>
      </c>
      <c r="M35" s="80">
        <f t="shared" si="30"/>
        <v>0</v>
      </c>
      <c r="N35" s="244">
        <f>SUM(B35:M35)</f>
        <v>0</v>
      </c>
    </row>
    <row r="36" spans="1:14" x14ac:dyDescent="0.35">
      <c r="A36" s="238" t="s">
        <v>93</v>
      </c>
      <c r="B36" s="239">
        <f>+'Plan de culture 104 '!$X$37</f>
        <v>0</v>
      </c>
      <c r="C36" s="239">
        <f>+B36</f>
        <v>0</v>
      </c>
      <c r="D36" s="239">
        <f t="shared" ref="D36" si="31">+C36</f>
        <v>0</v>
      </c>
      <c r="E36" s="239">
        <f>+'Plan de culture 104 '!C32</f>
        <v>0</v>
      </c>
      <c r="F36" s="239">
        <f>+E36+'Plan de culture 104 '!D32+'Plan de culture 104 '!E32</f>
        <v>0</v>
      </c>
      <c r="G36" s="239">
        <f>+F36</f>
        <v>0</v>
      </c>
      <c r="H36" s="239">
        <f t="shared" ref="H36:M36" si="32">+G36</f>
        <v>0</v>
      </c>
      <c r="I36" s="239">
        <f t="shared" si="32"/>
        <v>0</v>
      </c>
      <c r="J36" s="239">
        <f t="shared" si="32"/>
        <v>0</v>
      </c>
      <c r="K36" s="239">
        <f t="shared" si="32"/>
        <v>0</v>
      </c>
      <c r="L36" s="239">
        <f t="shared" si="32"/>
        <v>0</v>
      </c>
      <c r="M36" s="239">
        <f t="shared" si="32"/>
        <v>0</v>
      </c>
      <c r="N36" s="240">
        <f>+'Plan de culture 104 '!$X$37</f>
        <v>0</v>
      </c>
    </row>
    <row r="37" spans="1:14" x14ac:dyDescent="0.35">
      <c r="A37" s="238" t="s">
        <v>95</v>
      </c>
      <c r="B37" s="253" t="str">
        <f>IFERROR((B39*B38)/B36,"0,00")</f>
        <v>0,00</v>
      </c>
      <c r="C37" s="253" t="str">
        <f t="shared" ref="C37:M37" si="33">IFERROR((C39*C38)/C36,"0,00")</f>
        <v>0,00</v>
      </c>
      <c r="D37" s="253" t="str">
        <f t="shared" si="33"/>
        <v>0,00</v>
      </c>
      <c r="E37" s="253" t="str">
        <f t="shared" si="33"/>
        <v>0,00</v>
      </c>
      <c r="F37" s="253" t="str">
        <f t="shared" si="33"/>
        <v>0,00</v>
      </c>
      <c r="G37" s="253" t="str">
        <f t="shared" si="33"/>
        <v>0,00</v>
      </c>
      <c r="H37" s="253" t="str">
        <f t="shared" si="33"/>
        <v>0,00</v>
      </c>
      <c r="I37" s="253" t="str">
        <f t="shared" si="33"/>
        <v>0,00</v>
      </c>
      <c r="J37" s="253" t="str">
        <f t="shared" si="33"/>
        <v>0,00</v>
      </c>
      <c r="K37" s="253" t="str">
        <f t="shared" si="33"/>
        <v>0,00</v>
      </c>
      <c r="L37" s="253" t="str">
        <f t="shared" si="33"/>
        <v>0,00</v>
      </c>
      <c r="M37" s="253" t="str">
        <f t="shared" si="33"/>
        <v>0,00</v>
      </c>
      <c r="N37" s="245" t="e">
        <f>+N35/N36</f>
        <v>#DIV/0!</v>
      </c>
    </row>
    <row r="38" spans="1:14" x14ac:dyDescent="0.35">
      <c r="A38" s="86" t="s">
        <v>99</v>
      </c>
      <c r="B38" s="87">
        <v>3.5</v>
      </c>
      <c r="C38" s="87">
        <f>+B38</f>
        <v>3.5</v>
      </c>
      <c r="D38" s="87">
        <f t="shared" ref="D38:M38" si="34">+C38</f>
        <v>3.5</v>
      </c>
      <c r="E38" s="87">
        <f t="shared" si="34"/>
        <v>3.5</v>
      </c>
      <c r="F38" s="87">
        <f t="shared" si="34"/>
        <v>3.5</v>
      </c>
      <c r="G38" s="87">
        <f t="shared" si="34"/>
        <v>3.5</v>
      </c>
      <c r="H38" s="87">
        <f t="shared" si="34"/>
        <v>3.5</v>
      </c>
      <c r="I38" s="87">
        <f t="shared" si="34"/>
        <v>3.5</v>
      </c>
      <c r="J38" s="87">
        <f t="shared" si="34"/>
        <v>3.5</v>
      </c>
      <c r="K38" s="87">
        <f t="shared" si="34"/>
        <v>3.5</v>
      </c>
      <c r="L38" s="87">
        <f t="shared" si="34"/>
        <v>3.5</v>
      </c>
      <c r="M38" s="87">
        <f t="shared" si="34"/>
        <v>3.5</v>
      </c>
      <c r="N38" s="245"/>
    </row>
    <row r="39" spans="1:14" ht="12" thickBot="1" x14ac:dyDescent="0.4">
      <c r="A39" s="86" t="s">
        <v>98</v>
      </c>
      <c r="B39" s="88">
        <v>0</v>
      </c>
      <c r="C39" s="88">
        <v>0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245"/>
    </row>
    <row r="40" spans="1:14" x14ac:dyDescent="0.35">
      <c r="A40" s="233" t="s">
        <v>391</v>
      </c>
      <c r="B40" s="242">
        <f>+B43+B48+B53+B58+B63+B68</f>
        <v>0</v>
      </c>
      <c r="C40" s="242">
        <f t="shared" ref="C40:M41" si="35">+C43+C48+C53+C58+C63+C68</f>
        <v>392000</v>
      </c>
      <c r="D40" s="242">
        <f t="shared" si="35"/>
        <v>0</v>
      </c>
      <c r="E40" s="242">
        <f t="shared" si="35"/>
        <v>0</v>
      </c>
      <c r="F40" s="242">
        <f t="shared" si="35"/>
        <v>0</v>
      </c>
      <c r="G40" s="242">
        <f t="shared" si="35"/>
        <v>0</v>
      </c>
      <c r="H40" s="242">
        <f t="shared" si="35"/>
        <v>0</v>
      </c>
      <c r="I40" s="242">
        <f t="shared" si="35"/>
        <v>0</v>
      </c>
      <c r="J40" s="242">
        <f t="shared" si="35"/>
        <v>0</v>
      </c>
      <c r="K40" s="242">
        <f t="shared" si="35"/>
        <v>0</v>
      </c>
      <c r="L40" s="242">
        <f t="shared" si="35"/>
        <v>0</v>
      </c>
      <c r="M40" s="242">
        <f t="shared" si="35"/>
        <v>0</v>
      </c>
      <c r="N40" s="243">
        <f>SUM(B40:M40)</f>
        <v>392000</v>
      </c>
    </row>
    <row r="41" spans="1:14" x14ac:dyDescent="0.35">
      <c r="A41" s="234" t="s">
        <v>93</v>
      </c>
      <c r="B41" s="83">
        <f>+B44+B49+B54+B59+B64+B69</f>
        <v>5.3950000000000005</v>
      </c>
      <c r="C41" s="81">
        <f t="shared" si="35"/>
        <v>5.3950000000000005</v>
      </c>
      <c r="D41" s="81">
        <f t="shared" si="35"/>
        <v>5.3950000000000005</v>
      </c>
      <c r="E41" s="81">
        <f t="shared" si="35"/>
        <v>5.3950000000000005</v>
      </c>
      <c r="F41" s="81">
        <f t="shared" si="35"/>
        <v>5.3950000000000005</v>
      </c>
      <c r="G41" s="81">
        <f t="shared" si="35"/>
        <v>5.3950000000000005</v>
      </c>
      <c r="H41" s="81">
        <f t="shared" si="35"/>
        <v>5.3950000000000005</v>
      </c>
      <c r="I41" s="81">
        <f t="shared" si="35"/>
        <v>5.3950000000000005</v>
      </c>
      <c r="J41" s="81">
        <f t="shared" si="35"/>
        <v>5.3950000000000005</v>
      </c>
      <c r="K41" s="81">
        <f t="shared" si="35"/>
        <v>5.3950000000000005</v>
      </c>
      <c r="L41" s="81">
        <f t="shared" si="35"/>
        <v>5.3950000000000005</v>
      </c>
      <c r="M41" s="81">
        <f t="shared" si="35"/>
        <v>5.3950000000000005</v>
      </c>
      <c r="N41" s="248">
        <f>+M41</f>
        <v>5.3950000000000005</v>
      </c>
    </row>
    <row r="42" spans="1:14" x14ac:dyDescent="0.35">
      <c r="A42" s="234" t="s">
        <v>389</v>
      </c>
      <c r="B42" s="83">
        <f t="shared" ref="B42:N42" si="36">+B40/B41</f>
        <v>0</v>
      </c>
      <c r="C42" s="83">
        <f t="shared" si="36"/>
        <v>72659.870250231688</v>
      </c>
      <c r="D42" s="83">
        <f t="shared" si="36"/>
        <v>0</v>
      </c>
      <c r="E42" s="83">
        <f t="shared" si="36"/>
        <v>0</v>
      </c>
      <c r="F42" s="83">
        <f t="shared" si="36"/>
        <v>0</v>
      </c>
      <c r="G42" s="83">
        <f t="shared" si="36"/>
        <v>0</v>
      </c>
      <c r="H42" s="83">
        <f t="shared" si="36"/>
        <v>0</v>
      </c>
      <c r="I42" s="83">
        <f t="shared" si="36"/>
        <v>0</v>
      </c>
      <c r="J42" s="83">
        <f t="shared" si="36"/>
        <v>0</v>
      </c>
      <c r="K42" s="83">
        <f t="shared" si="36"/>
        <v>0</v>
      </c>
      <c r="L42" s="83">
        <f t="shared" si="36"/>
        <v>0</v>
      </c>
      <c r="M42" s="83">
        <f t="shared" si="36"/>
        <v>0</v>
      </c>
      <c r="N42" s="249">
        <f t="shared" si="36"/>
        <v>72659.870250231688</v>
      </c>
    </row>
    <row r="43" spans="1:14" x14ac:dyDescent="0.35">
      <c r="A43" s="235" t="s">
        <v>90</v>
      </c>
      <c r="B43" s="80">
        <f>(B47*B46)</f>
        <v>0</v>
      </c>
      <c r="C43" s="80">
        <f t="shared" ref="C43:M43" si="37">(C45*C44)</f>
        <v>0</v>
      </c>
      <c r="D43" s="80">
        <f t="shared" si="37"/>
        <v>0</v>
      </c>
      <c r="E43" s="80">
        <f t="shared" si="37"/>
        <v>0</v>
      </c>
      <c r="F43" s="80">
        <f t="shared" si="37"/>
        <v>0</v>
      </c>
      <c r="G43" s="80">
        <f t="shared" si="37"/>
        <v>0</v>
      </c>
      <c r="H43" s="80">
        <f t="shared" si="37"/>
        <v>0</v>
      </c>
      <c r="I43" s="80">
        <f t="shared" si="37"/>
        <v>0</v>
      </c>
      <c r="J43" s="80">
        <f t="shared" si="37"/>
        <v>0</v>
      </c>
      <c r="K43" s="80">
        <f t="shared" si="37"/>
        <v>0</v>
      </c>
      <c r="L43" s="80">
        <f t="shared" si="37"/>
        <v>0</v>
      </c>
      <c r="M43" s="80">
        <f t="shared" si="37"/>
        <v>0</v>
      </c>
      <c r="N43" s="244">
        <f>SUM(B43:M43)</f>
        <v>0</v>
      </c>
    </row>
    <row r="44" spans="1:14" x14ac:dyDescent="0.35">
      <c r="A44" s="238" t="s">
        <v>93</v>
      </c>
      <c r="B44" s="239">
        <f>+'Plan de culture 105'!$I$7</f>
        <v>0</v>
      </c>
      <c r="C44" s="239">
        <f>+B44</f>
        <v>0</v>
      </c>
      <c r="D44" s="239">
        <f t="shared" ref="D44" si="38">+C44</f>
        <v>0</v>
      </c>
      <c r="E44" s="239">
        <f>+D44</f>
        <v>0</v>
      </c>
      <c r="F44" s="239">
        <f>+E44</f>
        <v>0</v>
      </c>
      <c r="G44" s="239">
        <f>+F44</f>
        <v>0</v>
      </c>
      <c r="H44" s="239">
        <f t="shared" ref="H44:M44" si="39">+G44</f>
        <v>0</v>
      </c>
      <c r="I44" s="239">
        <f t="shared" si="39"/>
        <v>0</v>
      </c>
      <c r="J44" s="239">
        <f t="shared" si="39"/>
        <v>0</v>
      </c>
      <c r="K44" s="239">
        <f t="shared" si="39"/>
        <v>0</v>
      </c>
      <c r="L44" s="239">
        <f t="shared" si="39"/>
        <v>0</v>
      </c>
      <c r="M44" s="239">
        <f t="shared" si="39"/>
        <v>0</v>
      </c>
      <c r="N44" s="240">
        <f>+'Plan de culture 105'!$I$7</f>
        <v>0</v>
      </c>
    </row>
    <row r="45" spans="1:14" x14ac:dyDescent="0.35">
      <c r="A45" s="238" t="s">
        <v>95</v>
      </c>
      <c r="B45" s="253" t="str">
        <f>IFERROR((B47*B46)/B44,"0,00")</f>
        <v>0,00</v>
      </c>
      <c r="C45" s="253" t="str">
        <f t="shared" ref="C45:M45" si="40">IFERROR((C47*C46)/C44,"0,00")</f>
        <v>0,00</v>
      </c>
      <c r="D45" s="253" t="str">
        <f t="shared" si="40"/>
        <v>0,00</v>
      </c>
      <c r="E45" s="253" t="str">
        <f t="shared" si="40"/>
        <v>0,00</v>
      </c>
      <c r="F45" s="253" t="str">
        <f t="shared" si="40"/>
        <v>0,00</v>
      </c>
      <c r="G45" s="253" t="str">
        <f t="shared" si="40"/>
        <v>0,00</v>
      </c>
      <c r="H45" s="253" t="str">
        <f t="shared" si="40"/>
        <v>0,00</v>
      </c>
      <c r="I45" s="253" t="str">
        <f t="shared" si="40"/>
        <v>0,00</v>
      </c>
      <c r="J45" s="253" t="str">
        <f t="shared" si="40"/>
        <v>0,00</v>
      </c>
      <c r="K45" s="253" t="str">
        <f t="shared" si="40"/>
        <v>0,00</v>
      </c>
      <c r="L45" s="253" t="str">
        <f t="shared" si="40"/>
        <v>0,00</v>
      </c>
      <c r="M45" s="253" t="str">
        <f t="shared" si="40"/>
        <v>0,00</v>
      </c>
      <c r="N45" s="245" t="e">
        <f>+N43/N44</f>
        <v>#DIV/0!</v>
      </c>
    </row>
    <row r="46" spans="1:14" x14ac:dyDescent="0.35">
      <c r="A46" s="86" t="s">
        <v>99</v>
      </c>
      <c r="B46" s="87">
        <v>3.5</v>
      </c>
      <c r="C46" s="87">
        <f>+B46</f>
        <v>3.5</v>
      </c>
      <c r="D46" s="87">
        <f t="shared" ref="D46:M46" si="41">+C46</f>
        <v>3.5</v>
      </c>
      <c r="E46" s="87">
        <f t="shared" si="41"/>
        <v>3.5</v>
      </c>
      <c r="F46" s="87">
        <f t="shared" si="41"/>
        <v>3.5</v>
      </c>
      <c r="G46" s="87">
        <f t="shared" si="41"/>
        <v>3.5</v>
      </c>
      <c r="H46" s="87">
        <f t="shared" si="41"/>
        <v>3.5</v>
      </c>
      <c r="I46" s="87">
        <f t="shared" si="41"/>
        <v>3.5</v>
      </c>
      <c r="J46" s="87">
        <f t="shared" si="41"/>
        <v>3.5</v>
      </c>
      <c r="K46" s="87">
        <f t="shared" si="41"/>
        <v>3.5</v>
      </c>
      <c r="L46" s="87">
        <f t="shared" si="41"/>
        <v>3.5</v>
      </c>
      <c r="M46" s="87">
        <f t="shared" si="41"/>
        <v>3.5</v>
      </c>
      <c r="N46" s="245"/>
    </row>
    <row r="47" spans="1:14" x14ac:dyDescent="0.35">
      <c r="A47" s="86" t="s">
        <v>98</v>
      </c>
      <c r="B47" s="88">
        <v>0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245"/>
    </row>
    <row r="48" spans="1:14" x14ac:dyDescent="0.35">
      <c r="A48" s="235" t="s">
        <v>91</v>
      </c>
      <c r="B48" s="80">
        <f>(B50*B49)</f>
        <v>0</v>
      </c>
      <c r="C48" s="80">
        <f t="shared" ref="C48:M48" si="42">(C50*C49)</f>
        <v>392000</v>
      </c>
      <c r="D48" s="80">
        <f t="shared" si="42"/>
        <v>0</v>
      </c>
      <c r="E48" s="80">
        <f t="shared" si="42"/>
        <v>0</v>
      </c>
      <c r="F48" s="80">
        <f t="shared" si="42"/>
        <v>0</v>
      </c>
      <c r="G48" s="80">
        <f t="shared" si="42"/>
        <v>0</v>
      </c>
      <c r="H48" s="80">
        <f t="shared" si="42"/>
        <v>0</v>
      </c>
      <c r="I48" s="80">
        <f t="shared" si="42"/>
        <v>0</v>
      </c>
      <c r="J48" s="80">
        <f t="shared" si="42"/>
        <v>0</v>
      </c>
      <c r="K48" s="80">
        <f t="shared" si="42"/>
        <v>0</v>
      </c>
      <c r="L48" s="80">
        <f t="shared" si="42"/>
        <v>0</v>
      </c>
      <c r="M48" s="80">
        <f t="shared" si="42"/>
        <v>0</v>
      </c>
      <c r="N48" s="244">
        <f>SUM(B48:M48)</f>
        <v>392000</v>
      </c>
    </row>
    <row r="49" spans="1:14" x14ac:dyDescent="0.35">
      <c r="A49" s="238" t="s">
        <v>93</v>
      </c>
      <c r="B49" s="239">
        <f>+'Plan de culture 105'!$I$13</f>
        <v>5.3950000000000005</v>
      </c>
      <c r="C49" s="239">
        <f>+B49</f>
        <v>5.3950000000000005</v>
      </c>
      <c r="D49" s="239">
        <f t="shared" ref="D49:M49" si="43">+C49</f>
        <v>5.3950000000000005</v>
      </c>
      <c r="E49" s="239">
        <f t="shared" si="43"/>
        <v>5.3950000000000005</v>
      </c>
      <c r="F49" s="239">
        <f t="shared" si="43"/>
        <v>5.3950000000000005</v>
      </c>
      <c r="G49" s="239">
        <f t="shared" si="43"/>
        <v>5.3950000000000005</v>
      </c>
      <c r="H49" s="239">
        <f t="shared" si="43"/>
        <v>5.3950000000000005</v>
      </c>
      <c r="I49" s="239">
        <f t="shared" si="43"/>
        <v>5.3950000000000005</v>
      </c>
      <c r="J49" s="239">
        <f t="shared" si="43"/>
        <v>5.3950000000000005</v>
      </c>
      <c r="K49" s="239">
        <f t="shared" si="43"/>
        <v>5.3950000000000005</v>
      </c>
      <c r="L49" s="239">
        <f t="shared" si="43"/>
        <v>5.3950000000000005</v>
      </c>
      <c r="M49" s="239">
        <f t="shared" si="43"/>
        <v>5.3950000000000005</v>
      </c>
      <c r="N49" s="240">
        <f>+'Plan de culture 105'!$I$13</f>
        <v>5.3950000000000005</v>
      </c>
    </row>
    <row r="50" spans="1:14" x14ac:dyDescent="0.35">
      <c r="A50" s="238" t="s">
        <v>95</v>
      </c>
      <c r="B50" s="254">
        <f>IFERROR((B52*B51)/B49,"0,00")</f>
        <v>0</v>
      </c>
      <c r="C50" s="254">
        <f t="shared" ref="C50:M50" si="44">IFERROR((C52*C51)/C49,"0,00")</f>
        <v>72659.870250231688</v>
      </c>
      <c r="D50" s="254">
        <f t="shared" si="44"/>
        <v>0</v>
      </c>
      <c r="E50" s="254">
        <f t="shared" si="44"/>
        <v>0</v>
      </c>
      <c r="F50" s="254">
        <f t="shared" si="44"/>
        <v>0</v>
      </c>
      <c r="G50" s="254">
        <f t="shared" si="44"/>
        <v>0</v>
      </c>
      <c r="H50" s="254">
        <f t="shared" si="44"/>
        <v>0</v>
      </c>
      <c r="I50" s="254">
        <f t="shared" si="44"/>
        <v>0</v>
      </c>
      <c r="J50" s="254">
        <f t="shared" si="44"/>
        <v>0</v>
      </c>
      <c r="K50" s="254">
        <f t="shared" si="44"/>
        <v>0</v>
      </c>
      <c r="L50" s="254">
        <f t="shared" si="44"/>
        <v>0</v>
      </c>
      <c r="M50" s="254">
        <f t="shared" si="44"/>
        <v>0</v>
      </c>
      <c r="N50" s="245">
        <f>+N48/N49</f>
        <v>72659.870250231688</v>
      </c>
    </row>
    <row r="51" spans="1:14" x14ac:dyDescent="0.35">
      <c r="A51" s="86" t="s">
        <v>99</v>
      </c>
      <c r="B51" s="87">
        <v>3.5</v>
      </c>
      <c r="C51" s="87">
        <f>+B51</f>
        <v>3.5</v>
      </c>
      <c r="D51" s="87">
        <f t="shared" ref="D51:M51" si="45">+C51</f>
        <v>3.5</v>
      </c>
      <c r="E51" s="87">
        <f t="shared" si="45"/>
        <v>3.5</v>
      </c>
      <c r="F51" s="87">
        <f t="shared" si="45"/>
        <v>3.5</v>
      </c>
      <c r="G51" s="87">
        <f t="shared" si="45"/>
        <v>3.5</v>
      </c>
      <c r="H51" s="87">
        <f t="shared" si="45"/>
        <v>3.5</v>
      </c>
      <c r="I51" s="87">
        <f t="shared" si="45"/>
        <v>3.5</v>
      </c>
      <c r="J51" s="87">
        <f t="shared" si="45"/>
        <v>3.5</v>
      </c>
      <c r="K51" s="87">
        <f t="shared" si="45"/>
        <v>3.5</v>
      </c>
      <c r="L51" s="87">
        <f t="shared" si="45"/>
        <v>3.5</v>
      </c>
      <c r="M51" s="87">
        <f t="shared" si="45"/>
        <v>3.5</v>
      </c>
      <c r="N51" s="245"/>
    </row>
    <row r="52" spans="1:14" x14ac:dyDescent="0.35">
      <c r="A52" s="86" t="s">
        <v>98</v>
      </c>
      <c r="B52" s="88">
        <v>0</v>
      </c>
      <c r="C52" s="88">
        <v>112000</v>
      </c>
      <c r="D52" s="88">
        <v>0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245"/>
    </row>
    <row r="53" spans="1:14" x14ac:dyDescent="0.35">
      <c r="A53" s="235" t="s">
        <v>376</v>
      </c>
      <c r="B53" s="80">
        <f>(B55*B54)</f>
        <v>0</v>
      </c>
      <c r="C53" s="80">
        <f t="shared" ref="C53:M53" si="46">(C55*C54)</f>
        <v>0</v>
      </c>
      <c r="D53" s="80">
        <f t="shared" si="46"/>
        <v>0</v>
      </c>
      <c r="E53" s="80">
        <f t="shared" si="46"/>
        <v>0</v>
      </c>
      <c r="F53" s="80">
        <f t="shared" si="46"/>
        <v>0</v>
      </c>
      <c r="G53" s="80">
        <f t="shared" si="46"/>
        <v>0</v>
      </c>
      <c r="H53" s="80">
        <f t="shared" si="46"/>
        <v>0</v>
      </c>
      <c r="I53" s="80">
        <f t="shared" si="46"/>
        <v>0</v>
      </c>
      <c r="J53" s="80">
        <f t="shared" si="46"/>
        <v>0</v>
      </c>
      <c r="K53" s="80">
        <f t="shared" si="46"/>
        <v>0</v>
      </c>
      <c r="L53" s="80">
        <f t="shared" si="46"/>
        <v>0</v>
      </c>
      <c r="M53" s="80">
        <f t="shared" si="46"/>
        <v>0</v>
      </c>
      <c r="N53" s="244">
        <f>SUM(B53:M53)</f>
        <v>0</v>
      </c>
    </row>
    <row r="54" spans="1:14" x14ac:dyDescent="0.35">
      <c r="A54" s="238" t="s">
        <v>93</v>
      </c>
      <c r="B54" s="239">
        <f>+'Plan de culture 105'!$I$19</f>
        <v>0</v>
      </c>
      <c r="C54" s="239">
        <f>+B54</f>
        <v>0</v>
      </c>
      <c r="D54" s="239">
        <f t="shared" ref="D54" si="47">+C54</f>
        <v>0</v>
      </c>
      <c r="E54" s="239">
        <f>+'Plan de culture 104 '!C50</f>
        <v>0</v>
      </c>
      <c r="F54" s="239">
        <f>+E54+'Plan de culture 104 '!D50+'Plan de culture 104 '!E50</f>
        <v>0</v>
      </c>
      <c r="G54" s="239">
        <f>+F54</f>
        <v>0</v>
      </c>
      <c r="H54" s="239">
        <f t="shared" ref="H54:M54" si="48">+G54</f>
        <v>0</v>
      </c>
      <c r="I54" s="239">
        <f t="shared" si="48"/>
        <v>0</v>
      </c>
      <c r="J54" s="239">
        <f t="shared" si="48"/>
        <v>0</v>
      </c>
      <c r="K54" s="239">
        <f t="shared" si="48"/>
        <v>0</v>
      </c>
      <c r="L54" s="239">
        <f t="shared" si="48"/>
        <v>0</v>
      </c>
      <c r="M54" s="239">
        <f t="shared" si="48"/>
        <v>0</v>
      </c>
      <c r="N54" s="240">
        <f>+'Plan de culture 105'!$I$19</f>
        <v>0</v>
      </c>
    </row>
    <row r="55" spans="1:14" x14ac:dyDescent="0.35">
      <c r="A55" s="238" t="s">
        <v>95</v>
      </c>
      <c r="B55" s="253" t="str">
        <f>IFERROR((B57*B56)/B54,"0,00")</f>
        <v>0,00</v>
      </c>
      <c r="C55" s="253" t="str">
        <f t="shared" ref="C55:M55" si="49">IFERROR((C57*C56)/C54,"0,00")</f>
        <v>0,00</v>
      </c>
      <c r="D55" s="253" t="str">
        <f t="shared" si="49"/>
        <v>0,00</v>
      </c>
      <c r="E55" s="253" t="str">
        <f t="shared" si="49"/>
        <v>0,00</v>
      </c>
      <c r="F55" s="253" t="str">
        <f t="shared" si="49"/>
        <v>0,00</v>
      </c>
      <c r="G55" s="253" t="str">
        <f t="shared" si="49"/>
        <v>0,00</v>
      </c>
      <c r="H55" s="253" t="str">
        <f t="shared" si="49"/>
        <v>0,00</v>
      </c>
      <c r="I55" s="253" t="str">
        <f t="shared" si="49"/>
        <v>0,00</v>
      </c>
      <c r="J55" s="253" t="str">
        <f t="shared" si="49"/>
        <v>0,00</v>
      </c>
      <c r="K55" s="253" t="str">
        <f t="shared" si="49"/>
        <v>0,00</v>
      </c>
      <c r="L55" s="253" t="str">
        <f t="shared" si="49"/>
        <v>0,00</v>
      </c>
      <c r="M55" s="253" t="str">
        <f t="shared" si="49"/>
        <v>0,00</v>
      </c>
      <c r="N55" s="245" t="e">
        <f>+N53/N54</f>
        <v>#DIV/0!</v>
      </c>
    </row>
    <row r="56" spans="1:14" x14ac:dyDescent="0.35">
      <c r="A56" s="86" t="s">
        <v>99</v>
      </c>
      <c r="B56" s="87">
        <v>3.5</v>
      </c>
      <c r="C56" s="87">
        <f>+B56</f>
        <v>3.5</v>
      </c>
      <c r="D56" s="87">
        <f t="shared" ref="D56:M56" si="50">+C56</f>
        <v>3.5</v>
      </c>
      <c r="E56" s="87">
        <f t="shared" si="50"/>
        <v>3.5</v>
      </c>
      <c r="F56" s="87">
        <f t="shared" si="50"/>
        <v>3.5</v>
      </c>
      <c r="G56" s="87">
        <f t="shared" si="50"/>
        <v>3.5</v>
      </c>
      <c r="H56" s="87">
        <f t="shared" si="50"/>
        <v>3.5</v>
      </c>
      <c r="I56" s="87">
        <f t="shared" si="50"/>
        <v>3.5</v>
      </c>
      <c r="J56" s="87">
        <f t="shared" si="50"/>
        <v>3.5</v>
      </c>
      <c r="K56" s="87">
        <f t="shared" si="50"/>
        <v>3.5</v>
      </c>
      <c r="L56" s="87">
        <f t="shared" si="50"/>
        <v>3.5</v>
      </c>
      <c r="M56" s="87">
        <f t="shared" si="50"/>
        <v>3.5</v>
      </c>
      <c r="N56" s="245"/>
    </row>
    <row r="57" spans="1:14" x14ac:dyDescent="0.35">
      <c r="A57" s="86" t="s">
        <v>98</v>
      </c>
      <c r="B57" s="88">
        <v>0</v>
      </c>
      <c r="C57" s="88">
        <v>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245"/>
    </row>
    <row r="58" spans="1:14" x14ac:dyDescent="0.35">
      <c r="A58" s="235" t="s">
        <v>92</v>
      </c>
      <c r="B58" s="80">
        <f>(B60*B59)</f>
        <v>0</v>
      </c>
      <c r="C58" s="80">
        <f t="shared" ref="C58:M58" si="51">(C60*C59)</f>
        <v>0</v>
      </c>
      <c r="D58" s="80">
        <f t="shared" si="51"/>
        <v>0</v>
      </c>
      <c r="E58" s="80">
        <f t="shared" si="51"/>
        <v>0</v>
      </c>
      <c r="F58" s="80">
        <f t="shared" si="51"/>
        <v>0</v>
      </c>
      <c r="G58" s="80">
        <f t="shared" si="51"/>
        <v>0</v>
      </c>
      <c r="H58" s="80">
        <f t="shared" si="51"/>
        <v>0</v>
      </c>
      <c r="I58" s="80">
        <f t="shared" si="51"/>
        <v>0</v>
      </c>
      <c r="J58" s="80">
        <f t="shared" si="51"/>
        <v>0</v>
      </c>
      <c r="K58" s="80">
        <f t="shared" si="51"/>
        <v>0</v>
      </c>
      <c r="L58" s="80">
        <f t="shared" si="51"/>
        <v>0</v>
      </c>
      <c r="M58" s="80">
        <f t="shared" si="51"/>
        <v>0</v>
      </c>
      <c r="N58" s="244">
        <f>SUM(B58:M58)</f>
        <v>0</v>
      </c>
    </row>
    <row r="59" spans="1:14" x14ac:dyDescent="0.35">
      <c r="A59" s="238" t="s">
        <v>93</v>
      </c>
      <c r="B59" s="239">
        <f>+'Plan de culture 105'!$I$25</f>
        <v>0</v>
      </c>
      <c r="C59" s="239">
        <f>+B59</f>
        <v>0</v>
      </c>
      <c r="D59" s="239">
        <f t="shared" ref="D59" si="52">+C59</f>
        <v>0</v>
      </c>
      <c r="E59" s="239">
        <f>+'Plan de culture 104 '!C55</f>
        <v>0</v>
      </c>
      <c r="F59" s="239">
        <f>+E59+'Plan de culture 104 '!D55+'Plan de culture 104 '!E55</f>
        <v>0</v>
      </c>
      <c r="G59" s="239">
        <f>+F59</f>
        <v>0</v>
      </c>
      <c r="H59" s="239">
        <f t="shared" ref="H59:M59" si="53">+G59</f>
        <v>0</v>
      </c>
      <c r="I59" s="239">
        <f t="shared" si="53"/>
        <v>0</v>
      </c>
      <c r="J59" s="239">
        <f t="shared" si="53"/>
        <v>0</v>
      </c>
      <c r="K59" s="239">
        <f t="shared" si="53"/>
        <v>0</v>
      </c>
      <c r="L59" s="239">
        <f t="shared" si="53"/>
        <v>0</v>
      </c>
      <c r="M59" s="239">
        <f t="shared" si="53"/>
        <v>0</v>
      </c>
      <c r="N59" s="240">
        <f>+'Plan de culture 105'!$I$25</f>
        <v>0</v>
      </c>
    </row>
    <row r="60" spans="1:14" x14ac:dyDescent="0.35">
      <c r="A60" s="238" t="s">
        <v>95</v>
      </c>
      <c r="B60" s="253" t="str">
        <f>IFERROR((B62*B61)/B59,"0,00")</f>
        <v>0,00</v>
      </c>
      <c r="C60" s="253" t="str">
        <f t="shared" ref="C60:M60" si="54">IFERROR((C62*C61)/C59,"0,00")</f>
        <v>0,00</v>
      </c>
      <c r="D60" s="253" t="str">
        <f t="shared" si="54"/>
        <v>0,00</v>
      </c>
      <c r="E60" s="253" t="str">
        <f t="shared" si="54"/>
        <v>0,00</v>
      </c>
      <c r="F60" s="253" t="str">
        <f t="shared" si="54"/>
        <v>0,00</v>
      </c>
      <c r="G60" s="253" t="str">
        <f t="shared" si="54"/>
        <v>0,00</v>
      </c>
      <c r="H60" s="253" t="str">
        <f t="shared" si="54"/>
        <v>0,00</v>
      </c>
      <c r="I60" s="253" t="str">
        <f t="shared" si="54"/>
        <v>0,00</v>
      </c>
      <c r="J60" s="253" t="str">
        <f t="shared" si="54"/>
        <v>0,00</v>
      </c>
      <c r="K60" s="253" t="str">
        <f t="shared" si="54"/>
        <v>0,00</v>
      </c>
      <c r="L60" s="253" t="str">
        <f t="shared" si="54"/>
        <v>0,00</v>
      </c>
      <c r="M60" s="253" t="str">
        <f t="shared" si="54"/>
        <v>0,00</v>
      </c>
      <c r="N60" s="245" t="e">
        <f>+N58/N59</f>
        <v>#DIV/0!</v>
      </c>
    </row>
    <row r="61" spans="1:14" x14ac:dyDescent="0.35">
      <c r="A61" s="86" t="s">
        <v>99</v>
      </c>
      <c r="B61" s="87">
        <v>3.5</v>
      </c>
      <c r="C61" s="87">
        <f>+B61</f>
        <v>3.5</v>
      </c>
      <c r="D61" s="87">
        <f t="shared" ref="D61:M61" si="55">+C61</f>
        <v>3.5</v>
      </c>
      <c r="E61" s="87">
        <f t="shared" si="55"/>
        <v>3.5</v>
      </c>
      <c r="F61" s="87">
        <f t="shared" si="55"/>
        <v>3.5</v>
      </c>
      <c r="G61" s="87">
        <f t="shared" si="55"/>
        <v>3.5</v>
      </c>
      <c r="H61" s="87">
        <f t="shared" si="55"/>
        <v>3.5</v>
      </c>
      <c r="I61" s="87">
        <f t="shared" si="55"/>
        <v>3.5</v>
      </c>
      <c r="J61" s="87">
        <f t="shared" si="55"/>
        <v>3.5</v>
      </c>
      <c r="K61" s="87">
        <f t="shared" si="55"/>
        <v>3.5</v>
      </c>
      <c r="L61" s="87">
        <f t="shared" si="55"/>
        <v>3.5</v>
      </c>
      <c r="M61" s="87">
        <f t="shared" si="55"/>
        <v>3.5</v>
      </c>
      <c r="N61" s="245"/>
    </row>
    <row r="62" spans="1:14" x14ac:dyDescent="0.35">
      <c r="A62" s="86" t="s">
        <v>98</v>
      </c>
      <c r="B62" s="88">
        <v>0</v>
      </c>
      <c r="C62" s="88">
        <v>0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245"/>
    </row>
    <row r="63" spans="1:14" x14ac:dyDescent="0.35">
      <c r="A63" s="235" t="s">
        <v>377</v>
      </c>
      <c r="B63" s="80">
        <f>(B65*B64)</f>
        <v>0</v>
      </c>
      <c r="C63" s="80">
        <f t="shared" ref="C63:M63" si="56">(C65*C64)</f>
        <v>0</v>
      </c>
      <c r="D63" s="80">
        <f t="shared" si="56"/>
        <v>0</v>
      </c>
      <c r="E63" s="80">
        <f t="shared" si="56"/>
        <v>0</v>
      </c>
      <c r="F63" s="80">
        <f t="shared" si="56"/>
        <v>0</v>
      </c>
      <c r="G63" s="80">
        <f t="shared" si="56"/>
        <v>0</v>
      </c>
      <c r="H63" s="80">
        <f t="shared" si="56"/>
        <v>0</v>
      </c>
      <c r="I63" s="80">
        <f t="shared" si="56"/>
        <v>0</v>
      </c>
      <c r="J63" s="80">
        <f t="shared" si="56"/>
        <v>0</v>
      </c>
      <c r="K63" s="80">
        <f t="shared" si="56"/>
        <v>0</v>
      </c>
      <c r="L63" s="80">
        <f t="shared" si="56"/>
        <v>0</v>
      </c>
      <c r="M63" s="80">
        <f t="shared" si="56"/>
        <v>0</v>
      </c>
      <c r="N63" s="244">
        <f>SUM(B63:M63)</f>
        <v>0</v>
      </c>
    </row>
    <row r="64" spans="1:14" x14ac:dyDescent="0.35">
      <c r="A64" s="238" t="s">
        <v>93</v>
      </c>
      <c r="B64" s="239">
        <f>+'Plan de culture 105'!$I$31</f>
        <v>0</v>
      </c>
      <c r="C64" s="239">
        <f>+B64</f>
        <v>0</v>
      </c>
      <c r="D64" s="239">
        <f t="shared" ref="D64" si="57">+C64</f>
        <v>0</v>
      </c>
      <c r="E64" s="239">
        <f>+'Plan de culture 104 '!C60</f>
        <v>0</v>
      </c>
      <c r="F64" s="239">
        <f>+E64+'Plan de culture 104 '!D60+'Plan de culture 104 '!E60</f>
        <v>0</v>
      </c>
      <c r="G64" s="239">
        <f>+F64</f>
        <v>0</v>
      </c>
      <c r="H64" s="239">
        <f t="shared" ref="H64:M64" si="58">+G64</f>
        <v>0</v>
      </c>
      <c r="I64" s="239">
        <f t="shared" si="58"/>
        <v>0</v>
      </c>
      <c r="J64" s="239">
        <f t="shared" si="58"/>
        <v>0</v>
      </c>
      <c r="K64" s="239">
        <f t="shared" si="58"/>
        <v>0</v>
      </c>
      <c r="L64" s="239">
        <f t="shared" si="58"/>
        <v>0</v>
      </c>
      <c r="M64" s="239">
        <f t="shared" si="58"/>
        <v>0</v>
      </c>
      <c r="N64" s="240">
        <f>+'Plan de culture 105'!$I$31</f>
        <v>0</v>
      </c>
    </row>
    <row r="65" spans="1:14" x14ac:dyDescent="0.35">
      <c r="A65" s="238" t="s">
        <v>95</v>
      </c>
      <c r="B65" s="253" t="str">
        <f>IFERROR((B67*B66)/B64,"0,00")</f>
        <v>0,00</v>
      </c>
      <c r="C65" s="253" t="str">
        <f t="shared" ref="C65:M65" si="59">IFERROR((C67*C66)/C64,"0,00")</f>
        <v>0,00</v>
      </c>
      <c r="D65" s="253" t="str">
        <f t="shared" si="59"/>
        <v>0,00</v>
      </c>
      <c r="E65" s="253" t="str">
        <f t="shared" si="59"/>
        <v>0,00</v>
      </c>
      <c r="F65" s="253" t="str">
        <f t="shared" si="59"/>
        <v>0,00</v>
      </c>
      <c r="G65" s="253" t="str">
        <f t="shared" si="59"/>
        <v>0,00</v>
      </c>
      <c r="H65" s="253" t="str">
        <f t="shared" si="59"/>
        <v>0,00</v>
      </c>
      <c r="I65" s="253" t="str">
        <f t="shared" si="59"/>
        <v>0,00</v>
      </c>
      <c r="J65" s="253" t="str">
        <f t="shared" si="59"/>
        <v>0,00</v>
      </c>
      <c r="K65" s="253" t="str">
        <f t="shared" si="59"/>
        <v>0,00</v>
      </c>
      <c r="L65" s="253" t="str">
        <f t="shared" si="59"/>
        <v>0,00</v>
      </c>
      <c r="M65" s="253" t="str">
        <f t="shared" si="59"/>
        <v>0,00</v>
      </c>
      <c r="N65" s="245" t="e">
        <f>+N63/N64</f>
        <v>#DIV/0!</v>
      </c>
    </row>
    <row r="66" spans="1:14" x14ac:dyDescent="0.35">
      <c r="A66" s="86" t="s">
        <v>99</v>
      </c>
      <c r="B66" s="87">
        <v>3.5</v>
      </c>
      <c r="C66" s="87">
        <f>+B66</f>
        <v>3.5</v>
      </c>
      <c r="D66" s="87">
        <f t="shared" ref="D66:M66" si="60">+C66</f>
        <v>3.5</v>
      </c>
      <c r="E66" s="87">
        <f t="shared" si="60"/>
        <v>3.5</v>
      </c>
      <c r="F66" s="87">
        <f t="shared" si="60"/>
        <v>3.5</v>
      </c>
      <c r="G66" s="87">
        <f t="shared" si="60"/>
        <v>3.5</v>
      </c>
      <c r="H66" s="87">
        <f t="shared" si="60"/>
        <v>3.5</v>
      </c>
      <c r="I66" s="87">
        <f t="shared" si="60"/>
        <v>3.5</v>
      </c>
      <c r="J66" s="87">
        <f t="shared" si="60"/>
        <v>3.5</v>
      </c>
      <c r="K66" s="87">
        <f t="shared" si="60"/>
        <v>3.5</v>
      </c>
      <c r="L66" s="87">
        <f t="shared" si="60"/>
        <v>3.5</v>
      </c>
      <c r="M66" s="87">
        <f t="shared" si="60"/>
        <v>3.5</v>
      </c>
      <c r="N66" s="245"/>
    </row>
    <row r="67" spans="1:14" x14ac:dyDescent="0.35">
      <c r="A67" s="86" t="s">
        <v>98</v>
      </c>
      <c r="B67" s="88">
        <v>0</v>
      </c>
      <c r="C67" s="88">
        <v>0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245"/>
    </row>
    <row r="68" spans="1:14" x14ac:dyDescent="0.35">
      <c r="A68" s="235" t="s">
        <v>378</v>
      </c>
      <c r="B68" s="80">
        <f>(B70*B69)</f>
        <v>0</v>
      </c>
      <c r="C68" s="80">
        <f t="shared" ref="C68:M68" si="61">(C70*C69)</f>
        <v>0</v>
      </c>
      <c r="D68" s="80">
        <f t="shared" si="61"/>
        <v>0</v>
      </c>
      <c r="E68" s="80">
        <f t="shared" si="61"/>
        <v>0</v>
      </c>
      <c r="F68" s="80">
        <f t="shared" si="61"/>
        <v>0</v>
      </c>
      <c r="G68" s="80">
        <f t="shared" si="61"/>
        <v>0</v>
      </c>
      <c r="H68" s="80">
        <f t="shared" si="61"/>
        <v>0</v>
      </c>
      <c r="I68" s="80">
        <f t="shared" si="61"/>
        <v>0</v>
      </c>
      <c r="J68" s="80">
        <f t="shared" si="61"/>
        <v>0</v>
      </c>
      <c r="K68" s="80">
        <f t="shared" si="61"/>
        <v>0</v>
      </c>
      <c r="L68" s="80">
        <f t="shared" si="61"/>
        <v>0</v>
      </c>
      <c r="M68" s="80">
        <f t="shared" si="61"/>
        <v>0</v>
      </c>
      <c r="N68" s="244">
        <f>SUM(B68:M68)</f>
        <v>0</v>
      </c>
    </row>
    <row r="69" spans="1:14" x14ac:dyDescent="0.35">
      <c r="A69" s="238" t="s">
        <v>93</v>
      </c>
      <c r="B69" s="239">
        <f>+'Plan de culture 105'!$I$37</f>
        <v>0</v>
      </c>
      <c r="C69" s="239">
        <f>+B69</f>
        <v>0</v>
      </c>
      <c r="D69" s="239">
        <f t="shared" ref="D69" si="62">+C69</f>
        <v>0</v>
      </c>
      <c r="E69" s="239">
        <f>+'Plan de culture 104 '!C65</f>
        <v>0</v>
      </c>
      <c r="F69" s="239">
        <f>+E69+'Plan de culture 104 '!D65+'Plan de culture 104 '!E65</f>
        <v>0</v>
      </c>
      <c r="G69" s="239">
        <f>+F69</f>
        <v>0</v>
      </c>
      <c r="H69" s="239">
        <f t="shared" ref="H69:M69" si="63">+G69</f>
        <v>0</v>
      </c>
      <c r="I69" s="239">
        <f t="shared" si="63"/>
        <v>0</v>
      </c>
      <c r="J69" s="239">
        <f t="shared" si="63"/>
        <v>0</v>
      </c>
      <c r="K69" s="239">
        <f t="shared" si="63"/>
        <v>0</v>
      </c>
      <c r="L69" s="239">
        <f t="shared" si="63"/>
        <v>0</v>
      </c>
      <c r="M69" s="239">
        <f t="shared" si="63"/>
        <v>0</v>
      </c>
      <c r="N69" s="240">
        <f>+'Plan de culture 105'!$I$37</f>
        <v>0</v>
      </c>
    </row>
    <row r="70" spans="1:14" x14ac:dyDescent="0.35">
      <c r="A70" s="238" t="s">
        <v>95</v>
      </c>
      <c r="B70" s="253" t="str">
        <f>IFERROR((B72*B71)/B69,"0,00")</f>
        <v>0,00</v>
      </c>
      <c r="C70" s="253" t="str">
        <f t="shared" ref="C70:M70" si="64">IFERROR((C72*C71)/C69,"0,00")</f>
        <v>0,00</v>
      </c>
      <c r="D70" s="253" t="str">
        <f t="shared" si="64"/>
        <v>0,00</v>
      </c>
      <c r="E70" s="253" t="str">
        <f t="shared" si="64"/>
        <v>0,00</v>
      </c>
      <c r="F70" s="253" t="str">
        <f t="shared" si="64"/>
        <v>0,00</v>
      </c>
      <c r="G70" s="253" t="str">
        <f t="shared" si="64"/>
        <v>0,00</v>
      </c>
      <c r="H70" s="253" t="str">
        <f t="shared" si="64"/>
        <v>0,00</v>
      </c>
      <c r="I70" s="253" t="str">
        <f t="shared" si="64"/>
        <v>0,00</v>
      </c>
      <c r="J70" s="253" t="str">
        <f t="shared" si="64"/>
        <v>0,00</v>
      </c>
      <c r="K70" s="253" t="str">
        <f t="shared" si="64"/>
        <v>0,00</v>
      </c>
      <c r="L70" s="253" t="str">
        <f t="shared" si="64"/>
        <v>0,00</v>
      </c>
      <c r="M70" s="253" t="str">
        <f t="shared" si="64"/>
        <v>0,00</v>
      </c>
      <c r="N70" s="245" t="e">
        <f>+N68/N69</f>
        <v>#DIV/0!</v>
      </c>
    </row>
    <row r="71" spans="1:14" x14ac:dyDescent="0.35">
      <c r="A71" s="86" t="s">
        <v>99</v>
      </c>
      <c r="B71" s="87">
        <v>3.5</v>
      </c>
      <c r="C71" s="87">
        <f>+B71</f>
        <v>3.5</v>
      </c>
      <c r="D71" s="87">
        <f t="shared" ref="D71:M71" si="65">+C71</f>
        <v>3.5</v>
      </c>
      <c r="E71" s="87">
        <f t="shared" si="65"/>
        <v>3.5</v>
      </c>
      <c r="F71" s="87">
        <f t="shared" si="65"/>
        <v>3.5</v>
      </c>
      <c r="G71" s="87">
        <f t="shared" si="65"/>
        <v>3.5</v>
      </c>
      <c r="H71" s="87">
        <f t="shared" si="65"/>
        <v>3.5</v>
      </c>
      <c r="I71" s="87">
        <f t="shared" si="65"/>
        <v>3.5</v>
      </c>
      <c r="J71" s="87">
        <f t="shared" si="65"/>
        <v>3.5</v>
      </c>
      <c r="K71" s="87">
        <f t="shared" si="65"/>
        <v>3.5</v>
      </c>
      <c r="L71" s="87">
        <f t="shared" si="65"/>
        <v>3.5</v>
      </c>
      <c r="M71" s="87">
        <f t="shared" si="65"/>
        <v>3.5</v>
      </c>
      <c r="N71" s="245"/>
    </row>
    <row r="72" spans="1:14" ht="12" thickBot="1" x14ac:dyDescent="0.4">
      <c r="A72" s="86" t="s">
        <v>98</v>
      </c>
      <c r="B72" s="88">
        <v>0</v>
      </c>
      <c r="C72" s="88">
        <v>0</v>
      </c>
      <c r="D72" s="88">
        <v>0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245"/>
    </row>
    <row r="73" spans="1:14" x14ac:dyDescent="0.35">
      <c r="A73" s="233" t="s">
        <v>392</v>
      </c>
      <c r="B73" s="242">
        <f>+B76+B81+B86+B91+B96+B101</f>
        <v>0</v>
      </c>
      <c r="C73" s="242">
        <f t="shared" ref="C73:M74" si="66">+C76+C81+C86+C91+C96+C101</f>
        <v>0</v>
      </c>
      <c r="D73" s="242">
        <f t="shared" si="66"/>
        <v>0</v>
      </c>
      <c r="E73" s="242">
        <f t="shared" si="66"/>
        <v>0</v>
      </c>
      <c r="F73" s="242">
        <f t="shared" si="66"/>
        <v>0</v>
      </c>
      <c r="G73" s="242">
        <f t="shared" si="66"/>
        <v>0</v>
      </c>
      <c r="H73" s="242">
        <f t="shared" si="66"/>
        <v>0</v>
      </c>
      <c r="I73" s="242">
        <f t="shared" si="66"/>
        <v>0</v>
      </c>
      <c r="J73" s="242">
        <f t="shared" si="66"/>
        <v>0</v>
      </c>
      <c r="K73" s="242">
        <f t="shared" si="66"/>
        <v>0</v>
      </c>
      <c r="L73" s="242">
        <f t="shared" si="66"/>
        <v>0</v>
      </c>
      <c r="M73" s="242">
        <f t="shared" si="66"/>
        <v>0</v>
      </c>
      <c r="N73" s="243">
        <f>SUM(B73:M73)</f>
        <v>0</v>
      </c>
    </row>
    <row r="74" spans="1:14" x14ac:dyDescent="0.35">
      <c r="A74" s="234" t="s">
        <v>93</v>
      </c>
      <c r="B74" s="83">
        <f>+B77+B82+B87+B92+B97+B102</f>
        <v>5.5750000000000002</v>
      </c>
      <c r="C74" s="83">
        <f t="shared" si="66"/>
        <v>5.5750000000000002</v>
      </c>
      <c r="D74" s="83">
        <f t="shared" si="66"/>
        <v>5.5750000000000002</v>
      </c>
      <c r="E74" s="83">
        <f t="shared" si="66"/>
        <v>5.5750000000000002</v>
      </c>
      <c r="F74" s="83">
        <f t="shared" si="66"/>
        <v>5.5750000000000002</v>
      </c>
      <c r="G74" s="83">
        <f t="shared" si="66"/>
        <v>5.5750000000000002</v>
      </c>
      <c r="H74" s="83">
        <f t="shared" si="66"/>
        <v>5.5750000000000002</v>
      </c>
      <c r="I74" s="83">
        <f t="shared" si="66"/>
        <v>5.5750000000000002</v>
      </c>
      <c r="J74" s="83">
        <f t="shared" si="66"/>
        <v>5.5750000000000002</v>
      </c>
      <c r="K74" s="83">
        <f t="shared" si="66"/>
        <v>5.5750000000000002</v>
      </c>
      <c r="L74" s="83">
        <f t="shared" si="66"/>
        <v>5.5750000000000002</v>
      </c>
      <c r="M74" s="83">
        <f t="shared" si="66"/>
        <v>5.5750000000000002</v>
      </c>
      <c r="N74" s="248">
        <f>+M74</f>
        <v>5.5750000000000002</v>
      </c>
    </row>
    <row r="75" spans="1:14" x14ac:dyDescent="0.35">
      <c r="A75" s="234" t="s">
        <v>389</v>
      </c>
      <c r="B75" s="83">
        <f t="shared" ref="B75:N75" si="67">+B73/B74</f>
        <v>0</v>
      </c>
      <c r="C75" s="83">
        <f t="shared" si="67"/>
        <v>0</v>
      </c>
      <c r="D75" s="83">
        <f t="shared" si="67"/>
        <v>0</v>
      </c>
      <c r="E75" s="83">
        <f t="shared" si="67"/>
        <v>0</v>
      </c>
      <c r="F75" s="83">
        <f t="shared" si="67"/>
        <v>0</v>
      </c>
      <c r="G75" s="83">
        <f t="shared" si="67"/>
        <v>0</v>
      </c>
      <c r="H75" s="83">
        <f t="shared" si="67"/>
        <v>0</v>
      </c>
      <c r="I75" s="83">
        <f t="shared" si="67"/>
        <v>0</v>
      </c>
      <c r="J75" s="83">
        <f t="shared" si="67"/>
        <v>0</v>
      </c>
      <c r="K75" s="83">
        <f t="shared" si="67"/>
        <v>0</v>
      </c>
      <c r="L75" s="83">
        <f t="shared" si="67"/>
        <v>0</v>
      </c>
      <c r="M75" s="83">
        <f t="shared" si="67"/>
        <v>0</v>
      </c>
      <c r="N75" s="249">
        <f t="shared" si="67"/>
        <v>0</v>
      </c>
    </row>
    <row r="76" spans="1:14" x14ac:dyDescent="0.35">
      <c r="A76" s="235" t="s">
        <v>90</v>
      </c>
      <c r="B76" s="80">
        <f>(B80*B79)</f>
        <v>0</v>
      </c>
      <c r="C76" s="80">
        <f t="shared" ref="C76:M76" si="68">(C78*C77)</f>
        <v>0</v>
      </c>
      <c r="D76" s="80">
        <f t="shared" si="68"/>
        <v>0</v>
      </c>
      <c r="E76" s="80">
        <f t="shared" si="68"/>
        <v>0</v>
      </c>
      <c r="F76" s="80">
        <f t="shared" si="68"/>
        <v>0</v>
      </c>
      <c r="G76" s="80">
        <f t="shared" si="68"/>
        <v>0</v>
      </c>
      <c r="H76" s="80">
        <f t="shared" si="68"/>
        <v>0</v>
      </c>
      <c r="I76" s="80">
        <f t="shared" si="68"/>
        <v>0</v>
      </c>
      <c r="J76" s="80">
        <f t="shared" si="68"/>
        <v>0</v>
      </c>
      <c r="K76" s="80">
        <f t="shared" si="68"/>
        <v>0</v>
      </c>
      <c r="L76" s="80">
        <f t="shared" si="68"/>
        <v>0</v>
      </c>
      <c r="M76" s="80">
        <f t="shared" si="68"/>
        <v>0</v>
      </c>
      <c r="N76" s="244">
        <f>SUM(B76:M76)</f>
        <v>0</v>
      </c>
    </row>
    <row r="77" spans="1:14" x14ac:dyDescent="0.35">
      <c r="A77" s="238" t="s">
        <v>93</v>
      </c>
      <c r="B77" s="239">
        <f>+'Plan de culture 106'!$J$7</f>
        <v>0</v>
      </c>
      <c r="C77" s="239">
        <f>+B77</f>
        <v>0</v>
      </c>
      <c r="D77" s="239">
        <f t="shared" ref="D77" si="69">+C77</f>
        <v>0</v>
      </c>
      <c r="E77" s="239">
        <f>+D77</f>
        <v>0</v>
      </c>
      <c r="F77" s="239">
        <f>+E77</f>
        <v>0</v>
      </c>
      <c r="G77" s="239">
        <f>+F77</f>
        <v>0</v>
      </c>
      <c r="H77" s="239">
        <f t="shared" ref="H77:M77" si="70">+G77</f>
        <v>0</v>
      </c>
      <c r="I77" s="239">
        <f t="shared" si="70"/>
        <v>0</v>
      </c>
      <c r="J77" s="239">
        <f t="shared" si="70"/>
        <v>0</v>
      </c>
      <c r="K77" s="239">
        <f t="shared" si="70"/>
        <v>0</v>
      </c>
      <c r="L77" s="239">
        <f t="shared" si="70"/>
        <v>0</v>
      </c>
      <c r="M77" s="239">
        <f t="shared" si="70"/>
        <v>0</v>
      </c>
      <c r="N77" s="240">
        <f>+'Plan de culture 106'!$J$7</f>
        <v>0</v>
      </c>
    </row>
    <row r="78" spans="1:14" x14ac:dyDescent="0.35">
      <c r="A78" s="238" t="s">
        <v>95</v>
      </c>
      <c r="B78" s="253" t="str">
        <f>IFERROR((B80*B79)/B77,"0,00")</f>
        <v>0,00</v>
      </c>
      <c r="C78" s="253" t="str">
        <f t="shared" ref="C78:M78" si="71">IFERROR((C80*C79)/C77,"0,00")</f>
        <v>0,00</v>
      </c>
      <c r="D78" s="253" t="str">
        <f t="shared" si="71"/>
        <v>0,00</v>
      </c>
      <c r="E78" s="253" t="str">
        <f t="shared" si="71"/>
        <v>0,00</v>
      </c>
      <c r="F78" s="253" t="str">
        <f t="shared" si="71"/>
        <v>0,00</v>
      </c>
      <c r="G78" s="253" t="str">
        <f t="shared" si="71"/>
        <v>0,00</v>
      </c>
      <c r="H78" s="253" t="str">
        <f t="shared" si="71"/>
        <v>0,00</v>
      </c>
      <c r="I78" s="253" t="str">
        <f t="shared" si="71"/>
        <v>0,00</v>
      </c>
      <c r="J78" s="253" t="str">
        <f t="shared" si="71"/>
        <v>0,00</v>
      </c>
      <c r="K78" s="253" t="str">
        <f t="shared" si="71"/>
        <v>0,00</v>
      </c>
      <c r="L78" s="253" t="str">
        <f t="shared" si="71"/>
        <v>0,00</v>
      </c>
      <c r="M78" s="253" t="str">
        <f t="shared" si="71"/>
        <v>0,00</v>
      </c>
      <c r="N78" s="245" t="e">
        <f>+N76/N77</f>
        <v>#DIV/0!</v>
      </c>
    </row>
    <row r="79" spans="1:14" x14ac:dyDescent="0.35">
      <c r="A79" s="86" t="s">
        <v>99</v>
      </c>
      <c r="B79" s="87">
        <v>3.5</v>
      </c>
      <c r="C79" s="87">
        <f>+B79</f>
        <v>3.5</v>
      </c>
      <c r="D79" s="87">
        <f t="shared" ref="D79:M79" si="72">+C79</f>
        <v>3.5</v>
      </c>
      <c r="E79" s="87">
        <f t="shared" si="72"/>
        <v>3.5</v>
      </c>
      <c r="F79" s="87">
        <f t="shared" si="72"/>
        <v>3.5</v>
      </c>
      <c r="G79" s="87">
        <f t="shared" si="72"/>
        <v>3.5</v>
      </c>
      <c r="H79" s="87">
        <f t="shared" si="72"/>
        <v>3.5</v>
      </c>
      <c r="I79" s="87">
        <f t="shared" si="72"/>
        <v>3.5</v>
      </c>
      <c r="J79" s="87">
        <f t="shared" si="72"/>
        <v>3.5</v>
      </c>
      <c r="K79" s="87">
        <f t="shared" si="72"/>
        <v>3.5</v>
      </c>
      <c r="L79" s="87">
        <f t="shared" si="72"/>
        <v>3.5</v>
      </c>
      <c r="M79" s="87">
        <f t="shared" si="72"/>
        <v>3.5</v>
      </c>
      <c r="N79" s="245"/>
    </row>
    <row r="80" spans="1:14" x14ac:dyDescent="0.35">
      <c r="A80" s="86" t="s">
        <v>98</v>
      </c>
      <c r="B80" s="88">
        <v>0</v>
      </c>
      <c r="C80" s="88">
        <v>318000</v>
      </c>
      <c r="D80" s="88">
        <v>0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245"/>
    </row>
    <row r="81" spans="1:14" x14ac:dyDescent="0.35">
      <c r="A81" s="235" t="s">
        <v>91</v>
      </c>
      <c r="B81" s="80">
        <f>(B83*B82)</f>
        <v>0</v>
      </c>
      <c r="C81" s="80">
        <f t="shared" ref="C81:M81" si="73">(C83*C82)</f>
        <v>0</v>
      </c>
      <c r="D81" s="80">
        <f t="shared" si="73"/>
        <v>0</v>
      </c>
      <c r="E81" s="80">
        <f t="shared" si="73"/>
        <v>0</v>
      </c>
      <c r="F81" s="80">
        <f t="shared" si="73"/>
        <v>0</v>
      </c>
      <c r="G81" s="80">
        <f t="shared" si="73"/>
        <v>0</v>
      </c>
      <c r="H81" s="80">
        <f t="shared" si="73"/>
        <v>0</v>
      </c>
      <c r="I81" s="80">
        <f t="shared" si="73"/>
        <v>0</v>
      </c>
      <c r="J81" s="80">
        <f t="shared" si="73"/>
        <v>0</v>
      </c>
      <c r="K81" s="80">
        <f t="shared" si="73"/>
        <v>0</v>
      </c>
      <c r="L81" s="80">
        <f t="shared" si="73"/>
        <v>0</v>
      </c>
      <c r="M81" s="80">
        <f t="shared" si="73"/>
        <v>0</v>
      </c>
      <c r="N81" s="244">
        <f>SUM(B81:M81)</f>
        <v>0</v>
      </c>
    </row>
    <row r="82" spans="1:14" x14ac:dyDescent="0.35">
      <c r="A82" s="238" t="s">
        <v>93</v>
      </c>
      <c r="B82" s="239">
        <f>+'Plan de culture 106'!$J$13</f>
        <v>0</v>
      </c>
      <c r="C82" s="239">
        <f>+B82</f>
        <v>0</v>
      </c>
      <c r="D82" s="239">
        <f t="shared" ref="D82:M82" si="74">+C82</f>
        <v>0</v>
      </c>
      <c r="E82" s="239">
        <f t="shared" si="74"/>
        <v>0</v>
      </c>
      <c r="F82" s="239">
        <f t="shared" si="74"/>
        <v>0</v>
      </c>
      <c r="G82" s="239">
        <f t="shared" si="74"/>
        <v>0</v>
      </c>
      <c r="H82" s="239">
        <f t="shared" si="74"/>
        <v>0</v>
      </c>
      <c r="I82" s="239">
        <f t="shared" si="74"/>
        <v>0</v>
      </c>
      <c r="J82" s="239">
        <f t="shared" si="74"/>
        <v>0</v>
      </c>
      <c r="K82" s="239">
        <f t="shared" si="74"/>
        <v>0</v>
      </c>
      <c r="L82" s="239">
        <f t="shared" si="74"/>
        <v>0</v>
      </c>
      <c r="M82" s="239">
        <f t="shared" si="74"/>
        <v>0</v>
      </c>
      <c r="N82" s="240">
        <f>+'Plan de culture 106'!$J$13</f>
        <v>0</v>
      </c>
    </row>
    <row r="83" spans="1:14" x14ac:dyDescent="0.35">
      <c r="A83" s="238" t="s">
        <v>95</v>
      </c>
      <c r="B83" s="253" t="str">
        <f>IFERROR((B85*B84)/B82,"0,00")</f>
        <v>0,00</v>
      </c>
      <c r="C83" s="253" t="str">
        <f t="shared" ref="C83:M83" si="75">IFERROR((C85*C84)/C82,"0,00")</f>
        <v>0,00</v>
      </c>
      <c r="D83" s="253" t="str">
        <f t="shared" si="75"/>
        <v>0,00</v>
      </c>
      <c r="E83" s="253" t="str">
        <f t="shared" si="75"/>
        <v>0,00</v>
      </c>
      <c r="F83" s="253" t="str">
        <f t="shared" si="75"/>
        <v>0,00</v>
      </c>
      <c r="G83" s="253" t="str">
        <f t="shared" si="75"/>
        <v>0,00</v>
      </c>
      <c r="H83" s="253" t="str">
        <f t="shared" si="75"/>
        <v>0,00</v>
      </c>
      <c r="I83" s="253" t="str">
        <f t="shared" si="75"/>
        <v>0,00</v>
      </c>
      <c r="J83" s="253" t="str">
        <f t="shared" si="75"/>
        <v>0,00</v>
      </c>
      <c r="K83" s="253" t="str">
        <f t="shared" si="75"/>
        <v>0,00</v>
      </c>
      <c r="L83" s="253" t="str">
        <f t="shared" si="75"/>
        <v>0,00</v>
      </c>
      <c r="M83" s="253" t="str">
        <f t="shared" si="75"/>
        <v>0,00</v>
      </c>
      <c r="N83" s="245" t="e">
        <f>+N81/N82</f>
        <v>#DIV/0!</v>
      </c>
    </row>
    <row r="84" spans="1:14" x14ac:dyDescent="0.35">
      <c r="A84" s="86" t="s">
        <v>99</v>
      </c>
      <c r="B84" s="87">
        <v>3.5</v>
      </c>
      <c r="C84" s="87">
        <f>+B84</f>
        <v>3.5</v>
      </c>
      <c r="D84" s="87">
        <f t="shared" ref="D84:M84" si="76">+C84</f>
        <v>3.5</v>
      </c>
      <c r="E84" s="87">
        <f t="shared" si="76"/>
        <v>3.5</v>
      </c>
      <c r="F84" s="87">
        <f t="shared" si="76"/>
        <v>3.5</v>
      </c>
      <c r="G84" s="87">
        <f t="shared" si="76"/>
        <v>3.5</v>
      </c>
      <c r="H84" s="87">
        <f t="shared" si="76"/>
        <v>3.5</v>
      </c>
      <c r="I84" s="87">
        <f t="shared" si="76"/>
        <v>3.5</v>
      </c>
      <c r="J84" s="87">
        <f t="shared" si="76"/>
        <v>3.5</v>
      </c>
      <c r="K84" s="87">
        <f t="shared" si="76"/>
        <v>3.5</v>
      </c>
      <c r="L84" s="87">
        <f t="shared" si="76"/>
        <v>3.5</v>
      </c>
      <c r="M84" s="87">
        <f t="shared" si="76"/>
        <v>3.5</v>
      </c>
      <c r="N84" s="245"/>
    </row>
    <row r="85" spans="1:14" x14ac:dyDescent="0.35">
      <c r="A85" s="86" t="s">
        <v>98</v>
      </c>
      <c r="B85" s="88">
        <v>0</v>
      </c>
      <c r="C85" s="88">
        <v>0</v>
      </c>
      <c r="D85" s="88">
        <v>0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245"/>
    </row>
    <row r="86" spans="1:14" x14ac:dyDescent="0.35">
      <c r="A86" s="235" t="s">
        <v>376</v>
      </c>
      <c r="B86" s="80">
        <f>(B88*B87)</f>
        <v>0</v>
      </c>
      <c r="C86" s="80">
        <f t="shared" ref="C86:M86" si="77">(C88*C87)</f>
        <v>0</v>
      </c>
      <c r="D86" s="80">
        <f t="shared" si="77"/>
        <v>0</v>
      </c>
      <c r="E86" s="80">
        <f t="shared" si="77"/>
        <v>0</v>
      </c>
      <c r="F86" s="80">
        <f t="shared" si="77"/>
        <v>0</v>
      </c>
      <c r="G86" s="80">
        <f t="shared" si="77"/>
        <v>0</v>
      </c>
      <c r="H86" s="80">
        <f t="shared" si="77"/>
        <v>0</v>
      </c>
      <c r="I86" s="80">
        <f t="shared" si="77"/>
        <v>0</v>
      </c>
      <c r="J86" s="80">
        <f t="shared" si="77"/>
        <v>0</v>
      </c>
      <c r="K86" s="80">
        <f t="shared" si="77"/>
        <v>0</v>
      </c>
      <c r="L86" s="80">
        <f t="shared" si="77"/>
        <v>0</v>
      </c>
      <c r="M86" s="80">
        <f t="shared" si="77"/>
        <v>0</v>
      </c>
      <c r="N86" s="244">
        <f>SUM(B86:M86)</f>
        <v>0</v>
      </c>
    </row>
    <row r="87" spans="1:14" x14ac:dyDescent="0.35">
      <c r="A87" s="238" t="s">
        <v>93</v>
      </c>
      <c r="B87" s="239">
        <f>+'Plan de culture 106'!$J$19</f>
        <v>5.5750000000000002</v>
      </c>
      <c r="C87" s="239">
        <f>+B87</f>
        <v>5.5750000000000002</v>
      </c>
      <c r="D87" s="239">
        <f t="shared" ref="D87:M87" si="78">+C87</f>
        <v>5.5750000000000002</v>
      </c>
      <c r="E87" s="239">
        <f t="shared" si="78"/>
        <v>5.5750000000000002</v>
      </c>
      <c r="F87" s="239">
        <f t="shared" si="78"/>
        <v>5.5750000000000002</v>
      </c>
      <c r="G87" s="239">
        <f t="shared" si="78"/>
        <v>5.5750000000000002</v>
      </c>
      <c r="H87" s="239">
        <f t="shared" si="78"/>
        <v>5.5750000000000002</v>
      </c>
      <c r="I87" s="239">
        <f t="shared" si="78"/>
        <v>5.5750000000000002</v>
      </c>
      <c r="J87" s="239">
        <f t="shared" si="78"/>
        <v>5.5750000000000002</v>
      </c>
      <c r="K87" s="239">
        <f t="shared" si="78"/>
        <v>5.5750000000000002</v>
      </c>
      <c r="L87" s="239">
        <f t="shared" si="78"/>
        <v>5.5750000000000002</v>
      </c>
      <c r="M87" s="239">
        <f t="shared" si="78"/>
        <v>5.5750000000000002</v>
      </c>
      <c r="N87" s="240">
        <f>+'Plan de culture 106'!$J$19</f>
        <v>5.5750000000000002</v>
      </c>
    </row>
    <row r="88" spans="1:14" x14ac:dyDescent="0.35">
      <c r="A88" s="238" t="s">
        <v>95</v>
      </c>
      <c r="B88" s="254">
        <f>IFERROR((B90*B89)/B87,"0,00")</f>
        <v>0</v>
      </c>
      <c r="C88" s="254">
        <f t="shared" ref="C88:M88" si="79">IFERROR((C90*C89)/C87,"0,00")</f>
        <v>0</v>
      </c>
      <c r="D88" s="254">
        <f t="shared" si="79"/>
        <v>0</v>
      </c>
      <c r="E88" s="254">
        <f t="shared" si="79"/>
        <v>0</v>
      </c>
      <c r="F88" s="254">
        <f t="shared" si="79"/>
        <v>0</v>
      </c>
      <c r="G88" s="254">
        <f t="shared" si="79"/>
        <v>0</v>
      </c>
      <c r="H88" s="254">
        <f t="shared" si="79"/>
        <v>0</v>
      </c>
      <c r="I88" s="254">
        <f t="shared" si="79"/>
        <v>0</v>
      </c>
      <c r="J88" s="254">
        <f t="shared" si="79"/>
        <v>0</v>
      </c>
      <c r="K88" s="254">
        <f t="shared" si="79"/>
        <v>0</v>
      </c>
      <c r="L88" s="254">
        <f t="shared" si="79"/>
        <v>0</v>
      </c>
      <c r="M88" s="254">
        <f t="shared" si="79"/>
        <v>0</v>
      </c>
      <c r="N88" s="245">
        <f>+N86/N87</f>
        <v>0</v>
      </c>
    </row>
    <row r="89" spans="1:14" x14ac:dyDescent="0.35">
      <c r="A89" s="86" t="s">
        <v>99</v>
      </c>
      <c r="B89" s="87">
        <v>3.5</v>
      </c>
      <c r="C89" s="87">
        <f>+B89</f>
        <v>3.5</v>
      </c>
      <c r="D89" s="87">
        <f t="shared" ref="D89:M89" si="80">+C89</f>
        <v>3.5</v>
      </c>
      <c r="E89" s="87">
        <f t="shared" si="80"/>
        <v>3.5</v>
      </c>
      <c r="F89" s="87">
        <f t="shared" si="80"/>
        <v>3.5</v>
      </c>
      <c r="G89" s="87">
        <f t="shared" si="80"/>
        <v>3.5</v>
      </c>
      <c r="H89" s="87">
        <f t="shared" si="80"/>
        <v>3.5</v>
      </c>
      <c r="I89" s="87">
        <f t="shared" si="80"/>
        <v>3.5</v>
      </c>
      <c r="J89" s="87">
        <f t="shared" si="80"/>
        <v>3.5</v>
      </c>
      <c r="K89" s="87">
        <f t="shared" si="80"/>
        <v>3.5</v>
      </c>
      <c r="L89" s="87">
        <f t="shared" si="80"/>
        <v>3.5</v>
      </c>
      <c r="M89" s="87">
        <f t="shared" si="80"/>
        <v>3.5</v>
      </c>
      <c r="N89" s="245"/>
    </row>
    <row r="90" spans="1:14" x14ac:dyDescent="0.35">
      <c r="A90" s="86" t="s">
        <v>98</v>
      </c>
      <c r="B90" s="88">
        <v>0</v>
      </c>
      <c r="C90" s="88">
        <v>0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245"/>
    </row>
    <row r="91" spans="1:14" x14ac:dyDescent="0.35">
      <c r="A91" s="235" t="s">
        <v>92</v>
      </c>
      <c r="B91" s="80">
        <f>(B93*B92)</f>
        <v>0</v>
      </c>
      <c r="C91" s="80">
        <f t="shared" ref="C91:M91" si="81">(C93*C92)</f>
        <v>0</v>
      </c>
      <c r="D91" s="80">
        <f t="shared" si="81"/>
        <v>0</v>
      </c>
      <c r="E91" s="80">
        <f t="shared" si="81"/>
        <v>0</v>
      </c>
      <c r="F91" s="80">
        <f t="shared" si="81"/>
        <v>0</v>
      </c>
      <c r="G91" s="80">
        <f t="shared" si="81"/>
        <v>0</v>
      </c>
      <c r="H91" s="80">
        <f t="shared" si="81"/>
        <v>0</v>
      </c>
      <c r="I91" s="80">
        <f t="shared" si="81"/>
        <v>0</v>
      </c>
      <c r="J91" s="80">
        <f t="shared" si="81"/>
        <v>0</v>
      </c>
      <c r="K91" s="80">
        <f t="shared" si="81"/>
        <v>0</v>
      </c>
      <c r="L91" s="80">
        <f t="shared" si="81"/>
        <v>0</v>
      </c>
      <c r="M91" s="80">
        <f t="shared" si="81"/>
        <v>0</v>
      </c>
      <c r="N91" s="244">
        <f>SUM(B91:M91)</f>
        <v>0</v>
      </c>
    </row>
    <row r="92" spans="1:14" x14ac:dyDescent="0.35">
      <c r="A92" s="238" t="s">
        <v>93</v>
      </c>
      <c r="B92" s="239">
        <f>+'Plan de culture 106'!$J$25</f>
        <v>0</v>
      </c>
      <c r="C92" s="239">
        <f>+B92</f>
        <v>0</v>
      </c>
      <c r="D92" s="239">
        <f t="shared" ref="D92" si="82">+C92</f>
        <v>0</v>
      </c>
      <c r="E92" s="239">
        <f>+'Plan de culture 104 '!C88</f>
        <v>0</v>
      </c>
      <c r="F92" s="239">
        <f>+E92+'Plan de culture 104 '!D88+'Plan de culture 104 '!E88</f>
        <v>0</v>
      </c>
      <c r="G92" s="239">
        <f>+F92</f>
        <v>0</v>
      </c>
      <c r="H92" s="239">
        <f t="shared" ref="H92:M92" si="83">+G92</f>
        <v>0</v>
      </c>
      <c r="I92" s="239">
        <f t="shared" si="83"/>
        <v>0</v>
      </c>
      <c r="J92" s="239">
        <f t="shared" si="83"/>
        <v>0</v>
      </c>
      <c r="K92" s="239">
        <f t="shared" si="83"/>
        <v>0</v>
      </c>
      <c r="L92" s="239">
        <f t="shared" si="83"/>
        <v>0</v>
      </c>
      <c r="M92" s="239">
        <f t="shared" si="83"/>
        <v>0</v>
      </c>
      <c r="N92" s="240">
        <f>+'Plan de culture 106'!$J$25</f>
        <v>0</v>
      </c>
    </row>
    <row r="93" spans="1:14" x14ac:dyDescent="0.35">
      <c r="A93" s="238" t="s">
        <v>95</v>
      </c>
      <c r="B93" s="253" t="str">
        <f>IFERROR((B95*B94)/B92,"0,00")</f>
        <v>0,00</v>
      </c>
      <c r="C93" s="253" t="str">
        <f t="shared" ref="C93:M93" si="84">IFERROR((C95*C94)/C92,"0,00")</f>
        <v>0,00</v>
      </c>
      <c r="D93" s="253" t="str">
        <f t="shared" si="84"/>
        <v>0,00</v>
      </c>
      <c r="E93" s="253" t="str">
        <f t="shared" si="84"/>
        <v>0,00</v>
      </c>
      <c r="F93" s="253" t="str">
        <f t="shared" si="84"/>
        <v>0,00</v>
      </c>
      <c r="G93" s="253" t="str">
        <f t="shared" si="84"/>
        <v>0,00</v>
      </c>
      <c r="H93" s="253" t="str">
        <f t="shared" si="84"/>
        <v>0,00</v>
      </c>
      <c r="I93" s="253" t="str">
        <f t="shared" si="84"/>
        <v>0,00</v>
      </c>
      <c r="J93" s="253" t="str">
        <f t="shared" si="84"/>
        <v>0,00</v>
      </c>
      <c r="K93" s="253" t="str">
        <f t="shared" si="84"/>
        <v>0,00</v>
      </c>
      <c r="L93" s="253" t="str">
        <f t="shared" si="84"/>
        <v>0,00</v>
      </c>
      <c r="M93" s="253" t="str">
        <f t="shared" si="84"/>
        <v>0,00</v>
      </c>
      <c r="N93" s="245" t="e">
        <f>+N91/N92</f>
        <v>#DIV/0!</v>
      </c>
    </row>
    <row r="94" spans="1:14" x14ac:dyDescent="0.35">
      <c r="A94" s="86" t="s">
        <v>99</v>
      </c>
      <c r="B94" s="87">
        <v>3.5</v>
      </c>
      <c r="C94" s="87">
        <f>+B94</f>
        <v>3.5</v>
      </c>
      <c r="D94" s="87">
        <f t="shared" ref="D94:M94" si="85">+C94</f>
        <v>3.5</v>
      </c>
      <c r="E94" s="87">
        <f t="shared" si="85"/>
        <v>3.5</v>
      </c>
      <c r="F94" s="87">
        <f t="shared" si="85"/>
        <v>3.5</v>
      </c>
      <c r="G94" s="87">
        <f t="shared" si="85"/>
        <v>3.5</v>
      </c>
      <c r="H94" s="87">
        <f t="shared" si="85"/>
        <v>3.5</v>
      </c>
      <c r="I94" s="87">
        <f t="shared" si="85"/>
        <v>3.5</v>
      </c>
      <c r="J94" s="87">
        <f t="shared" si="85"/>
        <v>3.5</v>
      </c>
      <c r="K94" s="87">
        <f t="shared" si="85"/>
        <v>3.5</v>
      </c>
      <c r="L94" s="87">
        <f t="shared" si="85"/>
        <v>3.5</v>
      </c>
      <c r="M94" s="87">
        <f t="shared" si="85"/>
        <v>3.5</v>
      </c>
      <c r="N94" s="245"/>
    </row>
    <row r="95" spans="1:14" x14ac:dyDescent="0.35">
      <c r="A95" s="86" t="s">
        <v>98</v>
      </c>
      <c r="B95" s="88">
        <v>0</v>
      </c>
      <c r="C95" s="88">
        <v>0</v>
      </c>
      <c r="D95" s="88">
        <v>0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245"/>
    </row>
    <row r="96" spans="1:14" x14ac:dyDescent="0.35">
      <c r="A96" s="235" t="s">
        <v>377</v>
      </c>
      <c r="B96" s="80">
        <f>(B98*B97)</f>
        <v>0</v>
      </c>
      <c r="C96" s="80">
        <f t="shared" ref="C96:M96" si="86">(C98*C97)</f>
        <v>0</v>
      </c>
      <c r="D96" s="80">
        <f t="shared" si="86"/>
        <v>0</v>
      </c>
      <c r="E96" s="80">
        <f t="shared" si="86"/>
        <v>0</v>
      </c>
      <c r="F96" s="80">
        <f t="shared" si="86"/>
        <v>0</v>
      </c>
      <c r="G96" s="80">
        <f t="shared" si="86"/>
        <v>0</v>
      </c>
      <c r="H96" s="80">
        <f t="shared" si="86"/>
        <v>0</v>
      </c>
      <c r="I96" s="80">
        <f t="shared" si="86"/>
        <v>0</v>
      </c>
      <c r="J96" s="80">
        <f t="shared" si="86"/>
        <v>0</v>
      </c>
      <c r="K96" s="80">
        <f t="shared" si="86"/>
        <v>0</v>
      </c>
      <c r="L96" s="80">
        <f t="shared" si="86"/>
        <v>0</v>
      </c>
      <c r="M96" s="80">
        <f t="shared" si="86"/>
        <v>0</v>
      </c>
      <c r="N96" s="244">
        <f>SUM(B96:M96)</f>
        <v>0</v>
      </c>
    </row>
    <row r="97" spans="1:14" x14ac:dyDescent="0.35">
      <c r="A97" s="238" t="s">
        <v>93</v>
      </c>
      <c r="B97" s="239">
        <f>+'Plan de culture 106'!$J$31</f>
        <v>0</v>
      </c>
      <c r="C97" s="239">
        <f>+B97</f>
        <v>0</v>
      </c>
      <c r="D97" s="239">
        <f t="shared" ref="D97" si="87">+C97</f>
        <v>0</v>
      </c>
      <c r="E97" s="239">
        <f>+'Plan de culture 104 '!C93</f>
        <v>0</v>
      </c>
      <c r="F97" s="239">
        <f>+E97+'Plan de culture 104 '!D93+'Plan de culture 104 '!E93</f>
        <v>0</v>
      </c>
      <c r="G97" s="239">
        <f>+F97</f>
        <v>0</v>
      </c>
      <c r="H97" s="239">
        <f t="shared" ref="H97:M97" si="88">+G97</f>
        <v>0</v>
      </c>
      <c r="I97" s="239">
        <f t="shared" si="88"/>
        <v>0</v>
      </c>
      <c r="J97" s="239">
        <f t="shared" si="88"/>
        <v>0</v>
      </c>
      <c r="K97" s="239">
        <f t="shared" si="88"/>
        <v>0</v>
      </c>
      <c r="L97" s="239">
        <f t="shared" si="88"/>
        <v>0</v>
      </c>
      <c r="M97" s="239">
        <f t="shared" si="88"/>
        <v>0</v>
      </c>
      <c r="N97" s="240">
        <f>+'Plan de culture 106'!$J$31</f>
        <v>0</v>
      </c>
    </row>
    <row r="98" spans="1:14" x14ac:dyDescent="0.35">
      <c r="A98" s="238" t="s">
        <v>95</v>
      </c>
      <c r="B98" s="253" t="str">
        <f>IFERROR((B100*B99)/B97,"0,00")</f>
        <v>0,00</v>
      </c>
      <c r="C98" s="253" t="str">
        <f t="shared" ref="C98:M98" si="89">IFERROR((C100*C99)/C97,"0,00")</f>
        <v>0,00</v>
      </c>
      <c r="D98" s="253" t="str">
        <f t="shared" si="89"/>
        <v>0,00</v>
      </c>
      <c r="E98" s="253" t="str">
        <f t="shared" si="89"/>
        <v>0,00</v>
      </c>
      <c r="F98" s="253" t="str">
        <f t="shared" si="89"/>
        <v>0,00</v>
      </c>
      <c r="G98" s="253" t="str">
        <f t="shared" si="89"/>
        <v>0,00</v>
      </c>
      <c r="H98" s="253" t="str">
        <f t="shared" si="89"/>
        <v>0,00</v>
      </c>
      <c r="I98" s="253" t="str">
        <f t="shared" si="89"/>
        <v>0,00</v>
      </c>
      <c r="J98" s="253" t="str">
        <f t="shared" si="89"/>
        <v>0,00</v>
      </c>
      <c r="K98" s="253" t="str">
        <f t="shared" si="89"/>
        <v>0,00</v>
      </c>
      <c r="L98" s="253" t="str">
        <f t="shared" si="89"/>
        <v>0,00</v>
      </c>
      <c r="M98" s="253" t="str">
        <f t="shared" si="89"/>
        <v>0,00</v>
      </c>
      <c r="N98" s="245" t="e">
        <f>+N96/N97</f>
        <v>#DIV/0!</v>
      </c>
    </row>
    <row r="99" spans="1:14" x14ac:dyDescent="0.35">
      <c r="A99" s="86" t="s">
        <v>99</v>
      </c>
      <c r="B99" s="87">
        <v>3.5</v>
      </c>
      <c r="C99" s="87">
        <f>+B99</f>
        <v>3.5</v>
      </c>
      <c r="D99" s="87">
        <f t="shared" ref="D99:M99" si="90">+C99</f>
        <v>3.5</v>
      </c>
      <c r="E99" s="87">
        <f t="shared" si="90"/>
        <v>3.5</v>
      </c>
      <c r="F99" s="87">
        <f t="shared" si="90"/>
        <v>3.5</v>
      </c>
      <c r="G99" s="87">
        <f t="shared" si="90"/>
        <v>3.5</v>
      </c>
      <c r="H99" s="87">
        <f t="shared" si="90"/>
        <v>3.5</v>
      </c>
      <c r="I99" s="87">
        <f t="shared" si="90"/>
        <v>3.5</v>
      </c>
      <c r="J99" s="87">
        <f t="shared" si="90"/>
        <v>3.5</v>
      </c>
      <c r="K99" s="87">
        <f t="shared" si="90"/>
        <v>3.5</v>
      </c>
      <c r="L99" s="87">
        <f t="shared" si="90"/>
        <v>3.5</v>
      </c>
      <c r="M99" s="87">
        <f t="shared" si="90"/>
        <v>3.5</v>
      </c>
      <c r="N99" s="245"/>
    </row>
    <row r="100" spans="1:14" x14ac:dyDescent="0.35">
      <c r="A100" s="86" t="s">
        <v>98</v>
      </c>
      <c r="B100" s="88">
        <v>0</v>
      </c>
      <c r="C100" s="88">
        <v>0</v>
      </c>
      <c r="D100" s="88">
        <v>0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245"/>
    </row>
    <row r="101" spans="1:14" x14ac:dyDescent="0.35">
      <c r="A101" s="235" t="s">
        <v>378</v>
      </c>
      <c r="B101" s="80">
        <f>(B103*B102)</f>
        <v>0</v>
      </c>
      <c r="C101" s="80">
        <f t="shared" ref="C101:M101" si="91">(C103*C102)</f>
        <v>0</v>
      </c>
      <c r="D101" s="80">
        <f t="shared" si="91"/>
        <v>0</v>
      </c>
      <c r="E101" s="80">
        <f t="shared" si="91"/>
        <v>0</v>
      </c>
      <c r="F101" s="80">
        <f t="shared" si="91"/>
        <v>0</v>
      </c>
      <c r="G101" s="80">
        <f t="shared" si="91"/>
        <v>0</v>
      </c>
      <c r="H101" s="80">
        <f t="shared" si="91"/>
        <v>0</v>
      </c>
      <c r="I101" s="80">
        <f t="shared" si="91"/>
        <v>0</v>
      </c>
      <c r="J101" s="80">
        <f t="shared" si="91"/>
        <v>0</v>
      </c>
      <c r="K101" s="80">
        <f t="shared" si="91"/>
        <v>0</v>
      </c>
      <c r="L101" s="80">
        <f t="shared" si="91"/>
        <v>0</v>
      </c>
      <c r="M101" s="80">
        <f t="shared" si="91"/>
        <v>0</v>
      </c>
      <c r="N101" s="244">
        <f>SUM(B101:M101)</f>
        <v>0</v>
      </c>
    </row>
    <row r="102" spans="1:14" x14ac:dyDescent="0.35">
      <c r="A102" s="238" t="s">
        <v>93</v>
      </c>
      <c r="B102" s="239">
        <f>+'Plan de culture 106'!$J$37</f>
        <v>0</v>
      </c>
      <c r="C102" s="239">
        <f>+B102</f>
        <v>0</v>
      </c>
      <c r="D102" s="239">
        <f t="shared" ref="D102" si="92">+C102</f>
        <v>0</v>
      </c>
      <c r="E102" s="239">
        <f>+'Plan de culture 104 '!C98</f>
        <v>0</v>
      </c>
      <c r="F102" s="239">
        <f>+E102+'Plan de culture 104 '!D98+'Plan de culture 104 '!E98</f>
        <v>0</v>
      </c>
      <c r="G102" s="239">
        <f>+F102</f>
        <v>0</v>
      </c>
      <c r="H102" s="239">
        <f t="shared" ref="H102:M102" si="93">+G102</f>
        <v>0</v>
      </c>
      <c r="I102" s="239">
        <f t="shared" si="93"/>
        <v>0</v>
      </c>
      <c r="J102" s="239">
        <f t="shared" si="93"/>
        <v>0</v>
      </c>
      <c r="K102" s="239">
        <f t="shared" si="93"/>
        <v>0</v>
      </c>
      <c r="L102" s="239">
        <f t="shared" si="93"/>
        <v>0</v>
      </c>
      <c r="M102" s="239">
        <f t="shared" si="93"/>
        <v>0</v>
      </c>
      <c r="N102" s="240">
        <f>+'Plan de culture 106'!$J$37</f>
        <v>0</v>
      </c>
    </row>
    <row r="103" spans="1:14" x14ac:dyDescent="0.35">
      <c r="A103" s="238" t="s">
        <v>95</v>
      </c>
      <c r="B103" s="253" t="str">
        <f>IFERROR((B105*B104)/B102,"0,00")</f>
        <v>0,00</v>
      </c>
      <c r="C103" s="253" t="str">
        <f t="shared" ref="C103:M103" si="94">IFERROR((C105*C104)/C102,"0,00")</f>
        <v>0,00</v>
      </c>
      <c r="D103" s="253" t="str">
        <f t="shared" si="94"/>
        <v>0,00</v>
      </c>
      <c r="E103" s="253" t="str">
        <f t="shared" si="94"/>
        <v>0,00</v>
      </c>
      <c r="F103" s="253" t="str">
        <f t="shared" si="94"/>
        <v>0,00</v>
      </c>
      <c r="G103" s="253" t="str">
        <f t="shared" si="94"/>
        <v>0,00</v>
      </c>
      <c r="H103" s="253" t="str">
        <f t="shared" si="94"/>
        <v>0,00</v>
      </c>
      <c r="I103" s="253" t="str">
        <f t="shared" si="94"/>
        <v>0,00</v>
      </c>
      <c r="J103" s="253" t="str">
        <f t="shared" si="94"/>
        <v>0,00</v>
      </c>
      <c r="K103" s="253" t="str">
        <f t="shared" si="94"/>
        <v>0,00</v>
      </c>
      <c r="L103" s="253" t="str">
        <f t="shared" si="94"/>
        <v>0,00</v>
      </c>
      <c r="M103" s="253" t="str">
        <f t="shared" si="94"/>
        <v>0,00</v>
      </c>
      <c r="N103" s="245" t="e">
        <f>+N101/N102</f>
        <v>#DIV/0!</v>
      </c>
    </row>
    <row r="104" spans="1:14" x14ac:dyDescent="0.35">
      <c r="A104" s="86" t="s">
        <v>99</v>
      </c>
      <c r="B104" s="87">
        <v>3.5</v>
      </c>
      <c r="C104" s="87">
        <f>+B104</f>
        <v>3.5</v>
      </c>
      <c r="D104" s="87">
        <f t="shared" ref="D104:M104" si="95">+C104</f>
        <v>3.5</v>
      </c>
      <c r="E104" s="87">
        <f t="shared" si="95"/>
        <v>3.5</v>
      </c>
      <c r="F104" s="87">
        <f t="shared" si="95"/>
        <v>3.5</v>
      </c>
      <c r="G104" s="87">
        <f t="shared" si="95"/>
        <v>3.5</v>
      </c>
      <c r="H104" s="87">
        <f t="shared" si="95"/>
        <v>3.5</v>
      </c>
      <c r="I104" s="87">
        <f t="shared" si="95"/>
        <v>3.5</v>
      </c>
      <c r="J104" s="87">
        <f t="shared" si="95"/>
        <v>3.5</v>
      </c>
      <c r="K104" s="87">
        <f t="shared" si="95"/>
        <v>3.5</v>
      </c>
      <c r="L104" s="87">
        <f t="shared" si="95"/>
        <v>3.5</v>
      </c>
      <c r="M104" s="87">
        <f t="shared" si="95"/>
        <v>3.5</v>
      </c>
      <c r="N104" s="245"/>
    </row>
    <row r="105" spans="1:14" ht="12" thickBot="1" x14ac:dyDescent="0.4">
      <c r="A105" s="86" t="s">
        <v>98</v>
      </c>
      <c r="B105" s="88">
        <v>0</v>
      </c>
      <c r="C105" s="88">
        <v>0</v>
      </c>
      <c r="D105" s="88">
        <v>0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245"/>
    </row>
    <row r="106" spans="1:14" x14ac:dyDescent="0.35">
      <c r="A106" s="233" t="s">
        <v>393</v>
      </c>
      <c r="B106" s="242">
        <f>+B109+B114+B119+B124+B129+B134</f>
        <v>0</v>
      </c>
      <c r="C106" s="242">
        <f t="shared" ref="C106:M107" si="96">+C109+C114+C119+C124+C129+C134</f>
        <v>0</v>
      </c>
      <c r="D106" s="242">
        <f t="shared" si="96"/>
        <v>0</v>
      </c>
      <c r="E106" s="242">
        <f t="shared" si="96"/>
        <v>0</v>
      </c>
      <c r="F106" s="242">
        <f t="shared" si="96"/>
        <v>0</v>
      </c>
      <c r="G106" s="242">
        <f t="shared" si="96"/>
        <v>0</v>
      </c>
      <c r="H106" s="242">
        <f t="shared" si="96"/>
        <v>0</v>
      </c>
      <c r="I106" s="242">
        <f t="shared" si="96"/>
        <v>0</v>
      </c>
      <c r="J106" s="242">
        <f t="shared" si="96"/>
        <v>0</v>
      </c>
      <c r="K106" s="242">
        <f t="shared" si="96"/>
        <v>0</v>
      </c>
      <c r="L106" s="242">
        <f t="shared" si="96"/>
        <v>0</v>
      </c>
      <c r="M106" s="242">
        <f t="shared" si="96"/>
        <v>0</v>
      </c>
      <c r="N106" s="243">
        <f>SUM(B106:M106)</f>
        <v>0</v>
      </c>
    </row>
    <row r="107" spans="1:14" x14ac:dyDescent="0.35">
      <c r="A107" s="234" t="s">
        <v>93</v>
      </c>
      <c r="B107" s="83">
        <f>+B110+B115+B120+B125+B130+B135</f>
        <v>16.558</v>
      </c>
      <c r="C107" s="83">
        <f t="shared" si="96"/>
        <v>16.558</v>
      </c>
      <c r="D107" s="83">
        <f t="shared" si="96"/>
        <v>16.558</v>
      </c>
      <c r="E107" s="83">
        <f t="shared" si="96"/>
        <v>16.558</v>
      </c>
      <c r="F107" s="83">
        <f t="shared" si="96"/>
        <v>16.558</v>
      </c>
      <c r="G107" s="83">
        <f t="shared" si="96"/>
        <v>16.558</v>
      </c>
      <c r="H107" s="83">
        <f t="shared" si="96"/>
        <v>16.558</v>
      </c>
      <c r="I107" s="83">
        <f t="shared" si="96"/>
        <v>16.558</v>
      </c>
      <c r="J107" s="83">
        <f t="shared" si="96"/>
        <v>16.558</v>
      </c>
      <c r="K107" s="83">
        <f t="shared" si="96"/>
        <v>16.558</v>
      </c>
      <c r="L107" s="83">
        <f t="shared" si="96"/>
        <v>16.558</v>
      </c>
      <c r="M107" s="83">
        <f t="shared" si="96"/>
        <v>16.558</v>
      </c>
      <c r="N107" s="248">
        <f>+M107</f>
        <v>16.558</v>
      </c>
    </row>
    <row r="108" spans="1:14" x14ac:dyDescent="0.35">
      <c r="A108" s="234" t="s">
        <v>389</v>
      </c>
      <c r="B108" s="83">
        <f t="shared" ref="B108:N108" si="97">+B106/B107</f>
        <v>0</v>
      </c>
      <c r="C108" s="83">
        <f t="shared" si="97"/>
        <v>0</v>
      </c>
      <c r="D108" s="83">
        <f t="shared" si="97"/>
        <v>0</v>
      </c>
      <c r="E108" s="83">
        <f t="shared" si="97"/>
        <v>0</v>
      </c>
      <c r="F108" s="83">
        <f t="shared" si="97"/>
        <v>0</v>
      </c>
      <c r="G108" s="83">
        <f t="shared" si="97"/>
        <v>0</v>
      </c>
      <c r="H108" s="83">
        <f t="shared" si="97"/>
        <v>0</v>
      </c>
      <c r="I108" s="83">
        <f t="shared" si="97"/>
        <v>0</v>
      </c>
      <c r="J108" s="83">
        <f t="shared" si="97"/>
        <v>0</v>
      </c>
      <c r="K108" s="83">
        <f t="shared" si="97"/>
        <v>0</v>
      </c>
      <c r="L108" s="83">
        <f t="shared" si="97"/>
        <v>0</v>
      </c>
      <c r="M108" s="83">
        <f t="shared" si="97"/>
        <v>0</v>
      </c>
      <c r="N108" s="249">
        <f t="shared" si="97"/>
        <v>0</v>
      </c>
    </row>
    <row r="109" spans="1:14" x14ac:dyDescent="0.35">
      <c r="A109" s="235" t="s">
        <v>90</v>
      </c>
      <c r="B109" s="80">
        <f>(B113*B112)</f>
        <v>0</v>
      </c>
      <c r="C109" s="80">
        <f t="shared" ref="C109:M109" si="98">(C111*C110)</f>
        <v>0</v>
      </c>
      <c r="D109" s="80">
        <f t="shared" si="98"/>
        <v>0</v>
      </c>
      <c r="E109" s="80">
        <f t="shared" si="98"/>
        <v>0</v>
      </c>
      <c r="F109" s="80">
        <f t="shared" si="98"/>
        <v>0</v>
      </c>
      <c r="G109" s="80">
        <f t="shared" si="98"/>
        <v>0</v>
      </c>
      <c r="H109" s="80">
        <f t="shared" si="98"/>
        <v>0</v>
      </c>
      <c r="I109" s="80">
        <f t="shared" si="98"/>
        <v>0</v>
      </c>
      <c r="J109" s="80">
        <f t="shared" si="98"/>
        <v>0</v>
      </c>
      <c r="K109" s="80">
        <f t="shared" si="98"/>
        <v>0</v>
      </c>
      <c r="L109" s="80">
        <f t="shared" si="98"/>
        <v>0</v>
      </c>
      <c r="M109" s="80">
        <f t="shared" si="98"/>
        <v>0</v>
      </c>
      <c r="N109" s="244">
        <f>SUM(B109:M109)</f>
        <v>0</v>
      </c>
    </row>
    <row r="110" spans="1:14" x14ac:dyDescent="0.35">
      <c r="A110" s="238" t="s">
        <v>93</v>
      </c>
      <c r="B110" s="239">
        <f>+'Plan de culture 107'!$Z$7</f>
        <v>0</v>
      </c>
      <c r="C110" s="239">
        <f>+B110</f>
        <v>0</v>
      </c>
      <c r="D110" s="239">
        <f t="shared" ref="D110" si="99">+C110</f>
        <v>0</v>
      </c>
      <c r="E110" s="239">
        <f>+D110</f>
        <v>0</v>
      </c>
      <c r="F110" s="239">
        <f>+E110</f>
        <v>0</v>
      </c>
      <c r="G110" s="239">
        <f>+F110</f>
        <v>0</v>
      </c>
      <c r="H110" s="239">
        <f t="shared" ref="H110:M110" si="100">+G110</f>
        <v>0</v>
      </c>
      <c r="I110" s="239">
        <f t="shared" si="100"/>
        <v>0</v>
      </c>
      <c r="J110" s="239">
        <f t="shared" si="100"/>
        <v>0</v>
      </c>
      <c r="K110" s="239">
        <f t="shared" si="100"/>
        <v>0</v>
      </c>
      <c r="L110" s="239">
        <f t="shared" si="100"/>
        <v>0</v>
      </c>
      <c r="M110" s="239">
        <f t="shared" si="100"/>
        <v>0</v>
      </c>
      <c r="N110" s="240">
        <f>+'Plan de culture 107'!$Z$7</f>
        <v>0</v>
      </c>
    </row>
    <row r="111" spans="1:14" x14ac:dyDescent="0.35">
      <c r="A111" s="238" t="s">
        <v>95</v>
      </c>
      <c r="B111" s="253" t="str">
        <f>IFERROR((B113*B112)/B110,"0,00")</f>
        <v>0,00</v>
      </c>
      <c r="C111" s="253" t="str">
        <f t="shared" ref="C111:M111" si="101">IFERROR((C113*C112)/C110,"0,00")</f>
        <v>0,00</v>
      </c>
      <c r="D111" s="253" t="str">
        <f t="shared" si="101"/>
        <v>0,00</v>
      </c>
      <c r="E111" s="253" t="str">
        <f t="shared" si="101"/>
        <v>0,00</v>
      </c>
      <c r="F111" s="253" t="str">
        <f t="shared" si="101"/>
        <v>0,00</v>
      </c>
      <c r="G111" s="253" t="str">
        <f t="shared" si="101"/>
        <v>0,00</v>
      </c>
      <c r="H111" s="253" t="str">
        <f t="shared" si="101"/>
        <v>0,00</v>
      </c>
      <c r="I111" s="253" t="str">
        <f t="shared" si="101"/>
        <v>0,00</v>
      </c>
      <c r="J111" s="253" t="str">
        <f t="shared" si="101"/>
        <v>0,00</v>
      </c>
      <c r="K111" s="253" t="str">
        <f t="shared" si="101"/>
        <v>0,00</v>
      </c>
      <c r="L111" s="253" t="str">
        <f t="shared" si="101"/>
        <v>0,00</v>
      </c>
      <c r="M111" s="253" t="str">
        <f t="shared" si="101"/>
        <v>0,00</v>
      </c>
      <c r="N111" s="245" t="e">
        <f>+N109/N110</f>
        <v>#DIV/0!</v>
      </c>
    </row>
    <row r="112" spans="1:14" x14ac:dyDescent="0.35">
      <c r="A112" s="86" t="s">
        <v>99</v>
      </c>
      <c r="B112" s="87">
        <v>3.5</v>
      </c>
      <c r="C112" s="87">
        <f>+B112</f>
        <v>3.5</v>
      </c>
      <c r="D112" s="87">
        <f t="shared" ref="D112:M112" si="102">+C112</f>
        <v>3.5</v>
      </c>
      <c r="E112" s="87">
        <f t="shared" si="102"/>
        <v>3.5</v>
      </c>
      <c r="F112" s="87">
        <f t="shared" si="102"/>
        <v>3.5</v>
      </c>
      <c r="G112" s="87">
        <f t="shared" si="102"/>
        <v>3.5</v>
      </c>
      <c r="H112" s="87">
        <f t="shared" si="102"/>
        <v>3.5</v>
      </c>
      <c r="I112" s="87">
        <f t="shared" si="102"/>
        <v>3.5</v>
      </c>
      <c r="J112" s="87">
        <f t="shared" si="102"/>
        <v>3.5</v>
      </c>
      <c r="K112" s="87">
        <f t="shared" si="102"/>
        <v>3.5</v>
      </c>
      <c r="L112" s="87">
        <f t="shared" si="102"/>
        <v>3.5</v>
      </c>
      <c r="M112" s="87">
        <f t="shared" si="102"/>
        <v>3.5</v>
      </c>
      <c r="N112" s="245"/>
    </row>
    <row r="113" spans="1:14" x14ac:dyDescent="0.35">
      <c r="A113" s="86" t="s">
        <v>98</v>
      </c>
      <c r="B113" s="88">
        <v>0</v>
      </c>
      <c r="C113" s="88">
        <v>318000</v>
      </c>
      <c r="D113" s="88">
        <v>0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0</v>
      </c>
      <c r="N113" s="245"/>
    </row>
    <row r="114" spans="1:14" x14ac:dyDescent="0.35">
      <c r="A114" s="235" t="s">
        <v>91</v>
      </c>
      <c r="B114" s="80">
        <f>(B116*B115)</f>
        <v>0</v>
      </c>
      <c r="C114" s="80">
        <f t="shared" ref="C114:M114" si="103">(C116*C115)</f>
        <v>0</v>
      </c>
      <c r="D114" s="80">
        <f t="shared" si="103"/>
        <v>0</v>
      </c>
      <c r="E114" s="80">
        <f t="shared" si="103"/>
        <v>0</v>
      </c>
      <c r="F114" s="80">
        <f t="shared" si="103"/>
        <v>0</v>
      </c>
      <c r="G114" s="80">
        <f t="shared" si="103"/>
        <v>0</v>
      </c>
      <c r="H114" s="80">
        <f t="shared" si="103"/>
        <v>0</v>
      </c>
      <c r="I114" s="80">
        <f t="shared" si="103"/>
        <v>0</v>
      </c>
      <c r="J114" s="80">
        <f t="shared" si="103"/>
        <v>0</v>
      </c>
      <c r="K114" s="80">
        <f t="shared" si="103"/>
        <v>0</v>
      </c>
      <c r="L114" s="80">
        <f t="shared" si="103"/>
        <v>0</v>
      </c>
      <c r="M114" s="80">
        <f t="shared" si="103"/>
        <v>0</v>
      </c>
      <c r="N114" s="244">
        <f>SUM(B114:M114)</f>
        <v>0</v>
      </c>
    </row>
    <row r="115" spans="1:14" x14ac:dyDescent="0.35">
      <c r="A115" s="238" t="s">
        <v>93</v>
      </c>
      <c r="B115" s="239">
        <f>+'Plan de culture 107'!$Z$13</f>
        <v>0</v>
      </c>
      <c r="C115" s="239">
        <f>+B115</f>
        <v>0</v>
      </c>
      <c r="D115" s="239">
        <f t="shared" ref="D115:M115" si="104">+C115</f>
        <v>0</v>
      </c>
      <c r="E115" s="239">
        <f t="shared" si="104"/>
        <v>0</v>
      </c>
      <c r="F115" s="239">
        <f t="shared" si="104"/>
        <v>0</v>
      </c>
      <c r="G115" s="239">
        <f t="shared" si="104"/>
        <v>0</v>
      </c>
      <c r="H115" s="239">
        <f t="shared" si="104"/>
        <v>0</v>
      </c>
      <c r="I115" s="239">
        <f t="shared" si="104"/>
        <v>0</v>
      </c>
      <c r="J115" s="239">
        <f t="shared" si="104"/>
        <v>0</v>
      </c>
      <c r="K115" s="239">
        <f t="shared" si="104"/>
        <v>0</v>
      </c>
      <c r="L115" s="239">
        <f t="shared" si="104"/>
        <v>0</v>
      </c>
      <c r="M115" s="239">
        <f t="shared" si="104"/>
        <v>0</v>
      </c>
      <c r="N115" s="240">
        <f>+'Plan de culture 107'!$Z$13</f>
        <v>0</v>
      </c>
    </row>
    <row r="116" spans="1:14" x14ac:dyDescent="0.35">
      <c r="A116" s="238" t="s">
        <v>95</v>
      </c>
      <c r="B116" s="253" t="str">
        <f>IFERROR((B118*B117)/B115,"0,00")</f>
        <v>0,00</v>
      </c>
      <c r="C116" s="253" t="str">
        <f t="shared" ref="C116:M116" si="105">IFERROR((C118*C117)/C115,"0,00")</f>
        <v>0,00</v>
      </c>
      <c r="D116" s="253" t="str">
        <f t="shared" si="105"/>
        <v>0,00</v>
      </c>
      <c r="E116" s="253" t="str">
        <f t="shared" si="105"/>
        <v>0,00</v>
      </c>
      <c r="F116" s="253" t="str">
        <f t="shared" si="105"/>
        <v>0,00</v>
      </c>
      <c r="G116" s="253" t="str">
        <f t="shared" si="105"/>
        <v>0,00</v>
      </c>
      <c r="H116" s="253" t="str">
        <f t="shared" si="105"/>
        <v>0,00</v>
      </c>
      <c r="I116" s="253" t="str">
        <f t="shared" si="105"/>
        <v>0,00</v>
      </c>
      <c r="J116" s="253" t="str">
        <f t="shared" si="105"/>
        <v>0,00</v>
      </c>
      <c r="K116" s="253" t="str">
        <f t="shared" si="105"/>
        <v>0,00</v>
      </c>
      <c r="L116" s="253" t="str">
        <f t="shared" si="105"/>
        <v>0,00</v>
      </c>
      <c r="M116" s="253" t="str">
        <f t="shared" si="105"/>
        <v>0,00</v>
      </c>
      <c r="N116" s="245" t="e">
        <f>+N114/N115</f>
        <v>#DIV/0!</v>
      </c>
    </row>
    <row r="117" spans="1:14" x14ac:dyDescent="0.35">
      <c r="A117" s="86" t="s">
        <v>99</v>
      </c>
      <c r="B117" s="87">
        <v>3.5</v>
      </c>
      <c r="C117" s="87">
        <f>+B117</f>
        <v>3.5</v>
      </c>
      <c r="D117" s="87">
        <f t="shared" ref="D117:M117" si="106">+C117</f>
        <v>3.5</v>
      </c>
      <c r="E117" s="87">
        <f t="shared" si="106"/>
        <v>3.5</v>
      </c>
      <c r="F117" s="87">
        <f t="shared" si="106"/>
        <v>3.5</v>
      </c>
      <c r="G117" s="87">
        <f t="shared" si="106"/>
        <v>3.5</v>
      </c>
      <c r="H117" s="87">
        <f t="shared" si="106"/>
        <v>3.5</v>
      </c>
      <c r="I117" s="87">
        <f t="shared" si="106"/>
        <v>3.5</v>
      </c>
      <c r="J117" s="87">
        <f t="shared" si="106"/>
        <v>3.5</v>
      </c>
      <c r="K117" s="87">
        <f t="shared" si="106"/>
        <v>3.5</v>
      </c>
      <c r="L117" s="87">
        <f t="shared" si="106"/>
        <v>3.5</v>
      </c>
      <c r="M117" s="87">
        <f t="shared" si="106"/>
        <v>3.5</v>
      </c>
      <c r="N117" s="245"/>
    </row>
    <row r="118" spans="1:14" x14ac:dyDescent="0.35">
      <c r="A118" s="86" t="s">
        <v>98</v>
      </c>
      <c r="B118" s="88">
        <v>0</v>
      </c>
      <c r="C118" s="88">
        <v>0</v>
      </c>
      <c r="D118" s="88">
        <v>0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245"/>
    </row>
    <row r="119" spans="1:14" x14ac:dyDescent="0.35">
      <c r="A119" s="235" t="s">
        <v>376</v>
      </c>
      <c r="B119" s="80">
        <f>(B121*B120)</f>
        <v>0</v>
      </c>
      <c r="C119" s="80">
        <f t="shared" ref="C119:M119" si="107">(C121*C120)</f>
        <v>0</v>
      </c>
      <c r="D119" s="80">
        <f t="shared" si="107"/>
        <v>0</v>
      </c>
      <c r="E119" s="80">
        <f t="shared" si="107"/>
        <v>0</v>
      </c>
      <c r="F119" s="80">
        <f t="shared" si="107"/>
        <v>0</v>
      </c>
      <c r="G119" s="80">
        <f t="shared" si="107"/>
        <v>0</v>
      </c>
      <c r="H119" s="80">
        <f t="shared" si="107"/>
        <v>0</v>
      </c>
      <c r="I119" s="80">
        <f t="shared" si="107"/>
        <v>0</v>
      </c>
      <c r="J119" s="80">
        <f t="shared" si="107"/>
        <v>0</v>
      </c>
      <c r="K119" s="80">
        <f t="shared" si="107"/>
        <v>0</v>
      </c>
      <c r="L119" s="80">
        <f t="shared" si="107"/>
        <v>0</v>
      </c>
      <c r="M119" s="80">
        <f t="shared" si="107"/>
        <v>0</v>
      </c>
      <c r="N119" s="244">
        <f>SUM(B119:M119)</f>
        <v>0</v>
      </c>
    </row>
    <row r="120" spans="1:14" x14ac:dyDescent="0.35">
      <c r="A120" s="238" t="s">
        <v>93</v>
      </c>
      <c r="B120" s="239">
        <f>+'Plan de culture 107'!$Z$19</f>
        <v>0</v>
      </c>
      <c r="C120" s="239">
        <f>+B120</f>
        <v>0</v>
      </c>
      <c r="D120" s="239">
        <f t="shared" ref="D120" si="108">+C120</f>
        <v>0</v>
      </c>
      <c r="E120" s="239">
        <f>+'Plan de culture 104 '!C116</f>
        <v>0</v>
      </c>
      <c r="F120" s="239">
        <f>+E120+'Plan de culture 104 '!D116+'Plan de culture 104 '!E116</f>
        <v>0</v>
      </c>
      <c r="G120" s="239">
        <f>+F120</f>
        <v>0</v>
      </c>
      <c r="H120" s="239">
        <f t="shared" ref="H120:M120" si="109">+G120</f>
        <v>0</v>
      </c>
      <c r="I120" s="239">
        <f t="shared" si="109"/>
        <v>0</v>
      </c>
      <c r="J120" s="239">
        <f t="shared" si="109"/>
        <v>0</v>
      </c>
      <c r="K120" s="239">
        <f t="shared" si="109"/>
        <v>0</v>
      </c>
      <c r="L120" s="239">
        <f t="shared" si="109"/>
        <v>0</v>
      </c>
      <c r="M120" s="239">
        <f t="shared" si="109"/>
        <v>0</v>
      </c>
      <c r="N120" s="240">
        <f>+'Plan de culture 107'!$Z$19</f>
        <v>0</v>
      </c>
    </row>
    <row r="121" spans="1:14" x14ac:dyDescent="0.35">
      <c r="A121" s="238" t="s">
        <v>95</v>
      </c>
      <c r="B121" s="253" t="str">
        <f>IFERROR((B123*B122)/B120,"0,00")</f>
        <v>0,00</v>
      </c>
      <c r="C121" s="253" t="str">
        <f t="shared" ref="C121:M121" si="110">IFERROR((C123*C122)/C120,"0,00")</f>
        <v>0,00</v>
      </c>
      <c r="D121" s="253" t="str">
        <f t="shared" si="110"/>
        <v>0,00</v>
      </c>
      <c r="E121" s="253" t="str">
        <f t="shared" si="110"/>
        <v>0,00</v>
      </c>
      <c r="F121" s="253" t="str">
        <f t="shared" si="110"/>
        <v>0,00</v>
      </c>
      <c r="G121" s="253" t="str">
        <f t="shared" si="110"/>
        <v>0,00</v>
      </c>
      <c r="H121" s="253" t="str">
        <f t="shared" si="110"/>
        <v>0,00</v>
      </c>
      <c r="I121" s="253" t="str">
        <f t="shared" si="110"/>
        <v>0,00</v>
      </c>
      <c r="J121" s="253" t="str">
        <f t="shared" si="110"/>
        <v>0,00</v>
      </c>
      <c r="K121" s="253" t="str">
        <f t="shared" si="110"/>
        <v>0,00</v>
      </c>
      <c r="L121" s="253" t="str">
        <f t="shared" si="110"/>
        <v>0,00</v>
      </c>
      <c r="M121" s="253" t="str">
        <f t="shared" si="110"/>
        <v>0,00</v>
      </c>
      <c r="N121" s="245" t="e">
        <f>+N119/N120</f>
        <v>#DIV/0!</v>
      </c>
    </row>
    <row r="122" spans="1:14" x14ac:dyDescent="0.35">
      <c r="A122" s="86" t="s">
        <v>99</v>
      </c>
      <c r="B122" s="87">
        <v>3.5</v>
      </c>
      <c r="C122" s="87">
        <f>+B122</f>
        <v>3.5</v>
      </c>
      <c r="D122" s="87">
        <f t="shared" ref="D122:M122" si="111">+C122</f>
        <v>3.5</v>
      </c>
      <c r="E122" s="87">
        <f t="shared" si="111"/>
        <v>3.5</v>
      </c>
      <c r="F122" s="87">
        <f t="shared" si="111"/>
        <v>3.5</v>
      </c>
      <c r="G122" s="87">
        <f t="shared" si="111"/>
        <v>3.5</v>
      </c>
      <c r="H122" s="87">
        <f t="shared" si="111"/>
        <v>3.5</v>
      </c>
      <c r="I122" s="87">
        <f t="shared" si="111"/>
        <v>3.5</v>
      </c>
      <c r="J122" s="87">
        <f t="shared" si="111"/>
        <v>3.5</v>
      </c>
      <c r="K122" s="87">
        <f t="shared" si="111"/>
        <v>3.5</v>
      </c>
      <c r="L122" s="87">
        <f t="shared" si="111"/>
        <v>3.5</v>
      </c>
      <c r="M122" s="87">
        <f t="shared" si="111"/>
        <v>3.5</v>
      </c>
      <c r="N122" s="245"/>
    </row>
    <row r="123" spans="1:14" x14ac:dyDescent="0.35">
      <c r="A123" s="86" t="s">
        <v>98</v>
      </c>
      <c r="B123" s="88">
        <v>0</v>
      </c>
      <c r="C123" s="88">
        <v>0</v>
      </c>
      <c r="D123" s="88">
        <v>0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245"/>
    </row>
    <row r="124" spans="1:14" x14ac:dyDescent="0.35">
      <c r="A124" s="235" t="s">
        <v>92</v>
      </c>
      <c r="B124" s="80">
        <f>(B126*B125)</f>
        <v>0</v>
      </c>
      <c r="C124" s="80">
        <f t="shared" ref="C124:M124" si="112">(C126*C125)</f>
        <v>0</v>
      </c>
      <c r="D124" s="80">
        <f t="shared" si="112"/>
        <v>0</v>
      </c>
      <c r="E124" s="80">
        <f t="shared" si="112"/>
        <v>0</v>
      </c>
      <c r="F124" s="80">
        <f t="shared" si="112"/>
        <v>0</v>
      </c>
      <c r="G124" s="80">
        <f t="shared" si="112"/>
        <v>0</v>
      </c>
      <c r="H124" s="80">
        <f t="shared" si="112"/>
        <v>0</v>
      </c>
      <c r="I124" s="80">
        <f t="shared" si="112"/>
        <v>0</v>
      </c>
      <c r="J124" s="80">
        <f t="shared" si="112"/>
        <v>0</v>
      </c>
      <c r="K124" s="80">
        <f t="shared" si="112"/>
        <v>0</v>
      </c>
      <c r="L124" s="80">
        <f t="shared" si="112"/>
        <v>0</v>
      </c>
      <c r="M124" s="80">
        <f t="shared" si="112"/>
        <v>0</v>
      </c>
      <c r="N124" s="244">
        <f>SUM(B124:M124)</f>
        <v>0</v>
      </c>
    </row>
    <row r="125" spans="1:14" x14ac:dyDescent="0.35">
      <c r="A125" s="238" t="s">
        <v>93</v>
      </c>
      <c r="B125" s="239">
        <f>+'Plan de culture 107'!$Z$25</f>
        <v>16.558</v>
      </c>
      <c r="C125" s="239">
        <f>+B125</f>
        <v>16.558</v>
      </c>
      <c r="D125" s="239">
        <f t="shared" ref="D125:M125" si="113">+C125</f>
        <v>16.558</v>
      </c>
      <c r="E125" s="239">
        <f t="shared" si="113"/>
        <v>16.558</v>
      </c>
      <c r="F125" s="239">
        <f t="shared" si="113"/>
        <v>16.558</v>
      </c>
      <c r="G125" s="239">
        <f t="shared" si="113"/>
        <v>16.558</v>
      </c>
      <c r="H125" s="239">
        <f t="shared" si="113"/>
        <v>16.558</v>
      </c>
      <c r="I125" s="239">
        <f t="shared" si="113"/>
        <v>16.558</v>
      </c>
      <c r="J125" s="239">
        <f t="shared" si="113"/>
        <v>16.558</v>
      </c>
      <c r="K125" s="239">
        <f t="shared" si="113"/>
        <v>16.558</v>
      </c>
      <c r="L125" s="239">
        <f t="shared" si="113"/>
        <v>16.558</v>
      </c>
      <c r="M125" s="239">
        <f t="shared" si="113"/>
        <v>16.558</v>
      </c>
      <c r="N125" s="240">
        <f>+'Plan de culture 107'!$Z$25</f>
        <v>16.558</v>
      </c>
    </row>
    <row r="126" spans="1:14" x14ac:dyDescent="0.35">
      <c r="A126" s="238" t="s">
        <v>95</v>
      </c>
      <c r="B126" s="254">
        <f>IFERROR((B128*B127)/B125,"0,00")</f>
        <v>0</v>
      </c>
      <c r="C126" s="254">
        <f t="shared" ref="C126:M126" si="114">IFERROR((C128*C127)/C125,"0,00")</f>
        <v>0</v>
      </c>
      <c r="D126" s="254">
        <f t="shared" si="114"/>
        <v>0</v>
      </c>
      <c r="E126" s="254">
        <f t="shared" si="114"/>
        <v>0</v>
      </c>
      <c r="F126" s="254">
        <f t="shared" si="114"/>
        <v>0</v>
      </c>
      <c r="G126" s="254">
        <f t="shared" si="114"/>
        <v>0</v>
      </c>
      <c r="H126" s="254">
        <f t="shared" si="114"/>
        <v>0</v>
      </c>
      <c r="I126" s="254">
        <f t="shared" si="114"/>
        <v>0</v>
      </c>
      <c r="J126" s="254">
        <f t="shared" si="114"/>
        <v>0</v>
      </c>
      <c r="K126" s="254">
        <f t="shared" si="114"/>
        <v>0</v>
      </c>
      <c r="L126" s="254">
        <f t="shared" si="114"/>
        <v>0</v>
      </c>
      <c r="M126" s="254">
        <f t="shared" si="114"/>
        <v>0</v>
      </c>
      <c r="N126" s="245">
        <f>+N124/N125</f>
        <v>0</v>
      </c>
    </row>
    <row r="127" spans="1:14" x14ac:dyDescent="0.35">
      <c r="A127" s="86" t="s">
        <v>99</v>
      </c>
      <c r="B127" s="87">
        <v>3.5</v>
      </c>
      <c r="C127" s="87">
        <f>+B127</f>
        <v>3.5</v>
      </c>
      <c r="D127" s="87">
        <f t="shared" ref="D127:M127" si="115">+C127</f>
        <v>3.5</v>
      </c>
      <c r="E127" s="87">
        <f t="shared" si="115"/>
        <v>3.5</v>
      </c>
      <c r="F127" s="87">
        <f t="shared" si="115"/>
        <v>3.5</v>
      </c>
      <c r="G127" s="87">
        <f t="shared" si="115"/>
        <v>3.5</v>
      </c>
      <c r="H127" s="87">
        <f t="shared" si="115"/>
        <v>3.5</v>
      </c>
      <c r="I127" s="87">
        <f t="shared" si="115"/>
        <v>3.5</v>
      </c>
      <c r="J127" s="87">
        <f t="shared" si="115"/>
        <v>3.5</v>
      </c>
      <c r="K127" s="87">
        <f t="shared" si="115"/>
        <v>3.5</v>
      </c>
      <c r="L127" s="87">
        <f t="shared" si="115"/>
        <v>3.5</v>
      </c>
      <c r="M127" s="87">
        <f t="shared" si="115"/>
        <v>3.5</v>
      </c>
      <c r="N127" s="245"/>
    </row>
    <row r="128" spans="1:14" x14ac:dyDescent="0.35">
      <c r="A128" s="86" t="s">
        <v>98</v>
      </c>
      <c r="B128" s="88">
        <v>0</v>
      </c>
      <c r="C128" s="88">
        <v>0</v>
      </c>
      <c r="D128" s="88">
        <v>0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245"/>
    </row>
    <row r="129" spans="1:14" x14ac:dyDescent="0.35">
      <c r="A129" s="235" t="s">
        <v>377</v>
      </c>
      <c r="B129" s="80">
        <f>(B131*B130)</f>
        <v>0</v>
      </c>
      <c r="C129" s="80">
        <f t="shared" ref="C129:M129" si="116">(C131*C130)</f>
        <v>0</v>
      </c>
      <c r="D129" s="80">
        <f t="shared" si="116"/>
        <v>0</v>
      </c>
      <c r="E129" s="80">
        <f t="shared" si="116"/>
        <v>0</v>
      </c>
      <c r="F129" s="80">
        <f t="shared" si="116"/>
        <v>0</v>
      </c>
      <c r="G129" s="80">
        <f t="shared" si="116"/>
        <v>0</v>
      </c>
      <c r="H129" s="80">
        <f t="shared" si="116"/>
        <v>0</v>
      </c>
      <c r="I129" s="80">
        <f t="shared" si="116"/>
        <v>0</v>
      </c>
      <c r="J129" s="80">
        <f t="shared" si="116"/>
        <v>0</v>
      </c>
      <c r="K129" s="80">
        <f t="shared" si="116"/>
        <v>0</v>
      </c>
      <c r="L129" s="80">
        <f t="shared" si="116"/>
        <v>0</v>
      </c>
      <c r="M129" s="80">
        <f t="shared" si="116"/>
        <v>0</v>
      </c>
      <c r="N129" s="244">
        <f>SUM(B129:M129)</f>
        <v>0</v>
      </c>
    </row>
    <row r="130" spans="1:14" x14ac:dyDescent="0.35">
      <c r="A130" s="238" t="s">
        <v>93</v>
      </c>
      <c r="B130" s="239">
        <f>+'Plan de culture 107'!$Z$31</f>
        <v>0</v>
      </c>
      <c r="C130" s="239">
        <f>+B130</f>
        <v>0</v>
      </c>
      <c r="D130" s="239">
        <f t="shared" ref="D130" si="117">+C130</f>
        <v>0</v>
      </c>
      <c r="E130" s="239">
        <f>+'Plan de culture 104 '!C126</f>
        <v>0</v>
      </c>
      <c r="F130" s="239">
        <f>+E130+'Plan de culture 104 '!D126+'Plan de culture 104 '!E126</f>
        <v>0</v>
      </c>
      <c r="G130" s="239">
        <f>+F130</f>
        <v>0</v>
      </c>
      <c r="H130" s="239">
        <f t="shared" ref="H130:M130" si="118">+G130</f>
        <v>0</v>
      </c>
      <c r="I130" s="239">
        <f t="shared" si="118"/>
        <v>0</v>
      </c>
      <c r="J130" s="239">
        <f t="shared" si="118"/>
        <v>0</v>
      </c>
      <c r="K130" s="239">
        <f t="shared" si="118"/>
        <v>0</v>
      </c>
      <c r="L130" s="239">
        <f t="shared" si="118"/>
        <v>0</v>
      </c>
      <c r="M130" s="239">
        <f t="shared" si="118"/>
        <v>0</v>
      </c>
      <c r="N130" s="240">
        <f>+'Plan de culture 107'!$Z$31</f>
        <v>0</v>
      </c>
    </row>
    <row r="131" spans="1:14" x14ac:dyDescent="0.35">
      <c r="A131" s="238" t="s">
        <v>95</v>
      </c>
      <c r="B131" s="253" t="str">
        <f>IFERROR((B133*B132)/B130,"0,00")</f>
        <v>0,00</v>
      </c>
      <c r="C131" s="253" t="str">
        <f t="shared" ref="C131:M131" si="119">IFERROR((C133*C132)/C130,"0,00")</f>
        <v>0,00</v>
      </c>
      <c r="D131" s="253" t="str">
        <f t="shared" si="119"/>
        <v>0,00</v>
      </c>
      <c r="E131" s="253" t="str">
        <f t="shared" si="119"/>
        <v>0,00</v>
      </c>
      <c r="F131" s="253" t="str">
        <f t="shared" si="119"/>
        <v>0,00</v>
      </c>
      <c r="G131" s="253" t="str">
        <f t="shared" si="119"/>
        <v>0,00</v>
      </c>
      <c r="H131" s="253" t="str">
        <f t="shared" si="119"/>
        <v>0,00</v>
      </c>
      <c r="I131" s="253" t="str">
        <f t="shared" si="119"/>
        <v>0,00</v>
      </c>
      <c r="J131" s="253" t="str">
        <f t="shared" si="119"/>
        <v>0,00</v>
      </c>
      <c r="K131" s="253" t="str">
        <f t="shared" si="119"/>
        <v>0,00</v>
      </c>
      <c r="L131" s="253" t="str">
        <f t="shared" si="119"/>
        <v>0,00</v>
      </c>
      <c r="M131" s="253" t="str">
        <f t="shared" si="119"/>
        <v>0,00</v>
      </c>
      <c r="N131" s="245" t="e">
        <f>+N129/N130</f>
        <v>#DIV/0!</v>
      </c>
    </row>
    <row r="132" spans="1:14" x14ac:dyDescent="0.35">
      <c r="A132" s="86" t="s">
        <v>99</v>
      </c>
      <c r="B132" s="87">
        <v>3.5</v>
      </c>
      <c r="C132" s="87">
        <f>+B132</f>
        <v>3.5</v>
      </c>
      <c r="D132" s="87">
        <f t="shared" ref="D132:M132" si="120">+C132</f>
        <v>3.5</v>
      </c>
      <c r="E132" s="87">
        <f t="shared" si="120"/>
        <v>3.5</v>
      </c>
      <c r="F132" s="87">
        <f t="shared" si="120"/>
        <v>3.5</v>
      </c>
      <c r="G132" s="87">
        <f t="shared" si="120"/>
        <v>3.5</v>
      </c>
      <c r="H132" s="87">
        <f t="shared" si="120"/>
        <v>3.5</v>
      </c>
      <c r="I132" s="87">
        <f t="shared" si="120"/>
        <v>3.5</v>
      </c>
      <c r="J132" s="87">
        <f t="shared" si="120"/>
        <v>3.5</v>
      </c>
      <c r="K132" s="87">
        <f t="shared" si="120"/>
        <v>3.5</v>
      </c>
      <c r="L132" s="87">
        <f t="shared" si="120"/>
        <v>3.5</v>
      </c>
      <c r="M132" s="87">
        <f t="shared" si="120"/>
        <v>3.5</v>
      </c>
      <c r="N132" s="245"/>
    </row>
    <row r="133" spans="1:14" x14ac:dyDescent="0.35">
      <c r="A133" s="86" t="s">
        <v>98</v>
      </c>
      <c r="B133" s="88">
        <v>0</v>
      </c>
      <c r="C133" s="88">
        <v>0</v>
      </c>
      <c r="D133" s="88">
        <v>0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245"/>
    </row>
    <row r="134" spans="1:14" x14ac:dyDescent="0.35">
      <c r="A134" s="235" t="s">
        <v>378</v>
      </c>
      <c r="B134" s="80">
        <f>(B136*B135)</f>
        <v>0</v>
      </c>
      <c r="C134" s="80">
        <f t="shared" ref="C134:M134" si="121">(C136*C135)</f>
        <v>0</v>
      </c>
      <c r="D134" s="80">
        <f t="shared" si="121"/>
        <v>0</v>
      </c>
      <c r="E134" s="80">
        <f t="shared" si="121"/>
        <v>0</v>
      </c>
      <c r="F134" s="80">
        <f t="shared" si="121"/>
        <v>0</v>
      </c>
      <c r="G134" s="80">
        <f t="shared" si="121"/>
        <v>0</v>
      </c>
      <c r="H134" s="80">
        <f t="shared" si="121"/>
        <v>0</v>
      </c>
      <c r="I134" s="80">
        <f t="shared" si="121"/>
        <v>0</v>
      </c>
      <c r="J134" s="80">
        <f t="shared" si="121"/>
        <v>0</v>
      </c>
      <c r="K134" s="80">
        <f t="shared" si="121"/>
        <v>0</v>
      </c>
      <c r="L134" s="80">
        <f t="shared" si="121"/>
        <v>0</v>
      </c>
      <c r="M134" s="80">
        <f t="shared" si="121"/>
        <v>0</v>
      </c>
      <c r="N134" s="244">
        <f>SUM(B134:M134)</f>
        <v>0</v>
      </c>
    </row>
    <row r="135" spans="1:14" x14ac:dyDescent="0.35">
      <c r="A135" s="238" t="s">
        <v>93</v>
      </c>
      <c r="B135" s="239">
        <f>+'Plan de culture 107'!$Z$37</f>
        <v>0</v>
      </c>
      <c r="C135" s="239">
        <f>+B135</f>
        <v>0</v>
      </c>
      <c r="D135" s="239">
        <f t="shared" ref="D135" si="122">+C135</f>
        <v>0</v>
      </c>
      <c r="E135" s="239">
        <f>+'Plan de culture 104 '!C131</f>
        <v>0</v>
      </c>
      <c r="F135" s="239">
        <f>+E135+'Plan de culture 104 '!D131+'Plan de culture 104 '!E131</f>
        <v>0</v>
      </c>
      <c r="G135" s="239">
        <f>+F135</f>
        <v>0</v>
      </c>
      <c r="H135" s="239">
        <f t="shared" ref="H135:M135" si="123">+G135</f>
        <v>0</v>
      </c>
      <c r="I135" s="239">
        <f t="shared" si="123"/>
        <v>0</v>
      </c>
      <c r="J135" s="239">
        <f t="shared" si="123"/>
        <v>0</v>
      </c>
      <c r="K135" s="239">
        <f t="shared" si="123"/>
        <v>0</v>
      </c>
      <c r="L135" s="239">
        <f t="shared" si="123"/>
        <v>0</v>
      </c>
      <c r="M135" s="239">
        <f t="shared" si="123"/>
        <v>0</v>
      </c>
      <c r="N135" s="240">
        <f>+'Plan de culture 107'!$Z$37</f>
        <v>0</v>
      </c>
    </row>
    <row r="136" spans="1:14" x14ac:dyDescent="0.35">
      <c r="A136" s="238" t="s">
        <v>95</v>
      </c>
      <c r="B136" s="253" t="str">
        <f>IFERROR((B138*B137)/B135,"0,00")</f>
        <v>0,00</v>
      </c>
      <c r="C136" s="253" t="str">
        <f t="shared" ref="C136:M136" si="124">IFERROR((C138*C137)/C135,"0,00")</f>
        <v>0,00</v>
      </c>
      <c r="D136" s="253" t="str">
        <f t="shared" si="124"/>
        <v>0,00</v>
      </c>
      <c r="E136" s="253" t="str">
        <f t="shared" si="124"/>
        <v>0,00</v>
      </c>
      <c r="F136" s="253" t="str">
        <f t="shared" si="124"/>
        <v>0,00</v>
      </c>
      <c r="G136" s="253" t="str">
        <f t="shared" si="124"/>
        <v>0,00</v>
      </c>
      <c r="H136" s="253" t="str">
        <f t="shared" si="124"/>
        <v>0,00</v>
      </c>
      <c r="I136" s="253" t="str">
        <f t="shared" si="124"/>
        <v>0,00</v>
      </c>
      <c r="J136" s="253" t="str">
        <f t="shared" si="124"/>
        <v>0,00</v>
      </c>
      <c r="K136" s="253" t="str">
        <f t="shared" si="124"/>
        <v>0,00</v>
      </c>
      <c r="L136" s="253" t="str">
        <f t="shared" si="124"/>
        <v>0,00</v>
      </c>
      <c r="M136" s="253" t="str">
        <f t="shared" si="124"/>
        <v>0,00</v>
      </c>
      <c r="N136" s="245" t="e">
        <f>+N134/N135</f>
        <v>#DIV/0!</v>
      </c>
    </row>
    <row r="137" spans="1:14" x14ac:dyDescent="0.35">
      <c r="A137" s="86" t="s">
        <v>99</v>
      </c>
      <c r="B137" s="87">
        <v>3.5</v>
      </c>
      <c r="C137" s="87">
        <f>+B137</f>
        <v>3.5</v>
      </c>
      <c r="D137" s="87">
        <f t="shared" ref="D137:M137" si="125">+C137</f>
        <v>3.5</v>
      </c>
      <c r="E137" s="87">
        <f t="shared" si="125"/>
        <v>3.5</v>
      </c>
      <c r="F137" s="87">
        <f t="shared" si="125"/>
        <v>3.5</v>
      </c>
      <c r="G137" s="87">
        <f t="shared" si="125"/>
        <v>3.5</v>
      </c>
      <c r="H137" s="87">
        <f t="shared" si="125"/>
        <v>3.5</v>
      </c>
      <c r="I137" s="87">
        <f t="shared" si="125"/>
        <v>3.5</v>
      </c>
      <c r="J137" s="87">
        <f t="shared" si="125"/>
        <v>3.5</v>
      </c>
      <c r="K137" s="87">
        <f t="shared" si="125"/>
        <v>3.5</v>
      </c>
      <c r="L137" s="87">
        <f t="shared" si="125"/>
        <v>3.5</v>
      </c>
      <c r="M137" s="87">
        <f t="shared" si="125"/>
        <v>3.5</v>
      </c>
      <c r="N137" s="245"/>
    </row>
    <row r="138" spans="1:14" ht="12" thickBot="1" x14ac:dyDescent="0.4">
      <c r="A138" s="86" t="s">
        <v>98</v>
      </c>
      <c r="B138" s="88">
        <v>0</v>
      </c>
      <c r="C138" s="88">
        <v>0</v>
      </c>
      <c r="D138" s="88">
        <v>0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245"/>
    </row>
    <row r="139" spans="1:14" x14ac:dyDescent="0.35">
      <c r="A139" s="233" t="s">
        <v>394</v>
      </c>
      <c r="B139" s="242">
        <f>+B142+B147+B152+B157+B162+B167</f>
        <v>0</v>
      </c>
      <c r="C139" s="242">
        <f t="shared" ref="C139:M140" si="126">+C142+C147+C152+C157+C162+C167</f>
        <v>0</v>
      </c>
      <c r="D139" s="242">
        <f t="shared" si="126"/>
        <v>0</v>
      </c>
      <c r="E139" s="242">
        <f t="shared" si="126"/>
        <v>0</v>
      </c>
      <c r="F139" s="242">
        <f t="shared" si="126"/>
        <v>0</v>
      </c>
      <c r="G139" s="242">
        <f t="shared" si="126"/>
        <v>0</v>
      </c>
      <c r="H139" s="242">
        <f t="shared" si="126"/>
        <v>0</v>
      </c>
      <c r="I139" s="242">
        <f t="shared" si="126"/>
        <v>0</v>
      </c>
      <c r="J139" s="242">
        <f t="shared" si="126"/>
        <v>0</v>
      </c>
      <c r="K139" s="242">
        <f t="shared" si="126"/>
        <v>0</v>
      </c>
      <c r="L139" s="242">
        <f t="shared" si="126"/>
        <v>0</v>
      </c>
      <c r="M139" s="242">
        <f t="shared" si="126"/>
        <v>0</v>
      </c>
      <c r="N139" s="243">
        <f>SUM(B139:M139)</f>
        <v>0</v>
      </c>
    </row>
    <row r="140" spans="1:14" x14ac:dyDescent="0.35">
      <c r="A140" s="234" t="s">
        <v>93</v>
      </c>
      <c r="B140" s="83">
        <f>+B143+B148+B153+B158+B163+B168</f>
        <v>26.09</v>
      </c>
      <c r="C140" s="83">
        <f t="shared" si="126"/>
        <v>26.09</v>
      </c>
      <c r="D140" s="83">
        <f t="shared" si="126"/>
        <v>26.09</v>
      </c>
      <c r="E140" s="83">
        <f t="shared" si="126"/>
        <v>26.09</v>
      </c>
      <c r="F140" s="83">
        <f t="shared" si="126"/>
        <v>26.09</v>
      </c>
      <c r="G140" s="83">
        <f t="shared" si="126"/>
        <v>26.09</v>
      </c>
      <c r="H140" s="83">
        <f t="shared" si="126"/>
        <v>26.09</v>
      </c>
      <c r="I140" s="83">
        <f t="shared" si="126"/>
        <v>26.09</v>
      </c>
      <c r="J140" s="83">
        <f t="shared" si="126"/>
        <v>26.09</v>
      </c>
      <c r="K140" s="83">
        <f t="shared" si="126"/>
        <v>26.09</v>
      </c>
      <c r="L140" s="83">
        <f t="shared" si="126"/>
        <v>26.09</v>
      </c>
      <c r="M140" s="83">
        <f t="shared" si="126"/>
        <v>26.09</v>
      </c>
      <c r="N140" s="248">
        <f>+M140</f>
        <v>26.09</v>
      </c>
    </row>
    <row r="141" spans="1:14" x14ac:dyDescent="0.35">
      <c r="A141" s="234" t="s">
        <v>389</v>
      </c>
      <c r="B141" s="83">
        <f t="shared" ref="B141:N141" si="127">+B139/B140</f>
        <v>0</v>
      </c>
      <c r="C141" s="83">
        <f t="shared" si="127"/>
        <v>0</v>
      </c>
      <c r="D141" s="83">
        <f t="shared" si="127"/>
        <v>0</v>
      </c>
      <c r="E141" s="83">
        <f t="shared" si="127"/>
        <v>0</v>
      </c>
      <c r="F141" s="83">
        <f t="shared" si="127"/>
        <v>0</v>
      </c>
      <c r="G141" s="83">
        <f t="shared" si="127"/>
        <v>0</v>
      </c>
      <c r="H141" s="83">
        <f t="shared" si="127"/>
        <v>0</v>
      </c>
      <c r="I141" s="83">
        <f t="shared" si="127"/>
        <v>0</v>
      </c>
      <c r="J141" s="83">
        <f t="shared" si="127"/>
        <v>0</v>
      </c>
      <c r="K141" s="83">
        <f t="shared" si="127"/>
        <v>0</v>
      </c>
      <c r="L141" s="83">
        <f t="shared" si="127"/>
        <v>0</v>
      </c>
      <c r="M141" s="83">
        <f t="shared" si="127"/>
        <v>0</v>
      </c>
      <c r="N141" s="249">
        <f t="shared" si="127"/>
        <v>0</v>
      </c>
    </row>
    <row r="142" spans="1:14" x14ac:dyDescent="0.35">
      <c r="A142" s="235" t="s">
        <v>90</v>
      </c>
      <c r="B142" s="80">
        <f>(B146*B145)</f>
        <v>0</v>
      </c>
      <c r="C142" s="80">
        <f t="shared" ref="C142:M142" si="128">(C144*C143)</f>
        <v>0</v>
      </c>
      <c r="D142" s="80">
        <f t="shared" si="128"/>
        <v>0</v>
      </c>
      <c r="E142" s="80">
        <f t="shared" si="128"/>
        <v>0</v>
      </c>
      <c r="F142" s="80">
        <f t="shared" si="128"/>
        <v>0</v>
      </c>
      <c r="G142" s="80">
        <f t="shared" si="128"/>
        <v>0</v>
      </c>
      <c r="H142" s="80">
        <f t="shared" si="128"/>
        <v>0</v>
      </c>
      <c r="I142" s="80">
        <f t="shared" si="128"/>
        <v>0</v>
      </c>
      <c r="J142" s="80">
        <f t="shared" si="128"/>
        <v>0</v>
      </c>
      <c r="K142" s="80">
        <f t="shared" si="128"/>
        <v>0</v>
      </c>
      <c r="L142" s="80">
        <f t="shared" si="128"/>
        <v>0</v>
      </c>
      <c r="M142" s="80">
        <f t="shared" si="128"/>
        <v>0</v>
      </c>
      <c r="N142" s="244">
        <f>SUM(B142:M142)</f>
        <v>0</v>
      </c>
    </row>
    <row r="143" spans="1:14" x14ac:dyDescent="0.35">
      <c r="A143" s="238" t="s">
        <v>93</v>
      </c>
      <c r="B143" s="239">
        <f>+'Plan de culture 114'!$AE$7</f>
        <v>0</v>
      </c>
      <c r="C143" s="239">
        <f>+B143</f>
        <v>0</v>
      </c>
      <c r="D143" s="239">
        <f t="shared" ref="D143" si="129">+C143</f>
        <v>0</v>
      </c>
      <c r="E143" s="239">
        <f>+D143</f>
        <v>0</v>
      </c>
      <c r="F143" s="239">
        <f>+E143</f>
        <v>0</v>
      </c>
      <c r="G143" s="239">
        <f>+F143</f>
        <v>0</v>
      </c>
      <c r="H143" s="239">
        <f t="shared" ref="H143:M143" si="130">+G143</f>
        <v>0</v>
      </c>
      <c r="I143" s="239">
        <f t="shared" si="130"/>
        <v>0</v>
      </c>
      <c r="J143" s="239">
        <f t="shared" si="130"/>
        <v>0</v>
      </c>
      <c r="K143" s="239">
        <f t="shared" si="130"/>
        <v>0</v>
      </c>
      <c r="L143" s="239">
        <f t="shared" si="130"/>
        <v>0</v>
      </c>
      <c r="M143" s="239">
        <f t="shared" si="130"/>
        <v>0</v>
      </c>
      <c r="N143" s="240">
        <f>+'Plan de culture 114'!$AE$7</f>
        <v>0</v>
      </c>
    </row>
    <row r="144" spans="1:14" x14ac:dyDescent="0.35">
      <c r="A144" s="238" t="s">
        <v>95</v>
      </c>
      <c r="B144" s="254" t="str">
        <f>IFERROR((B146*B145)/B143,"0,00")</f>
        <v>0,00</v>
      </c>
      <c r="C144" s="254" t="str">
        <f t="shared" ref="C144:M144" si="131">IFERROR((C146*C145)/C143,"0,00")</f>
        <v>0,00</v>
      </c>
      <c r="D144" s="254" t="str">
        <f t="shared" si="131"/>
        <v>0,00</v>
      </c>
      <c r="E144" s="254" t="str">
        <f t="shared" si="131"/>
        <v>0,00</v>
      </c>
      <c r="F144" s="254" t="str">
        <f t="shared" si="131"/>
        <v>0,00</v>
      </c>
      <c r="G144" s="254" t="str">
        <f t="shared" si="131"/>
        <v>0,00</v>
      </c>
      <c r="H144" s="254" t="str">
        <f t="shared" si="131"/>
        <v>0,00</v>
      </c>
      <c r="I144" s="254" t="str">
        <f t="shared" si="131"/>
        <v>0,00</v>
      </c>
      <c r="J144" s="254" t="str">
        <f t="shared" si="131"/>
        <v>0,00</v>
      </c>
      <c r="K144" s="254" t="str">
        <f t="shared" si="131"/>
        <v>0,00</v>
      </c>
      <c r="L144" s="254" t="str">
        <f t="shared" si="131"/>
        <v>0,00</v>
      </c>
      <c r="M144" s="254" t="str">
        <f t="shared" si="131"/>
        <v>0,00</v>
      </c>
      <c r="N144" s="245" t="e">
        <f>+N142/N143</f>
        <v>#DIV/0!</v>
      </c>
    </row>
    <row r="145" spans="1:14" x14ac:dyDescent="0.35">
      <c r="A145" s="250" t="s">
        <v>99</v>
      </c>
      <c r="B145" s="87">
        <v>3.5</v>
      </c>
      <c r="C145" s="87">
        <f>+B145</f>
        <v>3.5</v>
      </c>
      <c r="D145" s="87">
        <f t="shared" ref="D145:M145" si="132">+C145</f>
        <v>3.5</v>
      </c>
      <c r="E145" s="87">
        <f t="shared" si="132"/>
        <v>3.5</v>
      </c>
      <c r="F145" s="87">
        <f t="shared" si="132"/>
        <v>3.5</v>
      </c>
      <c r="G145" s="87">
        <f t="shared" si="132"/>
        <v>3.5</v>
      </c>
      <c r="H145" s="87">
        <f t="shared" si="132"/>
        <v>3.5</v>
      </c>
      <c r="I145" s="87">
        <f t="shared" si="132"/>
        <v>3.5</v>
      </c>
      <c r="J145" s="87">
        <f t="shared" si="132"/>
        <v>3.5</v>
      </c>
      <c r="K145" s="87">
        <f t="shared" si="132"/>
        <v>3.5</v>
      </c>
      <c r="L145" s="87">
        <f t="shared" si="132"/>
        <v>3.5</v>
      </c>
      <c r="M145" s="87">
        <f t="shared" si="132"/>
        <v>3.5</v>
      </c>
      <c r="N145" s="245"/>
    </row>
    <row r="146" spans="1:14" x14ac:dyDescent="0.35">
      <c r="A146" s="250" t="s">
        <v>98</v>
      </c>
      <c r="B146" s="88">
        <v>0</v>
      </c>
      <c r="C146" s="88">
        <v>318000</v>
      </c>
      <c r="D146" s="88">
        <v>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245"/>
    </row>
    <row r="147" spans="1:14" x14ac:dyDescent="0.35">
      <c r="A147" s="235" t="s">
        <v>91</v>
      </c>
      <c r="B147" s="80">
        <f>(B149*B148)</f>
        <v>0</v>
      </c>
      <c r="C147" s="80">
        <f t="shared" ref="C147:M147" si="133">(C149*C148)</f>
        <v>0</v>
      </c>
      <c r="D147" s="80">
        <f t="shared" si="133"/>
        <v>0</v>
      </c>
      <c r="E147" s="80">
        <f t="shared" si="133"/>
        <v>0</v>
      </c>
      <c r="F147" s="80">
        <f t="shared" si="133"/>
        <v>0</v>
      </c>
      <c r="G147" s="80">
        <f t="shared" si="133"/>
        <v>0</v>
      </c>
      <c r="H147" s="80">
        <f t="shared" si="133"/>
        <v>0</v>
      </c>
      <c r="I147" s="80">
        <f t="shared" si="133"/>
        <v>0</v>
      </c>
      <c r="J147" s="80">
        <f t="shared" si="133"/>
        <v>0</v>
      </c>
      <c r="K147" s="80">
        <f t="shared" si="133"/>
        <v>0</v>
      </c>
      <c r="L147" s="80">
        <f t="shared" si="133"/>
        <v>0</v>
      </c>
      <c r="M147" s="80">
        <f t="shared" si="133"/>
        <v>0</v>
      </c>
      <c r="N147" s="244">
        <f>SUM(B147:M147)</f>
        <v>0</v>
      </c>
    </row>
    <row r="148" spans="1:14" x14ac:dyDescent="0.35">
      <c r="A148" s="238" t="s">
        <v>93</v>
      </c>
      <c r="B148" s="239">
        <f>+'Plan de culture 114'!$AE$13</f>
        <v>26.09</v>
      </c>
      <c r="C148" s="239">
        <f>+B148</f>
        <v>26.09</v>
      </c>
      <c r="D148" s="239">
        <f t="shared" ref="D148:M148" si="134">+C148</f>
        <v>26.09</v>
      </c>
      <c r="E148" s="239">
        <f t="shared" si="134"/>
        <v>26.09</v>
      </c>
      <c r="F148" s="239">
        <f t="shared" si="134"/>
        <v>26.09</v>
      </c>
      <c r="G148" s="239">
        <f t="shared" si="134"/>
        <v>26.09</v>
      </c>
      <c r="H148" s="239">
        <f t="shared" si="134"/>
        <v>26.09</v>
      </c>
      <c r="I148" s="239">
        <f t="shared" si="134"/>
        <v>26.09</v>
      </c>
      <c r="J148" s="239">
        <f t="shared" si="134"/>
        <v>26.09</v>
      </c>
      <c r="K148" s="239">
        <f t="shared" si="134"/>
        <v>26.09</v>
      </c>
      <c r="L148" s="239">
        <f t="shared" si="134"/>
        <v>26.09</v>
      </c>
      <c r="M148" s="239">
        <f t="shared" si="134"/>
        <v>26.09</v>
      </c>
      <c r="N148" s="240">
        <f>+'Plan de culture 114'!$AE$13</f>
        <v>26.09</v>
      </c>
    </row>
    <row r="149" spans="1:14" x14ac:dyDescent="0.35">
      <c r="A149" s="238" t="s">
        <v>95</v>
      </c>
      <c r="B149" s="254">
        <f>IFERROR((B151*B150)/B148,"0,00")</f>
        <v>0</v>
      </c>
      <c r="C149" s="254">
        <f t="shared" ref="C149:M149" si="135">IFERROR((C151*C150)/C148,"0,00")</f>
        <v>0</v>
      </c>
      <c r="D149" s="254">
        <f t="shared" si="135"/>
        <v>0</v>
      </c>
      <c r="E149" s="254">
        <f t="shared" si="135"/>
        <v>0</v>
      </c>
      <c r="F149" s="254">
        <f t="shared" si="135"/>
        <v>0</v>
      </c>
      <c r="G149" s="254">
        <f t="shared" si="135"/>
        <v>0</v>
      </c>
      <c r="H149" s="254">
        <f t="shared" si="135"/>
        <v>0</v>
      </c>
      <c r="I149" s="254">
        <f t="shared" si="135"/>
        <v>0</v>
      </c>
      <c r="J149" s="254">
        <f t="shared" si="135"/>
        <v>0</v>
      </c>
      <c r="K149" s="254">
        <f t="shared" si="135"/>
        <v>0</v>
      </c>
      <c r="L149" s="254">
        <f t="shared" si="135"/>
        <v>0</v>
      </c>
      <c r="M149" s="254">
        <f t="shared" si="135"/>
        <v>0</v>
      </c>
      <c r="N149" s="245">
        <f>+N147/N148</f>
        <v>0</v>
      </c>
    </row>
    <row r="150" spans="1:14" x14ac:dyDescent="0.35">
      <c r="A150" s="250" t="s">
        <v>99</v>
      </c>
      <c r="B150" s="87">
        <v>3.5</v>
      </c>
      <c r="C150" s="87">
        <f>+B150</f>
        <v>3.5</v>
      </c>
      <c r="D150" s="87">
        <f t="shared" ref="D150:M150" si="136">+C150</f>
        <v>3.5</v>
      </c>
      <c r="E150" s="87">
        <f t="shared" si="136"/>
        <v>3.5</v>
      </c>
      <c r="F150" s="87">
        <f t="shared" si="136"/>
        <v>3.5</v>
      </c>
      <c r="G150" s="87">
        <f t="shared" si="136"/>
        <v>3.5</v>
      </c>
      <c r="H150" s="87">
        <f t="shared" si="136"/>
        <v>3.5</v>
      </c>
      <c r="I150" s="87">
        <f t="shared" si="136"/>
        <v>3.5</v>
      </c>
      <c r="J150" s="87">
        <f t="shared" si="136"/>
        <v>3.5</v>
      </c>
      <c r="K150" s="87">
        <f t="shared" si="136"/>
        <v>3.5</v>
      </c>
      <c r="L150" s="87">
        <f t="shared" si="136"/>
        <v>3.5</v>
      </c>
      <c r="M150" s="87">
        <f t="shared" si="136"/>
        <v>3.5</v>
      </c>
      <c r="N150" s="245"/>
    </row>
    <row r="151" spans="1:14" x14ac:dyDescent="0.35">
      <c r="A151" s="250" t="s">
        <v>98</v>
      </c>
      <c r="B151" s="88">
        <v>0</v>
      </c>
      <c r="C151" s="88">
        <v>0</v>
      </c>
      <c r="D151" s="88">
        <v>0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245"/>
    </row>
    <row r="152" spans="1:14" x14ac:dyDescent="0.35">
      <c r="A152" s="235" t="s">
        <v>376</v>
      </c>
      <c r="B152" s="80">
        <f>(B154*B153)</f>
        <v>0</v>
      </c>
      <c r="C152" s="80">
        <f t="shared" ref="C152:M152" si="137">(C154*C153)</f>
        <v>0</v>
      </c>
      <c r="D152" s="80">
        <f t="shared" si="137"/>
        <v>0</v>
      </c>
      <c r="E152" s="80">
        <f t="shared" si="137"/>
        <v>0</v>
      </c>
      <c r="F152" s="80">
        <f t="shared" si="137"/>
        <v>0</v>
      </c>
      <c r="G152" s="80">
        <f t="shared" si="137"/>
        <v>0</v>
      </c>
      <c r="H152" s="80">
        <f t="shared" si="137"/>
        <v>0</v>
      </c>
      <c r="I152" s="80">
        <f t="shared" si="137"/>
        <v>0</v>
      </c>
      <c r="J152" s="80">
        <f t="shared" si="137"/>
        <v>0</v>
      </c>
      <c r="K152" s="80">
        <f t="shared" si="137"/>
        <v>0</v>
      </c>
      <c r="L152" s="80">
        <f t="shared" si="137"/>
        <v>0</v>
      </c>
      <c r="M152" s="80">
        <f t="shared" si="137"/>
        <v>0</v>
      </c>
      <c r="N152" s="244">
        <f>SUM(B152:M152)</f>
        <v>0</v>
      </c>
    </row>
    <row r="153" spans="1:14" x14ac:dyDescent="0.35">
      <c r="A153" s="238" t="s">
        <v>93</v>
      </c>
      <c r="B153" s="239">
        <f>+'Plan de culture 114'!$AE$19</f>
        <v>0</v>
      </c>
      <c r="C153" s="239">
        <f>+B153</f>
        <v>0</v>
      </c>
      <c r="D153" s="239">
        <f t="shared" ref="D153" si="138">+C153</f>
        <v>0</v>
      </c>
      <c r="E153" s="239">
        <f>+'Plan de culture 104 '!C149</f>
        <v>0</v>
      </c>
      <c r="F153" s="239">
        <f>+E153+'Plan de culture 104 '!D149+'Plan de culture 104 '!E149</f>
        <v>0</v>
      </c>
      <c r="G153" s="239">
        <f>+F153</f>
        <v>0</v>
      </c>
      <c r="H153" s="239">
        <f t="shared" ref="H153:M153" si="139">+G153</f>
        <v>0</v>
      </c>
      <c r="I153" s="239">
        <f t="shared" si="139"/>
        <v>0</v>
      </c>
      <c r="J153" s="239">
        <f t="shared" si="139"/>
        <v>0</v>
      </c>
      <c r="K153" s="239">
        <f t="shared" si="139"/>
        <v>0</v>
      </c>
      <c r="L153" s="239">
        <f t="shared" si="139"/>
        <v>0</v>
      </c>
      <c r="M153" s="239">
        <f t="shared" si="139"/>
        <v>0</v>
      </c>
      <c r="N153" s="240">
        <f>+'Plan de culture 114'!$AE$19</f>
        <v>0</v>
      </c>
    </row>
    <row r="154" spans="1:14" x14ac:dyDescent="0.35">
      <c r="A154" s="238" t="s">
        <v>95</v>
      </c>
      <c r="B154" s="253" t="str">
        <f>IFERROR((B156*B155)/B153,"0,00")</f>
        <v>0,00</v>
      </c>
      <c r="C154" s="253" t="str">
        <f t="shared" ref="C154:M154" si="140">IFERROR((C156*C155)/C153,"0,00")</f>
        <v>0,00</v>
      </c>
      <c r="D154" s="253" t="str">
        <f t="shared" si="140"/>
        <v>0,00</v>
      </c>
      <c r="E154" s="253" t="str">
        <f t="shared" si="140"/>
        <v>0,00</v>
      </c>
      <c r="F154" s="253" t="str">
        <f t="shared" si="140"/>
        <v>0,00</v>
      </c>
      <c r="G154" s="253" t="str">
        <f t="shared" si="140"/>
        <v>0,00</v>
      </c>
      <c r="H154" s="253" t="str">
        <f t="shared" si="140"/>
        <v>0,00</v>
      </c>
      <c r="I154" s="253" t="str">
        <f t="shared" si="140"/>
        <v>0,00</v>
      </c>
      <c r="J154" s="253" t="str">
        <f t="shared" si="140"/>
        <v>0,00</v>
      </c>
      <c r="K154" s="253" t="str">
        <f t="shared" si="140"/>
        <v>0,00</v>
      </c>
      <c r="L154" s="253" t="str">
        <f t="shared" si="140"/>
        <v>0,00</v>
      </c>
      <c r="M154" s="253" t="str">
        <f t="shared" si="140"/>
        <v>0,00</v>
      </c>
      <c r="N154" s="245" t="e">
        <f>+N152/N153</f>
        <v>#DIV/0!</v>
      </c>
    </row>
    <row r="155" spans="1:14" x14ac:dyDescent="0.35">
      <c r="A155" s="250" t="s">
        <v>99</v>
      </c>
      <c r="B155" s="87">
        <v>3.5</v>
      </c>
      <c r="C155" s="87">
        <f>+B155</f>
        <v>3.5</v>
      </c>
      <c r="D155" s="87">
        <f t="shared" ref="D155:M155" si="141">+C155</f>
        <v>3.5</v>
      </c>
      <c r="E155" s="87">
        <f t="shared" si="141"/>
        <v>3.5</v>
      </c>
      <c r="F155" s="87">
        <f t="shared" si="141"/>
        <v>3.5</v>
      </c>
      <c r="G155" s="87">
        <f t="shared" si="141"/>
        <v>3.5</v>
      </c>
      <c r="H155" s="87">
        <f t="shared" si="141"/>
        <v>3.5</v>
      </c>
      <c r="I155" s="87">
        <f t="shared" si="141"/>
        <v>3.5</v>
      </c>
      <c r="J155" s="87">
        <f t="shared" si="141"/>
        <v>3.5</v>
      </c>
      <c r="K155" s="87">
        <f t="shared" si="141"/>
        <v>3.5</v>
      </c>
      <c r="L155" s="87">
        <f t="shared" si="141"/>
        <v>3.5</v>
      </c>
      <c r="M155" s="87">
        <f t="shared" si="141"/>
        <v>3.5</v>
      </c>
      <c r="N155" s="245"/>
    </row>
    <row r="156" spans="1:14" x14ac:dyDescent="0.35">
      <c r="A156" s="250" t="s">
        <v>98</v>
      </c>
      <c r="B156" s="88">
        <v>0</v>
      </c>
      <c r="C156" s="88">
        <v>0</v>
      </c>
      <c r="D156" s="88">
        <v>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245"/>
    </row>
    <row r="157" spans="1:14" x14ac:dyDescent="0.35">
      <c r="A157" s="235" t="s">
        <v>92</v>
      </c>
      <c r="B157" s="80">
        <f>(B159*B158)</f>
        <v>0</v>
      </c>
      <c r="C157" s="80">
        <f t="shared" ref="C157:M157" si="142">(C159*C158)</f>
        <v>0</v>
      </c>
      <c r="D157" s="80">
        <f t="shared" si="142"/>
        <v>0</v>
      </c>
      <c r="E157" s="80">
        <f t="shared" si="142"/>
        <v>0</v>
      </c>
      <c r="F157" s="80">
        <f t="shared" si="142"/>
        <v>0</v>
      </c>
      <c r="G157" s="80">
        <f t="shared" si="142"/>
        <v>0</v>
      </c>
      <c r="H157" s="80">
        <f t="shared" si="142"/>
        <v>0</v>
      </c>
      <c r="I157" s="80">
        <f t="shared" si="142"/>
        <v>0</v>
      </c>
      <c r="J157" s="80">
        <f t="shared" si="142"/>
        <v>0</v>
      </c>
      <c r="K157" s="80">
        <f t="shared" si="142"/>
        <v>0</v>
      </c>
      <c r="L157" s="80">
        <f t="shared" si="142"/>
        <v>0</v>
      </c>
      <c r="M157" s="80">
        <f t="shared" si="142"/>
        <v>0</v>
      </c>
      <c r="N157" s="244">
        <f>SUM(B157:M157)</f>
        <v>0</v>
      </c>
    </row>
    <row r="158" spans="1:14" x14ac:dyDescent="0.35">
      <c r="A158" s="238" t="s">
        <v>93</v>
      </c>
      <c r="B158" s="239">
        <f>+'Plan de culture 114'!$AE$25</f>
        <v>0</v>
      </c>
      <c r="C158" s="239">
        <f>+B158</f>
        <v>0</v>
      </c>
      <c r="D158" s="239">
        <f t="shared" ref="D158" si="143">+C158</f>
        <v>0</v>
      </c>
      <c r="E158" s="239">
        <f>+'Plan de culture 104 '!C154</f>
        <v>0</v>
      </c>
      <c r="F158" s="239">
        <f>+E158+'Plan de culture 104 '!D154+'Plan de culture 104 '!E154</f>
        <v>0</v>
      </c>
      <c r="G158" s="239">
        <f>+F158</f>
        <v>0</v>
      </c>
      <c r="H158" s="239">
        <f t="shared" ref="H158:M158" si="144">+G158</f>
        <v>0</v>
      </c>
      <c r="I158" s="239">
        <f t="shared" si="144"/>
        <v>0</v>
      </c>
      <c r="J158" s="239">
        <f t="shared" si="144"/>
        <v>0</v>
      </c>
      <c r="K158" s="239">
        <f t="shared" si="144"/>
        <v>0</v>
      </c>
      <c r="L158" s="239">
        <f t="shared" si="144"/>
        <v>0</v>
      </c>
      <c r="M158" s="239">
        <f t="shared" si="144"/>
        <v>0</v>
      </c>
      <c r="N158" s="240">
        <f>+'Plan de culture 114'!$AE$25</f>
        <v>0</v>
      </c>
    </row>
    <row r="159" spans="1:14" x14ac:dyDescent="0.35">
      <c r="A159" s="238" t="s">
        <v>95</v>
      </c>
      <c r="B159" s="253" t="str">
        <f>IFERROR((B161*B160)/B158,"0,00")</f>
        <v>0,00</v>
      </c>
      <c r="C159" s="253" t="str">
        <f t="shared" ref="C159:M159" si="145">IFERROR((C161*C160)/C158,"0,00")</f>
        <v>0,00</v>
      </c>
      <c r="D159" s="253" t="str">
        <f t="shared" si="145"/>
        <v>0,00</v>
      </c>
      <c r="E159" s="253" t="str">
        <f t="shared" si="145"/>
        <v>0,00</v>
      </c>
      <c r="F159" s="253" t="str">
        <f t="shared" si="145"/>
        <v>0,00</v>
      </c>
      <c r="G159" s="253" t="str">
        <f t="shared" si="145"/>
        <v>0,00</v>
      </c>
      <c r="H159" s="253" t="str">
        <f t="shared" si="145"/>
        <v>0,00</v>
      </c>
      <c r="I159" s="253" t="str">
        <f t="shared" si="145"/>
        <v>0,00</v>
      </c>
      <c r="J159" s="253" t="str">
        <f t="shared" si="145"/>
        <v>0,00</v>
      </c>
      <c r="K159" s="253" t="str">
        <f t="shared" si="145"/>
        <v>0,00</v>
      </c>
      <c r="L159" s="253" t="str">
        <f t="shared" si="145"/>
        <v>0,00</v>
      </c>
      <c r="M159" s="253" t="str">
        <f t="shared" si="145"/>
        <v>0,00</v>
      </c>
      <c r="N159" s="245" t="e">
        <f>+N157/N158</f>
        <v>#DIV/0!</v>
      </c>
    </row>
    <row r="160" spans="1:14" x14ac:dyDescent="0.35">
      <c r="A160" s="250" t="s">
        <v>99</v>
      </c>
      <c r="B160" s="87">
        <v>3.5</v>
      </c>
      <c r="C160" s="87">
        <f>+B160</f>
        <v>3.5</v>
      </c>
      <c r="D160" s="87">
        <f t="shared" ref="D160:M160" si="146">+C160</f>
        <v>3.5</v>
      </c>
      <c r="E160" s="87">
        <f t="shared" si="146"/>
        <v>3.5</v>
      </c>
      <c r="F160" s="87">
        <f t="shared" si="146"/>
        <v>3.5</v>
      </c>
      <c r="G160" s="87">
        <f t="shared" si="146"/>
        <v>3.5</v>
      </c>
      <c r="H160" s="87">
        <f t="shared" si="146"/>
        <v>3.5</v>
      </c>
      <c r="I160" s="87">
        <f t="shared" si="146"/>
        <v>3.5</v>
      </c>
      <c r="J160" s="87">
        <f t="shared" si="146"/>
        <v>3.5</v>
      </c>
      <c r="K160" s="87">
        <f t="shared" si="146"/>
        <v>3.5</v>
      </c>
      <c r="L160" s="87">
        <f t="shared" si="146"/>
        <v>3.5</v>
      </c>
      <c r="M160" s="87">
        <f t="shared" si="146"/>
        <v>3.5</v>
      </c>
      <c r="N160" s="245"/>
    </row>
    <row r="161" spans="1:14" x14ac:dyDescent="0.35">
      <c r="A161" s="250" t="s">
        <v>98</v>
      </c>
      <c r="B161" s="88">
        <v>0</v>
      </c>
      <c r="C161" s="88">
        <v>0</v>
      </c>
      <c r="D161" s="88">
        <v>0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245"/>
    </row>
    <row r="162" spans="1:14" x14ac:dyDescent="0.35">
      <c r="A162" s="235" t="s">
        <v>377</v>
      </c>
      <c r="B162" s="80">
        <f>(B164*B163)</f>
        <v>0</v>
      </c>
      <c r="C162" s="80">
        <f t="shared" ref="C162:M162" si="147">(C164*C163)</f>
        <v>0</v>
      </c>
      <c r="D162" s="80">
        <f t="shared" si="147"/>
        <v>0</v>
      </c>
      <c r="E162" s="80">
        <f t="shared" si="147"/>
        <v>0</v>
      </c>
      <c r="F162" s="80">
        <f t="shared" si="147"/>
        <v>0</v>
      </c>
      <c r="G162" s="80">
        <f t="shared" si="147"/>
        <v>0</v>
      </c>
      <c r="H162" s="80">
        <f t="shared" si="147"/>
        <v>0</v>
      </c>
      <c r="I162" s="80">
        <f t="shared" si="147"/>
        <v>0</v>
      </c>
      <c r="J162" s="80">
        <f t="shared" si="147"/>
        <v>0</v>
      </c>
      <c r="K162" s="80">
        <f t="shared" si="147"/>
        <v>0</v>
      </c>
      <c r="L162" s="80">
        <f t="shared" si="147"/>
        <v>0</v>
      </c>
      <c r="M162" s="80">
        <f t="shared" si="147"/>
        <v>0</v>
      </c>
      <c r="N162" s="244">
        <f>SUM(B162:M162)</f>
        <v>0</v>
      </c>
    </row>
    <row r="163" spans="1:14" x14ac:dyDescent="0.35">
      <c r="A163" s="238" t="s">
        <v>93</v>
      </c>
      <c r="B163" s="239">
        <f>+'Plan de culture 114'!$AE$31</f>
        <v>0</v>
      </c>
      <c r="C163" s="239">
        <f>+B163</f>
        <v>0</v>
      </c>
      <c r="D163" s="239">
        <f t="shared" ref="D163" si="148">+C163</f>
        <v>0</v>
      </c>
      <c r="E163" s="239">
        <f>+'Plan de culture 104 '!C159</f>
        <v>0</v>
      </c>
      <c r="F163" s="239">
        <f>+E163+'Plan de culture 104 '!D159+'Plan de culture 104 '!E159</f>
        <v>0</v>
      </c>
      <c r="G163" s="239">
        <f>+F163</f>
        <v>0</v>
      </c>
      <c r="H163" s="239">
        <f t="shared" ref="H163:M163" si="149">+G163</f>
        <v>0</v>
      </c>
      <c r="I163" s="239">
        <f t="shared" si="149"/>
        <v>0</v>
      </c>
      <c r="J163" s="239">
        <f t="shared" si="149"/>
        <v>0</v>
      </c>
      <c r="K163" s="239">
        <f t="shared" si="149"/>
        <v>0</v>
      </c>
      <c r="L163" s="239">
        <f t="shared" si="149"/>
        <v>0</v>
      </c>
      <c r="M163" s="239">
        <f t="shared" si="149"/>
        <v>0</v>
      </c>
      <c r="N163" s="240">
        <f>+'Plan de culture 114'!$AE$31</f>
        <v>0</v>
      </c>
    </row>
    <row r="164" spans="1:14" x14ac:dyDescent="0.35">
      <c r="A164" s="238" t="s">
        <v>95</v>
      </c>
      <c r="B164" s="253" t="str">
        <f>IFERROR((B166*B165)/B163,"0,00")</f>
        <v>0,00</v>
      </c>
      <c r="C164" s="253" t="str">
        <f t="shared" ref="C164:M164" si="150">IFERROR((C166*C165)/C163,"0,00")</f>
        <v>0,00</v>
      </c>
      <c r="D164" s="253" t="str">
        <f t="shared" si="150"/>
        <v>0,00</v>
      </c>
      <c r="E164" s="253" t="str">
        <f t="shared" si="150"/>
        <v>0,00</v>
      </c>
      <c r="F164" s="253" t="str">
        <f t="shared" si="150"/>
        <v>0,00</v>
      </c>
      <c r="G164" s="253" t="str">
        <f t="shared" si="150"/>
        <v>0,00</v>
      </c>
      <c r="H164" s="253" t="str">
        <f t="shared" si="150"/>
        <v>0,00</v>
      </c>
      <c r="I164" s="253" t="str">
        <f t="shared" si="150"/>
        <v>0,00</v>
      </c>
      <c r="J164" s="253" t="str">
        <f t="shared" si="150"/>
        <v>0,00</v>
      </c>
      <c r="K164" s="253" t="str">
        <f t="shared" si="150"/>
        <v>0,00</v>
      </c>
      <c r="L164" s="253" t="str">
        <f t="shared" si="150"/>
        <v>0,00</v>
      </c>
      <c r="M164" s="253" t="str">
        <f t="shared" si="150"/>
        <v>0,00</v>
      </c>
      <c r="N164" s="245" t="e">
        <f>+N162/N163</f>
        <v>#DIV/0!</v>
      </c>
    </row>
    <row r="165" spans="1:14" x14ac:dyDescent="0.35">
      <c r="A165" s="250" t="s">
        <v>99</v>
      </c>
      <c r="B165" s="87">
        <v>3.5</v>
      </c>
      <c r="C165" s="87">
        <f>+B165</f>
        <v>3.5</v>
      </c>
      <c r="D165" s="87">
        <f t="shared" ref="D165:M165" si="151">+C165</f>
        <v>3.5</v>
      </c>
      <c r="E165" s="87">
        <f t="shared" si="151"/>
        <v>3.5</v>
      </c>
      <c r="F165" s="87">
        <f t="shared" si="151"/>
        <v>3.5</v>
      </c>
      <c r="G165" s="87">
        <f t="shared" si="151"/>
        <v>3.5</v>
      </c>
      <c r="H165" s="87">
        <f t="shared" si="151"/>
        <v>3.5</v>
      </c>
      <c r="I165" s="87">
        <f t="shared" si="151"/>
        <v>3.5</v>
      </c>
      <c r="J165" s="87">
        <f t="shared" si="151"/>
        <v>3.5</v>
      </c>
      <c r="K165" s="87">
        <f t="shared" si="151"/>
        <v>3.5</v>
      </c>
      <c r="L165" s="87">
        <f t="shared" si="151"/>
        <v>3.5</v>
      </c>
      <c r="M165" s="87">
        <f t="shared" si="151"/>
        <v>3.5</v>
      </c>
      <c r="N165" s="245"/>
    </row>
    <row r="166" spans="1:14" x14ac:dyDescent="0.35">
      <c r="A166" s="250" t="s">
        <v>98</v>
      </c>
      <c r="B166" s="88">
        <v>0</v>
      </c>
      <c r="C166" s="88">
        <v>0</v>
      </c>
      <c r="D166" s="88">
        <v>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245"/>
    </row>
    <row r="167" spans="1:14" x14ac:dyDescent="0.35">
      <c r="A167" s="235" t="s">
        <v>378</v>
      </c>
      <c r="B167" s="80">
        <f>(B169*B168)</f>
        <v>0</v>
      </c>
      <c r="C167" s="80">
        <f t="shared" ref="C167:M167" si="152">(C169*C168)</f>
        <v>0</v>
      </c>
      <c r="D167" s="80">
        <f t="shared" si="152"/>
        <v>0</v>
      </c>
      <c r="E167" s="80">
        <f t="shared" si="152"/>
        <v>0</v>
      </c>
      <c r="F167" s="80">
        <f t="shared" si="152"/>
        <v>0</v>
      </c>
      <c r="G167" s="80">
        <f t="shared" si="152"/>
        <v>0</v>
      </c>
      <c r="H167" s="80">
        <f t="shared" si="152"/>
        <v>0</v>
      </c>
      <c r="I167" s="80">
        <f t="shared" si="152"/>
        <v>0</v>
      </c>
      <c r="J167" s="80">
        <f t="shared" si="152"/>
        <v>0</v>
      </c>
      <c r="K167" s="80">
        <f t="shared" si="152"/>
        <v>0</v>
      </c>
      <c r="L167" s="80">
        <f t="shared" si="152"/>
        <v>0</v>
      </c>
      <c r="M167" s="80">
        <f t="shared" si="152"/>
        <v>0</v>
      </c>
      <c r="N167" s="244">
        <f>SUM(B167:M167)</f>
        <v>0</v>
      </c>
    </row>
    <row r="168" spans="1:14" x14ac:dyDescent="0.35">
      <c r="A168" s="238" t="s">
        <v>93</v>
      </c>
      <c r="B168" s="239">
        <f>+'Plan de culture 114'!$AE$37</f>
        <v>0</v>
      </c>
      <c r="C168" s="239">
        <f>+B168</f>
        <v>0</v>
      </c>
      <c r="D168" s="239">
        <f t="shared" ref="D168" si="153">+C168</f>
        <v>0</v>
      </c>
      <c r="E168" s="239">
        <f>+'Plan de culture 104 '!C164</f>
        <v>0</v>
      </c>
      <c r="F168" s="239">
        <f>+E168+'Plan de culture 104 '!D164+'Plan de culture 104 '!E164</f>
        <v>0</v>
      </c>
      <c r="G168" s="239">
        <f>+F168</f>
        <v>0</v>
      </c>
      <c r="H168" s="239">
        <f t="shared" ref="H168:M168" si="154">+G168</f>
        <v>0</v>
      </c>
      <c r="I168" s="239">
        <f t="shared" si="154"/>
        <v>0</v>
      </c>
      <c r="J168" s="239">
        <f t="shared" si="154"/>
        <v>0</v>
      </c>
      <c r="K168" s="239">
        <f t="shared" si="154"/>
        <v>0</v>
      </c>
      <c r="L168" s="239">
        <f t="shared" si="154"/>
        <v>0</v>
      </c>
      <c r="M168" s="239">
        <f t="shared" si="154"/>
        <v>0</v>
      </c>
      <c r="N168" s="240">
        <f>+'Plan de culture 114'!$AE$37</f>
        <v>0</v>
      </c>
    </row>
    <row r="169" spans="1:14" x14ac:dyDescent="0.35">
      <c r="A169" s="238" t="s">
        <v>95</v>
      </c>
      <c r="B169" s="253" t="str">
        <f>IFERROR((B171*B170)/B168,"0,00")</f>
        <v>0,00</v>
      </c>
      <c r="C169" s="253" t="str">
        <f t="shared" ref="C169:M169" si="155">IFERROR((C171*C170)/C168,"0,00")</f>
        <v>0,00</v>
      </c>
      <c r="D169" s="253" t="str">
        <f t="shared" si="155"/>
        <v>0,00</v>
      </c>
      <c r="E169" s="253" t="str">
        <f t="shared" si="155"/>
        <v>0,00</v>
      </c>
      <c r="F169" s="253" t="str">
        <f t="shared" si="155"/>
        <v>0,00</v>
      </c>
      <c r="G169" s="253" t="str">
        <f t="shared" si="155"/>
        <v>0,00</v>
      </c>
      <c r="H169" s="253" t="str">
        <f t="shared" si="155"/>
        <v>0,00</v>
      </c>
      <c r="I169" s="253" t="str">
        <f t="shared" si="155"/>
        <v>0,00</v>
      </c>
      <c r="J169" s="253" t="str">
        <f t="shared" si="155"/>
        <v>0,00</v>
      </c>
      <c r="K169" s="253" t="str">
        <f t="shared" si="155"/>
        <v>0,00</v>
      </c>
      <c r="L169" s="253" t="str">
        <f t="shared" si="155"/>
        <v>0,00</v>
      </c>
      <c r="M169" s="253" t="str">
        <f t="shared" si="155"/>
        <v>0,00</v>
      </c>
      <c r="N169" s="245" t="e">
        <f>+N167/N168</f>
        <v>#DIV/0!</v>
      </c>
    </row>
    <row r="170" spans="1:14" x14ac:dyDescent="0.35">
      <c r="A170" s="250" t="s">
        <v>99</v>
      </c>
      <c r="B170" s="87">
        <v>3.5</v>
      </c>
      <c r="C170" s="87">
        <f>+B170</f>
        <v>3.5</v>
      </c>
      <c r="D170" s="87">
        <f t="shared" ref="D170:M170" si="156">+C170</f>
        <v>3.5</v>
      </c>
      <c r="E170" s="87">
        <f t="shared" si="156"/>
        <v>3.5</v>
      </c>
      <c r="F170" s="87">
        <f t="shared" si="156"/>
        <v>3.5</v>
      </c>
      <c r="G170" s="87">
        <f t="shared" si="156"/>
        <v>3.5</v>
      </c>
      <c r="H170" s="87">
        <f t="shared" si="156"/>
        <v>3.5</v>
      </c>
      <c r="I170" s="87">
        <f t="shared" si="156"/>
        <v>3.5</v>
      </c>
      <c r="J170" s="87">
        <f t="shared" si="156"/>
        <v>3.5</v>
      </c>
      <c r="K170" s="87">
        <f t="shared" si="156"/>
        <v>3.5</v>
      </c>
      <c r="L170" s="87">
        <f t="shared" si="156"/>
        <v>3.5</v>
      </c>
      <c r="M170" s="87">
        <f t="shared" si="156"/>
        <v>3.5</v>
      </c>
      <c r="N170" s="245"/>
    </row>
    <row r="171" spans="1:14" ht="12" thickBot="1" x14ac:dyDescent="0.4">
      <c r="A171" s="251" t="s">
        <v>98</v>
      </c>
      <c r="B171" s="252">
        <v>0</v>
      </c>
      <c r="C171" s="252">
        <v>0</v>
      </c>
      <c r="D171" s="252">
        <v>0</v>
      </c>
      <c r="E171" s="252">
        <v>0</v>
      </c>
      <c r="F171" s="252">
        <v>0</v>
      </c>
      <c r="G171" s="252">
        <v>0</v>
      </c>
      <c r="H171" s="252">
        <v>0</v>
      </c>
      <c r="I171" s="252">
        <v>0</v>
      </c>
      <c r="J171" s="252">
        <v>0</v>
      </c>
      <c r="K171" s="252">
        <v>0</v>
      </c>
      <c r="L171" s="252">
        <v>0</v>
      </c>
      <c r="M171" s="252">
        <v>0</v>
      </c>
      <c r="N171" s="247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P111"/>
  <sheetViews>
    <sheetView zoomScaleNormal="100" workbookViewId="0">
      <selection activeCell="B110" sqref="B110:N110"/>
    </sheetView>
  </sheetViews>
  <sheetFormatPr baseColWidth="10" defaultColWidth="11.46484375" defaultRowHeight="11.65" x14ac:dyDescent="0.35"/>
  <cols>
    <col min="1" max="1" width="24.73046875" style="32" bestFit="1" customWidth="1"/>
    <col min="2" max="2" width="7.86328125" style="32" bestFit="1" customWidth="1"/>
    <col min="3" max="3" width="10.19921875" style="32" bestFit="1" customWidth="1"/>
    <col min="4" max="13" width="7.3984375" style="32" bestFit="1" customWidth="1"/>
    <col min="14" max="14" width="7.796875" style="32" bestFit="1" customWidth="1"/>
    <col min="15" max="16384" width="11.46484375" style="32"/>
  </cols>
  <sheetData>
    <row r="1" spans="1:16" ht="35.25" thickBot="1" x14ac:dyDescent="0.4">
      <c r="A1" s="68" t="s">
        <v>313</v>
      </c>
    </row>
    <row r="3" spans="1:16" s="57" customFormat="1" ht="12" thickBot="1" x14ac:dyDescent="0.4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259" t="s">
        <v>395</v>
      </c>
      <c r="B4" s="260">
        <f t="shared" ref="B4:M4" si="1">B7+B28+B49+B70++B91</f>
        <v>0</v>
      </c>
      <c r="C4" s="260">
        <f t="shared" si="1"/>
        <v>0</v>
      </c>
      <c r="D4" s="260">
        <f t="shared" si="1"/>
        <v>0</v>
      </c>
      <c r="E4" s="260">
        <f t="shared" si="1"/>
        <v>0</v>
      </c>
      <c r="F4" s="260">
        <f t="shared" si="1"/>
        <v>0</v>
      </c>
      <c r="G4" s="260">
        <f t="shared" si="1"/>
        <v>0</v>
      </c>
      <c r="H4" s="260">
        <f t="shared" si="1"/>
        <v>0</v>
      </c>
      <c r="I4" s="260">
        <f t="shared" si="1"/>
        <v>0</v>
      </c>
      <c r="J4" s="260">
        <f t="shared" si="1"/>
        <v>0</v>
      </c>
      <c r="K4" s="260">
        <f t="shared" si="1"/>
        <v>0</v>
      </c>
      <c r="L4" s="260">
        <f t="shared" si="1"/>
        <v>0</v>
      </c>
      <c r="M4" s="260">
        <f t="shared" si="1"/>
        <v>0</v>
      </c>
      <c r="N4" s="261">
        <f>N7+N28+N49+N70+N91</f>
        <v>0</v>
      </c>
    </row>
    <row r="5" spans="1:16" s="57" customFormat="1" x14ac:dyDescent="0.35">
      <c r="A5" s="262" t="s">
        <v>93</v>
      </c>
      <c r="B5" s="263">
        <f t="shared" ref="B5:M5" si="2">B8+B29+B50+B71+B92</f>
        <v>68.968000000000004</v>
      </c>
      <c r="C5" s="263">
        <f t="shared" si="2"/>
        <v>68.968000000000004</v>
      </c>
      <c r="D5" s="263">
        <f t="shared" si="2"/>
        <v>68.968000000000004</v>
      </c>
      <c r="E5" s="263">
        <f t="shared" si="2"/>
        <v>68.968000000000004</v>
      </c>
      <c r="F5" s="263">
        <f t="shared" si="2"/>
        <v>68.968000000000004</v>
      </c>
      <c r="G5" s="263">
        <f t="shared" si="2"/>
        <v>68.968000000000004</v>
      </c>
      <c r="H5" s="263">
        <f t="shared" si="2"/>
        <v>68.968000000000004</v>
      </c>
      <c r="I5" s="263">
        <f t="shared" si="2"/>
        <v>68.968000000000004</v>
      </c>
      <c r="J5" s="263">
        <f t="shared" si="2"/>
        <v>68.968000000000004</v>
      </c>
      <c r="K5" s="263">
        <f t="shared" si="2"/>
        <v>68.968000000000004</v>
      </c>
      <c r="L5" s="263">
        <f t="shared" si="2"/>
        <v>68.968000000000004</v>
      </c>
      <c r="M5" s="263">
        <f t="shared" si="2"/>
        <v>68.968000000000004</v>
      </c>
      <c r="N5" s="264">
        <f>N8+N29+N50+N71+N92</f>
        <v>68.968000000000004</v>
      </c>
    </row>
    <row r="6" spans="1:16" s="57" customFormat="1" ht="12" thickBot="1" x14ac:dyDescent="0.4">
      <c r="A6" s="265" t="s">
        <v>100</v>
      </c>
      <c r="B6" s="266">
        <f>+B4/B5</f>
        <v>0</v>
      </c>
      <c r="C6" s="266">
        <f>+C4/C5</f>
        <v>0</v>
      </c>
      <c r="D6" s="266">
        <f t="shared" ref="D6:M6" si="3">+D4/D5</f>
        <v>0</v>
      </c>
      <c r="E6" s="266">
        <f t="shared" si="3"/>
        <v>0</v>
      </c>
      <c r="F6" s="266">
        <f t="shared" si="3"/>
        <v>0</v>
      </c>
      <c r="G6" s="266">
        <f t="shared" si="3"/>
        <v>0</v>
      </c>
      <c r="H6" s="266">
        <f t="shared" si="3"/>
        <v>0</v>
      </c>
      <c r="I6" s="266">
        <f t="shared" si="3"/>
        <v>0</v>
      </c>
      <c r="J6" s="266">
        <f t="shared" si="3"/>
        <v>0</v>
      </c>
      <c r="K6" s="266">
        <f t="shared" si="3"/>
        <v>0</v>
      </c>
      <c r="L6" s="266">
        <f t="shared" si="3"/>
        <v>0</v>
      </c>
      <c r="M6" s="266">
        <f t="shared" si="3"/>
        <v>0</v>
      </c>
      <c r="N6" s="267">
        <f>+N4/N5</f>
        <v>0</v>
      </c>
    </row>
    <row r="7" spans="1:16" x14ac:dyDescent="0.35">
      <c r="A7" s="233" t="s">
        <v>396</v>
      </c>
      <c r="B7" s="242">
        <f t="shared" ref="B7:M7" si="4">+B10+B13+B16+B19+B22+B25</f>
        <v>0</v>
      </c>
      <c r="C7" s="242">
        <f t="shared" si="4"/>
        <v>0</v>
      </c>
      <c r="D7" s="242">
        <f t="shared" si="4"/>
        <v>0</v>
      </c>
      <c r="E7" s="242">
        <f t="shared" si="4"/>
        <v>0</v>
      </c>
      <c r="F7" s="242">
        <f t="shared" si="4"/>
        <v>0</v>
      </c>
      <c r="G7" s="242">
        <f t="shared" si="4"/>
        <v>0</v>
      </c>
      <c r="H7" s="242">
        <f t="shared" si="4"/>
        <v>0</v>
      </c>
      <c r="I7" s="242">
        <f t="shared" si="4"/>
        <v>0</v>
      </c>
      <c r="J7" s="242">
        <f t="shared" si="4"/>
        <v>0</v>
      </c>
      <c r="K7" s="242">
        <f t="shared" si="4"/>
        <v>0</v>
      </c>
      <c r="L7" s="242">
        <f t="shared" si="4"/>
        <v>0</v>
      </c>
      <c r="M7" s="242">
        <f t="shared" si="4"/>
        <v>0</v>
      </c>
      <c r="N7" s="243">
        <f>SUM(B7:M7)</f>
        <v>0</v>
      </c>
    </row>
    <row r="8" spans="1:16" x14ac:dyDescent="0.35">
      <c r="A8" s="234" t="s">
        <v>93</v>
      </c>
      <c r="B8" s="83">
        <f>+B11+B14+B17+B20+B23+B26</f>
        <v>15.350000000000003</v>
      </c>
      <c r="C8" s="81">
        <f t="shared" ref="C8:M8" si="5">+C11</f>
        <v>15.350000000000003</v>
      </c>
      <c r="D8" s="81">
        <f t="shared" si="5"/>
        <v>15.350000000000003</v>
      </c>
      <c r="E8" s="81">
        <f t="shared" si="5"/>
        <v>15.350000000000003</v>
      </c>
      <c r="F8" s="81">
        <f t="shared" si="5"/>
        <v>15.350000000000003</v>
      </c>
      <c r="G8" s="81">
        <f t="shared" si="5"/>
        <v>15.350000000000003</v>
      </c>
      <c r="H8" s="81">
        <f t="shared" si="5"/>
        <v>15.350000000000003</v>
      </c>
      <c r="I8" s="81">
        <f t="shared" si="5"/>
        <v>15.350000000000003</v>
      </c>
      <c r="J8" s="81">
        <f t="shared" si="5"/>
        <v>15.350000000000003</v>
      </c>
      <c r="K8" s="81">
        <f t="shared" si="5"/>
        <v>15.350000000000003</v>
      </c>
      <c r="L8" s="81">
        <f t="shared" si="5"/>
        <v>15.350000000000003</v>
      </c>
      <c r="M8" s="81">
        <f t="shared" si="5"/>
        <v>15.350000000000003</v>
      </c>
      <c r="N8" s="248">
        <f>+M8</f>
        <v>15.350000000000003</v>
      </c>
    </row>
    <row r="9" spans="1:16" x14ac:dyDescent="0.35">
      <c r="A9" s="234" t="s">
        <v>397</v>
      </c>
      <c r="B9" s="83">
        <f t="shared" ref="B9:N9" si="6">+B7/B8</f>
        <v>0</v>
      </c>
      <c r="C9" s="83">
        <f t="shared" si="6"/>
        <v>0</v>
      </c>
      <c r="D9" s="83">
        <f t="shared" si="6"/>
        <v>0</v>
      </c>
      <c r="E9" s="83">
        <f t="shared" si="6"/>
        <v>0</v>
      </c>
      <c r="F9" s="83">
        <f t="shared" si="6"/>
        <v>0</v>
      </c>
      <c r="G9" s="83">
        <f t="shared" si="6"/>
        <v>0</v>
      </c>
      <c r="H9" s="83">
        <f t="shared" si="6"/>
        <v>0</v>
      </c>
      <c r="I9" s="83">
        <f t="shared" si="6"/>
        <v>0</v>
      </c>
      <c r="J9" s="83">
        <f t="shared" si="6"/>
        <v>0</v>
      </c>
      <c r="K9" s="83">
        <f t="shared" si="6"/>
        <v>0</v>
      </c>
      <c r="L9" s="83">
        <f t="shared" si="6"/>
        <v>0</v>
      </c>
      <c r="M9" s="83">
        <f t="shared" si="6"/>
        <v>0</v>
      </c>
      <c r="N9" s="249">
        <f t="shared" si="6"/>
        <v>0</v>
      </c>
      <c r="P9" s="62"/>
    </row>
    <row r="10" spans="1:16" x14ac:dyDescent="0.35">
      <c r="A10" s="235" t="s">
        <v>90</v>
      </c>
      <c r="B10" s="80">
        <f>(B11*B12)</f>
        <v>0</v>
      </c>
      <c r="C10" s="80">
        <f t="shared" ref="C10:M10" si="7">(C11*C12)</f>
        <v>0</v>
      </c>
      <c r="D10" s="80">
        <f t="shared" si="7"/>
        <v>0</v>
      </c>
      <c r="E10" s="80">
        <f t="shared" si="7"/>
        <v>0</v>
      </c>
      <c r="F10" s="80">
        <f t="shared" si="7"/>
        <v>0</v>
      </c>
      <c r="G10" s="80">
        <f t="shared" si="7"/>
        <v>0</v>
      </c>
      <c r="H10" s="80">
        <f t="shared" si="7"/>
        <v>0</v>
      </c>
      <c r="I10" s="80">
        <f t="shared" si="7"/>
        <v>0</v>
      </c>
      <c r="J10" s="80">
        <f t="shared" si="7"/>
        <v>0</v>
      </c>
      <c r="K10" s="80">
        <f t="shared" si="7"/>
        <v>0</v>
      </c>
      <c r="L10" s="80">
        <f t="shared" si="7"/>
        <v>0</v>
      </c>
      <c r="M10" s="80">
        <f t="shared" si="7"/>
        <v>0</v>
      </c>
      <c r="N10" s="244">
        <f>SUM(B10:M10)</f>
        <v>0</v>
      </c>
    </row>
    <row r="11" spans="1:16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8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8"/>
        <v>15.350000000000003</v>
      </c>
      <c r="I11" s="239">
        <f t="shared" si="8"/>
        <v>15.350000000000003</v>
      </c>
      <c r="J11" s="239">
        <f t="shared" si="8"/>
        <v>15.350000000000003</v>
      </c>
      <c r="K11" s="239">
        <f t="shared" si="8"/>
        <v>15.350000000000003</v>
      </c>
      <c r="L11" s="239">
        <f t="shared" si="8"/>
        <v>15.350000000000003</v>
      </c>
      <c r="M11" s="239">
        <f t="shared" si="8"/>
        <v>15.350000000000003</v>
      </c>
      <c r="N11" s="240">
        <f>+'Plan de culture 104 '!X7</f>
        <v>15.350000000000003</v>
      </c>
    </row>
    <row r="12" spans="1:16" x14ac:dyDescent="0.35">
      <c r="A12" s="238" t="s">
        <v>100</v>
      </c>
      <c r="B12" s="254">
        <v>0</v>
      </c>
      <c r="C12" s="254">
        <v>0</v>
      </c>
      <c r="D12" s="254">
        <v>0</v>
      </c>
      <c r="E12" s="254">
        <v>0</v>
      </c>
      <c r="F12" s="254">
        <v>0</v>
      </c>
      <c r="G12" s="254">
        <v>0</v>
      </c>
      <c r="H12" s="254">
        <v>0</v>
      </c>
      <c r="I12" s="254">
        <v>0</v>
      </c>
      <c r="J12" s="254">
        <v>0</v>
      </c>
      <c r="K12" s="254">
        <v>0</v>
      </c>
      <c r="L12" s="254">
        <v>0</v>
      </c>
      <c r="M12" s="254">
        <v>0</v>
      </c>
      <c r="N12" s="245">
        <f>+N10/N11</f>
        <v>0</v>
      </c>
    </row>
    <row r="13" spans="1:16" x14ac:dyDescent="0.35">
      <c r="A13" s="235" t="s">
        <v>91</v>
      </c>
      <c r="B13" s="80">
        <f>(B14*B15)</f>
        <v>0</v>
      </c>
      <c r="C13" s="80">
        <f t="shared" ref="C13:M13" si="9">(C14*C15)</f>
        <v>0</v>
      </c>
      <c r="D13" s="80">
        <f t="shared" si="9"/>
        <v>0</v>
      </c>
      <c r="E13" s="80">
        <f t="shared" si="9"/>
        <v>0</v>
      </c>
      <c r="F13" s="80">
        <f t="shared" si="9"/>
        <v>0</v>
      </c>
      <c r="G13" s="80">
        <f t="shared" si="9"/>
        <v>0</v>
      </c>
      <c r="H13" s="80">
        <f t="shared" si="9"/>
        <v>0</v>
      </c>
      <c r="I13" s="80">
        <f t="shared" si="9"/>
        <v>0</v>
      </c>
      <c r="J13" s="80">
        <f t="shared" si="9"/>
        <v>0</v>
      </c>
      <c r="K13" s="80">
        <f t="shared" si="9"/>
        <v>0</v>
      </c>
      <c r="L13" s="80">
        <f t="shared" si="9"/>
        <v>0</v>
      </c>
      <c r="M13" s="80">
        <f t="shared" si="9"/>
        <v>0</v>
      </c>
      <c r="N13" s="244">
        <f>SUM(B13:M13)</f>
        <v>0</v>
      </c>
    </row>
    <row r="14" spans="1:16" x14ac:dyDescent="0.35">
      <c r="A14" s="238" t="s">
        <v>93</v>
      </c>
      <c r="B14" s="239">
        <f>+'Plan de culture 104 '!$X$13</f>
        <v>0</v>
      </c>
      <c r="C14" s="239">
        <f>+B14</f>
        <v>0</v>
      </c>
      <c r="D14" s="239">
        <f t="shared" ref="D14:M14" si="10">+C14</f>
        <v>0</v>
      </c>
      <c r="E14" s="239">
        <f t="shared" si="10"/>
        <v>0</v>
      </c>
      <c r="F14" s="239">
        <f t="shared" si="10"/>
        <v>0</v>
      </c>
      <c r="G14" s="239">
        <f t="shared" si="10"/>
        <v>0</v>
      </c>
      <c r="H14" s="239">
        <f t="shared" si="10"/>
        <v>0</v>
      </c>
      <c r="I14" s="239">
        <f t="shared" si="10"/>
        <v>0</v>
      </c>
      <c r="J14" s="239">
        <f t="shared" si="10"/>
        <v>0</v>
      </c>
      <c r="K14" s="239">
        <f t="shared" si="10"/>
        <v>0</v>
      </c>
      <c r="L14" s="239">
        <f t="shared" si="10"/>
        <v>0</v>
      </c>
      <c r="M14" s="239">
        <f t="shared" si="10"/>
        <v>0</v>
      </c>
      <c r="N14" s="240">
        <f>+'Plan de culture 104 '!$X$13</f>
        <v>0</v>
      </c>
    </row>
    <row r="15" spans="1:16" x14ac:dyDescent="0.35">
      <c r="A15" s="238" t="s">
        <v>100</v>
      </c>
      <c r="B15" s="254">
        <v>0</v>
      </c>
      <c r="C15" s="254">
        <v>0</v>
      </c>
      <c r="D15" s="254">
        <v>0</v>
      </c>
      <c r="E15" s="254">
        <v>0</v>
      </c>
      <c r="F15" s="254">
        <v>0</v>
      </c>
      <c r="G15" s="254">
        <v>0</v>
      </c>
      <c r="H15" s="254">
        <v>0</v>
      </c>
      <c r="I15" s="254">
        <v>0</v>
      </c>
      <c r="J15" s="254">
        <v>0</v>
      </c>
      <c r="K15" s="254">
        <v>0</v>
      </c>
      <c r="L15" s="254">
        <v>0</v>
      </c>
      <c r="M15" s="254">
        <v>0</v>
      </c>
      <c r="N15" s="245" t="e">
        <f>+N13/N14</f>
        <v>#DIV/0!</v>
      </c>
    </row>
    <row r="16" spans="1:16" x14ac:dyDescent="0.35">
      <c r="A16" s="235" t="s">
        <v>376</v>
      </c>
      <c r="B16" s="80">
        <f>(B17*B18)</f>
        <v>0</v>
      </c>
      <c r="C16" s="80">
        <f t="shared" ref="C16:M16" si="11">(C17*C18)</f>
        <v>0</v>
      </c>
      <c r="D16" s="80">
        <f t="shared" si="11"/>
        <v>0</v>
      </c>
      <c r="E16" s="80">
        <f t="shared" si="11"/>
        <v>0</v>
      </c>
      <c r="F16" s="80">
        <f t="shared" si="11"/>
        <v>0</v>
      </c>
      <c r="G16" s="80">
        <f t="shared" si="11"/>
        <v>0</v>
      </c>
      <c r="H16" s="80">
        <f t="shared" si="11"/>
        <v>0</v>
      </c>
      <c r="I16" s="80">
        <f t="shared" si="11"/>
        <v>0</v>
      </c>
      <c r="J16" s="80">
        <f t="shared" si="11"/>
        <v>0</v>
      </c>
      <c r="K16" s="80">
        <f t="shared" si="11"/>
        <v>0</v>
      </c>
      <c r="L16" s="80">
        <f t="shared" si="11"/>
        <v>0</v>
      </c>
      <c r="M16" s="80">
        <f t="shared" si="11"/>
        <v>0</v>
      </c>
      <c r="N16" s="244">
        <f>SUM(B16:M16)</f>
        <v>0</v>
      </c>
    </row>
    <row r="17" spans="1:14" x14ac:dyDescent="0.35">
      <c r="A17" s="238" t="s">
        <v>93</v>
      </c>
      <c r="B17" s="239">
        <f>+'Plan de culture 104 '!$X$19</f>
        <v>0</v>
      </c>
      <c r="C17" s="239">
        <f>+B17</f>
        <v>0</v>
      </c>
      <c r="D17" s="239">
        <f t="shared" ref="D17" si="12">+C17</f>
        <v>0</v>
      </c>
      <c r="E17" s="239">
        <f>+'Plan de culture 104 '!C13</f>
        <v>0</v>
      </c>
      <c r="F17" s="239">
        <f>+E17+'Plan de culture 104 '!D13+'Plan de culture 104 '!E13</f>
        <v>0</v>
      </c>
      <c r="G17" s="239">
        <f>+F17</f>
        <v>0</v>
      </c>
      <c r="H17" s="239">
        <f t="shared" ref="H17:M17" si="13">+G17</f>
        <v>0</v>
      </c>
      <c r="I17" s="239">
        <f t="shared" si="13"/>
        <v>0</v>
      </c>
      <c r="J17" s="239">
        <f t="shared" si="13"/>
        <v>0</v>
      </c>
      <c r="K17" s="239">
        <f t="shared" si="13"/>
        <v>0</v>
      </c>
      <c r="L17" s="239">
        <f t="shared" si="13"/>
        <v>0</v>
      </c>
      <c r="M17" s="239">
        <f t="shared" si="13"/>
        <v>0</v>
      </c>
      <c r="N17" s="240">
        <f>+'Plan de culture 104 '!$X$19</f>
        <v>0</v>
      </c>
    </row>
    <row r="18" spans="1:14" x14ac:dyDescent="0.35">
      <c r="A18" s="238" t="s">
        <v>100</v>
      </c>
      <c r="B18" s="254">
        <v>0</v>
      </c>
      <c r="C18" s="254">
        <v>0</v>
      </c>
      <c r="D18" s="254">
        <v>0</v>
      </c>
      <c r="E18" s="254">
        <v>0</v>
      </c>
      <c r="F18" s="254">
        <v>0</v>
      </c>
      <c r="G18" s="254">
        <v>0</v>
      </c>
      <c r="H18" s="254">
        <v>0</v>
      </c>
      <c r="I18" s="254">
        <v>0</v>
      </c>
      <c r="J18" s="254">
        <v>0</v>
      </c>
      <c r="K18" s="254">
        <v>0</v>
      </c>
      <c r="L18" s="254">
        <v>0</v>
      </c>
      <c r="M18" s="254">
        <v>0</v>
      </c>
      <c r="N18" s="245" t="e">
        <f>+N16/N17</f>
        <v>#DIV/0!</v>
      </c>
    </row>
    <row r="19" spans="1:14" x14ac:dyDescent="0.35">
      <c r="A19" s="235" t="s">
        <v>92</v>
      </c>
      <c r="B19" s="80">
        <f>(B20*B21)</f>
        <v>0</v>
      </c>
      <c r="C19" s="80">
        <f t="shared" ref="C19:M19" si="14">(C20*C21)</f>
        <v>0</v>
      </c>
      <c r="D19" s="80">
        <f t="shared" si="14"/>
        <v>0</v>
      </c>
      <c r="E19" s="80">
        <f t="shared" si="14"/>
        <v>0</v>
      </c>
      <c r="F19" s="80">
        <f t="shared" si="14"/>
        <v>0</v>
      </c>
      <c r="G19" s="80">
        <f t="shared" si="14"/>
        <v>0</v>
      </c>
      <c r="H19" s="80">
        <f t="shared" si="14"/>
        <v>0</v>
      </c>
      <c r="I19" s="80">
        <f t="shared" si="14"/>
        <v>0</v>
      </c>
      <c r="J19" s="80">
        <f t="shared" si="14"/>
        <v>0</v>
      </c>
      <c r="K19" s="80">
        <f t="shared" si="14"/>
        <v>0</v>
      </c>
      <c r="L19" s="80">
        <f t="shared" si="14"/>
        <v>0</v>
      </c>
      <c r="M19" s="80">
        <f t="shared" si="14"/>
        <v>0</v>
      </c>
      <c r="N19" s="244">
        <f>SUM(B19:M19)</f>
        <v>0</v>
      </c>
    </row>
    <row r="20" spans="1:14" x14ac:dyDescent="0.35">
      <c r="A20" s="238" t="s">
        <v>93</v>
      </c>
      <c r="B20" s="239">
        <f>+'Plan de culture 104 '!$X$25</f>
        <v>0</v>
      </c>
      <c r="C20" s="239">
        <f>+B20</f>
        <v>0</v>
      </c>
      <c r="D20" s="239">
        <f t="shared" ref="D20" si="15">+C20</f>
        <v>0</v>
      </c>
      <c r="E20" s="239">
        <f>+'Plan de culture 104 '!C16</f>
        <v>0</v>
      </c>
      <c r="F20" s="239">
        <f>+E20+'Plan de culture 104 '!D16+'Plan de culture 104 '!E16</f>
        <v>0</v>
      </c>
      <c r="G20" s="239">
        <f>+F20</f>
        <v>0</v>
      </c>
      <c r="H20" s="239">
        <f t="shared" ref="H20:M20" si="16">+G20</f>
        <v>0</v>
      </c>
      <c r="I20" s="239">
        <f t="shared" si="16"/>
        <v>0</v>
      </c>
      <c r="J20" s="239">
        <f t="shared" si="16"/>
        <v>0</v>
      </c>
      <c r="K20" s="239">
        <f t="shared" si="16"/>
        <v>0</v>
      </c>
      <c r="L20" s="239">
        <f t="shared" si="16"/>
        <v>0</v>
      </c>
      <c r="M20" s="239">
        <f t="shared" si="16"/>
        <v>0</v>
      </c>
      <c r="N20" s="240">
        <f>+'Plan de culture 104 '!$X$25</f>
        <v>0</v>
      </c>
    </row>
    <row r="21" spans="1:14" x14ac:dyDescent="0.35">
      <c r="A21" s="238" t="s">
        <v>100</v>
      </c>
      <c r="B21" s="254">
        <v>0</v>
      </c>
      <c r="C21" s="254">
        <v>0</v>
      </c>
      <c r="D21" s="254">
        <v>0</v>
      </c>
      <c r="E21" s="254">
        <v>0</v>
      </c>
      <c r="F21" s="254">
        <v>0</v>
      </c>
      <c r="G21" s="254">
        <v>0</v>
      </c>
      <c r="H21" s="254">
        <v>0</v>
      </c>
      <c r="I21" s="254">
        <v>0</v>
      </c>
      <c r="J21" s="254">
        <v>0</v>
      </c>
      <c r="K21" s="254">
        <v>0</v>
      </c>
      <c r="L21" s="254">
        <v>0</v>
      </c>
      <c r="M21" s="254">
        <v>0</v>
      </c>
      <c r="N21" s="245" t="e">
        <f>+N19/N20</f>
        <v>#DIV/0!</v>
      </c>
    </row>
    <row r="22" spans="1:14" x14ac:dyDescent="0.35">
      <c r="A22" s="235" t="s">
        <v>377</v>
      </c>
      <c r="B22" s="80">
        <f>(B23*B24)</f>
        <v>0</v>
      </c>
      <c r="C22" s="80">
        <f t="shared" ref="C22:M22" si="17">(C23*C24)</f>
        <v>0</v>
      </c>
      <c r="D22" s="80">
        <f t="shared" si="17"/>
        <v>0</v>
      </c>
      <c r="E22" s="80">
        <f t="shared" si="17"/>
        <v>0</v>
      </c>
      <c r="F22" s="80">
        <f t="shared" si="17"/>
        <v>0</v>
      </c>
      <c r="G22" s="80">
        <f t="shared" si="17"/>
        <v>0</v>
      </c>
      <c r="H22" s="80">
        <f t="shared" si="17"/>
        <v>0</v>
      </c>
      <c r="I22" s="80">
        <f t="shared" si="17"/>
        <v>0</v>
      </c>
      <c r="J22" s="80">
        <f t="shared" si="17"/>
        <v>0</v>
      </c>
      <c r="K22" s="80">
        <f t="shared" si="17"/>
        <v>0</v>
      </c>
      <c r="L22" s="80">
        <f t="shared" si="17"/>
        <v>0</v>
      </c>
      <c r="M22" s="80">
        <f t="shared" si="17"/>
        <v>0</v>
      </c>
      <c r="N22" s="244">
        <f>SUM(B22:M22)</f>
        <v>0</v>
      </c>
    </row>
    <row r="23" spans="1:14" x14ac:dyDescent="0.35">
      <c r="A23" s="238" t="s">
        <v>93</v>
      </c>
      <c r="B23" s="239">
        <f>+'Plan de culture 104 '!$X$31</f>
        <v>0</v>
      </c>
      <c r="C23" s="239">
        <f>+B23</f>
        <v>0</v>
      </c>
      <c r="D23" s="239">
        <f t="shared" ref="D23" si="18">+C23</f>
        <v>0</v>
      </c>
      <c r="E23" s="239">
        <f>+'Plan de culture 104 '!C19</f>
        <v>0</v>
      </c>
      <c r="F23" s="239">
        <f>+E23+'Plan de culture 104 '!D19+'Plan de culture 104 '!E19</f>
        <v>0</v>
      </c>
      <c r="G23" s="239">
        <f>+F23</f>
        <v>0</v>
      </c>
      <c r="H23" s="239">
        <f t="shared" ref="H23:M23" si="19">+G23</f>
        <v>0</v>
      </c>
      <c r="I23" s="239">
        <f t="shared" si="19"/>
        <v>0</v>
      </c>
      <c r="J23" s="239">
        <f t="shared" si="19"/>
        <v>0</v>
      </c>
      <c r="K23" s="239">
        <f t="shared" si="19"/>
        <v>0</v>
      </c>
      <c r="L23" s="239">
        <f t="shared" si="19"/>
        <v>0</v>
      </c>
      <c r="M23" s="239">
        <f t="shared" si="19"/>
        <v>0</v>
      </c>
      <c r="N23" s="240">
        <f>+'Plan de culture 104 '!$X$31</f>
        <v>0</v>
      </c>
    </row>
    <row r="24" spans="1:14" x14ac:dyDescent="0.35">
      <c r="A24" s="238" t="s">
        <v>100</v>
      </c>
      <c r="B24" s="254">
        <v>0</v>
      </c>
      <c r="C24" s="254">
        <v>0</v>
      </c>
      <c r="D24" s="254">
        <v>0</v>
      </c>
      <c r="E24" s="254">
        <v>0</v>
      </c>
      <c r="F24" s="254">
        <v>0</v>
      </c>
      <c r="G24" s="254">
        <v>0</v>
      </c>
      <c r="H24" s="254">
        <v>0</v>
      </c>
      <c r="I24" s="254">
        <v>0</v>
      </c>
      <c r="J24" s="254">
        <v>0</v>
      </c>
      <c r="K24" s="254">
        <v>0</v>
      </c>
      <c r="L24" s="254">
        <v>0</v>
      </c>
      <c r="M24" s="254">
        <v>0</v>
      </c>
      <c r="N24" s="245" t="e">
        <f>+N22/N23</f>
        <v>#DIV/0!</v>
      </c>
    </row>
    <row r="25" spans="1:14" x14ac:dyDescent="0.35">
      <c r="A25" s="235" t="s">
        <v>378</v>
      </c>
      <c r="B25" s="80">
        <f>(B26*B27)</f>
        <v>0</v>
      </c>
      <c r="C25" s="80">
        <f t="shared" ref="C25:M25" si="20">(C26*C27)</f>
        <v>0</v>
      </c>
      <c r="D25" s="80">
        <f t="shared" si="20"/>
        <v>0</v>
      </c>
      <c r="E25" s="80">
        <f t="shared" si="20"/>
        <v>0</v>
      </c>
      <c r="F25" s="80">
        <f t="shared" si="20"/>
        <v>0</v>
      </c>
      <c r="G25" s="80">
        <f t="shared" si="20"/>
        <v>0</v>
      </c>
      <c r="H25" s="80">
        <f t="shared" si="20"/>
        <v>0</v>
      </c>
      <c r="I25" s="80">
        <f t="shared" si="20"/>
        <v>0</v>
      </c>
      <c r="J25" s="80">
        <f t="shared" si="20"/>
        <v>0</v>
      </c>
      <c r="K25" s="80">
        <f t="shared" si="20"/>
        <v>0</v>
      </c>
      <c r="L25" s="80">
        <f t="shared" si="20"/>
        <v>0</v>
      </c>
      <c r="M25" s="80">
        <f t="shared" si="20"/>
        <v>0</v>
      </c>
      <c r="N25" s="244">
        <f>SUM(B25:M25)</f>
        <v>0</v>
      </c>
    </row>
    <row r="26" spans="1:14" x14ac:dyDescent="0.35">
      <c r="A26" s="238" t="s">
        <v>93</v>
      </c>
      <c r="B26" s="239">
        <f>+'Plan de culture 104 '!$X$37</f>
        <v>0</v>
      </c>
      <c r="C26" s="239">
        <f>+B26</f>
        <v>0</v>
      </c>
      <c r="D26" s="239">
        <f t="shared" ref="D26" si="21">+C26</f>
        <v>0</v>
      </c>
      <c r="E26" s="239">
        <f>+'Plan de culture 104 '!C22</f>
        <v>0</v>
      </c>
      <c r="F26" s="239">
        <f>+E26+'Plan de culture 104 '!D22+'Plan de culture 104 '!E22</f>
        <v>0</v>
      </c>
      <c r="G26" s="239">
        <f>+F26</f>
        <v>0</v>
      </c>
      <c r="H26" s="239">
        <f t="shared" ref="H26:M26" si="22">+G26</f>
        <v>0</v>
      </c>
      <c r="I26" s="239">
        <f t="shared" si="22"/>
        <v>0</v>
      </c>
      <c r="J26" s="239">
        <f t="shared" si="22"/>
        <v>0</v>
      </c>
      <c r="K26" s="239">
        <f t="shared" si="22"/>
        <v>0</v>
      </c>
      <c r="L26" s="239">
        <f t="shared" si="22"/>
        <v>0</v>
      </c>
      <c r="M26" s="239">
        <f t="shared" si="22"/>
        <v>0</v>
      </c>
      <c r="N26" s="240">
        <f>+'Plan de culture 104 '!$X$37</f>
        <v>0</v>
      </c>
    </row>
    <row r="27" spans="1:14" ht="12" thickBot="1" x14ac:dyDescent="0.4">
      <c r="A27" s="238" t="s">
        <v>100</v>
      </c>
      <c r="B27" s="254">
        <v>0</v>
      </c>
      <c r="C27" s="254">
        <v>0</v>
      </c>
      <c r="D27" s="254">
        <v>0</v>
      </c>
      <c r="E27" s="254">
        <v>0</v>
      </c>
      <c r="F27" s="254">
        <v>0</v>
      </c>
      <c r="G27" s="254">
        <v>0</v>
      </c>
      <c r="H27" s="254">
        <v>0</v>
      </c>
      <c r="I27" s="254">
        <v>0</v>
      </c>
      <c r="J27" s="254">
        <v>0</v>
      </c>
      <c r="K27" s="254">
        <v>0</v>
      </c>
      <c r="L27" s="254">
        <v>0</v>
      </c>
      <c r="M27" s="254">
        <v>0</v>
      </c>
      <c r="N27" s="245" t="e">
        <f>+N25/N26</f>
        <v>#DIV/0!</v>
      </c>
    </row>
    <row r="28" spans="1:14" x14ac:dyDescent="0.35">
      <c r="A28" s="233" t="s">
        <v>401</v>
      </c>
      <c r="B28" s="242">
        <f t="shared" ref="B28:M28" si="23">+B31+B34+B37+B40+B43+B46</f>
        <v>0</v>
      </c>
      <c r="C28" s="242">
        <f t="shared" si="23"/>
        <v>0</v>
      </c>
      <c r="D28" s="242">
        <f t="shared" si="23"/>
        <v>0</v>
      </c>
      <c r="E28" s="242">
        <f t="shared" si="23"/>
        <v>0</v>
      </c>
      <c r="F28" s="242">
        <f t="shared" si="23"/>
        <v>0</v>
      </c>
      <c r="G28" s="242">
        <f t="shared" si="23"/>
        <v>0</v>
      </c>
      <c r="H28" s="242">
        <f t="shared" si="23"/>
        <v>0</v>
      </c>
      <c r="I28" s="242">
        <f t="shared" si="23"/>
        <v>0</v>
      </c>
      <c r="J28" s="242">
        <f t="shared" si="23"/>
        <v>0</v>
      </c>
      <c r="K28" s="242">
        <f t="shared" si="23"/>
        <v>0</v>
      </c>
      <c r="L28" s="242">
        <f t="shared" si="23"/>
        <v>0</v>
      </c>
      <c r="M28" s="242">
        <f t="shared" si="23"/>
        <v>0</v>
      </c>
      <c r="N28" s="243">
        <f>SUM(B28:M28)</f>
        <v>0</v>
      </c>
    </row>
    <row r="29" spans="1:14" x14ac:dyDescent="0.35">
      <c r="A29" s="234" t="s">
        <v>93</v>
      </c>
      <c r="B29" s="83">
        <f t="shared" ref="B29:M29" si="24">+B32+B35+B38+B41+B44+B47</f>
        <v>5.3950000000000005</v>
      </c>
      <c r="C29" s="81">
        <f t="shared" si="24"/>
        <v>5.3950000000000005</v>
      </c>
      <c r="D29" s="81">
        <f t="shared" si="24"/>
        <v>5.3950000000000005</v>
      </c>
      <c r="E29" s="81">
        <f t="shared" si="24"/>
        <v>5.3950000000000005</v>
      </c>
      <c r="F29" s="81">
        <f t="shared" si="24"/>
        <v>5.3950000000000005</v>
      </c>
      <c r="G29" s="81">
        <f t="shared" si="24"/>
        <v>5.3950000000000005</v>
      </c>
      <c r="H29" s="81">
        <f t="shared" si="24"/>
        <v>5.3950000000000005</v>
      </c>
      <c r="I29" s="81">
        <f t="shared" si="24"/>
        <v>5.3950000000000005</v>
      </c>
      <c r="J29" s="81">
        <f t="shared" si="24"/>
        <v>5.3950000000000005</v>
      </c>
      <c r="K29" s="81">
        <f t="shared" si="24"/>
        <v>5.3950000000000005</v>
      </c>
      <c r="L29" s="81">
        <f t="shared" si="24"/>
        <v>5.3950000000000005</v>
      </c>
      <c r="M29" s="81">
        <f t="shared" si="24"/>
        <v>5.3950000000000005</v>
      </c>
      <c r="N29" s="248">
        <f>+M29</f>
        <v>5.3950000000000005</v>
      </c>
    </row>
    <row r="30" spans="1:14" x14ac:dyDescent="0.35">
      <c r="A30" s="234" t="s">
        <v>397</v>
      </c>
      <c r="B30" s="83">
        <f t="shared" ref="B30:N30" si="25">+B28/B29</f>
        <v>0</v>
      </c>
      <c r="C30" s="83">
        <f t="shared" si="25"/>
        <v>0</v>
      </c>
      <c r="D30" s="83">
        <f t="shared" si="25"/>
        <v>0</v>
      </c>
      <c r="E30" s="83">
        <f t="shared" si="25"/>
        <v>0</v>
      </c>
      <c r="F30" s="83">
        <f t="shared" si="25"/>
        <v>0</v>
      </c>
      <c r="G30" s="83">
        <f t="shared" si="25"/>
        <v>0</v>
      </c>
      <c r="H30" s="83">
        <f t="shared" si="25"/>
        <v>0</v>
      </c>
      <c r="I30" s="83">
        <f t="shared" si="25"/>
        <v>0</v>
      </c>
      <c r="J30" s="83">
        <f t="shared" si="25"/>
        <v>0</v>
      </c>
      <c r="K30" s="83">
        <f t="shared" si="25"/>
        <v>0</v>
      </c>
      <c r="L30" s="83">
        <f t="shared" si="25"/>
        <v>0</v>
      </c>
      <c r="M30" s="83">
        <f t="shared" si="25"/>
        <v>0</v>
      </c>
      <c r="N30" s="249">
        <f t="shared" si="25"/>
        <v>0</v>
      </c>
    </row>
    <row r="31" spans="1:14" x14ac:dyDescent="0.35">
      <c r="A31" s="235" t="s">
        <v>90</v>
      </c>
      <c r="B31" s="80">
        <f>(B32*B33)</f>
        <v>0</v>
      </c>
      <c r="C31" s="80">
        <f t="shared" ref="C31:M31" si="26">(C32*C33)</f>
        <v>0</v>
      </c>
      <c r="D31" s="80">
        <f t="shared" si="26"/>
        <v>0</v>
      </c>
      <c r="E31" s="80">
        <f t="shared" si="26"/>
        <v>0</v>
      </c>
      <c r="F31" s="80">
        <f t="shared" si="26"/>
        <v>0</v>
      </c>
      <c r="G31" s="80">
        <f t="shared" si="26"/>
        <v>0</v>
      </c>
      <c r="H31" s="80">
        <f t="shared" si="26"/>
        <v>0</v>
      </c>
      <c r="I31" s="80">
        <f t="shared" si="26"/>
        <v>0</v>
      </c>
      <c r="J31" s="80">
        <f t="shared" si="26"/>
        <v>0</v>
      </c>
      <c r="K31" s="80">
        <f t="shared" si="26"/>
        <v>0</v>
      </c>
      <c r="L31" s="80">
        <f t="shared" si="26"/>
        <v>0</v>
      </c>
      <c r="M31" s="80">
        <f t="shared" si="26"/>
        <v>0</v>
      </c>
      <c r="N31" s="244">
        <f>SUM(B31:M31)</f>
        <v>0</v>
      </c>
    </row>
    <row r="32" spans="1:14" x14ac:dyDescent="0.35">
      <c r="A32" s="238" t="s">
        <v>93</v>
      </c>
      <c r="B32" s="239">
        <f>+'Plan de culture 105'!$I$7</f>
        <v>0</v>
      </c>
      <c r="C32" s="239">
        <f>+B32</f>
        <v>0</v>
      </c>
      <c r="D32" s="239">
        <f t="shared" ref="D32" si="27">+C32</f>
        <v>0</v>
      </c>
      <c r="E32" s="239">
        <f>+D32</f>
        <v>0</v>
      </c>
      <c r="F32" s="239">
        <f>+E32</f>
        <v>0</v>
      </c>
      <c r="G32" s="239">
        <f>+F32</f>
        <v>0</v>
      </c>
      <c r="H32" s="239">
        <f t="shared" ref="H32:M32" si="28">+G32</f>
        <v>0</v>
      </c>
      <c r="I32" s="239">
        <f t="shared" si="28"/>
        <v>0</v>
      </c>
      <c r="J32" s="239">
        <f t="shared" si="28"/>
        <v>0</v>
      </c>
      <c r="K32" s="239">
        <f t="shared" si="28"/>
        <v>0</v>
      </c>
      <c r="L32" s="239">
        <f t="shared" si="28"/>
        <v>0</v>
      </c>
      <c r="M32" s="239">
        <f t="shared" si="28"/>
        <v>0</v>
      </c>
      <c r="N32" s="240">
        <f>+'Plan de culture 105'!$I$7</f>
        <v>0</v>
      </c>
    </row>
    <row r="33" spans="1:14" x14ac:dyDescent="0.35">
      <c r="A33" s="238" t="s">
        <v>100</v>
      </c>
      <c r="B33" s="254">
        <v>0</v>
      </c>
      <c r="C33" s="254">
        <v>0</v>
      </c>
      <c r="D33" s="254">
        <v>0</v>
      </c>
      <c r="E33" s="254">
        <v>0</v>
      </c>
      <c r="F33" s="254">
        <v>0</v>
      </c>
      <c r="G33" s="254">
        <v>0</v>
      </c>
      <c r="H33" s="254">
        <v>0</v>
      </c>
      <c r="I33" s="254">
        <v>0</v>
      </c>
      <c r="J33" s="254">
        <v>0</v>
      </c>
      <c r="K33" s="254">
        <v>0</v>
      </c>
      <c r="L33" s="254">
        <v>0</v>
      </c>
      <c r="M33" s="254">
        <v>0</v>
      </c>
      <c r="N33" s="245" t="e">
        <f>+N31/N32</f>
        <v>#DIV/0!</v>
      </c>
    </row>
    <row r="34" spans="1:14" x14ac:dyDescent="0.35">
      <c r="A34" s="235" t="s">
        <v>91</v>
      </c>
      <c r="B34" s="80">
        <f>(B35*B36)</f>
        <v>0</v>
      </c>
      <c r="C34" s="80">
        <f t="shared" ref="C34:M34" si="29">(C35*C36)</f>
        <v>0</v>
      </c>
      <c r="D34" s="80">
        <f t="shared" si="29"/>
        <v>0</v>
      </c>
      <c r="E34" s="80">
        <f t="shared" si="29"/>
        <v>0</v>
      </c>
      <c r="F34" s="80">
        <f t="shared" si="29"/>
        <v>0</v>
      </c>
      <c r="G34" s="80">
        <f t="shared" si="29"/>
        <v>0</v>
      </c>
      <c r="H34" s="80">
        <f t="shared" si="29"/>
        <v>0</v>
      </c>
      <c r="I34" s="80">
        <f t="shared" si="29"/>
        <v>0</v>
      </c>
      <c r="J34" s="80">
        <f t="shared" si="29"/>
        <v>0</v>
      </c>
      <c r="K34" s="80">
        <f t="shared" si="29"/>
        <v>0</v>
      </c>
      <c r="L34" s="80">
        <f t="shared" si="29"/>
        <v>0</v>
      </c>
      <c r="M34" s="80">
        <f t="shared" si="29"/>
        <v>0</v>
      </c>
      <c r="N34" s="244">
        <f>SUM(B34:M34)</f>
        <v>0</v>
      </c>
    </row>
    <row r="35" spans="1:14" x14ac:dyDescent="0.35">
      <c r="A35" s="238" t="s">
        <v>93</v>
      </c>
      <c r="B35" s="239">
        <f>+'Plan de culture 105'!$I$13</f>
        <v>5.3950000000000005</v>
      </c>
      <c r="C35" s="239">
        <f>+B35</f>
        <v>5.3950000000000005</v>
      </c>
      <c r="D35" s="239">
        <f t="shared" ref="D35:M35" si="30">+C35</f>
        <v>5.3950000000000005</v>
      </c>
      <c r="E35" s="239">
        <f t="shared" si="30"/>
        <v>5.3950000000000005</v>
      </c>
      <c r="F35" s="239">
        <f t="shared" si="30"/>
        <v>5.3950000000000005</v>
      </c>
      <c r="G35" s="239">
        <f t="shared" si="30"/>
        <v>5.3950000000000005</v>
      </c>
      <c r="H35" s="239">
        <f t="shared" si="30"/>
        <v>5.3950000000000005</v>
      </c>
      <c r="I35" s="239">
        <f t="shared" si="30"/>
        <v>5.3950000000000005</v>
      </c>
      <c r="J35" s="239">
        <f t="shared" si="30"/>
        <v>5.3950000000000005</v>
      </c>
      <c r="K35" s="239">
        <f t="shared" si="30"/>
        <v>5.3950000000000005</v>
      </c>
      <c r="L35" s="239">
        <f t="shared" si="30"/>
        <v>5.3950000000000005</v>
      </c>
      <c r="M35" s="239">
        <f t="shared" si="30"/>
        <v>5.3950000000000005</v>
      </c>
      <c r="N35" s="240">
        <f>+'Plan de culture 105'!$I$13</f>
        <v>5.3950000000000005</v>
      </c>
    </row>
    <row r="36" spans="1:14" x14ac:dyDescent="0.35">
      <c r="A36" s="238" t="s">
        <v>100</v>
      </c>
      <c r="B36" s="254">
        <v>0</v>
      </c>
      <c r="C36" s="254">
        <v>0</v>
      </c>
      <c r="D36" s="254">
        <v>0</v>
      </c>
      <c r="E36" s="254">
        <v>0</v>
      </c>
      <c r="F36" s="254">
        <v>0</v>
      </c>
      <c r="G36" s="254">
        <v>0</v>
      </c>
      <c r="H36" s="254">
        <v>0</v>
      </c>
      <c r="I36" s="254">
        <v>0</v>
      </c>
      <c r="J36" s="254">
        <v>0</v>
      </c>
      <c r="K36" s="254">
        <v>0</v>
      </c>
      <c r="L36" s="254">
        <v>0</v>
      </c>
      <c r="M36" s="254">
        <v>0</v>
      </c>
      <c r="N36" s="245">
        <f>+N34/N35</f>
        <v>0</v>
      </c>
    </row>
    <row r="37" spans="1:14" x14ac:dyDescent="0.35">
      <c r="A37" s="235" t="s">
        <v>376</v>
      </c>
      <c r="B37" s="80">
        <f>(B39*B38)</f>
        <v>0</v>
      </c>
      <c r="C37" s="80">
        <f t="shared" ref="C37:M37" si="31">(C39*C38)</f>
        <v>0</v>
      </c>
      <c r="D37" s="80">
        <f t="shared" si="31"/>
        <v>0</v>
      </c>
      <c r="E37" s="80">
        <f t="shared" si="31"/>
        <v>0</v>
      </c>
      <c r="F37" s="80">
        <f t="shared" si="31"/>
        <v>0</v>
      </c>
      <c r="G37" s="80">
        <f t="shared" si="31"/>
        <v>0</v>
      </c>
      <c r="H37" s="80">
        <f t="shared" si="31"/>
        <v>0</v>
      </c>
      <c r="I37" s="80">
        <f t="shared" si="31"/>
        <v>0</v>
      </c>
      <c r="J37" s="80">
        <f t="shared" si="31"/>
        <v>0</v>
      </c>
      <c r="K37" s="80">
        <f t="shared" si="31"/>
        <v>0</v>
      </c>
      <c r="L37" s="80">
        <f t="shared" si="31"/>
        <v>0</v>
      </c>
      <c r="M37" s="80">
        <f t="shared" si="31"/>
        <v>0</v>
      </c>
      <c r="N37" s="244">
        <f>SUM(B37:M37)</f>
        <v>0</v>
      </c>
    </row>
    <row r="38" spans="1:14" x14ac:dyDescent="0.35">
      <c r="A38" s="238" t="s">
        <v>93</v>
      </c>
      <c r="B38" s="239">
        <f>+'Plan de culture 105'!$I$19</f>
        <v>0</v>
      </c>
      <c r="C38" s="239">
        <f>+B38</f>
        <v>0</v>
      </c>
      <c r="D38" s="239">
        <f t="shared" ref="D38" si="32">+C38</f>
        <v>0</v>
      </c>
      <c r="E38" s="239">
        <f>+'Plan de culture 104 '!C34</f>
        <v>0</v>
      </c>
      <c r="F38" s="239">
        <f>+E38+'Plan de culture 104 '!D34+'Plan de culture 104 '!E34</f>
        <v>0</v>
      </c>
      <c r="G38" s="239">
        <f>+F38</f>
        <v>0</v>
      </c>
      <c r="H38" s="239">
        <f t="shared" ref="H38:M38" si="33">+G38</f>
        <v>0</v>
      </c>
      <c r="I38" s="239">
        <f t="shared" si="33"/>
        <v>0</v>
      </c>
      <c r="J38" s="239">
        <f t="shared" si="33"/>
        <v>0</v>
      </c>
      <c r="K38" s="239">
        <f t="shared" si="33"/>
        <v>0</v>
      </c>
      <c r="L38" s="239">
        <f t="shared" si="33"/>
        <v>0</v>
      </c>
      <c r="M38" s="239">
        <f t="shared" si="33"/>
        <v>0</v>
      </c>
      <c r="N38" s="240">
        <f>+'Plan de culture 105'!$I$19</f>
        <v>0</v>
      </c>
    </row>
    <row r="39" spans="1:14" x14ac:dyDescent="0.35">
      <c r="A39" s="238" t="s">
        <v>100</v>
      </c>
      <c r="B39" s="254">
        <v>0</v>
      </c>
      <c r="C39" s="254">
        <v>0</v>
      </c>
      <c r="D39" s="254">
        <v>0</v>
      </c>
      <c r="E39" s="254">
        <v>0</v>
      </c>
      <c r="F39" s="254">
        <v>0</v>
      </c>
      <c r="G39" s="254">
        <v>0</v>
      </c>
      <c r="H39" s="254">
        <v>0</v>
      </c>
      <c r="I39" s="254">
        <v>0</v>
      </c>
      <c r="J39" s="254">
        <v>0</v>
      </c>
      <c r="K39" s="254">
        <v>0</v>
      </c>
      <c r="L39" s="254">
        <v>0</v>
      </c>
      <c r="M39" s="254">
        <v>0</v>
      </c>
      <c r="N39" s="245" t="e">
        <f>+N37/N38</f>
        <v>#DIV/0!</v>
      </c>
    </row>
    <row r="40" spans="1:14" x14ac:dyDescent="0.35">
      <c r="A40" s="235" t="s">
        <v>92</v>
      </c>
      <c r="B40" s="80">
        <f>(B42*B41)</f>
        <v>0</v>
      </c>
      <c r="C40" s="80">
        <f t="shared" ref="C40:M40" si="34">(C42*C41)</f>
        <v>0</v>
      </c>
      <c r="D40" s="80">
        <f t="shared" si="34"/>
        <v>0</v>
      </c>
      <c r="E40" s="80">
        <f t="shared" si="34"/>
        <v>0</v>
      </c>
      <c r="F40" s="80">
        <f t="shared" si="34"/>
        <v>0</v>
      </c>
      <c r="G40" s="80">
        <f t="shared" si="34"/>
        <v>0</v>
      </c>
      <c r="H40" s="80">
        <f t="shared" si="34"/>
        <v>0</v>
      </c>
      <c r="I40" s="80">
        <f t="shared" si="34"/>
        <v>0</v>
      </c>
      <c r="J40" s="80">
        <f t="shared" si="34"/>
        <v>0</v>
      </c>
      <c r="K40" s="80">
        <f t="shared" si="34"/>
        <v>0</v>
      </c>
      <c r="L40" s="80">
        <f t="shared" si="34"/>
        <v>0</v>
      </c>
      <c r="M40" s="80">
        <f t="shared" si="34"/>
        <v>0</v>
      </c>
      <c r="N40" s="244">
        <f>SUM(B40:M40)</f>
        <v>0</v>
      </c>
    </row>
    <row r="41" spans="1:14" x14ac:dyDescent="0.35">
      <c r="A41" s="238" t="s">
        <v>93</v>
      </c>
      <c r="B41" s="239">
        <f>+'Plan de culture 105'!$I$25</f>
        <v>0</v>
      </c>
      <c r="C41" s="239">
        <f>+B41</f>
        <v>0</v>
      </c>
      <c r="D41" s="239">
        <f t="shared" ref="D41" si="35">+C41</f>
        <v>0</v>
      </c>
      <c r="E41" s="239">
        <f>+'Plan de culture 104 '!C37</f>
        <v>0</v>
      </c>
      <c r="F41" s="239">
        <f>+E41+'Plan de culture 104 '!D37+'Plan de culture 104 '!E37</f>
        <v>0</v>
      </c>
      <c r="G41" s="239">
        <f>+F41</f>
        <v>0</v>
      </c>
      <c r="H41" s="239">
        <f t="shared" ref="H41:M41" si="36">+G41</f>
        <v>0</v>
      </c>
      <c r="I41" s="239">
        <f t="shared" si="36"/>
        <v>0</v>
      </c>
      <c r="J41" s="239">
        <f t="shared" si="36"/>
        <v>0</v>
      </c>
      <c r="K41" s="239">
        <f t="shared" si="36"/>
        <v>0</v>
      </c>
      <c r="L41" s="239">
        <f t="shared" si="36"/>
        <v>0</v>
      </c>
      <c r="M41" s="239">
        <f t="shared" si="36"/>
        <v>0</v>
      </c>
      <c r="N41" s="240">
        <f>+'Plan de culture 105'!$I$25</f>
        <v>0</v>
      </c>
    </row>
    <row r="42" spans="1:14" x14ac:dyDescent="0.35">
      <c r="A42" s="238" t="s">
        <v>100</v>
      </c>
      <c r="B42" s="254">
        <v>0</v>
      </c>
      <c r="C42" s="254">
        <v>0</v>
      </c>
      <c r="D42" s="254">
        <v>0</v>
      </c>
      <c r="E42" s="254">
        <v>0</v>
      </c>
      <c r="F42" s="254">
        <v>0</v>
      </c>
      <c r="G42" s="254">
        <v>0</v>
      </c>
      <c r="H42" s="254">
        <v>0</v>
      </c>
      <c r="I42" s="254">
        <v>0</v>
      </c>
      <c r="J42" s="254">
        <v>0</v>
      </c>
      <c r="K42" s="254">
        <v>0</v>
      </c>
      <c r="L42" s="254">
        <v>0</v>
      </c>
      <c r="M42" s="254">
        <v>0</v>
      </c>
      <c r="N42" s="245" t="e">
        <f>+N40/N41</f>
        <v>#DIV/0!</v>
      </c>
    </row>
    <row r="43" spans="1:14" x14ac:dyDescent="0.35">
      <c r="A43" s="235" t="s">
        <v>377</v>
      </c>
      <c r="B43" s="80">
        <f>(B45*B44)</f>
        <v>0</v>
      </c>
      <c r="C43" s="80">
        <f t="shared" ref="C43:M43" si="37">(C45*C44)</f>
        <v>0</v>
      </c>
      <c r="D43" s="80">
        <f t="shared" si="37"/>
        <v>0</v>
      </c>
      <c r="E43" s="80">
        <f t="shared" si="37"/>
        <v>0</v>
      </c>
      <c r="F43" s="80">
        <f t="shared" si="37"/>
        <v>0</v>
      </c>
      <c r="G43" s="80">
        <f t="shared" si="37"/>
        <v>0</v>
      </c>
      <c r="H43" s="80">
        <f t="shared" si="37"/>
        <v>0</v>
      </c>
      <c r="I43" s="80">
        <f t="shared" si="37"/>
        <v>0</v>
      </c>
      <c r="J43" s="80">
        <f t="shared" si="37"/>
        <v>0</v>
      </c>
      <c r="K43" s="80">
        <f t="shared" si="37"/>
        <v>0</v>
      </c>
      <c r="L43" s="80">
        <f t="shared" si="37"/>
        <v>0</v>
      </c>
      <c r="M43" s="80">
        <f t="shared" si="37"/>
        <v>0</v>
      </c>
      <c r="N43" s="244">
        <f>SUM(B43:M43)</f>
        <v>0</v>
      </c>
    </row>
    <row r="44" spans="1:14" x14ac:dyDescent="0.35">
      <c r="A44" s="238" t="s">
        <v>93</v>
      </c>
      <c r="B44" s="239">
        <f>+'Plan de culture 105'!$I$31</f>
        <v>0</v>
      </c>
      <c r="C44" s="239">
        <f>+B44</f>
        <v>0</v>
      </c>
      <c r="D44" s="239">
        <f t="shared" ref="D44" si="38">+C44</f>
        <v>0</v>
      </c>
      <c r="E44" s="239">
        <f>+'Plan de culture 104 '!C40</f>
        <v>0</v>
      </c>
      <c r="F44" s="239">
        <f>+E44+'Plan de culture 104 '!D40+'Plan de culture 104 '!E40</f>
        <v>0</v>
      </c>
      <c r="G44" s="239">
        <f>+F44</f>
        <v>0</v>
      </c>
      <c r="H44" s="239">
        <f t="shared" ref="H44:M44" si="39">+G44</f>
        <v>0</v>
      </c>
      <c r="I44" s="239">
        <f t="shared" si="39"/>
        <v>0</v>
      </c>
      <c r="J44" s="239">
        <f t="shared" si="39"/>
        <v>0</v>
      </c>
      <c r="K44" s="239">
        <f t="shared" si="39"/>
        <v>0</v>
      </c>
      <c r="L44" s="239">
        <f t="shared" si="39"/>
        <v>0</v>
      </c>
      <c r="M44" s="239">
        <f t="shared" si="39"/>
        <v>0</v>
      </c>
      <c r="N44" s="240">
        <f>+'Plan de culture 105'!$I$31</f>
        <v>0</v>
      </c>
    </row>
    <row r="45" spans="1:14" x14ac:dyDescent="0.35">
      <c r="A45" s="238" t="s">
        <v>100</v>
      </c>
      <c r="B45" s="254">
        <v>0</v>
      </c>
      <c r="C45" s="254">
        <v>0</v>
      </c>
      <c r="D45" s="254">
        <v>0</v>
      </c>
      <c r="E45" s="254">
        <v>0</v>
      </c>
      <c r="F45" s="254">
        <v>0</v>
      </c>
      <c r="G45" s="254">
        <v>0</v>
      </c>
      <c r="H45" s="254">
        <v>0</v>
      </c>
      <c r="I45" s="254">
        <v>0</v>
      </c>
      <c r="J45" s="254">
        <v>0</v>
      </c>
      <c r="K45" s="254">
        <v>0</v>
      </c>
      <c r="L45" s="254">
        <v>0</v>
      </c>
      <c r="M45" s="254">
        <v>0</v>
      </c>
      <c r="N45" s="245" t="e">
        <f>+N43/N44</f>
        <v>#DIV/0!</v>
      </c>
    </row>
    <row r="46" spans="1:14" x14ac:dyDescent="0.35">
      <c r="A46" s="235" t="s">
        <v>378</v>
      </c>
      <c r="B46" s="80">
        <f>(B48*B47)</f>
        <v>0</v>
      </c>
      <c r="C46" s="80">
        <f t="shared" ref="C46:M46" si="40">(C48*C47)</f>
        <v>0</v>
      </c>
      <c r="D46" s="80">
        <f t="shared" si="40"/>
        <v>0</v>
      </c>
      <c r="E46" s="80">
        <f t="shared" si="40"/>
        <v>0</v>
      </c>
      <c r="F46" s="80">
        <f t="shared" si="40"/>
        <v>0</v>
      </c>
      <c r="G46" s="80">
        <f t="shared" si="40"/>
        <v>0</v>
      </c>
      <c r="H46" s="80">
        <f t="shared" si="40"/>
        <v>0</v>
      </c>
      <c r="I46" s="80">
        <f t="shared" si="40"/>
        <v>0</v>
      </c>
      <c r="J46" s="80">
        <f t="shared" si="40"/>
        <v>0</v>
      </c>
      <c r="K46" s="80">
        <f t="shared" si="40"/>
        <v>0</v>
      </c>
      <c r="L46" s="80">
        <f t="shared" si="40"/>
        <v>0</v>
      </c>
      <c r="M46" s="80">
        <f t="shared" si="40"/>
        <v>0</v>
      </c>
      <c r="N46" s="244">
        <f>SUM(B46:M46)</f>
        <v>0</v>
      </c>
    </row>
    <row r="47" spans="1:14" x14ac:dyDescent="0.35">
      <c r="A47" s="238" t="s">
        <v>93</v>
      </c>
      <c r="B47" s="239">
        <f>+'Plan de culture 105'!$I$37</f>
        <v>0</v>
      </c>
      <c r="C47" s="239">
        <f>+B47</f>
        <v>0</v>
      </c>
      <c r="D47" s="239">
        <f t="shared" ref="D47" si="41">+C47</f>
        <v>0</v>
      </c>
      <c r="E47" s="239">
        <f>+'Plan de culture 104 '!C43</f>
        <v>0</v>
      </c>
      <c r="F47" s="239">
        <f>+E47+'Plan de culture 104 '!D43+'Plan de culture 104 '!E43</f>
        <v>0</v>
      </c>
      <c r="G47" s="239">
        <f>+F47</f>
        <v>0</v>
      </c>
      <c r="H47" s="239">
        <f t="shared" ref="H47:M47" si="42">+G47</f>
        <v>0</v>
      </c>
      <c r="I47" s="239">
        <f t="shared" si="42"/>
        <v>0</v>
      </c>
      <c r="J47" s="239">
        <f t="shared" si="42"/>
        <v>0</v>
      </c>
      <c r="K47" s="239">
        <f t="shared" si="42"/>
        <v>0</v>
      </c>
      <c r="L47" s="239">
        <f t="shared" si="42"/>
        <v>0</v>
      </c>
      <c r="M47" s="239">
        <f t="shared" si="42"/>
        <v>0</v>
      </c>
      <c r="N47" s="240">
        <f>+'Plan de culture 105'!$I$37</f>
        <v>0</v>
      </c>
    </row>
    <row r="48" spans="1:14" ht="12" thickBot="1" x14ac:dyDescent="0.4">
      <c r="A48" s="238" t="s">
        <v>100</v>
      </c>
      <c r="B48" s="254">
        <v>0</v>
      </c>
      <c r="C48" s="254">
        <v>0</v>
      </c>
      <c r="D48" s="254">
        <v>0</v>
      </c>
      <c r="E48" s="254">
        <v>0</v>
      </c>
      <c r="F48" s="254">
        <v>0</v>
      </c>
      <c r="G48" s="254">
        <v>0</v>
      </c>
      <c r="H48" s="254">
        <v>0</v>
      </c>
      <c r="I48" s="254">
        <v>0</v>
      </c>
      <c r="J48" s="254">
        <v>0</v>
      </c>
      <c r="K48" s="254">
        <v>0</v>
      </c>
      <c r="L48" s="254">
        <v>0</v>
      </c>
      <c r="M48" s="254">
        <v>0</v>
      </c>
      <c r="N48" s="245" t="e">
        <f>+N46/N47</f>
        <v>#DIV/0!</v>
      </c>
    </row>
    <row r="49" spans="1:14" x14ac:dyDescent="0.35">
      <c r="A49" s="233" t="s">
        <v>400</v>
      </c>
      <c r="B49" s="242">
        <f t="shared" ref="B49:M49" si="43">+B52+B55+B58+B61+B64+B67</f>
        <v>0</v>
      </c>
      <c r="C49" s="242">
        <f t="shared" si="43"/>
        <v>0</v>
      </c>
      <c r="D49" s="242">
        <f t="shared" si="43"/>
        <v>0</v>
      </c>
      <c r="E49" s="242">
        <f t="shared" si="43"/>
        <v>0</v>
      </c>
      <c r="F49" s="242">
        <f t="shared" si="43"/>
        <v>0</v>
      </c>
      <c r="G49" s="242">
        <f t="shared" si="43"/>
        <v>0</v>
      </c>
      <c r="H49" s="242">
        <f t="shared" si="43"/>
        <v>0</v>
      </c>
      <c r="I49" s="242">
        <f t="shared" si="43"/>
        <v>0</v>
      </c>
      <c r="J49" s="242">
        <f t="shared" si="43"/>
        <v>0</v>
      </c>
      <c r="K49" s="242">
        <f t="shared" si="43"/>
        <v>0</v>
      </c>
      <c r="L49" s="242">
        <f t="shared" si="43"/>
        <v>0</v>
      </c>
      <c r="M49" s="242">
        <f t="shared" si="43"/>
        <v>0</v>
      </c>
      <c r="N49" s="243">
        <f>SUM(B49:M49)</f>
        <v>0</v>
      </c>
    </row>
    <row r="50" spans="1:14" x14ac:dyDescent="0.35">
      <c r="A50" s="234" t="s">
        <v>93</v>
      </c>
      <c r="B50" s="83">
        <f t="shared" ref="B50:M50" si="44">+B53+B56+B59+B62+B65+B68</f>
        <v>5.5750000000000002</v>
      </c>
      <c r="C50" s="83">
        <f t="shared" si="44"/>
        <v>5.5750000000000002</v>
      </c>
      <c r="D50" s="83">
        <f t="shared" si="44"/>
        <v>5.5750000000000002</v>
      </c>
      <c r="E50" s="83">
        <f t="shared" si="44"/>
        <v>5.5750000000000002</v>
      </c>
      <c r="F50" s="83">
        <f t="shared" si="44"/>
        <v>5.5750000000000002</v>
      </c>
      <c r="G50" s="83">
        <f t="shared" si="44"/>
        <v>5.5750000000000002</v>
      </c>
      <c r="H50" s="83">
        <f t="shared" si="44"/>
        <v>5.5750000000000002</v>
      </c>
      <c r="I50" s="83">
        <f t="shared" si="44"/>
        <v>5.5750000000000002</v>
      </c>
      <c r="J50" s="83">
        <f t="shared" si="44"/>
        <v>5.5750000000000002</v>
      </c>
      <c r="K50" s="83">
        <f t="shared" si="44"/>
        <v>5.5750000000000002</v>
      </c>
      <c r="L50" s="83">
        <f t="shared" si="44"/>
        <v>5.5750000000000002</v>
      </c>
      <c r="M50" s="83">
        <f t="shared" si="44"/>
        <v>5.5750000000000002</v>
      </c>
      <c r="N50" s="248">
        <f>+M50</f>
        <v>5.5750000000000002</v>
      </c>
    </row>
    <row r="51" spans="1:14" x14ac:dyDescent="0.35">
      <c r="A51" s="234" t="s">
        <v>397</v>
      </c>
      <c r="B51" s="83">
        <f t="shared" ref="B51:N51" si="45">+B49/B50</f>
        <v>0</v>
      </c>
      <c r="C51" s="83">
        <f t="shared" si="45"/>
        <v>0</v>
      </c>
      <c r="D51" s="83">
        <f t="shared" si="45"/>
        <v>0</v>
      </c>
      <c r="E51" s="83">
        <f t="shared" si="45"/>
        <v>0</v>
      </c>
      <c r="F51" s="83">
        <f t="shared" si="45"/>
        <v>0</v>
      </c>
      <c r="G51" s="83">
        <f t="shared" si="45"/>
        <v>0</v>
      </c>
      <c r="H51" s="83">
        <f t="shared" si="45"/>
        <v>0</v>
      </c>
      <c r="I51" s="83">
        <f t="shared" si="45"/>
        <v>0</v>
      </c>
      <c r="J51" s="83">
        <f t="shared" si="45"/>
        <v>0</v>
      </c>
      <c r="K51" s="83">
        <f t="shared" si="45"/>
        <v>0</v>
      </c>
      <c r="L51" s="83">
        <f t="shared" si="45"/>
        <v>0</v>
      </c>
      <c r="M51" s="83">
        <f t="shared" si="45"/>
        <v>0</v>
      </c>
      <c r="N51" s="249">
        <f t="shared" si="45"/>
        <v>0</v>
      </c>
    </row>
    <row r="52" spans="1:14" x14ac:dyDescent="0.35">
      <c r="A52" s="235" t="s">
        <v>90</v>
      </c>
      <c r="B52" s="80">
        <f>(B53*B54)</f>
        <v>0</v>
      </c>
      <c r="C52" s="80">
        <f t="shared" ref="C52:M52" si="46">(C53*C54)</f>
        <v>0</v>
      </c>
      <c r="D52" s="80">
        <f t="shared" si="46"/>
        <v>0</v>
      </c>
      <c r="E52" s="80">
        <f t="shared" si="46"/>
        <v>0</v>
      </c>
      <c r="F52" s="80">
        <f t="shared" si="46"/>
        <v>0</v>
      </c>
      <c r="G52" s="80">
        <f t="shared" si="46"/>
        <v>0</v>
      </c>
      <c r="H52" s="80">
        <f t="shared" si="46"/>
        <v>0</v>
      </c>
      <c r="I52" s="80">
        <f t="shared" si="46"/>
        <v>0</v>
      </c>
      <c r="J52" s="80">
        <f t="shared" si="46"/>
        <v>0</v>
      </c>
      <c r="K52" s="80">
        <f t="shared" si="46"/>
        <v>0</v>
      </c>
      <c r="L52" s="80">
        <f t="shared" si="46"/>
        <v>0</v>
      </c>
      <c r="M52" s="80">
        <f t="shared" si="46"/>
        <v>0</v>
      </c>
      <c r="N52" s="244">
        <f>SUM(B52:M52)</f>
        <v>0</v>
      </c>
    </row>
    <row r="53" spans="1:14" x14ac:dyDescent="0.35">
      <c r="A53" s="238" t="s">
        <v>93</v>
      </c>
      <c r="B53" s="239">
        <f>+'Plan de culture 106'!$J$7</f>
        <v>0</v>
      </c>
      <c r="C53" s="239">
        <f>+B53</f>
        <v>0</v>
      </c>
      <c r="D53" s="239">
        <f t="shared" ref="D53" si="47">+C53</f>
        <v>0</v>
      </c>
      <c r="E53" s="239">
        <f>+D53</f>
        <v>0</v>
      </c>
      <c r="F53" s="239">
        <f>+E53</f>
        <v>0</v>
      </c>
      <c r="G53" s="239">
        <f>+F53</f>
        <v>0</v>
      </c>
      <c r="H53" s="239">
        <f t="shared" ref="H53:M53" si="48">+G53</f>
        <v>0</v>
      </c>
      <c r="I53" s="239">
        <f t="shared" si="48"/>
        <v>0</v>
      </c>
      <c r="J53" s="239">
        <f t="shared" si="48"/>
        <v>0</v>
      </c>
      <c r="K53" s="239">
        <f t="shared" si="48"/>
        <v>0</v>
      </c>
      <c r="L53" s="239">
        <f t="shared" si="48"/>
        <v>0</v>
      </c>
      <c r="M53" s="239">
        <f t="shared" si="48"/>
        <v>0</v>
      </c>
      <c r="N53" s="240">
        <f>+'Plan de culture 106'!$J$7</f>
        <v>0</v>
      </c>
    </row>
    <row r="54" spans="1:14" x14ac:dyDescent="0.35">
      <c r="A54" s="238" t="s">
        <v>100</v>
      </c>
      <c r="B54" s="254">
        <v>0</v>
      </c>
      <c r="C54" s="254">
        <v>0</v>
      </c>
      <c r="D54" s="254">
        <v>0</v>
      </c>
      <c r="E54" s="254">
        <v>0</v>
      </c>
      <c r="F54" s="254">
        <v>0</v>
      </c>
      <c r="G54" s="254">
        <v>0</v>
      </c>
      <c r="H54" s="254">
        <v>0</v>
      </c>
      <c r="I54" s="254">
        <v>0</v>
      </c>
      <c r="J54" s="254">
        <v>0</v>
      </c>
      <c r="K54" s="254">
        <v>0</v>
      </c>
      <c r="L54" s="254">
        <v>0</v>
      </c>
      <c r="M54" s="254">
        <v>0</v>
      </c>
      <c r="N54" s="245" t="e">
        <f>+N52/N53</f>
        <v>#DIV/0!</v>
      </c>
    </row>
    <row r="55" spans="1:14" x14ac:dyDescent="0.35">
      <c r="A55" s="235" t="s">
        <v>91</v>
      </c>
      <c r="B55" s="80">
        <f>(B57*B56)</f>
        <v>0</v>
      </c>
      <c r="C55" s="80">
        <f t="shared" ref="C55:M55" si="49">(C57*C56)</f>
        <v>0</v>
      </c>
      <c r="D55" s="80">
        <f t="shared" si="49"/>
        <v>0</v>
      </c>
      <c r="E55" s="80">
        <f t="shared" si="49"/>
        <v>0</v>
      </c>
      <c r="F55" s="80">
        <f t="shared" si="49"/>
        <v>0</v>
      </c>
      <c r="G55" s="80">
        <f t="shared" si="49"/>
        <v>0</v>
      </c>
      <c r="H55" s="80">
        <f t="shared" si="49"/>
        <v>0</v>
      </c>
      <c r="I55" s="80">
        <f t="shared" si="49"/>
        <v>0</v>
      </c>
      <c r="J55" s="80">
        <f t="shared" si="49"/>
        <v>0</v>
      </c>
      <c r="K55" s="80">
        <f t="shared" si="49"/>
        <v>0</v>
      </c>
      <c r="L55" s="80">
        <f t="shared" si="49"/>
        <v>0</v>
      </c>
      <c r="M55" s="80">
        <f t="shared" si="49"/>
        <v>0</v>
      </c>
      <c r="N55" s="244">
        <f>SUM(B55:M55)</f>
        <v>0</v>
      </c>
    </row>
    <row r="56" spans="1:14" x14ac:dyDescent="0.35">
      <c r="A56" s="238" t="s">
        <v>93</v>
      </c>
      <c r="B56" s="239">
        <f>+'Plan de culture 106'!$J$13</f>
        <v>0</v>
      </c>
      <c r="C56" s="239">
        <f>+B56</f>
        <v>0</v>
      </c>
      <c r="D56" s="239">
        <f t="shared" ref="D56:M56" si="50">+C56</f>
        <v>0</v>
      </c>
      <c r="E56" s="239">
        <f t="shared" si="50"/>
        <v>0</v>
      </c>
      <c r="F56" s="239">
        <f t="shared" si="50"/>
        <v>0</v>
      </c>
      <c r="G56" s="239">
        <f t="shared" si="50"/>
        <v>0</v>
      </c>
      <c r="H56" s="239">
        <f t="shared" si="50"/>
        <v>0</v>
      </c>
      <c r="I56" s="239">
        <f t="shared" si="50"/>
        <v>0</v>
      </c>
      <c r="J56" s="239">
        <f t="shared" si="50"/>
        <v>0</v>
      </c>
      <c r="K56" s="239">
        <f t="shared" si="50"/>
        <v>0</v>
      </c>
      <c r="L56" s="239">
        <f t="shared" si="50"/>
        <v>0</v>
      </c>
      <c r="M56" s="239">
        <f t="shared" si="50"/>
        <v>0</v>
      </c>
      <c r="N56" s="240">
        <f>+'Plan de culture 106'!$J$13</f>
        <v>0</v>
      </c>
    </row>
    <row r="57" spans="1:14" x14ac:dyDescent="0.35">
      <c r="A57" s="238" t="s">
        <v>100</v>
      </c>
      <c r="B57" s="254">
        <v>0</v>
      </c>
      <c r="C57" s="254">
        <v>0</v>
      </c>
      <c r="D57" s="254">
        <v>0</v>
      </c>
      <c r="E57" s="254">
        <v>0</v>
      </c>
      <c r="F57" s="254">
        <v>0</v>
      </c>
      <c r="G57" s="254">
        <v>0</v>
      </c>
      <c r="H57" s="254">
        <v>0</v>
      </c>
      <c r="I57" s="254">
        <v>0</v>
      </c>
      <c r="J57" s="254">
        <v>0</v>
      </c>
      <c r="K57" s="254">
        <v>0</v>
      </c>
      <c r="L57" s="254">
        <v>0</v>
      </c>
      <c r="M57" s="254">
        <v>0</v>
      </c>
      <c r="N57" s="245" t="e">
        <f>+N55/N56</f>
        <v>#DIV/0!</v>
      </c>
    </row>
    <row r="58" spans="1:14" x14ac:dyDescent="0.35">
      <c r="A58" s="235" t="s">
        <v>376</v>
      </c>
      <c r="B58" s="80">
        <f>(B60*B59)</f>
        <v>0</v>
      </c>
      <c r="C58" s="80">
        <f t="shared" ref="C58:M58" si="51">(C60*C59)</f>
        <v>0</v>
      </c>
      <c r="D58" s="80">
        <f t="shared" si="51"/>
        <v>0</v>
      </c>
      <c r="E58" s="80">
        <f t="shared" si="51"/>
        <v>0</v>
      </c>
      <c r="F58" s="80">
        <f t="shared" si="51"/>
        <v>0</v>
      </c>
      <c r="G58" s="80">
        <f t="shared" si="51"/>
        <v>0</v>
      </c>
      <c r="H58" s="80">
        <f t="shared" si="51"/>
        <v>0</v>
      </c>
      <c r="I58" s="80">
        <f t="shared" si="51"/>
        <v>0</v>
      </c>
      <c r="J58" s="80">
        <f t="shared" si="51"/>
        <v>0</v>
      </c>
      <c r="K58" s="80">
        <f t="shared" si="51"/>
        <v>0</v>
      </c>
      <c r="L58" s="80">
        <f t="shared" si="51"/>
        <v>0</v>
      </c>
      <c r="M58" s="80">
        <f t="shared" si="51"/>
        <v>0</v>
      </c>
      <c r="N58" s="244">
        <f>SUM(B58:M58)</f>
        <v>0</v>
      </c>
    </row>
    <row r="59" spans="1:14" x14ac:dyDescent="0.35">
      <c r="A59" s="238" t="s">
        <v>93</v>
      </c>
      <c r="B59" s="239">
        <f>+'Plan de culture 106'!$J$19</f>
        <v>5.5750000000000002</v>
      </c>
      <c r="C59" s="239">
        <f>+B59</f>
        <v>5.5750000000000002</v>
      </c>
      <c r="D59" s="239">
        <f t="shared" ref="D59:M59" si="52">+C59</f>
        <v>5.5750000000000002</v>
      </c>
      <c r="E59" s="239">
        <f t="shared" si="52"/>
        <v>5.5750000000000002</v>
      </c>
      <c r="F59" s="239">
        <f t="shared" si="52"/>
        <v>5.5750000000000002</v>
      </c>
      <c r="G59" s="239">
        <f t="shared" si="52"/>
        <v>5.5750000000000002</v>
      </c>
      <c r="H59" s="239">
        <f t="shared" si="52"/>
        <v>5.5750000000000002</v>
      </c>
      <c r="I59" s="239">
        <f t="shared" si="52"/>
        <v>5.5750000000000002</v>
      </c>
      <c r="J59" s="239">
        <f t="shared" si="52"/>
        <v>5.5750000000000002</v>
      </c>
      <c r="K59" s="239">
        <f t="shared" si="52"/>
        <v>5.5750000000000002</v>
      </c>
      <c r="L59" s="239">
        <f t="shared" si="52"/>
        <v>5.5750000000000002</v>
      </c>
      <c r="M59" s="239">
        <f t="shared" si="52"/>
        <v>5.5750000000000002</v>
      </c>
      <c r="N59" s="240">
        <f>+'Plan de culture 106'!$J$19</f>
        <v>5.5750000000000002</v>
      </c>
    </row>
    <row r="60" spans="1:14" x14ac:dyDescent="0.35">
      <c r="A60" s="238" t="s">
        <v>100</v>
      </c>
      <c r="B60" s="254">
        <v>0</v>
      </c>
      <c r="C60" s="254">
        <v>0</v>
      </c>
      <c r="D60" s="254">
        <v>0</v>
      </c>
      <c r="E60" s="254">
        <v>0</v>
      </c>
      <c r="F60" s="254">
        <v>0</v>
      </c>
      <c r="G60" s="254">
        <v>0</v>
      </c>
      <c r="H60" s="254">
        <v>0</v>
      </c>
      <c r="I60" s="254">
        <v>0</v>
      </c>
      <c r="J60" s="254">
        <v>0</v>
      </c>
      <c r="K60" s="254">
        <v>0</v>
      </c>
      <c r="L60" s="254">
        <v>0</v>
      </c>
      <c r="M60" s="254">
        <v>0</v>
      </c>
      <c r="N60" s="245">
        <f>+N58/N59</f>
        <v>0</v>
      </c>
    </row>
    <row r="61" spans="1:14" x14ac:dyDescent="0.35">
      <c r="A61" s="235" t="s">
        <v>92</v>
      </c>
      <c r="B61" s="80">
        <f>(B63*B62)</f>
        <v>0</v>
      </c>
      <c r="C61" s="80">
        <f t="shared" ref="C61:M61" si="53">(C63*C62)</f>
        <v>0</v>
      </c>
      <c r="D61" s="80">
        <f t="shared" si="53"/>
        <v>0</v>
      </c>
      <c r="E61" s="80">
        <f t="shared" si="53"/>
        <v>0</v>
      </c>
      <c r="F61" s="80">
        <f t="shared" si="53"/>
        <v>0</v>
      </c>
      <c r="G61" s="80">
        <f t="shared" si="53"/>
        <v>0</v>
      </c>
      <c r="H61" s="80">
        <f t="shared" si="53"/>
        <v>0</v>
      </c>
      <c r="I61" s="80">
        <f t="shared" si="53"/>
        <v>0</v>
      </c>
      <c r="J61" s="80">
        <f t="shared" si="53"/>
        <v>0</v>
      </c>
      <c r="K61" s="80">
        <f t="shared" si="53"/>
        <v>0</v>
      </c>
      <c r="L61" s="80">
        <f t="shared" si="53"/>
        <v>0</v>
      </c>
      <c r="M61" s="80">
        <f t="shared" si="53"/>
        <v>0</v>
      </c>
      <c r="N61" s="244">
        <f>SUM(B61:M61)</f>
        <v>0</v>
      </c>
    </row>
    <row r="62" spans="1:14" x14ac:dyDescent="0.35">
      <c r="A62" s="238" t="s">
        <v>93</v>
      </c>
      <c r="B62" s="239">
        <f>+'Plan de culture 106'!$J$25</f>
        <v>0</v>
      </c>
      <c r="C62" s="239">
        <f>+B62</f>
        <v>0</v>
      </c>
      <c r="D62" s="239">
        <f t="shared" ref="D62" si="54">+C62</f>
        <v>0</v>
      </c>
      <c r="E62" s="239">
        <f>+'Plan de culture 104 '!C58</f>
        <v>0</v>
      </c>
      <c r="F62" s="239">
        <f>+E62+'Plan de culture 104 '!D58+'Plan de culture 104 '!E58</f>
        <v>0</v>
      </c>
      <c r="G62" s="239">
        <f>+F62</f>
        <v>0</v>
      </c>
      <c r="H62" s="239">
        <f t="shared" ref="H62:M62" si="55">+G62</f>
        <v>0</v>
      </c>
      <c r="I62" s="239">
        <f t="shared" si="55"/>
        <v>0</v>
      </c>
      <c r="J62" s="239">
        <f t="shared" si="55"/>
        <v>0</v>
      </c>
      <c r="K62" s="239">
        <f t="shared" si="55"/>
        <v>0</v>
      </c>
      <c r="L62" s="239">
        <f t="shared" si="55"/>
        <v>0</v>
      </c>
      <c r="M62" s="239">
        <f t="shared" si="55"/>
        <v>0</v>
      </c>
      <c r="N62" s="240">
        <f>+'Plan de culture 106'!$J$25</f>
        <v>0</v>
      </c>
    </row>
    <row r="63" spans="1:14" x14ac:dyDescent="0.35">
      <c r="A63" s="238" t="s">
        <v>100</v>
      </c>
      <c r="B63" s="254">
        <v>0</v>
      </c>
      <c r="C63" s="254">
        <v>0</v>
      </c>
      <c r="D63" s="254">
        <v>0</v>
      </c>
      <c r="E63" s="254">
        <v>0</v>
      </c>
      <c r="F63" s="254">
        <v>0</v>
      </c>
      <c r="G63" s="254">
        <v>0</v>
      </c>
      <c r="H63" s="254">
        <v>0</v>
      </c>
      <c r="I63" s="254">
        <v>0</v>
      </c>
      <c r="J63" s="254">
        <v>0</v>
      </c>
      <c r="K63" s="254">
        <v>0</v>
      </c>
      <c r="L63" s="254">
        <v>0</v>
      </c>
      <c r="M63" s="254">
        <v>0</v>
      </c>
      <c r="N63" s="245" t="e">
        <f>+N61/N62</f>
        <v>#DIV/0!</v>
      </c>
    </row>
    <row r="64" spans="1:14" x14ac:dyDescent="0.35">
      <c r="A64" s="235" t="s">
        <v>377</v>
      </c>
      <c r="B64" s="80">
        <f>(B66*B65)</f>
        <v>0</v>
      </c>
      <c r="C64" s="80">
        <f t="shared" ref="C64:M64" si="56">(C66*C65)</f>
        <v>0</v>
      </c>
      <c r="D64" s="80">
        <f t="shared" si="56"/>
        <v>0</v>
      </c>
      <c r="E64" s="80">
        <f t="shared" si="56"/>
        <v>0</v>
      </c>
      <c r="F64" s="80">
        <f t="shared" si="56"/>
        <v>0</v>
      </c>
      <c r="G64" s="80">
        <f t="shared" si="56"/>
        <v>0</v>
      </c>
      <c r="H64" s="80">
        <f t="shared" si="56"/>
        <v>0</v>
      </c>
      <c r="I64" s="80">
        <f t="shared" si="56"/>
        <v>0</v>
      </c>
      <c r="J64" s="80">
        <f t="shared" si="56"/>
        <v>0</v>
      </c>
      <c r="K64" s="80">
        <f t="shared" si="56"/>
        <v>0</v>
      </c>
      <c r="L64" s="80">
        <f t="shared" si="56"/>
        <v>0</v>
      </c>
      <c r="M64" s="80">
        <f t="shared" si="56"/>
        <v>0</v>
      </c>
      <c r="N64" s="244">
        <f>SUM(B64:M64)</f>
        <v>0</v>
      </c>
    </row>
    <row r="65" spans="1:14" x14ac:dyDescent="0.35">
      <c r="A65" s="238" t="s">
        <v>93</v>
      </c>
      <c r="B65" s="239">
        <f>+'Plan de culture 106'!$J$31</f>
        <v>0</v>
      </c>
      <c r="C65" s="239">
        <f>+B65</f>
        <v>0</v>
      </c>
      <c r="D65" s="239">
        <f t="shared" ref="D65" si="57">+C65</f>
        <v>0</v>
      </c>
      <c r="E65" s="239">
        <f>+'Plan de culture 104 '!C61</f>
        <v>0</v>
      </c>
      <c r="F65" s="239">
        <f>+E65+'Plan de culture 104 '!D61+'Plan de culture 104 '!E61</f>
        <v>0</v>
      </c>
      <c r="G65" s="239">
        <f>+F65</f>
        <v>0</v>
      </c>
      <c r="H65" s="239">
        <f t="shared" ref="H65:M65" si="58">+G65</f>
        <v>0</v>
      </c>
      <c r="I65" s="239">
        <f t="shared" si="58"/>
        <v>0</v>
      </c>
      <c r="J65" s="239">
        <f t="shared" si="58"/>
        <v>0</v>
      </c>
      <c r="K65" s="239">
        <f t="shared" si="58"/>
        <v>0</v>
      </c>
      <c r="L65" s="239">
        <f t="shared" si="58"/>
        <v>0</v>
      </c>
      <c r="M65" s="239">
        <f t="shared" si="58"/>
        <v>0</v>
      </c>
      <c r="N65" s="240">
        <f>+'Plan de culture 106'!$J$31</f>
        <v>0</v>
      </c>
    </row>
    <row r="66" spans="1:14" x14ac:dyDescent="0.35">
      <c r="A66" s="238" t="s">
        <v>100</v>
      </c>
      <c r="B66" s="254">
        <v>0</v>
      </c>
      <c r="C66" s="254">
        <v>0</v>
      </c>
      <c r="D66" s="254">
        <v>0</v>
      </c>
      <c r="E66" s="254">
        <v>0</v>
      </c>
      <c r="F66" s="254">
        <v>0</v>
      </c>
      <c r="G66" s="254">
        <v>0</v>
      </c>
      <c r="H66" s="254">
        <v>0</v>
      </c>
      <c r="I66" s="254">
        <v>0</v>
      </c>
      <c r="J66" s="254">
        <v>0</v>
      </c>
      <c r="K66" s="254">
        <v>0</v>
      </c>
      <c r="L66" s="254">
        <v>0</v>
      </c>
      <c r="M66" s="254">
        <v>0</v>
      </c>
      <c r="N66" s="245" t="e">
        <f>+N64/N65</f>
        <v>#DIV/0!</v>
      </c>
    </row>
    <row r="67" spans="1:14" x14ac:dyDescent="0.35">
      <c r="A67" s="235" t="s">
        <v>378</v>
      </c>
      <c r="B67" s="80">
        <f>(B69*B68)</f>
        <v>0</v>
      </c>
      <c r="C67" s="80">
        <f t="shared" ref="C67:M67" si="59">(C69*C68)</f>
        <v>0</v>
      </c>
      <c r="D67" s="80">
        <f t="shared" si="59"/>
        <v>0</v>
      </c>
      <c r="E67" s="80">
        <f t="shared" si="59"/>
        <v>0</v>
      </c>
      <c r="F67" s="80">
        <f t="shared" si="59"/>
        <v>0</v>
      </c>
      <c r="G67" s="80">
        <f t="shared" si="59"/>
        <v>0</v>
      </c>
      <c r="H67" s="80">
        <f t="shared" si="59"/>
        <v>0</v>
      </c>
      <c r="I67" s="80">
        <f t="shared" si="59"/>
        <v>0</v>
      </c>
      <c r="J67" s="80">
        <f t="shared" si="59"/>
        <v>0</v>
      </c>
      <c r="K67" s="80">
        <f t="shared" si="59"/>
        <v>0</v>
      </c>
      <c r="L67" s="80">
        <f t="shared" si="59"/>
        <v>0</v>
      </c>
      <c r="M67" s="80">
        <f t="shared" si="59"/>
        <v>0</v>
      </c>
      <c r="N67" s="244">
        <f>SUM(B67:M67)</f>
        <v>0</v>
      </c>
    </row>
    <row r="68" spans="1:14" x14ac:dyDescent="0.35">
      <c r="A68" s="238" t="s">
        <v>93</v>
      </c>
      <c r="B68" s="239">
        <f>+'Plan de culture 106'!$J$37</f>
        <v>0</v>
      </c>
      <c r="C68" s="239">
        <f>+B68</f>
        <v>0</v>
      </c>
      <c r="D68" s="239">
        <f t="shared" ref="D68" si="60">+C68</f>
        <v>0</v>
      </c>
      <c r="E68" s="239">
        <f>+'Plan de culture 104 '!C64</f>
        <v>0</v>
      </c>
      <c r="F68" s="239">
        <f>+E68+'Plan de culture 104 '!D64+'Plan de culture 104 '!E64</f>
        <v>0</v>
      </c>
      <c r="G68" s="239">
        <f>+F68</f>
        <v>0</v>
      </c>
      <c r="H68" s="239">
        <f t="shared" ref="H68:M68" si="61">+G68</f>
        <v>0</v>
      </c>
      <c r="I68" s="239">
        <f t="shared" si="61"/>
        <v>0</v>
      </c>
      <c r="J68" s="239">
        <f t="shared" si="61"/>
        <v>0</v>
      </c>
      <c r="K68" s="239">
        <f t="shared" si="61"/>
        <v>0</v>
      </c>
      <c r="L68" s="239">
        <f t="shared" si="61"/>
        <v>0</v>
      </c>
      <c r="M68" s="239">
        <f t="shared" si="61"/>
        <v>0</v>
      </c>
      <c r="N68" s="240">
        <f>+'Plan de culture 106'!$J$37</f>
        <v>0</v>
      </c>
    </row>
    <row r="69" spans="1:14" ht="12" thickBot="1" x14ac:dyDescent="0.4">
      <c r="A69" s="238" t="s">
        <v>100</v>
      </c>
      <c r="B69" s="254">
        <v>0</v>
      </c>
      <c r="C69" s="254">
        <v>0</v>
      </c>
      <c r="D69" s="254">
        <v>0</v>
      </c>
      <c r="E69" s="254">
        <v>0</v>
      </c>
      <c r="F69" s="254">
        <v>0</v>
      </c>
      <c r="G69" s="254">
        <v>0</v>
      </c>
      <c r="H69" s="254">
        <v>0</v>
      </c>
      <c r="I69" s="254">
        <v>0</v>
      </c>
      <c r="J69" s="254">
        <v>0</v>
      </c>
      <c r="K69" s="254">
        <v>0</v>
      </c>
      <c r="L69" s="254">
        <v>0</v>
      </c>
      <c r="M69" s="254">
        <v>0</v>
      </c>
      <c r="N69" s="245" t="e">
        <f>+N67/N68</f>
        <v>#DIV/0!</v>
      </c>
    </row>
    <row r="70" spans="1:14" x14ac:dyDescent="0.35">
      <c r="A70" s="233" t="s">
        <v>399</v>
      </c>
      <c r="B70" s="242">
        <f t="shared" ref="B70:M70" si="62">+B73+B76+B79+B82+B85+B88</f>
        <v>0</v>
      </c>
      <c r="C70" s="242">
        <f t="shared" si="62"/>
        <v>0</v>
      </c>
      <c r="D70" s="242">
        <f t="shared" si="62"/>
        <v>0</v>
      </c>
      <c r="E70" s="242">
        <f t="shared" si="62"/>
        <v>0</v>
      </c>
      <c r="F70" s="242">
        <f t="shared" si="62"/>
        <v>0</v>
      </c>
      <c r="G70" s="242">
        <f t="shared" si="62"/>
        <v>0</v>
      </c>
      <c r="H70" s="242">
        <f t="shared" si="62"/>
        <v>0</v>
      </c>
      <c r="I70" s="242">
        <f t="shared" si="62"/>
        <v>0</v>
      </c>
      <c r="J70" s="242">
        <f t="shared" si="62"/>
        <v>0</v>
      </c>
      <c r="K70" s="242">
        <f t="shared" si="62"/>
        <v>0</v>
      </c>
      <c r="L70" s="242">
        <f t="shared" si="62"/>
        <v>0</v>
      </c>
      <c r="M70" s="242">
        <f t="shared" si="62"/>
        <v>0</v>
      </c>
      <c r="N70" s="243">
        <f>SUM(B70:M70)</f>
        <v>0</v>
      </c>
    </row>
    <row r="71" spans="1:14" x14ac:dyDescent="0.35">
      <c r="A71" s="234" t="s">
        <v>93</v>
      </c>
      <c r="B71" s="83">
        <f t="shared" ref="B71:M71" si="63">+B74+B77+B80+B83+B86+B89</f>
        <v>16.558</v>
      </c>
      <c r="C71" s="83">
        <f t="shared" si="63"/>
        <v>16.558</v>
      </c>
      <c r="D71" s="83">
        <f t="shared" si="63"/>
        <v>16.558</v>
      </c>
      <c r="E71" s="83">
        <f t="shared" si="63"/>
        <v>16.558</v>
      </c>
      <c r="F71" s="83">
        <f t="shared" si="63"/>
        <v>16.558</v>
      </c>
      <c r="G71" s="83">
        <f t="shared" si="63"/>
        <v>16.558</v>
      </c>
      <c r="H71" s="83">
        <f t="shared" si="63"/>
        <v>16.558</v>
      </c>
      <c r="I71" s="83">
        <f t="shared" si="63"/>
        <v>16.558</v>
      </c>
      <c r="J71" s="83">
        <f t="shared" si="63"/>
        <v>16.558</v>
      </c>
      <c r="K71" s="83">
        <f t="shared" si="63"/>
        <v>16.558</v>
      </c>
      <c r="L71" s="83">
        <f t="shared" si="63"/>
        <v>16.558</v>
      </c>
      <c r="M71" s="83">
        <f t="shared" si="63"/>
        <v>16.558</v>
      </c>
      <c r="N71" s="248">
        <f>+M71</f>
        <v>16.558</v>
      </c>
    </row>
    <row r="72" spans="1:14" x14ac:dyDescent="0.35">
      <c r="A72" s="234" t="s">
        <v>397</v>
      </c>
      <c r="B72" s="83">
        <f t="shared" ref="B72:N72" si="64">+B70/B71</f>
        <v>0</v>
      </c>
      <c r="C72" s="83">
        <f t="shared" si="64"/>
        <v>0</v>
      </c>
      <c r="D72" s="83">
        <f t="shared" si="64"/>
        <v>0</v>
      </c>
      <c r="E72" s="83">
        <f t="shared" si="64"/>
        <v>0</v>
      </c>
      <c r="F72" s="83">
        <f t="shared" si="64"/>
        <v>0</v>
      </c>
      <c r="G72" s="83">
        <f t="shared" si="64"/>
        <v>0</v>
      </c>
      <c r="H72" s="83">
        <f t="shared" si="64"/>
        <v>0</v>
      </c>
      <c r="I72" s="83">
        <f t="shared" si="64"/>
        <v>0</v>
      </c>
      <c r="J72" s="83">
        <f t="shared" si="64"/>
        <v>0</v>
      </c>
      <c r="K72" s="83">
        <f t="shared" si="64"/>
        <v>0</v>
      </c>
      <c r="L72" s="83">
        <f t="shared" si="64"/>
        <v>0</v>
      </c>
      <c r="M72" s="83">
        <f t="shared" si="64"/>
        <v>0</v>
      </c>
      <c r="N72" s="249">
        <f t="shared" si="64"/>
        <v>0</v>
      </c>
    </row>
    <row r="73" spans="1:14" x14ac:dyDescent="0.35">
      <c r="A73" s="235" t="s">
        <v>90</v>
      </c>
      <c r="B73" s="80">
        <f>(B74*B75)</f>
        <v>0</v>
      </c>
      <c r="C73" s="80">
        <f t="shared" ref="C73:M73" si="65">(C74*C75)</f>
        <v>0</v>
      </c>
      <c r="D73" s="80">
        <f t="shared" si="65"/>
        <v>0</v>
      </c>
      <c r="E73" s="80">
        <f t="shared" si="65"/>
        <v>0</v>
      </c>
      <c r="F73" s="80">
        <f t="shared" si="65"/>
        <v>0</v>
      </c>
      <c r="G73" s="80">
        <f t="shared" si="65"/>
        <v>0</v>
      </c>
      <c r="H73" s="80">
        <f t="shared" si="65"/>
        <v>0</v>
      </c>
      <c r="I73" s="80">
        <f t="shared" si="65"/>
        <v>0</v>
      </c>
      <c r="J73" s="80">
        <f t="shared" si="65"/>
        <v>0</v>
      </c>
      <c r="K73" s="80">
        <f t="shared" si="65"/>
        <v>0</v>
      </c>
      <c r="L73" s="80">
        <f t="shared" si="65"/>
        <v>0</v>
      </c>
      <c r="M73" s="80">
        <f t="shared" si="65"/>
        <v>0</v>
      </c>
      <c r="N73" s="244">
        <f>SUM(B73:M73)</f>
        <v>0</v>
      </c>
    </row>
    <row r="74" spans="1:14" x14ac:dyDescent="0.35">
      <c r="A74" s="238" t="s">
        <v>93</v>
      </c>
      <c r="B74" s="239">
        <f>+'Plan de culture 107'!$Z$7</f>
        <v>0</v>
      </c>
      <c r="C74" s="239">
        <f>+B74</f>
        <v>0</v>
      </c>
      <c r="D74" s="239">
        <f t="shared" ref="D74" si="66">+C74</f>
        <v>0</v>
      </c>
      <c r="E74" s="239">
        <f>+D74</f>
        <v>0</v>
      </c>
      <c r="F74" s="239">
        <f>+E74</f>
        <v>0</v>
      </c>
      <c r="G74" s="239">
        <f>+F74</f>
        <v>0</v>
      </c>
      <c r="H74" s="239">
        <f t="shared" ref="H74:M74" si="67">+G74</f>
        <v>0</v>
      </c>
      <c r="I74" s="239">
        <f t="shared" si="67"/>
        <v>0</v>
      </c>
      <c r="J74" s="239">
        <f t="shared" si="67"/>
        <v>0</v>
      </c>
      <c r="K74" s="239">
        <f t="shared" si="67"/>
        <v>0</v>
      </c>
      <c r="L74" s="239">
        <f t="shared" si="67"/>
        <v>0</v>
      </c>
      <c r="M74" s="239">
        <f t="shared" si="67"/>
        <v>0</v>
      </c>
      <c r="N74" s="240">
        <f>+'Plan de culture 107'!$Z$7</f>
        <v>0</v>
      </c>
    </row>
    <row r="75" spans="1:14" x14ac:dyDescent="0.35">
      <c r="A75" s="238" t="s">
        <v>100</v>
      </c>
      <c r="B75" s="254">
        <v>0</v>
      </c>
      <c r="C75" s="254">
        <v>0</v>
      </c>
      <c r="D75" s="254">
        <v>0</v>
      </c>
      <c r="E75" s="254">
        <v>0</v>
      </c>
      <c r="F75" s="254">
        <v>0</v>
      </c>
      <c r="G75" s="254">
        <v>0</v>
      </c>
      <c r="H75" s="254">
        <v>0</v>
      </c>
      <c r="I75" s="254">
        <v>0</v>
      </c>
      <c r="J75" s="254">
        <v>0</v>
      </c>
      <c r="K75" s="254">
        <v>0</v>
      </c>
      <c r="L75" s="254">
        <v>0</v>
      </c>
      <c r="M75" s="254">
        <v>0</v>
      </c>
      <c r="N75" s="245" t="e">
        <f>+N73/N74</f>
        <v>#DIV/0!</v>
      </c>
    </row>
    <row r="76" spans="1:14" x14ac:dyDescent="0.35">
      <c r="A76" s="235" t="s">
        <v>91</v>
      </c>
      <c r="B76" s="80">
        <f>(B78*B77)</f>
        <v>0</v>
      </c>
      <c r="C76" s="80">
        <f t="shared" ref="C76:M76" si="68">(C78*C77)</f>
        <v>0</v>
      </c>
      <c r="D76" s="80">
        <f t="shared" si="68"/>
        <v>0</v>
      </c>
      <c r="E76" s="80">
        <f t="shared" si="68"/>
        <v>0</v>
      </c>
      <c r="F76" s="80">
        <f t="shared" si="68"/>
        <v>0</v>
      </c>
      <c r="G76" s="80">
        <f t="shared" si="68"/>
        <v>0</v>
      </c>
      <c r="H76" s="80">
        <f t="shared" si="68"/>
        <v>0</v>
      </c>
      <c r="I76" s="80">
        <f t="shared" si="68"/>
        <v>0</v>
      </c>
      <c r="J76" s="80">
        <f t="shared" si="68"/>
        <v>0</v>
      </c>
      <c r="K76" s="80">
        <f t="shared" si="68"/>
        <v>0</v>
      </c>
      <c r="L76" s="80">
        <f t="shared" si="68"/>
        <v>0</v>
      </c>
      <c r="M76" s="80">
        <f t="shared" si="68"/>
        <v>0</v>
      </c>
      <c r="N76" s="244">
        <f>SUM(B76:M76)</f>
        <v>0</v>
      </c>
    </row>
    <row r="77" spans="1:14" x14ac:dyDescent="0.35">
      <c r="A77" s="238" t="s">
        <v>93</v>
      </c>
      <c r="B77" s="239">
        <f>+'Plan de culture 107'!$Z$13</f>
        <v>0</v>
      </c>
      <c r="C77" s="239">
        <f>+B77</f>
        <v>0</v>
      </c>
      <c r="D77" s="239">
        <f t="shared" ref="D77:M77" si="69">+C77</f>
        <v>0</v>
      </c>
      <c r="E77" s="239">
        <f t="shared" si="69"/>
        <v>0</v>
      </c>
      <c r="F77" s="239">
        <f t="shared" si="69"/>
        <v>0</v>
      </c>
      <c r="G77" s="239">
        <f t="shared" si="69"/>
        <v>0</v>
      </c>
      <c r="H77" s="239">
        <f t="shared" si="69"/>
        <v>0</v>
      </c>
      <c r="I77" s="239">
        <f t="shared" si="69"/>
        <v>0</v>
      </c>
      <c r="J77" s="239">
        <f t="shared" si="69"/>
        <v>0</v>
      </c>
      <c r="K77" s="239">
        <f t="shared" si="69"/>
        <v>0</v>
      </c>
      <c r="L77" s="239">
        <f t="shared" si="69"/>
        <v>0</v>
      </c>
      <c r="M77" s="239">
        <f t="shared" si="69"/>
        <v>0</v>
      </c>
      <c r="N77" s="240">
        <f>+'Plan de culture 107'!$Z$13</f>
        <v>0</v>
      </c>
    </row>
    <row r="78" spans="1:14" x14ac:dyDescent="0.35">
      <c r="A78" s="238" t="s">
        <v>100</v>
      </c>
      <c r="B78" s="254">
        <v>0</v>
      </c>
      <c r="C78" s="254">
        <v>0</v>
      </c>
      <c r="D78" s="254">
        <v>0</v>
      </c>
      <c r="E78" s="254">
        <v>0</v>
      </c>
      <c r="F78" s="254">
        <v>0</v>
      </c>
      <c r="G78" s="254">
        <v>0</v>
      </c>
      <c r="H78" s="254">
        <v>0</v>
      </c>
      <c r="I78" s="254">
        <v>0</v>
      </c>
      <c r="J78" s="254">
        <v>0</v>
      </c>
      <c r="K78" s="254">
        <v>0</v>
      </c>
      <c r="L78" s="254">
        <v>0</v>
      </c>
      <c r="M78" s="254">
        <v>0</v>
      </c>
      <c r="N78" s="245" t="e">
        <f>+N76/N77</f>
        <v>#DIV/0!</v>
      </c>
    </row>
    <row r="79" spans="1:14" x14ac:dyDescent="0.35">
      <c r="A79" s="235" t="s">
        <v>376</v>
      </c>
      <c r="B79" s="80">
        <f>(B81*B80)</f>
        <v>0</v>
      </c>
      <c r="C79" s="80">
        <f t="shared" ref="C79:M79" si="70">(C81*C80)</f>
        <v>0</v>
      </c>
      <c r="D79" s="80">
        <f t="shared" si="70"/>
        <v>0</v>
      </c>
      <c r="E79" s="80">
        <f t="shared" si="70"/>
        <v>0</v>
      </c>
      <c r="F79" s="80">
        <f t="shared" si="70"/>
        <v>0</v>
      </c>
      <c r="G79" s="80">
        <f t="shared" si="70"/>
        <v>0</v>
      </c>
      <c r="H79" s="80">
        <f t="shared" si="70"/>
        <v>0</v>
      </c>
      <c r="I79" s="80">
        <f t="shared" si="70"/>
        <v>0</v>
      </c>
      <c r="J79" s="80">
        <f t="shared" si="70"/>
        <v>0</v>
      </c>
      <c r="K79" s="80">
        <f t="shared" si="70"/>
        <v>0</v>
      </c>
      <c r="L79" s="80">
        <f t="shared" si="70"/>
        <v>0</v>
      </c>
      <c r="M79" s="80">
        <f t="shared" si="70"/>
        <v>0</v>
      </c>
      <c r="N79" s="244">
        <f>SUM(B79:M79)</f>
        <v>0</v>
      </c>
    </row>
    <row r="80" spans="1:14" x14ac:dyDescent="0.35">
      <c r="A80" s="238" t="s">
        <v>93</v>
      </c>
      <c r="B80" s="239">
        <f>+'Plan de culture 107'!$Z$19</f>
        <v>0</v>
      </c>
      <c r="C80" s="239">
        <f>+B80</f>
        <v>0</v>
      </c>
      <c r="D80" s="239">
        <f t="shared" ref="D80" si="71">+C80</f>
        <v>0</v>
      </c>
      <c r="E80" s="239">
        <f>+'Plan de culture 104 '!C76</f>
        <v>0</v>
      </c>
      <c r="F80" s="239">
        <f>+E80+'Plan de culture 104 '!D76+'Plan de culture 104 '!E76</f>
        <v>0</v>
      </c>
      <c r="G80" s="239">
        <f>+F80</f>
        <v>0</v>
      </c>
      <c r="H80" s="239">
        <f t="shared" ref="H80:M80" si="72">+G80</f>
        <v>0</v>
      </c>
      <c r="I80" s="239">
        <f t="shared" si="72"/>
        <v>0</v>
      </c>
      <c r="J80" s="239">
        <f t="shared" si="72"/>
        <v>0</v>
      </c>
      <c r="K80" s="239">
        <f t="shared" si="72"/>
        <v>0</v>
      </c>
      <c r="L80" s="239">
        <f t="shared" si="72"/>
        <v>0</v>
      </c>
      <c r="M80" s="239">
        <f t="shared" si="72"/>
        <v>0</v>
      </c>
      <c r="N80" s="240">
        <f>+'Plan de culture 107'!$Z$19</f>
        <v>0</v>
      </c>
    </row>
    <row r="81" spans="1:14" x14ac:dyDescent="0.35">
      <c r="A81" s="238" t="s">
        <v>100</v>
      </c>
      <c r="B81" s="254">
        <v>0</v>
      </c>
      <c r="C81" s="254">
        <v>0</v>
      </c>
      <c r="D81" s="254">
        <v>0</v>
      </c>
      <c r="E81" s="254">
        <v>0</v>
      </c>
      <c r="F81" s="254">
        <v>0</v>
      </c>
      <c r="G81" s="254">
        <v>0</v>
      </c>
      <c r="H81" s="254">
        <v>0</v>
      </c>
      <c r="I81" s="254">
        <v>0</v>
      </c>
      <c r="J81" s="254">
        <v>0</v>
      </c>
      <c r="K81" s="254">
        <v>0</v>
      </c>
      <c r="L81" s="254">
        <v>0</v>
      </c>
      <c r="M81" s="254">
        <v>0</v>
      </c>
      <c r="N81" s="245" t="e">
        <f>+N79/N80</f>
        <v>#DIV/0!</v>
      </c>
    </row>
    <row r="82" spans="1:14" x14ac:dyDescent="0.35">
      <c r="A82" s="235" t="s">
        <v>92</v>
      </c>
      <c r="B82" s="80">
        <f>(B84*B83)</f>
        <v>0</v>
      </c>
      <c r="C82" s="80">
        <f t="shared" ref="C82:M82" si="73">(C84*C83)</f>
        <v>0</v>
      </c>
      <c r="D82" s="80">
        <f t="shared" si="73"/>
        <v>0</v>
      </c>
      <c r="E82" s="80">
        <f t="shared" si="73"/>
        <v>0</v>
      </c>
      <c r="F82" s="80">
        <f t="shared" si="73"/>
        <v>0</v>
      </c>
      <c r="G82" s="80">
        <f t="shared" si="73"/>
        <v>0</v>
      </c>
      <c r="H82" s="80">
        <f t="shared" si="73"/>
        <v>0</v>
      </c>
      <c r="I82" s="80">
        <f t="shared" si="73"/>
        <v>0</v>
      </c>
      <c r="J82" s="80">
        <f t="shared" si="73"/>
        <v>0</v>
      </c>
      <c r="K82" s="80">
        <f t="shared" si="73"/>
        <v>0</v>
      </c>
      <c r="L82" s="80">
        <f t="shared" si="73"/>
        <v>0</v>
      </c>
      <c r="M82" s="80">
        <f t="shared" si="73"/>
        <v>0</v>
      </c>
      <c r="N82" s="244">
        <f>SUM(B82:M82)</f>
        <v>0</v>
      </c>
    </row>
    <row r="83" spans="1:14" x14ac:dyDescent="0.35">
      <c r="A83" s="238" t="s">
        <v>93</v>
      </c>
      <c r="B83" s="239">
        <f>+'Plan de culture 107'!$Z$25</f>
        <v>16.558</v>
      </c>
      <c r="C83" s="239">
        <f>+B83</f>
        <v>16.558</v>
      </c>
      <c r="D83" s="239">
        <f t="shared" ref="D83:M83" si="74">+C83</f>
        <v>16.558</v>
      </c>
      <c r="E83" s="239">
        <f t="shared" si="74"/>
        <v>16.558</v>
      </c>
      <c r="F83" s="239">
        <f t="shared" si="74"/>
        <v>16.558</v>
      </c>
      <c r="G83" s="239">
        <f t="shared" si="74"/>
        <v>16.558</v>
      </c>
      <c r="H83" s="239">
        <f t="shared" si="74"/>
        <v>16.558</v>
      </c>
      <c r="I83" s="239">
        <f t="shared" si="74"/>
        <v>16.558</v>
      </c>
      <c r="J83" s="239">
        <f t="shared" si="74"/>
        <v>16.558</v>
      </c>
      <c r="K83" s="239">
        <f t="shared" si="74"/>
        <v>16.558</v>
      </c>
      <c r="L83" s="239">
        <f t="shared" si="74"/>
        <v>16.558</v>
      </c>
      <c r="M83" s="239">
        <f t="shared" si="74"/>
        <v>16.558</v>
      </c>
      <c r="N83" s="240">
        <f>+'Plan de culture 107'!$Z$25</f>
        <v>16.558</v>
      </c>
    </row>
    <row r="84" spans="1:14" x14ac:dyDescent="0.35">
      <c r="A84" s="238" t="s">
        <v>100</v>
      </c>
      <c r="B84" s="254">
        <v>0</v>
      </c>
      <c r="C84" s="254">
        <v>0</v>
      </c>
      <c r="D84" s="254">
        <v>0</v>
      </c>
      <c r="E84" s="254">
        <v>0</v>
      </c>
      <c r="F84" s="254">
        <v>0</v>
      </c>
      <c r="G84" s="254">
        <v>0</v>
      </c>
      <c r="H84" s="254">
        <v>0</v>
      </c>
      <c r="I84" s="254">
        <v>0</v>
      </c>
      <c r="J84" s="254">
        <v>0</v>
      </c>
      <c r="K84" s="254">
        <v>0</v>
      </c>
      <c r="L84" s="254">
        <v>0</v>
      </c>
      <c r="M84" s="254">
        <v>0</v>
      </c>
      <c r="N84" s="245">
        <f>+N82/N83</f>
        <v>0</v>
      </c>
    </row>
    <row r="85" spans="1:14" x14ac:dyDescent="0.35">
      <c r="A85" s="235" t="s">
        <v>377</v>
      </c>
      <c r="B85" s="80">
        <f>(B87*B86)</f>
        <v>0</v>
      </c>
      <c r="C85" s="80">
        <f t="shared" ref="C85:M85" si="75">(C87*C86)</f>
        <v>0</v>
      </c>
      <c r="D85" s="80">
        <f t="shared" si="75"/>
        <v>0</v>
      </c>
      <c r="E85" s="80">
        <f t="shared" si="75"/>
        <v>0</v>
      </c>
      <c r="F85" s="80">
        <f t="shared" si="75"/>
        <v>0</v>
      </c>
      <c r="G85" s="80">
        <f t="shared" si="75"/>
        <v>0</v>
      </c>
      <c r="H85" s="80">
        <f t="shared" si="75"/>
        <v>0</v>
      </c>
      <c r="I85" s="80">
        <f t="shared" si="75"/>
        <v>0</v>
      </c>
      <c r="J85" s="80">
        <f t="shared" si="75"/>
        <v>0</v>
      </c>
      <c r="K85" s="80">
        <f t="shared" si="75"/>
        <v>0</v>
      </c>
      <c r="L85" s="80">
        <f t="shared" si="75"/>
        <v>0</v>
      </c>
      <c r="M85" s="80">
        <f t="shared" si="75"/>
        <v>0</v>
      </c>
      <c r="N85" s="244">
        <f>SUM(B85:M85)</f>
        <v>0</v>
      </c>
    </row>
    <row r="86" spans="1:14" x14ac:dyDescent="0.35">
      <c r="A86" s="238" t="s">
        <v>93</v>
      </c>
      <c r="B86" s="239">
        <f>+'Plan de culture 107'!$Z$31</f>
        <v>0</v>
      </c>
      <c r="C86" s="239">
        <f>+B86</f>
        <v>0</v>
      </c>
      <c r="D86" s="239">
        <f t="shared" ref="D86" si="76">+C86</f>
        <v>0</v>
      </c>
      <c r="E86" s="239">
        <f>+'Plan de culture 104 '!C82</f>
        <v>0</v>
      </c>
      <c r="F86" s="239">
        <f>+E86+'Plan de culture 104 '!D82+'Plan de culture 104 '!E82</f>
        <v>0</v>
      </c>
      <c r="G86" s="239">
        <f>+F86</f>
        <v>0</v>
      </c>
      <c r="H86" s="239">
        <f t="shared" ref="H86:M86" si="77">+G86</f>
        <v>0</v>
      </c>
      <c r="I86" s="239">
        <f t="shared" si="77"/>
        <v>0</v>
      </c>
      <c r="J86" s="239">
        <f t="shared" si="77"/>
        <v>0</v>
      </c>
      <c r="K86" s="239">
        <f t="shared" si="77"/>
        <v>0</v>
      </c>
      <c r="L86" s="239">
        <f t="shared" si="77"/>
        <v>0</v>
      </c>
      <c r="M86" s="239">
        <f t="shared" si="77"/>
        <v>0</v>
      </c>
      <c r="N86" s="240">
        <f>+'Plan de culture 107'!$Z$31</f>
        <v>0</v>
      </c>
    </row>
    <row r="87" spans="1:14" x14ac:dyDescent="0.35">
      <c r="A87" s="238" t="s">
        <v>100</v>
      </c>
      <c r="B87" s="254">
        <v>0</v>
      </c>
      <c r="C87" s="254">
        <v>0</v>
      </c>
      <c r="D87" s="254">
        <v>0</v>
      </c>
      <c r="E87" s="254">
        <v>0</v>
      </c>
      <c r="F87" s="254">
        <v>0</v>
      </c>
      <c r="G87" s="254">
        <v>0</v>
      </c>
      <c r="H87" s="254">
        <v>0</v>
      </c>
      <c r="I87" s="254">
        <v>0</v>
      </c>
      <c r="J87" s="254">
        <v>0</v>
      </c>
      <c r="K87" s="254">
        <v>0</v>
      </c>
      <c r="L87" s="254">
        <v>0</v>
      </c>
      <c r="M87" s="254">
        <v>0</v>
      </c>
      <c r="N87" s="245" t="e">
        <f>+N85/N86</f>
        <v>#DIV/0!</v>
      </c>
    </row>
    <row r="88" spans="1:14" x14ac:dyDescent="0.35">
      <c r="A88" s="235" t="s">
        <v>378</v>
      </c>
      <c r="B88" s="80">
        <f>(B90*B89)</f>
        <v>0</v>
      </c>
      <c r="C88" s="80">
        <f t="shared" ref="C88:M88" si="78">(C90*C89)</f>
        <v>0</v>
      </c>
      <c r="D88" s="80">
        <f t="shared" si="78"/>
        <v>0</v>
      </c>
      <c r="E88" s="80">
        <f t="shared" si="78"/>
        <v>0</v>
      </c>
      <c r="F88" s="80">
        <f t="shared" si="78"/>
        <v>0</v>
      </c>
      <c r="G88" s="80">
        <f t="shared" si="78"/>
        <v>0</v>
      </c>
      <c r="H88" s="80">
        <f t="shared" si="78"/>
        <v>0</v>
      </c>
      <c r="I88" s="80">
        <f t="shared" si="78"/>
        <v>0</v>
      </c>
      <c r="J88" s="80">
        <f t="shared" si="78"/>
        <v>0</v>
      </c>
      <c r="K88" s="80">
        <f t="shared" si="78"/>
        <v>0</v>
      </c>
      <c r="L88" s="80">
        <f t="shared" si="78"/>
        <v>0</v>
      </c>
      <c r="M88" s="80">
        <f t="shared" si="78"/>
        <v>0</v>
      </c>
      <c r="N88" s="244">
        <f>SUM(B88:M88)</f>
        <v>0</v>
      </c>
    </row>
    <row r="89" spans="1:14" x14ac:dyDescent="0.35">
      <c r="A89" s="238" t="s">
        <v>93</v>
      </c>
      <c r="B89" s="239">
        <f>+'Plan de culture 107'!$Z$37</f>
        <v>0</v>
      </c>
      <c r="C89" s="239">
        <f>+B89</f>
        <v>0</v>
      </c>
      <c r="D89" s="239">
        <f t="shared" ref="D89" si="79">+C89</f>
        <v>0</v>
      </c>
      <c r="E89" s="239">
        <f>+'Plan de culture 104 '!C85</f>
        <v>0</v>
      </c>
      <c r="F89" s="239">
        <f>+E89+'Plan de culture 104 '!D85+'Plan de culture 104 '!E85</f>
        <v>0</v>
      </c>
      <c r="G89" s="239">
        <f>+F89</f>
        <v>0</v>
      </c>
      <c r="H89" s="239">
        <f t="shared" ref="H89:M89" si="80">+G89</f>
        <v>0</v>
      </c>
      <c r="I89" s="239">
        <f t="shared" si="80"/>
        <v>0</v>
      </c>
      <c r="J89" s="239">
        <f t="shared" si="80"/>
        <v>0</v>
      </c>
      <c r="K89" s="239">
        <f t="shared" si="80"/>
        <v>0</v>
      </c>
      <c r="L89" s="239">
        <f t="shared" si="80"/>
        <v>0</v>
      </c>
      <c r="M89" s="239">
        <f t="shared" si="80"/>
        <v>0</v>
      </c>
      <c r="N89" s="240">
        <f>+'Plan de culture 107'!$Z$37</f>
        <v>0</v>
      </c>
    </row>
    <row r="90" spans="1:14" ht="12" thickBot="1" x14ac:dyDescent="0.4">
      <c r="A90" s="238" t="s">
        <v>100</v>
      </c>
      <c r="B90" s="254">
        <v>0</v>
      </c>
      <c r="C90" s="254">
        <v>0</v>
      </c>
      <c r="D90" s="254">
        <v>0</v>
      </c>
      <c r="E90" s="254">
        <v>0</v>
      </c>
      <c r="F90" s="254">
        <v>0</v>
      </c>
      <c r="G90" s="254">
        <v>0</v>
      </c>
      <c r="H90" s="254">
        <v>0</v>
      </c>
      <c r="I90" s="254">
        <v>0</v>
      </c>
      <c r="J90" s="254">
        <v>0</v>
      </c>
      <c r="K90" s="254">
        <v>0</v>
      </c>
      <c r="L90" s="254">
        <v>0</v>
      </c>
      <c r="M90" s="254">
        <v>0</v>
      </c>
      <c r="N90" s="245" t="e">
        <f>+N88/N89</f>
        <v>#DIV/0!</v>
      </c>
    </row>
    <row r="91" spans="1:14" x14ac:dyDescent="0.35">
      <c r="A91" s="233" t="s">
        <v>398</v>
      </c>
      <c r="B91" s="242">
        <f t="shared" ref="B91:M91" si="81">+B94+B97+B100+B103+B106+B109</f>
        <v>0</v>
      </c>
      <c r="C91" s="242">
        <f t="shared" si="81"/>
        <v>0</v>
      </c>
      <c r="D91" s="242">
        <f t="shared" si="81"/>
        <v>0</v>
      </c>
      <c r="E91" s="242">
        <f t="shared" si="81"/>
        <v>0</v>
      </c>
      <c r="F91" s="242">
        <f t="shared" si="81"/>
        <v>0</v>
      </c>
      <c r="G91" s="242">
        <f t="shared" si="81"/>
        <v>0</v>
      </c>
      <c r="H91" s="242">
        <f t="shared" si="81"/>
        <v>0</v>
      </c>
      <c r="I91" s="242">
        <f t="shared" si="81"/>
        <v>0</v>
      </c>
      <c r="J91" s="242">
        <f t="shared" si="81"/>
        <v>0</v>
      </c>
      <c r="K91" s="242">
        <f t="shared" si="81"/>
        <v>0</v>
      </c>
      <c r="L91" s="242">
        <f t="shared" si="81"/>
        <v>0</v>
      </c>
      <c r="M91" s="242">
        <f t="shared" si="81"/>
        <v>0</v>
      </c>
      <c r="N91" s="243">
        <f>SUM(B91:M91)</f>
        <v>0</v>
      </c>
    </row>
    <row r="92" spans="1:14" x14ac:dyDescent="0.35">
      <c r="A92" s="234" t="s">
        <v>93</v>
      </c>
      <c r="B92" s="83">
        <f t="shared" ref="B92:M92" si="82">+B95+B98+B101+B104+B107+B110</f>
        <v>26.09</v>
      </c>
      <c r="C92" s="83">
        <f t="shared" si="82"/>
        <v>26.09</v>
      </c>
      <c r="D92" s="83">
        <f t="shared" si="82"/>
        <v>26.09</v>
      </c>
      <c r="E92" s="83">
        <f t="shared" si="82"/>
        <v>26.09</v>
      </c>
      <c r="F92" s="83">
        <f t="shared" si="82"/>
        <v>26.09</v>
      </c>
      <c r="G92" s="83">
        <f t="shared" si="82"/>
        <v>26.09</v>
      </c>
      <c r="H92" s="83">
        <f t="shared" si="82"/>
        <v>26.09</v>
      </c>
      <c r="I92" s="83">
        <f t="shared" si="82"/>
        <v>26.09</v>
      </c>
      <c r="J92" s="83">
        <f t="shared" si="82"/>
        <v>26.09</v>
      </c>
      <c r="K92" s="83">
        <f t="shared" si="82"/>
        <v>26.09</v>
      </c>
      <c r="L92" s="83">
        <f t="shared" si="82"/>
        <v>26.09</v>
      </c>
      <c r="M92" s="83">
        <f t="shared" si="82"/>
        <v>26.09</v>
      </c>
      <c r="N92" s="248">
        <f>+M92</f>
        <v>26.09</v>
      </c>
    </row>
    <row r="93" spans="1:14" x14ac:dyDescent="0.35">
      <c r="A93" s="234" t="s">
        <v>397</v>
      </c>
      <c r="B93" s="83">
        <f t="shared" ref="B93:N93" si="83">+B91/B92</f>
        <v>0</v>
      </c>
      <c r="C93" s="83">
        <f t="shared" si="83"/>
        <v>0</v>
      </c>
      <c r="D93" s="83">
        <f t="shared" si="83"/>
        <v>0</v>
      </c>
      <c r="E93" s="83">
        <f t="shared" si="83"/>
        <v>0</v>
      </c>
      <c r="F93" s="83">
        <f t="shared" si="83"/>
        <v>0</v>
      </c>
      <c r="G93" s="83">
        <f t="shared" si="83"/>
        <v>0</v>
      </c>
      <c r="H93" s="83">
        <f t="shared" si="83"/>
        <v>0</v>
      </c>
      <c r="I93" s="83">
        <f t="shared" si="83"/>
        <v>0</v>
      </c>
      <c r="J93" s="83">
        <f t="shared" si="83"/>
        <v>0</v>
      </c>
      <c r="K93" s="83">
        <f t="shared" si="83"/>
        <v>0</v>
      </c>
      <c r="L93" s="83">
        <f t="shared" si="83"/>
        <v>0</v>
      </c>
      <c r="M93" s="83">
        <f t="shared" si="83"/>
        <v>0</v>
      </c>
      <c r="N93" s="249">
        <f t="shared" si="83"/>
        <v>0</v>
      </c>
    </row>
    <row r="94" spans="1:14" x14ac:dyDescent="0.35">
      <c r="A94" s="235" t="s">
        <v>90</v>
      </c>
      <c r="B94" s="80">
        <f>(B95*B96)</f>
        <v>0</v>
      </c>
      <c r="C94" s="80">
        <f t="shared" ref="C94:M94" si="84">(C95*C96)</f>
        <v>0</v>
      </c>
      <c r="D94" s="80">
        <f t="shared" si="84"/>
        <v>0</v>
      </c>
      <c r="E94" s="80">
        <f t="shared" si="84"/>
        <v>0</v>
      </c>
      <c r="F94" s="80">
        <f t="shared" si="84"/>
        <v>0</v>
      </c>
      <c r="G94" s="80">
        <f t="shared" si="84"/>
        <v>0</v>
      </c>
      <c r="H94" s="80">
        <f t="shared" si="84"/>
        <v>0</v>
      </c>
      <c r="I94" s="80">
        <f t="shared" si="84"/>
        <v>0</v>
      </c>
      <c r="J94" s="80">
        <f t="shared" si="84"/>
        <v>0</v>
      </c>
      <c r="K94" s="80">
        <f t="shared" si="84"/>
        <v>0</v>
      </c>
      <c r="L94" s="80">
        <f t="shared" si="84"/>
        <v>0</v>
      </c>
      <c r="M94" s="80">
        <f t="shared" si="84"/>
        <v>0</v>
      </c>
      <c r="N94" s="244">
        <f>SUM(B94:M94)</f>
        <v>0</v>
      </c>
    </row>
    <row r="95" spans="1:14" x14ac:dyDescent="0.35">
      <c r="A95" s="238" t="s">
        <v>93</v>
      </c>
      <c r="B95" s="239">
        <f>+'Plan de culture 114'!$AE$7</f>
        <v>0</v>
      </c>
      <c r="C95" s="239">
        <f>+B95</f>
        <v>0</v>
      </c>
      <c r="D95" s="239">
        <f t="shared" ref="D95" si="85">+C95</f>
        <v>0</v>
      </c>
      <c r="E95" s="239">
        <f>+D95</f>
        <v>0</v>
      </c>
      <c r="F95" s="239">
        <f>+E95</f>
        <v>0</v>
      </c>
      <c r="G95" s="239">
        <f>+F95</f>
        <v>0</v>
      </c>
      <c r="H95" s="239">
        <f t="shared" ref="H95:M95" si="86">+G95</f>
        <v>0</v>
      </c>
      <c r="I95" s="239">
        <f t="shared" si="86"/>
        <v>0</v>
      </c>
      <c r="J95" s="239">
        <f t="shared" si="86"/>
        <v>0</v>
      </c>
      <c r="K95" s="239">
        <f t="shared" si="86"/>
        <v>0</v>
      </c>
      <c r="L95" s="239">
        <f t="shared" si="86"/>
        <v>0</v>
      </c>
      <c r="M95" s="239">
        <f t="shared" si="86"/>
        <v>0</v>
      </c>
      <c r="N95" s="240">
        <f>+'Plan de culture 114'!$AE$7</f>
        <v>0</v>
      </c>
    </row>
    <row r="96" spans="1:14" x14ac:dyDescent="0.35">
      <c r="A96" s="238" t="s">
        <v>100</v>
      </c>
      <c r="B96" s="254">
        <v>0</v>
      </c>
      <c r="C96" s="254">
        <v>0</v>
      </c>
      <c r="D96" s="254">
        <v>0</v>
      </c>
      <c r="E96" s="254">
        <v>0</v>
      </c>
      <c r="F96" s="254">
        <v>0</v>
      </c>
      <c r="G96" s="254">
        <v>0</v>
      </c>
      <c r="H96" s="254">
        <v>0</v>
      </c>
      <c r="I96" s="254">
        <v>0</v>
      </c>
      <c r="J96" s="254">
        <v>0</v>
      </c>
      <c r="K96" s="254">
        <v>0</v>
      </c>
      <c r="L96" s="254">
        <v>0</v>
      </c>
      <c r="M96" s="254">
        <v>0</v>
      </c>
      <c r="N96" s="245" t="e">
        <f>+N94/N95</f>
        <v>#DIV/0!</v>
      </c>
    </row>
    <row r="97" spans="1:14" x14ac:dyDescent="0.35">
      <c r="A97" s="235" t="s">
        <v>91</v>
      </c>
      <c r="B97" s="80">
        <f>(B99*B98)</f>
        <v>0</v>
      </c>
      <c r="C97" s="80">
        <f t="shared" ref="C97:M97" si="87">(C99*C98)</f>
        <v>0</v>
      </c>
      <c r="D97" s="80">
        <f t="shared" si="87"/>
        <v>0</v>
      </c>
      <c r="E97" s="80">
        <f t="shared" si="87"/>
        <v>0</v>
      </c>
      <c r="F97" s="80">
        <f t="shared" si="87"/>
        <v>0</v>
      </c>
      <c r="G97" s="80">
        <f t="shared" si="87"/>
        <v>0</v>
      </c>
      <c r="H97" s="80">
        <f t="shared" si="87"/>
        <v>0</v>
      </c>
      <c r="I97" s="80">
        <f t="shared" si="87"/>
        <v>0</v>
      </c>
      <c r="J97" s="80">
        <f t="shared" si="87"/>
        <v>0</v>
      </c>
      <c r="K97" s="80">
        <f t="shared" si="87"/>
        <v>0</v>
      </c>
      <c r="L97" s="80">
        <f t="shared" si="87"/>
        <v>0</v>
      </c>
      <c r="M97" s="80">
        <f t="shared" si="87"/>
        <v>0</v>
      </c>
      <c r="N97" s="244">
        <f>SUM(B97:M97)</f>
        <v>0</v>
      </c>
    </row>
    <row r="98" spans="1:14" x14ac:dyDescent="0.35">
      <c r="A98" s="238" t="s">
        <v>93</v>
      </c>
      <c r="B98" s="239">
        <f>+'Plan de culture 114'!$AE$13</f>
        <v>26.09</v>
      </c>
      <c r="C98" s="239">
        <f>+B98</f>
        <v>26.09</v>
      </c>
      <c r="D98" s="239">
        <f t="shared" ref="D98:M98" si="88">+C98</f>
        <v>26.09</v>
      </c>
      <c r="E98" s="239">
        <f t="shared" si="88"/>
        <v>26.09</v>
      </c>
      <c r="F98" s="239">
        <f t="shared" si="88"/>
        <v>26.09</v>
      </c>
      <c r="G98" s="239">
        <f t="shared" si="88"/>
        <v>26.09</v>
      </c>
      <c r="H98" s="239">
        <f t="shared" si="88"/>
        <v>26.09</v>
      </c>
      <c r="I98" s="239">
        <f t="shared" si="88"/>
        <v>26.09</v>
      </c>
      <c r="J98" s="239">
        <f t="shared" si="88"/>
        <v>26.09</v>
      </c>
      <c r="K98" s="239">
        <f t="shared" si="88"/>
        <v>26.09</v>
      </c>
      <c r="L98" s="239">
        <f t="shared" si="88"/>
        <v>26.09</v>
      </c>
      <c r="M98" s="239">
        <f t="shared" si="88"/>
        <v>26.09</v>
      </c>
      <c r="N98" s="240">
        <f>+'Plan de culture 114'!$AE$13</f>
        <v>26.09</v>
      </c>
    </row>
    <row r="99" spans="1:14" x14ac:dyDescent="0.35">
      <c r="A99" s="238" t="s">
        <v>100</v>
      </c>
      <c r="B99" s="254">
        <v>0</v>
      </c>
      <c r="C99" s="254">
        <v>0</v>
      </c>
      <c r="D99" s="254">
        <v>0</v>
      </c>
      <c r="E99" s="254">
        <v>0</v>
      </c>
      <c r="F99" s="254">
        <v>0</v>
      </c>
      <c r="G99" s="254">
        <v>0</v>
      </c>
      <c r="H99" s="254">
        <v>0</v>
      </c>
      <c r="I99" s="254">
        <v>0</v>
      </c>
      <c r="J99" s="254">
        <v>0</v>
      </c>
      <c r="K99" s="254">
        <v>0</v>
      </c>
      <c r="L99" s="254">
        <v>0</v>
      </c>
      <c r="M99" s="254">
        <v>0</v>
      </c>
      <c r="N99" s="245">
        <f>+N97/N98</f>
        <v>0</v>
      </c>
    </row>
    <row r="100" spans="1:14" x14ac:dyDescent="0.35">
      <c r="A100" s="235" t="s">
        <v>376</v>
      </c>
      <c r="B100" s="80">
        <f>(B102*B101)</f>
        <v>0</v>
      </c>
      <c r="C100" s="80">
        <f t="shared" ref="C100:M100" si="89">(C102*C101)</f>
        <v>0</v>
      </c>
      <c r="D100" s="80">
        <f t="shared" si="89"/>
        <v>0</v>
      </c>
      <c r="E100" s="80">
        <f t="shared" si="89"/>
        <v>0</v>
      </c>
      <c r="F100" s="80">
        <f t="shared" si="89"/>
        <v>0</v>
      </c>
      <c r="G100" s="80">
        <f t="shared" si="89"/>
        <v>0</v>
      </c>
      <c r="H100" s="80">
        <f t="shared" si="89"/>
        <v>0</v>
      </c>
      <c r="I100" s="80">
        <f t="shared" si="89"/>
        <v>0</v>
      </c>
      <c r="J100" s="80">
        <f t="shared" si="89"/>
        <v>0</v>
      </c>
      <c r="K100" s="80">
        <f t="shared" si="89"/>
        <v>0</v>
      </c>
      <c r="L100" s="80">
        <f t="shared" si="89"/>
        <v>0</v>
      </c>
      <c r="M100" s="80">
        <f t="shared" si="89"/>
        <v>0</v>
      </c>
      <c r="N100" s="244">
        <f>SUM(B100:M100)</f>
        <v>0</v>
      </c>
    </row>
    <row r="101" spans="1:14" x14ac:dyDescent="0.35">
      <c r="A101" s="238" t="s">
        <v>93</v>
      </c>
      <c r="B101" s="239">
        <f>+'Plan de culture 114'!$AE$19</f>
        <v>0</v>
      </c>
      <c r="C101" s="239">
        <f>+B101</f>
        <v>0</v>
      </c>
      <c r="D101" s="239">
        <f t="shared" ref="D101" si="90">+C101</f>
        <v>0</v>
      </c>
      <c r="E101" s="239">
        <f>+'Plan de culture 104 '!C97</f>
        <v>0</v>
      </c>
      <c r="F101" s="239">
        <f>+E101+'Plan de culture 104 '!D97+'Plan de culture 104 '!E97</f>
        <v>0</v>
      </c>
      <c r="G101" s="239">
        <f>+F101</f>
        <v>0</v>
      </c>
      <c r="H101" s="239">
        <f t="shared" ref="H101:M101" si="91">+G101</f>
        <v>0</v>
      </c>
      <c r="I101" s="239">
        <f t="shared" si="91"/>
        <v>0</v>
      </c>
      <c r="J101" s="239">
        <f t="shared" si="91"/>
        <v>0</v>
      </c>
      <c r="K101" s="239">
        <f t="shared" si="91"/>
        <v>0</v>
      </c>
      <c r="L101" s="239">
        <f t="shared" si="91"/>
        <v>0</v>
      </c>
      <c r="M101" s="239">
        <f t="shared" si="91"/>
        <v>0</v>
      </c>
      <c r="N101" s="240">
        <f>+'Plan de culture 114'!$AE$19</f>
        <v>0</v>
      </c>
    </row>
    <row r="102" spans="1:14" x14ac:dyDescent="0.35">
      <c r="A102" s="238" t="s">
        <v>100</v>
      </c>
      <c r="B102" s="254">
        <v>0</v>
      </c>
      <c r="C102" s="254">
        <v>0</v>
      </c>
      <c r="D102" s="254">
        <v>0</v>
      </c>
      <c r="E102" s="254">
        <v>0</v>
      </c>
      <c r="F102" s="254">
        <v>0</v>
      </c>
      <c r="G102" s="254">
        <v>0</v>
      </c>
      <c r="H102" s="254">
        <v>0</v>
      </c>
      <c r="I102" s="254">
        <v>0</v>
      </c>
      <c r="J102" s="254">
        <v>0</v>
      </c>
      <c r="K102" s="254">
        <v>0</v>
      </c>
      <c r="L102" s="254">
        <v>0</v>
      </c>
      <c r="M102" s="254">
        <v>0</v>
      </c>
      <c r="N102" s="245" t="e">
        <f>+N100/N101</f>
        <v>#DIV/0!</v>
      </c>
    </row>
    <row r="103" spans="1:14" x14ac:dyDescent="0.35">
      <c r="A103" s="235" t="s">
        <v>92</v>
      </c>
      <c r="B103" s="80">
        <f>(B105*B104)</f>
        <v>0</v>
      </c>
      <c r="C103" s="80">
        <f t="shared" ref="C103:M103" si="92">(C105*C104)</f>
        <v>0</v>
      </c>
      <c r="D103" s="80">
        <f t="shared" si="92"/>
        <v>0</v>
      </c>
      <c r="E103" s="80">
        <f t="shared" si="92"/>
        <v>0</v>
      </c>
      <c r="F103" s="80">
        <f t="shared" si="92"/>
        <v>0</v>
      </c>
      <c r="G103" s="80">
        <f t="shared" si="92"/>
        <v>0</v>
      </c>
      <c r="H103" s="80">
        <f t="shared" si="92"/>
        <v>0</v>
      </c>
      <c r="I103" s="80">
        <f t="shared" si="92"/>
        <v>0</v>
      </c>
      <c r="J103" s="80">
        <f t="shared" si="92"/>
        <v>0</v>
      </c>
      <c r="K103" s="80">
        <f t="shared" si="92"/>
        <v>0</v>
      </c>
      <c r="L103" s="80">
        <f t="shared" si="92"/>
        <v>0</v>
      </c>
      <c r="M103" s="80">
        <f t="shared" si="92"/>
        <v>0</v>
      </c>
      <c r="N103" s="244">
        <f>SUM(B103:M103)</f>
        <v>0</v>
      </c>
    </row>
    <row r="104" spans="1:14" x14ac:dyDescent="0.35">
      <c r="A104" s="238" t="s">
        <v>93</v>
      </c>
      <c r="B104" s="239">
        <f>+'Plan de culture 114'!$AE$25</f>
        <v>0</v>
      </c>
      <c r="C104" s="239">
        <f>+B104</f>
        <v>0</v>
      </c>
      <c r="D104" s="239">
        <f t="shared" ref="D104" si="93">+C104</f>
        <v>0</v>
      </c>
      <c r="E104" s="239">
        <f>+'Plan de culture 104 '!C100</f>
        <v>0</v>
      </c>
      <c r="F104" s="239">
        <f>+E104+'Plan de culture 104 '!D100+'Plan de culture 104 '!E100</f>
        <v>0</v>
      </c>
      <c r="G104" s="239">
        <f>+F104</f>
        <v>0</v>
      </c>
      <c r="H104" s="239">
        <f t="shared" ref="H104:M104" si="94">+G104</f>
        <v>0</v>
      </c>
      <c r="I104" s="239">
        <f t="shared" si="94"/>
        <v>0</v>
      </c>
      <c r="J104" s="239">
        <f t="shared" si="94"/>
        <v>0</v>
      </c>
      <c r="K104" s="239">
        <f t="shared" si="94"/>
        <v>0</v>
      </c>
      <c r="L104" s="239">
        <f t="shared" si="94"/>
        <v>0</v>
      </c>
      <c r="M104" s="239">
        <f t="shared" si="94"/>
        <v>0</v>
      </c>
      <c r="N104" s="240">
        <f>+'Plan de culture 114'!$AE$25</f>
        <v>0</v>
      </c>
    </row>
    <row r="105" spans="1:14" x14ac:dyDescent="0.35">
      <c r="A105" s="238" t="s">
        <v>100</v>
      </c>
      <c r="B105" s="254">
        <v>0</v>
      </c>
      <c r="C105" s="254">
        <v>0</v>
      </c>
      <c r="D105" s="254">
        <v>0</v>
      </c>
      <c r="E105" s="254">
        <v>0</v>
      </c>
      <c r="F105" s="254">
        <v>0</v>
      </c>
      <c r="G105" s="254">
        <v>0</v>
      </c>
      <c r="H105" s="254">
        <v>0</v>
      </c>
      <c r="I105" s="254">
        <v>0</v>
      </c>
      <c r="J105" s="254">
        <v>0</v>
      </c>
      <c r="K105" s="254">
        <v>0</v>
      </c>
      <c r="L105" s="254">
        <v>0</v>
      </c>
      <c r="M105" s="254">
        <v>0</v>
      </c>
      <c r="N105" s="245" t="e">
        <f>+N103/N104</f>
        <v>#DIV/0!</v>
      </c>
    </row>
    <row r="106" spans="1:14" x14ac:dyDescent="0.35">
      <c r="A106" s="235" t="s">
        <v>377</v>
      </c>
      <c r="B106" s="80">
        <f>(B108*B107)</f>
        <v>0</v>
      </c>
      <c r="C106" s="80">
        <f t="shared" ref="C106:M106" si="95">(C108*C107)</f>
        <v>0</v>
      </c>
      <c r="D106" s="80">
        <f t="shared" si="95"/>
        <v>0</v>
      </c>
      <c r="E106" s="80">
        <f t="shared" si="95"/>
        <v>0</v>
      </c>
      <c r="F106" s="80">
        <f t="shared" si="95"/>
        <v>0</v>
      </c>
      <c r="G106" s="80">
        <f t="shared" si="95"/>
        <v>0</v>
      </c>
      <c r="H106" s="80">
        <f t="shared" si="95"/>
        <v>0</v>
      </c>
      <c r="I106" s="80">
        <f t="shared" si="95"/>
        <v>0</v>
      </c>
      <c r="J106" s="80">
        <f t="shared" si="95"/>
        <v>0</v>
      </c>
      <c r="K106" s="80">
        <f t="shared" si="95"/>
        <v>0</v>
      </c>
      <c r="L106" s="80">
        <f t="shared" si="95"/>
        <v>0</v>
      </c>
      <c r="M106" s="80">
        <f t="shared" si="95"/>
        <v>0</v>
      </c>
      <c r="N106" s="244">
        <f>SUM(B106:M106)</f>
        <v>0</v>
      </c>
    </row>
    <row r="107" spans="1:14" x14ac:dyDescent="0.35">
      <c r="A107" s="238" t="s">
        <v>93</v>
      </c>
      <c r="B107" s="239">
        <f>+'Plan de culture 114'!$AE$31</f>
        <v>0</v>
      </c>
      <c r="C107" s="239">
        <f>+B107</f>
        <v>0</v>
      </c>
      <c r="D107" s="239">
        <f t="shared" ref="D107" si="96">+C107</f>
        <v>0</v>
      </c>
      <c r="E107" s="239">
        <f>+'Plan de culture 104 '!C103</f>
        <v>0</v>
      </c>
      <c r="F107" s="239">
        <f>+E107+'Plan de culture 104 '!D103+'Plan de culture 104 '!E103</f>
        <v>0</v>
      </c>
      <c r="G107" s="239">
        <f>+F107</f>
        <v>0</v>
      </c>
      <c r="H107" s="239">
        <f t="shared" ref="H107:M107" si="97">+G107</f>
        <v>0</v>
      </c>
      <c r="I107" s="239">
        <f t="shared" si="97"/>
        <v>0</v>
      </c>
      <c r="J107" s="239">
        <f t="shared" si="97"/>
        <v>0</v>
      </c>
      <c r="K107" s="239">
        <f t="shared" si="97"/>
        <v>0</v>
      </c>
      <c r="L107" s="239">
        <f t="shared" si="97"/>
        <v>0</v>
      </c>
      <c r="M107" s="239">
        <f t="shared" si="97"/>
        <v>0</v>
      </c>
      <c r="N107" s="240">
        <f>+'Plan de culture 114'!$AE$31</f>
        <v>0</v>
      </c>
    </row>
    <row r="108" spans="1:14" x14ac:dyDescent="0.35">
      <c r="A108" s="238" t="s">
        <v>100</v>
      </c>
      <c r="B108" s="254">
        <v>0</v>
      </c>
      <c r="C108" s="254">
        <v>0</v>
      </c>
      <c r="D108" s="254">
        <v>0</v>
      </c>
      <c r="E108" s="254">
        <v>0</v>
      </c>
      <c r="F108" s="254">
        <v>0</v>
      </c>
      <c r="G108" s="254">
        <v>0</v>
      </c>
      <c r="H108" s="254">
        <v>0</v>
      </c>
      <c r="I108" s="254">
        <v>0</v>
      </c>
      <c r="J108" s="254">
        <v>0</v>
      </c>
      <c r="K108" s="254">
        <v>0</v>
      </c>
      <c r="L108" s="254">
        <v>0</v>
      </c>
      <c r="M108" s="254">
        <v>0</v>
      </c>
      <c r="N108" s="245" t="e">
        <f>+N106/N107</f>
        <v>#DIV/0!</v>
      </c>
    </row>
    <row r="109" spans="1:14" x14ac:dyDescent="0.35">
      <c r="A109" s="235" t="s">
        <v>378</v>
      </c>
      <c r="B109" s="80">
        <f>(B111*B110)</f>
        <v>0</v>
      </c>
      <c r="C109" s="80">
        <f t="shared" ref="C109:M109" si="98">(C111*C110)</f>
        <v>0</v>
      </c>
      <c r="D109" s="80">
        <f t="shared" si="98"/>
        <v>0</v>
      </c>
      <c r="E109" s="80">
        <f t="shared" si="98"/>
        <v>0</v>
      </c>
      <c r="F109" s="80">
        <f t="shared" si="98"/>
        <v>0</v>
      </c>
      <c r="G109" s="80">
        <f t="shared" si="98"/>
        <v>0</v>
      </c>
      <c r="H109" s="80">
        <f t="shared" si="98"/>
        <v>0</v>
      </c>
      <c r="I109" s="80">
        <f t="shared" si="98"/>
        <v>0</v>
      </c>
      <c r="J109" s="80">
        <f t="shared" si="98"/>
        <v>0</v>
      </c>
      <c r="K109" s="80">
        <f t="shared" si="98"/>
        <v>0</v>
      </c>
      <c r="L109" s="80">
        <f t="shared" si="98"/>
        <v>0</v>
      </c>
      <c r="M109" s="80">
        <f t="shared" si="98"/>
        <v>0</v>
      </c>
      <c r="N109" s="244">
        <f>SUM(B109:M109)</f>
        <v>0</v>
      </c>
    </row>
    <row r="110" spans="1:14" x14ac:dyDescent="0.35">
      <c r="A110" s="238" t="s">
        <v>93</v>
      </c>
      <c r="B110" s="239">
        <f>+'Plan de culture 114'!$AE$37</f>
        <v>0</v>
      </c>
      <c r="C110" s="239">
        <f>+B110</f>
        <v>0</v>
      </c>
      <c r="D110" s="239">
        <f t="shared" ref="D110" si="99">+C110</f>
        <v>0</v>
      </c>
      <c r="E110" s="239">
        <f>+'Plan de culture 104 '!C106</f>
        <v>0</v>
      </c>
      <c r="F110" s="239">
        <f>+E110+'Plan de culture 104 '!D106+'Plan de culture 104 '!E106</f>
        <v>0</v>
      </c>
      <c r="G110" s="239">
        <f>+F110</f>
        <v>0</v>
      </c>
      <c r="H110" s="239">
        <f t="shared" ref="H110:M110" si="100">+G110</f>
        <v>0</v>
      </c>
      <c r="I110" s="239">
        <f t="shared" si="100"/>
        <v>0</v>
      </c>
      <c r="J110" s="239">
        <f t="shared" si="100"/>
        <v>0</v>
      </c>
      <c r="K110" s="239">
        <f t="shared" si="100"/>
        <v>0</v>
      </c>
      <c r="L110" s="239">
        <f t="shared" si="100"/>
        <v>0</v>
      </c>
      <c r="M110" s="239">
        <f t="shared" si="100"/>
        <v>0</v>
      </c>
      <c r="N110" s="240">
        <f>+'Plan de culture 114'!$AE$37</f>
        <v>0</v>
      </c>
    </row>
    <row r="111" spans="1:14" ht="12" thickBot="1" x14ac:dyDescent="0.4">
      <c r="A111" s="241" t="s">
        <v>100</v>
      </c>
      <c r="B111" s="268">
        <v>0</v>
      </c>
      <c r="C111" s="268">
        <v>0</v>
      </c>
      <c r="D111" s="268">
        <v>0</v>
      </c>
      <c r="E111" s="268">
        <v>0</v>
      </c>
      <c r="F111" s="268">
        <v>0</v>
      </c>
      <c r="G111" s="268">
        <v>0</v>
      </c>
      <c r="H111" s="268">
        <v>0</v>
      </c>
      <c r="I111" s="268">
        <v>0</v>
      </c>
      <c r="J111" s="268">
        <v>0</v>
      </c>
      <c r="K111" s="268">
        <v>0</v>
      </c>
      <c r="L111" s="268">
        <v>0</v>
      </c>
      <c r="M111" s="268">
        <v>0</v>
      </c>
      <c r="N111" s="247" t="e">
        <f>+N109/N110</f>
        <v>#DIV/0!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P111"/>
  <sheetViews>
    <sheetView topLeftCell="A88" zoomScaleNormal="100" workbookViewId="0">
      <selection activeCell="B110" sqref="B110:N110"/>
    </sheetView>
  </sheetViews>
  <sheetFormatPr baseColWidth="10" defaultColWidth="11.46484375" defaultRowHeight="11.65" x14ac:dyDescent="0.35"/>
  <cols>
    <col min="1" max="1" width="24.73046875" style="32" bestFit="1" customWidth="1"/>
    <col min="2" max="2" width="7.86328125" style="32" bestFit="1" customWidth="1"/>
    <col min="3" max="3" width="10.19921875" style="32" bestFit="1" customWidth="1"/>
    <col min="4" max="13" width="7.3984375" style="32" bestFit="1" customWidth="1"/>
    <col min="14" max="14" width="7.796875" style="32" bestFit="1" customWidth="1"/>
    <col min="15" max="16384" width="11.46484375" style="32"/>
  </cols>
  <sheetData>
    <row r="1" spans="1:16" ht="35.25" thickBot="1" x14ac:dyDescent="0.4">
      <c r="A1" s="68" t="s">
        <v>409</v>
      </c>
    </row>
    <row r="3" spans="1:16" s="57" customFormat="1" ht="12" thickBot="1" x14ac:dyDescent="0.4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259" t="s">
        <v>402</v>
      </c>
      <c r="B4" s="260">
        <f t="shared" ref="B4:M4" si="1">B7+B28+B49+B70++B91</f>
        <v>0</v>
      </c>
      <c r="C4" s="260">
        <f t="shared" si="1"/>
        <v>0</v>
      </c>
      <c r="D4" s="260">
        <f t="shared" si="1"/>
        <v>0</v>
      </c>
      <c r="E4" s="260">
        <f t="shared" si="1"/>
        <v>0</v>
      </c>
      <c r="F4" s="260">
        <f t="shared" si="1"/>
        <v>0</v>
      </c>
      <c r="G4" s="260">
        <f t="shared" si="1"/>
        <v>0</v>
      </c>
      <c r="H4" s="260">
        <f t="shared" si="1"/>
        <v>0</v>
      </c>
      <c r="I4" s="260">
        <f t="shared" si="1"/>
        <v>0</v>
      </c>
      <c r="J4" s="260">
        <f t="shared" si="1"/>
        <v>0</v>
      </c>
      <c r="K4" s="260">
        <f t="shared" si="1"/>
        <v>0</v>
      </c>
      <c r="L4" s="260">
        <f t="shared" si="1"/>
        <v>0</v>
      </c>
      <c r="M4" s="260">
        <f t="shared" si="1"/>
        <v>0</v>
      </c>
      <c r="N4" s="261">
        <f>N7+N28+N49+N70+N91</f>
        <v>0</v>
      </c>
    </row>
    <row r="5" spans="1:16" s="57" customFormat="1" x14ac:dyDescent="0.35">
      <c r="A5" s="262" t="s">
        <v>93</v>
      </c>
      <c r="B5" s="263">
        <f t="shared" ref="B5:M5" si="2">B8+B29+B50+B71+B92</f>
        <v>68.968000000000004</v>
      </c>
      <c r="C5" s="263">
        <f t="shared" si="2"/>
        <v>68.968000000000004</v>
      </c>
      <c r="D5" s="263">
        <f t="shared" si="2"/>
        <v>68.968000000000004</v>
      </c>
      <c r="E5" s="263">
        <f t="shared" si="2"/>
        <v>68.968000000000004</v>
      </c>
      <c r="F5" s="263">
        <f t="shared" si="2"/>
        <v>68.968000000000004</v>
      </c>
      <c r="G5" s="263">
        <f t="shared" si="2"/>
        <v>68.968000000000004</v>
      </c>
      <c r="H5" s="263">
        <f t="shared" si="2"/>
        <v>68.968000000000004</v>
      </c>
      <c r="I5" s="263">
        <f t="shared" si="2"/>
        <v>68.968000000000004</v>
      </c>
      <c r="J5" s="263">
        <f t="shared" si="2"/>
        <v>68.968000000000004</v>
      </c>
      <c r="K5" s="263">
        <f t="shared" si="2"/>
        <v>68.968000000000004</v>
      </c>
      <c r="L5" s="263">
        <f t="shared" si="2"/>
        <v>68.968000000000004</v>
      </c>
      <c r="M5" s="263">
        <f t="shared" si="2"/>
        <v>68.968000000000004</v>
      </c>
      <c r="N5" s="264">
        <f>N8+N29+N50+N71+N92</f>
        <v>68.968000000000004</v>
      </c>
    </row>
    <row r="6" spans="1:16" s="57" customFormat="1" ht="12" thickBot="1" x14ac:dyDescent="0.4">
      <c r="A6" s="265" t="s">
        <v>403</v>
      </c>
      <c r="B6" s="266">
        <f>+B4/B5</f>
        <v>0</v>
      </c>
      <c r="C6" s="266">
        <f>+C4/C5</f>
        <v>0</v>
      </c>
      <c r="D6" s="266">
        <f t="shared" ref="D6:M6" si="3">+D4/D5</f>
        <v>0</v>
      </c>
      <c r="E6" s="266">
        <f t="shared" si="3"/>
        <v>0</v>
      </c>
      <c r="F6" s="266">
        <f t="shared" si="3"/>
        <v>0</v>
      </c>
      <c r="G6" s="266">
        <f t="shared" si="3"/>
        <v>0</v>
      </c>
      <c r="H6" s="266">
        <f t="shared" si="3"/>
        <v>0</v>
      </c>
      <c r="I6" s="266">
        <f t="shared" si="3"/>
        <v>0</v>
      </c>
      <c r="J6" s="266">
        <f t="shared" si="3"/>
        <v>0</v>
      </c>
      <c r="K6" s="266">
        <f t="shared" si="3"/>
        <v>0</v>
      </c>
      <c r="L6" s="266">
        <f t="shared" si="3"/>
        <v>0</v>
      </c>
      <c r="M6" s="266">
        <f t="shared" si="3"/>
        <v>0</v>
      </c>
      <c r="N6" s="267">
        <f>+N4/N5</f>
        <v>0</v>
      </c>
    </row>
    <row r="7" spans="1:16" x14ac:dyDescent="0.35">
      <c r="A7" s="233" t="s">
        <v>404</v>
      </c>
      <c r="B7" s="242">
        <f t="shared" ref="B7:M7" si="4">+B10+B13+B16+B19+B22+B25</f>
        <v>0</v>
      </c>
      <c r="C7" s="242">
        <f t="shared" si="4"/>
        <v>0</v>
      </c>
      <c r="D7" s="242">
        <f t="shared" si="4"/>
        <v>0</v>
      </c>
      <c r="E7" s="242">
        <f t="shared" si="4"/>
        <v>0</v>
      </c>
      <c r="F7" s="242">
        <f t="shared" si="4"/>
        <v>0</v>
      </c>
      <c r="G7" s="242">
        <f t="shared" si="4"/>
        <v>0</v>
      </c>
      <c r="H7" s="242">
        <f t="shared" si="4"/>
        <v>0</v>
      </c>
      <c r="I7" s="242">
        <f t="shared" si="4"/>
        <v>0</v>
      </c>
      <c r="J7" s="242">
        <f t="shared" si="4"/>
        <v>0</v>
      </c>
      <c r="K7" s="242">
        <f t="shared" si="4"/>
        <v>0</v>
      </c>
      <c r="L7" s="242">
        <f t="shared" si="4"/>
        <v>0</v>
      </c>
      <c r="M7" s="242">
        <f t="shared" si="4"/>
        <v>0</v>
      </c>
      <c r="N7" s="243">
        <f>SUM(B7:M7)</f>
        <v>0</v>
      </c>
    </row>
    <row r="8" spans="1:16" x14ac:dyDescent="0.35">
      <c r="A8" s="234" t="s">
        <v>93</v>
      </c>
      <c r="B8" s="83">
        <f>+B11+B14+B17+B20+B23+B26</f>
        <v>15.350000000000003</v>
      </c>
      <c r="C8" s="81">
        <f t="shared" ref="C8:M8" si="5">+C11</f>
        <v>15.350000000000003</v>
      </c>
      <c r="D8" s="81">
        <f t="shared" si="5"/>
        <v>15.350000000000003</v>
      </c>
      <c r="E8" s="81">
        <f t="shared" si="5"/>
        <v>15.350000000000003</v>
      </c>
      <c r="F8" s="81">
        <f t="shared" si="5"/>
        <v>15.350000000000003</v>
      </c>
      <c r="G8" s="81">
        <f t="shared" si="5"/>
        <v>15.350000000000003</v>
      </c>
      <c r="H8" s="81">
        <f t="shared" si="5"/>
        <v>15.350000000000003</v>
      </c>
      <c r="I8" s="81">
        <f t="shared" si="5"/>
        <v>15.350000000000003</v>
      </c>
      <c r="J8" s="81">
        <f t="shared" si="5"/>
        <v>15.350000000000003</v>
      </c>
      <c r="K8" s="81">
        <f t="shared" si="5"/>
        <v>15.350000000000003</v>
      </c>
      <c r="L8" s="81">
        <f t="shared" si="5"/>
        <v>15.350000000000003</v>
      </c>
      <c r="M8" s="81">
        <f t="shared" si="5"/>
        <v>15.350000000000003</v>
      </c>
      <c r="N8" s="248">
        <f>+M8</f>
        <v>15.350000000000003</v>
      </c>
    </row>
    <row r="9" spans="1:16" x14ac:dyDescent="0.35">
      <c r="A9" s="234" t="s">
        <v>403</v>
      </c>
      <c r="B9" s="83">
        <f t="shared" ref="B9:N9" si="6">+B7/B8</f>
        <v>0</v>
      </c>
      <c r="C9" s="83">
        <f t="shared" si="6"/>
        <v>0</v>
      </c>
      <c r="D9" s="83">
        <f t="shared" si="6"/>
        <v>0</v>
      </c>
      <c r="E9" s="83">
        <f t="shared" si="6"/>
        <v>0</v>
      </c>
      <c r="F9" s="83">
        <f t="shared" si="6"/>
        <v>0</v>
      </c>
      <c r="G9" s="83">
        <f t="shared" si="6"/>
        <v>0</v>
      </c>
      <c r="H9" s="83">
        <f t="shared" si="6"/>
        <v>0</v>
      </c>
      <c r="I9" s="83">
        <f t="shared" si="6"/>
        <v>0</v>
      </c>
      <c r="J9" s="83">
        <f t="shared" si="6"/>
        <v>0</v>
      </c>
      <c r="K9" s="83">
        <f t="shared" si="6"/>
        <v>0</v>
      </c>
      <c r="L9" s="83">
        <f t="shared" si="6"/>
        <v>0</v>
      </c>
      <c r="M9" s="83">
        <f t="shared" si="6"/>
        <v>0</v>
      </c>
      <c r="N9" s="249">
        <f t="shared" si="6"/>
        <v>0</v>
      </c>
      <c r="P9" s="62"/>
    </row>
    <row r="10" spans="1:16" x14ac:dyDescent="0.35">
      <c r="A10" s="235" t="s">
        <v>90</v>
      </c>
      <c r="B10" s="80">
        <f>(B11*B12)</f>
        <v>0</v>
      </c>
      <c r="C10" s="80">
        <f t="shared" ref="C10:M10" si="7">(C11*C12)</f>
        <v>0</v>
      </c>
      <c r="D10" s="80">
        <f t="shared" si="7"/>
        <v>0</v>
      </c>
      <c r="E10" s="80">
        <f t="shared" si="7"/>
        <v>0</v>
      </c>
      <c r="F10" s="80">
        <f t="shared" si="7"/>
        <v>0</v>
      </c>
      <c r="G10" s="80">
        <f t="shared" si="7"/>
        <v>0</v>
      </c>
      <c r="H10" s="80">
        <f t="shared" si="7"/>
        <v>0</v>
      </c>
      <c r="I10" s="80">
        <f t="shared" si="7"/>
        <v>0</v>
      </c>
      <c r="J10" s="80">
        <f t="shared" si="7"/>
        <v>0</v>
      </c>
      <c r="K10" s="80">
        <f t="shared" si="7"/>
        <v>0</v>
      </c>
      <c r="L10" s="80">
        <f t="shared" si="7"/>
        <v>0</v>
      </c>
      <c r="M10" s="80">
        <f t="shared" si="7"/>
        <v>0</v>
      </c>
      <c r="N10" s="244">
        <f>SUM(B10:M10)</f>
        <v>0</v>
      </c>
    </row>
    <row r="11" spans="1:16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8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8"/>
        <v>15.350000000000003</v>
      </c>
      <c r="I11" s="239">
        <f t="shared" si="8"/>
        <v>15.350000000000003</v>
      </c>
      <c r="J11" s="239">
        <f t="shared" si="8"/>
        <v>15.350000000000003</v>
      </c>
      <c r="K11" s="239">
        <f t="shared" si="8"/>
        <v>15.350000000000003</v>
      </c>
      <c r="L11" s="239">
        <f t="shared" si="8"/>
        <v>15.350000000000003</v>
      </c>
      <c r="M11" s="239">
        <f t="shared" si="8"/>
        <v>15.350000000000003</v>
      </c>
      <c r="N11" s="240">
        <f>+'Plan de culture 104 '!X7</f>
        <v>15.350000000000003</v>
      </c>
    </row>
    <row r="12" spans="1:16" x14ac:dyDescent="0.35">
      <c r="A12" s="238" t="s">
        <v>403</v>
      </c>
      <c r="B12" s="254">
        <v>0</v>
      </c>
      <c r="C12" s="254">
        <v>0</v>
      </c>
      <c r="D12" s="254">
        <v>0</v>
      </c>
      <c r="E12" s="254">
        <v>0</v>
      </c>
      <c r="F12" s="254">
        <v>0</v>
      </c>
      <c r="G12" s="254">
        <v>0</v>
      </c>
      <c r="H12" s="254">
        <v>0</v>
      </c>
      <c r="I12" s="254">
        <v>0</v>
      </c>
      <c r="J12" s="254">
        <v>0</v>
      </c>
      <c r="K12" s="254">
        <v>0</v>
      </c>
      <c r="L12" s="254">
        <v>0</v>
      </c>
      <c r="M12" s="254">
        <v>0</v>
      </c>
      <c r="N12" s="245">
        <f>+N10/N11</f>
        <v>0</v>
      </c>
    </row>
    <row r="13" spans="1:16" x14ac:dyDescent="0.35">
      <c r="A13" s="235" t="s">
        <v>91</v>
      </c>
      <c r="B13" s="80">
        <f>(B14*B15)</f>
        <v>0</v>
      </c>
      <c r="C13" s="80">
        <f t="shared" ref="C13:M13" si="9">(C14*C15)</f>
        <v>0</v>
      </c>
      <c r="D13" s="80">
        <f t="shared" si="9"/>
        <v>0</v>
      </c>
      <c r="E13" s="80">
        <f t="shared" si="9"/>
        <v>0</v>
      </c>
      <c r="F13" s="80">
        <f t="shared" si="9"/>
        <v>0</v>
      </c>
      <c r="G13" s="80">
        <f t="shared" si="9"/>
        <v>0</v>
      </c>
      <c r="H13" s="80">
        <f t="shared" si="9"/>
        <v>0</v>
      </c>
      <c r="I13" s="80">
        <f t="shared" si="9"/>
        <v>0</v>
      </c>
      <c r="J13" s="80">
        <f t="shared" si="9"/>
        <v>0</v>
      </c>
      <c r="K13" s="80">
        <f t="shared" si="9"/>
        <v>0</v>
      </c>
      <c r="L13" s="80">
        <f t="shared" si="9"/>
        <v>0</v>
      </c>
      <c r="M13" s="80">
        <f t="shared" si="9"/>
        <v>0</v>
      </c>
      <c r="N13" s="244">
        <f>SUM(B13:M13)</f>
        <v>0</v>
      </c>
    </row>
    <row r="14" spans="1:16" x14ac:dyDescent="0.35">
      <c r="A14" s="238" t="s">
        <v>93</v>
      </c>
      <c r="B14" s="239">
        <f>+'Plan de culture 104 '!$X$13</f>
        <v>0</v>
      </c>
      <c r="C14" s="239">
        <f>+B14</f>
        <v>0</v>
      </c>
      <c r="D14" s="239">
        <f t="shared" ref="D14:M14" si="10">+C14</f>
        <v>0</v>
      </c>
      <c r="E14" s="239">
        <f t="shared" si="10"/>
        <v>0</v>
      </c>
      <c r="F14" s="239">
        <f t="shared" si="10"/>
        <v>0</v>
      </c>
      <c r="G14" s="239">
        <f t="shared" si="10"/>
        <v>0</v>
      </c>
      <c r="H14" s="239">
        <f t="shared" si="10"/>
        <v>0</v>
      </c>
      <c r="I14" s="239">
        <f t="shared" si="10"/>
        <v>0</v>
      </c>
      <c r="J14" s="239">
        <f t="shared" si="10"/>
        <v>0</v>
      </c>
      <c r="K14" s="239">
        <f t="shared" si="10"/>
        <v>0</v>
      </c>
      <c r="L14" s="239">
        <f t="shared" si="10"/>
        <v>0</v>
      </c>
      <c r="M14" s="239">
        <f t="shared" si="10"/>
        <v>0</v>
      </c>
      <c r="N14" s="240">
        <f>+'Plan de culture 104 '!$X$13</f>
        <v>0</v>
      </c>
    </row>
    <row r="15" spans="1:16" x14ac:dyDescent="0.35">
      <c r="A15" s="238" t="s">
        <v>403</v>
      </c>
      <c r="B15" s="254">
        <v>0</v>
      </c>
      <c r="C15" s="254">
        <v>0</v>
      </c>
      <c r="D15" s="254">
        <v>0</v>
      </c>
      <c r="E15" s="254">
        <v>0</v>
      </c>
      <c r="F15" s="254">
        <v>0</v>
      </c>
      <c r="G15" s="254">
        <v>0</v>
      </c>
      <c r="H15" s="254">
        <v>0</v>
      </c>
      <c r="I15" s="254">
        <v>0</v>
      </c>
      <c r="J15" s="254">
        <v>0</v>
      </c>
      <c r="K15" s="254">
        <v>0</v>
      </c>
      <c r="L15" s="254">
        <v>0</v>
      </c>
      <c r="M15" s="254">
        <v>0</v>
      </c>
      <c r="N15" s="245" t="e">
        <f>+N13/N14</f>
        <v>#DIV/0!</v>
      </c>
    </row>
    <row r="16" spans="1:16" x14ac:dyDescent="0.35">
      <c r="A16" s="235" t="s">
        <v>376</v>
      </c>
      <c r="B16" s="80">
        <f>(B17*B18)</f>
        <v>0</v>
      </c>
      <c r="C16" s="80">
        <f t="shared" ref="C16:M16" si="11">(C17*C18)</f>
        <v>0</v>
      </c>
      <c r="D16" s="80">
        <f t="shared" si="11"/>
        <v>0</v>
      </c>
      <c r="E16" s="80">
        <f t="shared" si="11"/>
        <v>0</v>
      </c>
      <c r="F16" s="80">
        <f t="shared" si="11"/>
        <v>0</v>
      </c>
      <c r="G16" s="80">
        <f t="shared" si="11"/>
        <v>0</v>
      </c>
      <c r="H16" s="80">
        <f t="shared" si="11"/>
        <v>0</v>
      </c>
      <c r="I16" s="80">
        <f t="shared" si="11"/>
        <v>0</v>
      </c>
      <c r="J16" s="80">
        <f t="shared" si="11"/>
        <v>0</v>
      </c>
      <c r="K16" s="80">
        <f t="shared" si="11"/>
        <v>0</v>
      </c>
      <c r="L16" s="80">
        <f t="shared" si="11"/>
        <v>0</v>
      </c>
      <c r="M16" s="80">
        <f t="shared" si="11"/>
        <v>0</v>
      </c>
      <c r="N16" s="244">
        <f>SUM(B16:M16)</f>
        <v>0</v>
      </c>
    </row>
    <row r="17" spans="1:14" x14ac:dyDescent="0.35">
      <c r="A17" s="238" t="s">
        <v>93</v>
      </c>
      <c r="B17" s="239">
        <f>+'Plan de culture 104 '!$X$19</f>
        <v>0</v>
      </c>
      <c r="C17" s="239">
        <f>+B17</f>
        <v>0</v>
      </c>
      <c r="D17" s="239">
        <f t="shared" ref="D17" si="12">+C17</f>
        <v>0</v>
      </c>
      <c r="E17" s="239">
        <f>+'Plan de culture 104 '!C13</f>
        <v>0</v>
      </c>
      <c r="F17" s="239">
        <f>+E17+'Plan de culture 104 '!D13+'Plan de culture 104 '!E13</f>
        <v>0</v>
      </c>
      <c r="G17" s="239">
        <f>+F17</f>
        <v>0</v>
      </c>
      <c r="H17" s="239">
        <f t="shared" ref="H17:M17" si="13">+G17</f>
        <v>0</v>
      </c>
      <c r="I17" s="239">
        <f t="shared" si="13"/>
        <v>0</v>
      </c>
      <c r="J17" s="239">
        <f t="shared" si="13"/>
        <v>0</v>
      </c>
      <c r="K17" s="239">
        <f t="shared" si="13"/>
        <v>0</v>
      </c>
      <c r="L17" s="239">
        <f t="shared" si="13"/>
        <v>0</v>
      </c>
      <c r="M17" s="239">
        <f t="shared" si="13"/>
        <v>0</v>
      </c>
      <c r="N17" s="240">
        <f>+'Plan de culture 104 '!$X$19</f>
        <v>0</v>
      </c>
    </row>
    <row r="18" spans="1:14" x14ac:dyDescent="0.35">
      <c r="A18" s="238" t="s">
        <v>403</v>
      </c>
      <c r="B18" s="254">
        <v>0</v>
      </c>
      <c r="C18" s="254">
        <v>0</v>
      </c>
      <c r="D18" s="254">
        <v>0</v>
      </c>
      <c r="E18" s="254">
        <v>0</v>
      </c>
      <c r="F18" s="254">
        <v>0</v>
      </c>
      <c r="G18" s="254">
        <v>0</v>
      </c>
      <c r="H18" s="254">
        <v>0</v>
      </c>
      <c r="I18" s="254">
        <v>0</v>
      </c>
      <c r="J18" s="254">
        <v>0</v>
      </c>
      <c r="K18" s="254">
        <v>0</v>
      </c>
      <c r="L18" s="254">
        <v>0</v>
      </c>
      <c r="M18" s="254">
        <v>0</v>
      </c>
      <c r="N18" s="245" t="e">
        <f>+N16/N17</f>
        <v>#DIV/0!</v>
      </c>
    </row>
    <row r="19" spans="1:14" x14ac:dyDescent="0.35">
      <c r="A19" s="235" t="s">
        <v>92</v>
      </c>
      <c r="B19" s="80">
        <f>(B20*B21)</f>
        <v>0</v>
      </c>
      <c r="C19" s="80">
        <f t="shared" ref="C19:M19" si="14">(C20*C21)</f>
        <v>0</v>
      </c>
      <c r="D19" s="80">
        <f t="shared" si="14"/>
        <v>0</v>
      </c>
      <c r="E19" s="80">
        <f t="shared" si="14"/>
        <v>0</v>
      </c>
      <c r="F19" s="80">
        <f t="shared" si="14"/>
        <v>0</v>
      </c>
      <c r="G19" s="80">
        <f t="shared" si="14"/>
        <v>0</v>
      </c>
      <c r="H19" s="80">
        <f t="shared" si="14"/>
        <v>0</v>
      </c>
      <c r="I19" s="80">
        <f t="shared" si="14"/>
        <v>0</v>
      </c>
      <c r="J19" s="80">
        <f t="shared" si="14"/>
        <v>0</v>
      </c>
      <c r="K19" s="80">
        <f t="shared" si="14"/>
        <v>0</v>
      </c>
      <c r="L19" s="80">
        <f t="shared" si="14"/>
        <v>0</v>
      </c>
      <c r="M19" s="80">
        <f t="shared" si="14"/>
        <v>0</v>
      </c>
      <c r="N19" s="244">
        <f>SUM(B19:M19)</f>
        <v>0</v>
      </c>
    </row>
    <row r="20" spans="1:14" x14ac:dyDescent="0.35">
      <c r="A20" s="238" t="s">
        <v>93</v>
      </c>
      <c r="B20" s="239">
        <f>+'Plan de culture 104 '!$X$25</f>
        <v>0</v>
      </c>
      <c r="C20" s="239">
        <f>+B20</f>
        <v>0</v>
      </c>
      <c r="D20" s="239">
        <f t="shared" ref="D20" si="15">+C20</f>
        <v>0</v>
      </c>
      <c r="E20" s="239">
        <f>+'Plan de culture 104 '!C16</f>
        <v>0</v>
      </c>
      <c r="F20" s="239">
        <f>+E20+'Plan de culture 104 '!D16+'Plan de culture 104 '!E16</f>
        <v>0</v>
      </c>
      <c r="G20" s="239">
        <f>+F20</f>
        <v>0</v>
      </c>
      <c r="H20" s="239">
        <f t="shared" ref="H20:M20" si="16">+G20</f>
        <v>0</v>
      </c>
      <c r="I20" s="239">
        <f t="shared" si="16"/>
        <v>0</v>
      </c>
      <c r="J20" s="239">
        <f t="shared" si="16"/>
        <v>0</v>
      </c>
      <c r="K20" s="239">
        <f t="shared" si="16"/>
        <v>0</v>
      </c>
      <c r="L20" s="239">
        <f t="shared" si="16"/>
        <v>0</v>
      </c>
      <c r="M20" s="239">
        <f t="shared" si="16"/>
        <v>0</v>
      </c>
      <c r="N20" s="240">
        <f>+'Plan de culture 104 '!$X$25</f>
        <v>0</v>
      </c>
    </row>
    <row r="21" spans="1:14" x14ac:dyDescent="0.35">
      <c r="A21" s="238" t="s">
        <v>403</v>
      </c>
      <c r="B21" s="254">
        <v>0</v>
      </c>
      <c r="C21" s="254">
        <v>0</v>
      </c>
      <c r="D21" s="254">
        <v>0</v>
      </c>
      <c r="E21" s="254">
        <v>0</v>
      </c>
      <c r="F21" s="254">
        <v>0</v>
      </c>
      <c r="G21" s="254">
        <v>0</v>
      </c>
      <c r="H21" s="254">
        <v>0</v>
      </c>
      <c r="I21" s="254">
        <v>0</v>
      </c>
      <c r="J21" s="254">
        <v>0</v>
      </c>
      <c r="K21" s="254">
        <v>0</v>
      </c>
      <c r="L21" s="254">
        <v>0</v>
      </c>
      <c r="M21" s="254">
        <v>0</v>
      </c>
      <c r="N21" s="245" t="e">
        <f>+N19/N20</f>
        <v>#DIV/0!</v>
      </c>
    </row>
    <row r="22" spans="1:14" x14ac:dyDescent="0.35">
      <c r="A22" s="235" t="s">
        <v>377</v>
      </c>
      <c r="B22" s="80">
        <f>(B23*B24)</f>
        <v>0</v>
      </c>
      <c r="C22" s="80">
        <f t="shared" ref="C22:M22" si="17">(C23*C24)</f>
        <v>0</v>
      </c>
      <c r="D22" s="80">
        <f t="shared" si="17"/>
        <v>0</v>
      </c>
      <c r="E22" s="80">
        <f t="shared" si="17"/>
        <v>0</v>
      </c>
      <c r="F22" s="80">
        <f t="shared" si="17"/>
        <v>0</v>
      </c>
      <c r="G22" s="80">
        <f t="shared" si="17"/>
        <v>0</v>
      </c>
      <c r="H22" s="80">
        <f t="shared" si="17"/>
        <v>0</v>
      </c>
      <c r="I22" s="80">
        <f t="shared" si="17"/>
        <v>0</v>
      </c>
      <c r="J22" s="80">
        <f t="shared" si="17"/>
        <v>0</v>
      </c>
      <c r="K22" s="80">
        <f t="shared" si="17"/>
        <v>0</v>
      </c>
      <c r="L22" s="80">
        <f t="shared" si="17"/>
        <v>0</v>
      </c>
      <c r="M22" s="80">
        <f t="shared" si="17"/>
        <v>0</v>
      </c>
      <c r="N22" s="244">
        <f>SUM(B22:M22)</f>
        <v>0</v>
      </c>
    </row>
    <row r="23" spans="1:14" x14ac:dyDescent="0.35">
      <c r="A23" s="238" t="s">
        <v>93</v>
      </c>
      <c r="B23" s="239">
        <f>+'Plan de culture 104 '!$X$31</f>
        <v>0</v>
      </c>
      <c r="C23" s="239">
        <f>+B23</f>
        <v>0</v>
      </c>
      <c r="D23" s="239">
        <f t="shared" ref="D23" si="18">+C23</f>
        <v>0</v>
      </c>
      <c r="E23" s="239">
        <f>+'Plan de culture 104 '!C19</f>
        <v>0</v>
      </c>
      <c r="F23" s="239">
        <f>+E23+'Plan de culture 104 '!D19+'Plan de culture 104 '!E19</f>
        <v>0</v>
      </c>
      <c r="G23" s="239">
        <f>+F23</f>
        <v>0</v>
      </c>
      <c r="H23" s="239">
        <f t="shared" ref="H23:M23" si="19">+G23</f>
        <v>0</v>
      </c>
      <c r="I23" s="239">
        <f t="shared" si="19"/>
        <v>0</v>
      </c>
      <c r="J23" s="239">
        <f t="shared" si="19"/>
        <v>0</v>
      </c>
      <c r="K23" s="239">
        <f t="shared" si="19"/>
        <v>0</v>
      </c>
      <c r="L23" s="239">
        <f t="shared" si="19"/>
        <v>0</v>
      </c>
      <c r="M23" s="239">
        <f t="shared" si="19"/>
        <v>0</v>
      </c>
      <c r="N23" s="240">
        <f>+'Plan de culture 104 '!$X$31</f>
        <v>0</v>
      </c>
    </row>
    <row r="24" spans="1:14" x14ac:dyDescent="0.35">
      <c r="A24" s="238" t="s">
        <v>403</v>
      </c>
      <c r="B24" s="254">
        <v>0</v>
      </c>
      <c r="C24" s="254">
        <v>0</v>
      </c>
      <c r="D24" s="254">
        <v>0</v>
      </c>
      <c r="E24" s="254">
        <v>0</v>
      </c>
      <c r="F24" s="254">
        <v>0</v>
      </c>
      <c r="G24" s="254">
        <v>0</v>
      </c>
      <c r="H24" s="254">
        <v>0</v>
      </c>
      <c r="I24" s="254">
        <v>0</v>
      </c>
      <c r="J24" s="254">
        <v>0</v>
      </c>
      <c r="K24" s="254">
        <v>0</v>
      </c>
      <c r="L24" s="254">
        <v>0</v>
      </c>
      <c r="M24" s="254">
        <v>0</v>
      </c>
      <c r="N24" s="245" t="e">
        <f>+N22/N23</f>
        <v>#DIV/0!</v>
      </c>
    </row>
    <row r="25" spans="1:14" x14ac:dyDescent="0.35">
      <c r="A25" s="235" t="s">
        <v>378</v>
      </c>
      <c r="B25" s="80">
        <f>(B26*B27)</f>
        <v>0</v>
      </c>
      <c r="C25" s="80">
        <f t="shared" ref="C25:M25" si="20">(C26*C27)</f>
        <v>0</v>
      </c>
      <c r="D25" s="80">
        <f t="shared" si="20"/>
        <v>0</v>
      </c>
      <c r="E25" s="80">
        <f t="shared" si="20"/>
        <v>0</v>
      </c>
      <c r="F25" s="80">
        <f t="shared" si="20"/>
        <v>0</v>
      </c>
      <c r="G25" s="80">
        <f t="shared" si="20"/>
        <v>0</v>
      </c>
      <c r="H25" s="80">
        <f t="shared" si="20"/>
        <v>0</v>
      </c>
      <c r="I25" s="80">
        <f t="shared" si="20"/>
        <v>0</v>
      </c>
      <c r="J25" s="80">
        <f t="shared" si="20"/>
        <v>0</v>
      </c>
      <c r="K25" s="80">
        <f t="shared" si="20"/>
        <v>0</v>
      </c>
      <c r="L25" s="80">
        <f t="shared" si="20"/>
        <v>0</v>
      </c>
      <c r="M25" s="80">
        <f t="shared" si="20"/>
        <v>0</v>
      </c>
      <c r="N25" s="244">
        <f>SUM(B25:M25)</f>
        <v>0</v>
      </c>
    </row>
    <row r="26" spans="1:14" x14ac:dyDescent="0.35">
      <c r="A26" s="238" t="s">
        <v>93</v>
      </c>
      <c r="B26" s="239">
        <f>+'Plan de culture 104 '!$X$37</f>
        <v>0</v>
      </c>
      <c r="C26" s="239">
        <f>+B26</f>
        <v>0</v>
      </c>
      <c r="D26" s="239">
        <f t="shared" ref="D26" si="21">+C26</f>
        <v>0</v>
      </c>
      <c r="E26" s="239">
        <f>+'Plan de culture 104 '!C22</f>
        <v>0</v>
      </c>
      <c r="F26" s="239">
        <f>+E26+'Plan de culture 104 '!D22+'Plan de culture 104 '!E22</f>
        <v>0</v>
      </c>
      <c r="G26" s="239">
        <f>+F26</f>
        <v>0</v>
      </c>
      <c r="H26" s="239">
        <f t="shared" ref="H26:M26" si="22">+G26</f>
        <v>0</v>
      </c>
      <c r="I26" s="239">
        <f t="shared" si="22"/>
        <v>0</v>
      </c>
      <c r="J26" s="239">
        <f t="shared" si="22"/>
        <v>0</v>
      </c>
      <c r="K26" s="239">
        <f t="shared" si="22"/>
        <v>0</v>
      </c>
      <c r="L26" s="239">
        <f t="shared" si="22"/>
        <v>0</v>
      </c>
      <c r="M26" s="239">
        <f t="shared" si="22"/>
        <v>0</v>
      </c>
      <c r="N26" s="240">
        <f>+'Plan de culture 104 '!$X$37</f>
        <v>0</v>
      </c>
    </row>
    <row r="27" spans="1:14" ht="12" thickBot="1" x14ac:dyDescent="0.4">
      <c r="A27" s="238" t="s">
        <v>403</v>
      </c>
      <c r="B27" s="254">
        <v>0</v>
      </c>
      <c r="C27" s="254">
        <v>0</v>
      </c>
      <c r="D27" s="254">
        <v>0</v>
      </c>
      <c r="E27" s="254">
        <v>0</v>
      </c>
      <c r="F27" s="254">
        <v>0</v>
      </c>
      <c r="G27" s="254">
        <v>0</v>
      </c>
      <c r="H27" s="254">
        <v>0</v>
      </c>
      <c r="I27" s="254">
        <v>0</v>
      </c>
      <c r="J27" s="254">
        <v>0</v>
      </c>
      <c r="K27" s="254">
        <v>0</v>
      </c>
      <c r="L27" s="254">
        <v>0</v>
      </c>
      <c r="M27" s="254">
        <v>0</v>
      </c>
      <c r="N27" s="245" t="e">
        <f>+N25/N26</f>
        <v>#DIV/0!</v>
      </c>
    </row>
    <row r="28" spans="1:14" x14ac:dyDescent="0.35">
      <c r="A28" s="233" t="s">
        <v>405</v>
      </c>
      <c r="B28" s="242">
        <f t="shared" ref="B28:M29" si="23">+B31+B34+B37+B40+B43+B46</f>
        <v>0</v>
      </c>
      <c r="C28" s="242">
        <f t="shared" si="23"/>
        <v>0</v>
      </c>
      <c r="D28" s="242">
        <f t="shared" si="23"/>
        <v>0</v>
      </c>
      <c r="E28" s="242">
        <f t="shared" si="23"/>
        <v>0</v>
      </c>
      <c r="F28" s="242">
        <f t="shared" si="23"/>
        <v>0</v>
      </c>
      <c r="G28" s="242">
        <f t="shared" si="23"/>
        <v>0</v>
      </c>
      <c r="H28" s="242">
        <f t="shared" si="23"/>
        <v>0</v>
      </c>
      <c r="I28" s="242">
        <f t="shared" si="23"/>
        <v>0</v>
      </c>
      <c r="J28" s="242">
        <f t="shared" si="23"/>
        <v>0</v>
      </c>
      <c r="K28" s="242">
        <f t="shared" si="23"/>
        <v>0</v>
      </c>
      <c r="L28" s="242">
        <f t="shared" si="23"/>
        <v>0</v>
      </c>
      <c r="M28" s="242">
        <f t="shared" si="23"/>
        <v>0</v>
      </c>
      <c r="N28" s="243">
        <f>SUM(B28:M28)</f>
        <v>0</v>
      </c>
    </row>
    <row r="29" spans="1:14" x14ac:dyDescent="0.35">
      <c r="A29" s="234" t="s">
        <v>93</v>
      </c>
      <c r="B29" s="83">
        <f t="shared" si="23"/>
        <v>5.3950000000000005</v>
      </c>
      <c r="C29" s="81">
        <f t="shared" si="23"/>
        <v>5.3950000000000005</v>
      </c>
      <c r="D29" s="81">
        <f t="shared" si="23"/>
        <v>5.3950000000000005</v>
      </c>
      <c r="E29" s="81">
        <f t="shared" si="23"/>
        <v>5.3950000000000005</v>
      </c>
      <c r="F29" s="81">
        <f t="shared" si="23"/>
        <v>5.3950000000000005</v>
      </c>
      <c r="G29" s="81">
        <f t="shared" si="23"/>
        <v>5.3950000000000005</v>
      </c>
      <c r="H29" s="81">
        <f t="shared" si="23"/>
        <v>5.3950000000000005</v>
      </c>
      <c r="I29" s="81">
        <f t="shared" si="23"/>
        <v>5.3950000000000005</v>
      </c>
      <c r="J29" s="81">
        <f t="shared" si="23"/>
        <v>5.3950000000000005</v>
      </c>
      <c r="K29" s="81">
        <f t="shared" si="23"/>
        <v>5.3950000000000005</v>
      </c>
      <c r="L29" s="81">
        <f t="shared" si="23"/>
        <v>5.3950000000000005</v>
      </c>
      <c r="M29" s="81">
        <f t="shared" si="23"/>
        <v>5.3950000000000005</v>
      </c>
      <c r="N29" s="248">
        <f>+M29</f>
        <v>5.3950000000000005</v>
      </c>
    </row>
    <row r="30" spans="1:14" x14ac:dyDescent="0.35">
      <c r="A30" s="234" t="s">
        <v>403</v>
      </c>
      <c r="B30" s="83">
        <f t="shared" ref="B30:N30" si="24">+B28/B29</f>
        <v>0</v>
      </c>
      <c r="C30" s="83">
        <f t="shared" si="24"/>
        <v>0</v>
      </c>
      <c r="D30" s="83">
        <f t="shared" si="24"/>
        <v>0</v>
      </c>
      <c r="E30" s="83">
        <f t="shared" si="24"/>
        <v>0</v>
      </c>
      <c r="F30" s="83">
        <f t="shared" si="24"/>
        <v>0</v>
      </c>
      <c r="G30" s="83">
        <f t="shared" si="24"/>
        <v>0</v>
      </c>
      <c r="H30" s="83">
        <f t="shared" si="24"/>
        <v>0</v>
      </c>
      <c r="I30" s="83">
        <f t="shared" si="24"/>
        <v>0</v>
      </c>
      <c r="J30" s="83">
        <f t="shared" si="24"/>
        <v>0</v>
      </c>
      <c r="K30" s="83">
        <f t="shared" si="24"/>
        <v>0</v>
      </c>
      <c r="L30" s="83">
        <f t="shared" si="24"/>
        <v>0</v>
      </c>
      <c r="M30" s="83">
        <f t="shared" si="24"/>
        <v>0</v>
      </c>
      <c r="N30" s="249">
        <f t="shared" si="24"/>
        <v>0</v>
      </c>
    </row>
    <row r="31" spans="1:14" x14ac:dyDescent="0.35">
      <c r="A31" s="235" t="s">
        <v>90</v>
      </c>
      <c r="B31" s="80">
        <f>(B32*B33)</f>
        <v>0</v>
      </c>
      <c r="C31" s="80">
        <f t="shared" ref="C31:M31" si="25">(C32*C33)</f>
        <v>0</v>
      </c>
      <c r="D31" s="80">
        <f t="shared" si="25"/>
        <v>0</v>
      </c>
      <c r="E31" s="80">
        <f t="shared" si="25"/>
        <v>0</v>
      </c>
      <c r="F31" s="80">
        <f t="shared" si="25"/>
        <v>0</v>
      </c>
      <c r="G31" s="80">
        <f t="shared" si="25"/>
        <v>0</v>
      </c>
      <c r="H31" s="80">
        <f t="shared" si="25"/>
        <v>0</v>
      </c>
      <c r="I31" s="80">
        <f t="shared" si="25"/>
        <v>0</v>
      </c>
      <c r="J31" s="80">
        <f t="shared" si="25"/>
        <v>0</v>
      </c>
      <c r="K31" s="80">
        <f t="shared" si="25"/>
        <v>0</v>
      </c>
      <c r="L31" s="80">
        <f t="shared" si="25"/>
        <v>0</v>
      </c>
      <c r="M31" s="80">
        <f t="shared" si="25"/>
        <v>0</v>
      </c>
      <c r="N31" s="244">
        <f>SUM(B31:M31)</f>
        <v>0</v>
      </c>
    </row>
    <row r="32" spans="1:14" x14ac:dyDescent="0.35">
      <c r="A32" s="238" t="s">
        <v>93</v>
      </c>
      <c r="B32" s="239">
        <f>+'Plan de culture 105'!$I$7</f>
        <v>0</v>
      </c>
      <c r="C32" s="239">
        <f>+B32</f>
        <v>0</v>
      </c>
      <c r="D32" s="239">
        <f t="shared" ref="D32" si="26">+C32</f>
        <v>0</v>
      </c>
      <c r="E32" s="239">
        <f>+D32</f>
        <v>0</v>
      </c>
      <c r="F32" s="239">
        <f>+E32</f>
        <v>0</v>
      </c>
      <c r="G32" s="239">
        <f>+F32</f>
        <v>0</v>
      </c>
      <c r="H32" s="239">
        <f t="shared" ref="H32:M32" si="27">+G32</f>
        <v>0</v>
      </c>
      <c r="I32" s="239">
        <f t="shared" si="27"/>
        <v>0</v>
      </c>
      <c r="J32" s="239">
        <f t="shared" si="27"/>
        <v>0</v>
      </c>
      <c r="K32" s="239">
        <f t="shared" si="27"/>
        <v>0</v>
      </c>
      <c r="L32" s="239">
        <f t="shared" si="27"/>
        <v>0</v>
      </c>
      <c r="M32" s="239">
        <f t="shared" si="27"/>
        <v>0</v>
      </c>
      <c r="N32" s="240">
        <f>+'Plan de culture 105'!$I$7</f>
        <v>0</v>
      </c>
    </row>
    <row r="33" spans="1:14" x14ac:dyDescent="0.35">
      <c r="A33" s="238" t="s">
        <v>403</v>
      </c>
      <c r="B33" s="254">
        <v>0</v>
      </c>
      <c r="C33" s="254">
        <v>0</v>
      </c>
      <c r="D33" s="254">
        <v>0</v>
      </c>
      <c r="E33" s="254">
        <v>0</v>
      </c>
      <c r="F33" s="254">
        <v>0</v>
      </c>
      <c r="G33" s="254">
        <v>0</v>
      </c>
      <c r="H33" s="254">
        <v>0</v>
      </c>
      <c r="I33" s="254">
        <v>0</v>
      </c>
      <c r="J33" s="254">
        <v>0</v>
      </c>
      <c r="K33" s="254">
        <v>0</v>
      </c>
      <c r="L33" s="254">
        <v>0</v>
      </c>
      <c r="M33" s="254">
        <v>0</v>
      </c>
      <c r="N33" s="245" t="e">
        <f>+N31/N32</f>
        <v>#DIV/0!</v>
      </c>
    </row>
    <row r="34" spans="1:14" x14ac:dyDescent="0.35">
      <c r="A34" s="235" t="s">
        <v>91</v>
      </c>
      <c r="B34" s="80">
        <f>(B35*B36)</f>
        <v>0</v>
      </c>
      <c r="C34" s="80">
        <f t="shared" ref="C34:M34" si="28">(C35*C36)</f>
        <v>0</v>
      </c>
      <c r="D34" s="80">
        <f t="shared" si="28"/>
        <v>0</v>
      </c>
      <c r="E34" s="80">
        <f t="shared" si="28"/>
        <v>0</v>
      </c>
      <c r="F34" s="80">
        <f t="shared" si="28"/>
        <v>0</v>
      </c>
      <c r="G34" s="80">
        <f t="shared" si="28"/>
        <v>0</v>
      </c>
      <c r="H34" s="80">
        <f t="shared" si="28"/>
        <v>0</v>
      </c>
      <c r="I34" s="80">
        <f t="shared" si="28"/>
        <v>0</v>
      </c>
      <c r="J34" s="80">
        <f t="shared" si="28"/>
        <v>0</v>
      </c>
      <c r="K34" s="80">
        <f t="shared" si="28"/>
        <v>0</v>
      </c>
      <c r="L34" s="80">
        <f t="shared" si="28"/>
        <v>0</v>
      </c>
      <c r="M34" s="80">
        <f t="shared" si="28"/>
        <v>0</v>
      </c>
      <c r="N34" s="244">
        <f>SUM(B34:M34)</f>
        <v>0</v>
      </c>
    </row>
    <row r="35" spans="1:14" x14ac:dyDescent="0.35">
      <c r="A35" s="238" t="s">
        <v>93</v>
      </c>
      <c r="B35" s="239">
        <f>+'Plan de culture 105'!$I$13</f>
        <v>5.3950000000000005</v>
      </c>
      <c r="C35" s="239">
        <f>+B35</f>
        <v>5.3950000000000005</v>
      </c>
      <c r="D35" s="239">
        <f t="shared" ref="D35:M35" si="29">+C35</f>
        <v>5.3950000000000005</v>
      </c>
      <c r="E35" s="239">
        <f t="shared" si="29"/>
        <v>5.3950000000000005</v>
      </c>
      <c r="F35" s="239">
        <f t="shared" si="29"/>
        <v>5.3950000000000005</v>
      </c>
      <c r="G35" s="239">
        <f t="shared" si="29"/>
        <v>5.3950000000000005</v>
      </c>
      <c r="H35" s="239">
        <f t="shared" si="29"/>
        <v>5.3950000000000005</v>
      </c>
      <c r="I35" s="239">
        <f t="shared" si="29"/>
        <v>5.3950000000000005</v>
      </c>
      <c r="J35" s="239">
        <f t="shared" si="29"/>
        <v>5.3950000000000005</v>
      </c>
      <c r="K35" s="239">
        <f t="shared" si="29"/>
        <v>5.3950000000000005</v>
      </c>
      <c r="L35" s="239">
        <f t="shared" si="29"/>
        <v>5.3950000000000005</v>
      </c>
      <c r="M35" s="239">
        <f t="shared" si="29"/>
        <v>5.3950000000000005</v>
      </c>
      <c r="N35" s="240">
        <f>+'Plan de culture 105'!$I$13</f>
        <v>5.3950000000000005</v>
      </c>
    </row>
    <row r="36" spans="1:14" x14ac:dyDescent="0.35">
      <c r="A36" s="238" t="s">
        <v>403</v>
      </c>
      <c r="B36" s="254">
        <v>0</v>
      </c>
      <c r="C36" s="254">
        <v>0</v>
      </c>
      <c r="D36" s="254">
        <v>0</v>
      </c>
      <c r="E36" s="254">
        <v>0</v>
      </c>
      <c r="F36" s="254">
        <v>0</v>
      </c>
      <c r="G36" s="254">
        <v>0</v>
      </c>
      <c r="H36" s="254">
        <v>0</v>
      </c>
      <c r="I36" s="254">
        <v>0</v>
      </c>
      <c r="J36" s="254">
        <v>0</v>
      </c>
      <c r="K36" s="254">
        <v>0</v>
      </c>
      <c r="L36" s="254">
        <v>0</v>
      </c>
      <c r="M36" s="254">
        <v>0</v>
      </c>
      <c r="N36" s="245">
        <f>+N34/N35</f>
        <v>0</v>
      </c>
    </row>
    <row r="37" spans="1:14" x14ac:dyDescent="0.35">
      <c r="A37" s="235" t="s">
        <v>376</v>
      </c>
      <c r="B37" s="80">
        <f>(B39*B38)</f>
        <v>0</v>
      </c>
      <c r="C37" s="80">
        <f t="shared" ref="C37:M37" si="30">(C39*C38)</f>
        <v>0</v>
      </c>
      <c r="D37" s="80">
        <f t="shared" si="30"/>
        <v>0</v>
      </c>
      <c r="E37" s="80">
        <f t="shared" si="30"/>
        <v>0</v>
      </c>
      <c r="F37" s="80">
        <f t="shared" si="30"/>
        <v>0</v>
      </c>
      <c r="G37" s="80">
        <f t="shared" si="30"/>
        <v>0</v>
      </c>
      <c r="H37" s="80">
        <f t="shared" si="30"/>
        <v>0</v>
      </c>
      <c r="I37" s="80">
        <f t="shared" si="30"/>
        <v>0</v>
      </c>
      <c r="J37" s="80">
        <f t="shared" si="30"/>
        <v>0</v>
      </c>
      <c r="K37" s="80">
        <f t="shared" si="30"/>
        <v>0</v>
      </c>
      <c r="L37" s="80">
        <f t="shared" si="30"/>
        <v>0</v>
      </c>
      <c r="M37" s="80">
        <f t="shared" si="30"/>
        <v>0</v>
      </c>
      <c r="N37" s="244">
        <f>SUM(B37:M37)</f>
        <v>0</v>
      </c>
    </row>
    <row r="38" spans="1:14" x14ac:dyDescent="0.35">
      <c r="A38" s="238" t="s">
        <v>93</v>
      </c>
      <c r="B38" s="239">
        <f>+'Plan de culture 105'!$I$19</f>
        <v>0</v>
      </c>
      <c r="C38" s="239">
        <f>+B38</f>
        <v>0</v>
      </c>
      <c r="D38" s="239">
        <f t="shared" ref="D38" si="31">+C38</f>
        <v>0</v>
      </c>
      <c r="E38" s="239">
        <f>+'Plan de culture 104 '!C34</f>
        <v>0</v>
      </c>
      <c r="F38" s="239">
        <f>+E38+'Plan de culture 104 '!D34+'Plan de culture 104 '!E34</f>
        <v>0</v>
      </c>
      <c r="G38" s="239">
        <f>+F38</f>
        <v>0</v>
      </c>
      <c r="H38" s="239">
        <f t="shared" ref="H38:M38" si="32">+G38</f>
        <v>0</v>
      </c>
      <c r="I38" s="239">
        <f t="shared" si="32"/>
        <v>0</v>
      </c>
      <c r="J38" s="239">
        <f t="shared" si="32"/>
        <v>0</v>
      </c>
      <c r="K38" s="239">
        <f t="shared" si="32"/>
        <v>0</v>
      </c>
      <c r="L38" s="239">
        <f t="shared" si="32"/>
        <v>0</v>
      </c>
      <c r="M38" s="239">
        <f t="shared" si="32"/>
        <v>0</v>
      </c>
      <c r="N38" s="240">
        <f>+'Plan de culture 105'!$I$19</f>
        <v>0</v>
      </c>
    </row>
    <row r="39" spans="1:14" x14ac:dyDescent="0.35">
      <c r="A39" s="238" t="s">
        <v>403</v>
      </c>
      <c r="B39" s="254">
        <v>0</v>
      </c>
      <c r="C39" s="254">
        <v>0</v>
      </c>
      <c r="D39" s="254">
        <v>0</v>
      </c>
      <c r="E39" s="254">
        <v>0</v>
      </c>
      <c r="F39" s="254">
        <v>0</v>
      </c>
      <c r="G39" s="254">
        <v>0</v>
      </c>
      <c r="H39" s="254">
        <v>0</v>
      </c>
      <c r="I39" s="254">
        <v>0</v>
      </c>
      <c r="J39" s="254">
        <v>0</v>
      </c>
      <c r="K39" s="254">
        <v>0</v>
      </c>
      <c r="L39" s="254">
        <v>0</v>
      </c>
      <c r="M39" s="254">
        <v>0</v>
      </c>
      <c r="N39" s="245" t="e">
        <f>+N37/N38</f>
        <v>#DIV/0!</v>
      </c>
    </row>
    <row r="40" spans="1:14" x14ac:dyDescent="0.35">
      <c r="A40" s="235" t="s">
        <v>92</v>
      </c>
      <c r="B40" s="80">
        <f>(B42*B41)</f>
        <v>0</v>
      </c>
      <c r="C40" s="80">
        <f t="shared" ref="C40:M40" si="33">(C42*C41)</f>
        <v>0</v>
      </c>
      <c r="D40" s="80">
        <f t="shared" si="33"/>
        <v>0</v>
      </c>
      <c r="E40" s="80">
        <f t="shared" si="33"/>
        <v>0</v>
      </c>
      <c r="F40" s="80">
        <f t="shared" si="33"/>
        <v>0</v>
      </c>
      <c r="G40" s="80">
        <f t="shared" si="33"/>
        <v>0</v>
      </c>
      <c r="H40" s="80">
        <f t="shared" si="33"/>
        <v>0</v>
      </c>
      <c r="I40" s="80">
        <f t="shared" si="33"/>
        <v>0</v>
      </c>
      <c r="J40" s="80">
        <f t="shared" si="33"/>
        <v>0</v>
      </c>
      <c r="K40" s="80">
        <f t="shared" si="33"/>
        <v>0</v>
      </c>
      <c r="L40" s="80">
        <f t="shared" si="33"/>
        <v>0</v>
      </c>
      <c r="M40" s="80">
        <f t="shared" si="33"/>
        <v>0</v>
      </c>
      <c r="N40" s="244">
        <f>SUM(B40:M40)</f>
        <v>0</v>
      </c>
    </row>
    <row r="41" spans="1:14" x14ac:dyDescent="0.35">
      <c r="A41" s="238" t="s">
        <v>93</v>
      </c>
      <c r="B41" s="239">
        <f>+'Plan de culture 105'!$I$25</f>
        <v>0</v>
      </c>
      <c r="C41" s="239">
        <f>+B41</f>
        <v>0</v>
      </c>
      <c r="D41" s="239">
        <f t="shared" ref="D41" si="34">+C41</f>
        <v>0</v>
      </c>
      <c r="E41" s="239">
        <f>+'Plan de culture 104 '!C37</f>
        <v>0</v>
      </c>
      <c r="F41" s="239">
        <f>+E41+'Plan de culture 104 '!D37+'Plan de culture 104 '!E37</f>
        <v>0</v>
      </c>
      <c r="G41" s="239">
        <f>+F41</f>
        <v>0</v>
      </c>
      <c r="H41" s="239">
        <f t="shared" ref="H41:M41" si="35">+G41</f>
        <v>0</v>
      </c>
      <c r="I41" s="239">
        <f t="shared" si="35"/>
        <v>0</v>
      </c>
      <c r="J41" s="239">
        <f t="shared" si="35"/>
        <v>0</v>
      </c>
      <c r="K41" s="239">
        <f t="shared" si="35"/>
        <v>0</v>
      </c>
      <c r="L41" s="239">
        <f t="shared" si="35"/>
        <v>0</v>
      </c>
      <c r="M41" s="239">
        <f t="shared" si="35"/>
        <v>0</v>
      </c>
      <c r="N41" s="240">
        <f>+'Plan de culture 105'!$I$25</f>
        <v>0</v>
      </c>
    </row>
    <row r="42" spans="1:14" x14ac:dyDescent="0.35">
      <c r="A42" s="238" t="s">
        <v>403</v>
      </c>
      <c r="B42" s="254">
        <v>0</v>
      </c>
      <c r="C42" s="254">
        <v>0</v>
      </c>
      <c r="D42" s="254">
        <v>0</v>
      </c>
      <c r="E42" s="254">
        <v>0</v>
      </c>
      <c r="F42" s="254">
        <v>0</v>
      </c>
      <c r="G42" s="254">
        <v>0</v>
      </c>
      <c r="H42" s="254">
        <v>0</v>
      </c>
      <c r="I42" s="254">
        <v>0</v>
      </c>
      <c r="J42" s="254">
        <v>0</v>
      </c>
      <c r="K42" s="254">
        <v>0</v>
      </c>
      <c r="L42" s="254">
        <v>0</v>
      </c>
      <c r="M42" s="254">
        <v>0</v>
      </c>
      <c r="N42" s="245" t="e">
        <f>+N40/N41</f>
        <v>#DIV/0!</v>
      </c>
    </row>
    <row r="43" spans="1:14" x14ac:dyDescent="0.35">
      <c r="A43" s="235" t="s">
        <v>377</v>
      </c>
      <c r="B43" s="80">
        <f>(B45*B44)</f>
        <v>0</v>
      </c>
      <c r="C43" s="80">
        <f t="shared" ref="C43:M43" si="36">(C45*C44)</f>
        <v>0</v>
      </c>
      <c r="D43" s="80">
        <f t="shared" si="36"/>
        <v>0</v>
      </c>
      <c r="E43" s="80">
        <f t="shared" si="36"/>
        <v>0</v>
      </c>
      <c r="F43" s="80">
        <f t="shared" si="36"/>
        <v>0</v>
      </c>
      <c r="G43" s="80">
        <f t="shared" si="36"/>
        <v>0</v>
      </c>
      <c r="H43" s="80">
        <f t="shared" si="36"/>
        <v>0</v>
      </c>
      <c r="I43" s="80">
        <f t="shared" si="36"/>
        <v>0</v>
      </c>
      <c r="J43" s="80">
        <f t="shared" si="36"/>
        <v>0</v>
      </c>
      <c r="K43" s="80">
        <f t="shared" si="36"/>
        <v>0</v>
      </c>
      <c r="L43" s="80">
        <f t="shared" si="36"/>
        <v>0</v>
      </c>
      <c r="M43" s="80">
        <f t="shared" si="36"/>
        <v>0</v>
      </c>
      <c r="N43" s="244">
        <f>SUM(B43:M43)</f>
        <v>0</v>
      </c>
    </row>
    <row r="44" spans="1:14" x14ac:dyDescent="0.35">
      <c r="A44" s="238" t="s">
        <v>93</v>
      </c>
      <c r="B44" s="239">
        <f>+'Plan de culture 105'!$I$31</f>
        <v>0</v>
      </c>
      <c r="C44" s="239">
        <f>+B44</f>
        <v>0</v>
      </c>
      <c r="D44" s="239">
        <f t="shared" ref="D44" si="37">+C44</f>
        <v>0</v>
      </c>
      <c r="E44" s="239">
        <f>+'Plan de culture 104 '!C40</f>
        <v>0</v>
      </c>
      <c r="F44" s="239">
        <f>+E44+'Plan de culture 104 '!D40+'Plan de culture 104 '!E40</f>
        <v>0</v>
      </c>
      <c r="G44" s="239">
        <f>+F44</f>
        <v>0</v>
      </c>
      <c r="H44" s="239">
        <f t="shared" ref="H44:M44" si="38">+G44</f>
        <v>0</v>
      </c>
      <c r="I44" s="239">
        <f t="shared" si="38"/>
        <v>0</v>
      </c>
      <c r="J44" s="239">
        <f t="shared" si="38"/>
        <v>0</v>
      </c>
      <c r="K44" s="239">
        <f t="shared" si="38"/>
        <v>0</v>
      </c>
      <c r="L44" s="239">
        <f t="shared" si="38"/>
        <v>0</v>
      </c>
      <c r="M44" s="239">
        <f t="shared" si="38"/>
        <v>0</v>
      </c>
      <c r="N44" s="240">
        <f>+'Plan de culture 105'!$I$31</f>
        <v>0</v>
      </c>
    </row>
    <row r="45" spans="1:14" x14ac:dyDescent="0.35">
      <c r="A45" s="238" t="s">
        <v>403</v>
      </c>
      <c r="B45" s="254">
        <v>0</v>
      </c>
      <c r="C45" s="254">
        <v>0</v>
      </c>
      <c r="D45" s="254">
        <v>0</v>
      </c>
      <c r="E45" s="254">
        <v>0</v>
      </c>
      <c r="F45" s="254">
        <v>0</v>
      </c>
      <c r="G45" s="254">
        <v>0</v>
      </c>
      <c r="H45" s="254">
        <v>0</v>
      </c>
      <c r="I45" s="254">
        <v>0</v>
      </c>
      <c r="J45" s="254">
        <v>0</v>
      </c>
      <c r="K45" s="254">
        <v>0</v>
      </c>
      <c r="L45" s="254">
        <v>0</v>
      </c>
      <c r="M45" s="254">
        <v>0</v>
      </c>
      <c r="N45" s="245" t="e">
        <f>+N43/N44</f>
        <v>#DIV/0!</v>
      </c>
    </row>
    <row r="46" spans="1:14" x14ac:dyDescent="0.35">
      <c r="A46" s="235" t="s">
        <v>378</v>
      </c>
      <c r="B46" s="80">
        <f>(B48*B47)</f>
        <v>0</v>
      </c>
      <c r="C46" s="80">
        <f t="shared" ref="C46:M46" si="39">(C48*C47)</f>
        <v>0</v>
      </c>
      <c r="D46" s="80">
        <f t="shared" si="39"/>
        <v>0</v>
      </c>
      <c r="E46" s="80">
        <f t="shared" si="39"/>
        <v>0</v>
      </c>
      <c r="F46" s="80">
        <f t="shared" si="39"/>
        <v>0</v>
      </c>
      <c r="G46" s="80">
        <f t="shared" si="39"/>
        <v>0</v>
      </c>
      <c r="H46" s="80">
        <f t="shared" si="39"/>
        <v>0</v>
      </c>
      <c r="I46" s="80">
        <f t="shared" si="39"/>
        <v>0</v>
      </c>
      <c r="J46" s="80">
        <f t="shared" si="39"/>
        <v>0</v>
      </c>
      <c r="K46" s="80">
        <f t="shared" si="39"/>
        <v>0</v>
      </c>
      <c r="L46" s="80">
        <f t="shared" si="39"/>
        <v>0</v>
      </c>
      <c r="M46" s="80">
        <f t="shared" si="39"/>
        <v>0</v>
      </c>
      <c r="N46" s="244">
        <f>SUM(B46:M46)</f>
        <v>0</v>
      </c>
    </row>
    <row r="47" spans="1:14" x14ac:dyDescent="0.35">
      <c r="A47" s="238" t="s">
        <v>93</v>
      </c>
      <c r="B47" s="239">
        <f>+'Plan de culture 105'!$I$37</f>
        <v>0</v>
      </c>
      <c r="C47" s="239">
        <f>+B47</f>
        <v>0</v>
      </c>
      <c r="D47" s="239">
        <f t="shared" ref="D47" si="40">+C47</f>
        <v>0</v>
      </c>
      <c r="E47" s="239">
        <f>+'Plan de culture 104 '!C43</f>
        <v>0</v>
      </c>
      <c r="F47" s="239">
        <f>+E47+'Plan de culture 104 '!D43+'Plan de culture 104 '!E43</f>
        <v>0</v>
      </c>
      <c r="G47" s="239">
        <f>+F47</f>
        <v>0</v>
      </c>
      <c r="H47" s="239">
        <f t="shared" ref="H47:M47" si="41">+G47</f>
        <v>0</v>
      </c>
      <c r="I47" s="239">
        <f t="shared" si="41"/>
        <v>0</v>
      </c>
      <c r="J47" s="239">
        <f t="shared" si="41"/>
        <v>0</v>
      </c>
      <c r="K47" s="239">
        <f t="shared" si="41"/>
        <v>0</v>
      </c>
      <c r="L47" s="239">
        <f t="shared" si="41"/>
        <v>0</v>
      </c>
      <c r="M47" s="239">
        <f t="shared" si="41"/>
        <v>0</v>
      </c>
      <c r="N47" s="240">
        <f>+'Plan de culture 105'!$I$37</f>
        <v>0</v>
      </c>
    </row>
    <row r="48" spans="1:14" ht="12" thickBot="1" x14ac:dyDescent="0.4">
      <c r="A48" s="238" t="s">
        <v>403</v>
      </c>
      <c r="B48" s="254">
        <v>0</v>
      </c>
      <c r="C48" s="254">
        <v>0</v>
      </c>
      <c r="D48" s="254">
        <v>0</v>
      </c>
      <c r="E48" s="254">
        <v>0</v>
      </c>
      <c r="F48" s="254">
        <v>0</v>
      </c>
      <c r="G48" s="254">
        <v>0</v>
      </c>
      <c r="H48" s="254">
        <v>0</v>
      </c>
      <c r="I48" s="254">
        <v>0</v>
      </c>
      <c r="J48" s="254">
        <v>0</v>
      </c>
      <c r="K48" s="254">
        <v>0</v>
      </c>
      <c r="L48" s="254">
        <v>0</v>
      </c>
      <c r="M48" s="254">
        <v>0</v>
      </c>
      <c r="N48" s="245" t="e">
        <f>+N46/N47</f>
        <v>#DIV/0!</v>
      </c>
    </row>
    <row r="49" spans="1:14" x14ac:dyDescent="0.35">
      <c r="A49" s="233" t="s">
        <v>406</v>
      </c>
      <c r="B49" s="242">
        <f t="shared" ref="B49:M50" si="42">+B52+B55+B58+B61+B64+B67</f>
        <v>0</v>
      </c>
      <c r="C49" s="242">
        <f t="shared" si="42"/>
        <v>0</v>
      </c>
      <c r="D49" s="242">
        <f t="shared" si="42"/>
        <v>0</v>
      </c>
      <c r="E49" s="242">
        <f t="shared" si="42"/>
        <v>0</v>
      </c>
      <c r="F49" s="242">
        <f t="shared" si="42"/>
        <v>0</v>
      </c>
      <c r="G49" s="242">
        <f t="shared" si="42"/>
        <v>0</v>
      </c>
      <c r="H49" s="242">
        <f t="shared" si="42"/>
        <v>0</v>
      </c>
      <c r="I49" s="242">
        <f t="shared" si="42"/>
        <v>0</v>
      </c>
      <c r="J49" s="242">
        <f t="shared" si="42"/>
        <v>0</v>
      </c>
      <c r="K49" s="242">
        <f t="shared" si="42"/>
        <v>0</v>
      </c>
      <c r="L49" s="242">
        <f t="shared" si="42"/>
        <v>0</v>
      </c>
      <c r="M49" s="242">
        <f t="shared" si="42"/>
        <v>0</v>
      </c>
      <c r="N49" s="243">
        <f>SUM(B49:M49)</f>
        <v>0</v>
      </c>
    </row>
    <row r="50" spans="1:14" x14ac:dyDescent="0.35">
      <c r="A50" s="234" t="s">
        <v>93</v>
      </c>
      <c r="B50" s="83">
        <f t="shared" si="42"/>
        <v>5.5750000000000002</v>
      </c>
      <c r="C50" s="83">
        <f t="shared" si="42"/>
        <v>5.5750000000000002</v>
      </c>
      <c r="D50" s="83">
        <f t="shared" si="42"/>
        <v>5.5750000000000002</v>
      </c>
      <c r="E50" s="83">
        <f t="shared" si="42"/>
        <v>5.5750000000000002</v>
      </c>
      <c r="F50" s="83">
        <f t="shared" si="42"/>
        <v>5.5750000000000002</v>
      </c>
      <c r="G50" s="83">
        <f t="shared" si="42"/>
        <v>5.5750000000000002</v>
      </c>
      <c r="H50" s="83">
        <f t="shared" si="42"/>
        <v>5.5750000000000002</v>
      </c>
      <c r="I50" s="83">
        <f t="shared" si="42"/>
        <v>5.5750000000000002</v>
      </c>
      <c r="J50" s="83">
        <f t="shared" si="42"/>
        <v>5.5750000000000002</v>
      </c>
      <c r="K50" s="83">
        <f t="shared" si="42"/>
        <v>5.5750000000000002</v>
      </c>
      <c r="L50" s="83">
        <f t="shared" si="42"/>
        <v>5.5750000000000002</v>
      </c>
      <c r="M50" s="83">
        <f t="shared" si="42"/>
        <v>5.5750000000000002</v>
      </c>
      <c r="N50" s="248">
        <f>+M50</f>
        <v>5.5750000000000002</v>
      </c>
    </row>
    <row r="51" spans="1:14" x14ac:dyDescent="0.35">
      <c r="A51" s="234" t="s">
        <v>403</v>
      </c>
      <c r="B51" s="83">
        <f t="shared" ref="B51:N51" si="43">+B49/B50</f>
        <v>0</v>
      </c>
      <c r="C51" s="83">
        <f t="shared" si="43"/>
        <v>0</v>
      </c>
      <c r="D51" s="83">
        <f t="shared" si="43"/>
        <v>0</v>
      </c>
      <c r="E51" s="83">
        <f t="shared" si="43"/>
        <v>0</v>
      </c>
      <c r="F51" s="83">
        <f t="shared" si="43"/>
        <v>0</v>
      </c>
      <c r="G51" s="83">
        <f t="shared" si="43"/>
        <v>0</v>
      </c>
      <c r="H51" s="83">
        <f t="shared" si="43"/>
        <v>0</v>
      </c>
      <c r="I51" s="83">
        <f t="shared" si="43"/>
        <v>0</v>
      </c>
      <c r="J51" s="83">
        <f t="shared" si="43"/>
        <v>0</v>
      </c>
      <c r="K51" s="83">
        <f t="shared" si="43"/>
        <v>0</v>
      </c>
      <c r="L51" s="83">
        <f t="shared" si="43"/>
        <v>0</v>
      </c>
      <c r="M51" s="83">
        <f t="shared" si="43"/>
        <v>0</v>
      </c>
      <c r="N51" s="249">
        <f t="shared" si="43"/>
        <v>0</v>
      </c>
    </row>
    <row r="52" spans="1:14" x14ac:dyDescent="0.35">
      <c r="A52" s="235" t="s">
        <v>90</v>
      </c>
      <c r="B52" s="80">
        <f>(B53*B54)</f>
        <v>0</v>
      </c>
      <c r="C52" s="80">
        <f t="shared" ref="C52:M52" si="44">(C53*C54)</f>
        <v>0</v>
      </c>
      <c r="D52" s="80">
        <f t="shared" si="44"/>
        <v>0</v>
      </c>
      <c r="E52" s="80">
        <f t="shared" si="44"/>
        <v>0</v>
      </c>
      <c r="F52" s="80">
        <f t="shared" si="44"/>
        <v>0</v>
      </c>
      <c r="G52" s="80">
        <f t="shared" si="44"/>
        <v>0</v>
      </c>
      <c r="H52" s="80">
        <f t="shared" si="44"/>
        <v>0</v>
      </c>
      <c r="I52" s="80">
        <f t="shared" si="44"/>
        <v>0</v>
      </c>
      <c r="J52" s="80">
        <f t="shared" si="44"/>
        <v>0</v>
      </c>
      <c r="K52" s="80">
        <f t="shared" si="44"/>
        <v>0</v>
      </c>
      <c r="L52" s="80">
        <f t="shared" si="44"/>
        <v>0</v>
      </c>
      <c r="M52" s="80">
        <f t="shared" si="44"/>
        <v>0</v>
      </c>
      <c r="N52" s="244">
        <f>SUM(B52:M52)</f>
        <v>0</v>
      </c>
    </row>
    <row r="53" spans="1:14" x14ac:dyDescent="0.35">
      <c r="A53" s="238" t="s">
        <v>93</v>
      </c>
      <c r="B53" s="239">
        <f>+'Plan de culture 106'!$J$7</f>
        <v>0</v>
      </c>
      <c r="C53" s="239">
        <f>+B53</f>
        <v>0</v>
      </c>
      <c r="D53" s="239">
        <f t="shared" ref="D53" si="45">+C53</f>
        <v>0</v>
      </c>
      <c r="E53" s="239">
        <f>+D53</f>
        <v>0</v>
      </c>
      <c r="F53" s="239">
        <f>+E53</f>
        <v>0</v>
      </c>
      <c r="G53" s="239">
        <f>+F53</f>
        <v>0</v>
      </c>
      <c r="H53" s="239">
        <f t="shared" ref="H53:M53" si="46">+G53</f>
        <v>0</v>
      </c>
      <c r="I53" s="239">
        <f t="shared" si="46"/>
        <v>0</v>
      </c>
      <c r="J53" s="239">
        <f t="shared" si="46"/>
        <v>0</v>
      </c>
      <c r="K53" s="239">
        <f t="shared" si="46"/>
        <v>0</v>
      </c>
      <c r="L53" s="239">
        <f t="shared" si="46"/>
        <v>0</v>
      </c>
      <c r="M53" s="239">
        <f t="shared" si="46"/>
        <v>0</v>
      </c>
      <c r="N53" s="240">
        <f>+'Plan de culture 106'!$J$7</f>
        <v>0</v>
      </c>
    </row>
    <row r="54" spans="1:14" x14ac:dyDescent="0.35">
      <c r="A54" s="238" t="s">
        <v>403</v>
      </c>
      <c r="B54" s="254">
        <v>0</v>
      </c>
      <c r="C54" s="254">
        <v>0</v>
      </c>
      <c r="D54" s="254">
        <v>0</v>
      </c>
      <c r="E54" s="254">
        <v>0</v>
      </c>
      <c r="F54" s="254">
        <v>0</v>
      </c>
      <c r="G54" s="254">
        <v>0</v>
      </c>
      <c r="H54" s="254">
        <v>0</v>
      </c>
      <c r="I54" s="254">
        <v>0</v>
      </c>
      <c r="J54" s="254">
        <v>0</v>
      </c>
      <c r="K54" s="254">
        <v>0</v>
      </c>
      <c r="L54" s="254">
        <v>0</v>
      </c>
      <c r="M54" s="254">
        <v>0</v>
      </c>
      <c r="N54" s="245" t="e">
        <f>+N52/N53</f>
        <v>#DIV/0!</v>
      </c>
    </row>
    <row r="55" spans="1:14" x14ac:dyDescent="0.35">
      <c r="A55" s="235" t="s">
        <v>91</v>
      </c>
      <c r="B55" s="80">
        <f>(B57*B56)</f>
        <v>0</v>
      </c>
      <c r="C55" s="80">
        <f t="shared" ref="C55:M55" si="47">(C57*C56)</f>
        <v>0</v>
      </c>
      <c r="D55" s="80">
        <f t="shared" si="47"/>
        <v>0</v>
      </c>
      <c r="E55" s="80">
        <f t="shared" si="47"/>
        <v>0</v>
      </c>
      <c r="F55" s="80">
        <f t="shared" si="47"/>
        <v>0</v>
      </c>
      <c r="G55" s="80">
        <f t="shared" si="47"/>
        <v>0</v>
      </c>
      <c r="H55" s="80">
        <f t="shared" si="47"/>
        <v>0</v>
      </c>
      <c r="I55" s="80">
        <f t="shared" si="47"/>
        <v>0</v>
      </c>
      <c r="J55" s="80">
        <f t="shared" si="47"/>
        <v>0</v>
      </c>
      <c r="K55" s="80">
        <f t="shared" si="47"/>
        <v>0</v>
      </c>
      <c r="L55" s="80">
        <f t="shared" si="47"/>
        <v>0</v>
      </c>
      <c r="M55" s="80">
        <f t="shared" si="47"/>
        <v>0</v>
      </c>
      <c r="N55" s="244">
        <f>SUM(B55:M55)</f>
        <v>0</v>
      </c>
    </row>
    <row r="56" spans="1:14" x14ac:dyDescent="0.35">
      <c r="A56" s="238" t="s">
        <v>93</v>
      </c>
      <c r="B56" s="239">
        <f>+'Plan de culture 106'!$J$13</f>
        <v>0</v>
      </c>
      <c r="C56" s="239">
        <f>+B56</f>
        <v>0</v>
      </c>
      <c r="D56" s="239">
        <f t="shared" ref="D56:M56" si="48">+C56</f>
        <v>0</v>
      </c>
      <c r="E56" s="239">
        <f t="shared" si="48"/>
        <v>0</v>
      </c>
      <c r="F56" s="239">
        <f t="shared" si="48"/>
        <v>0</v>
      </c>
      <c r="G56" s="239">
        <f t="shared" si="48"/>
        <v>0</v>
      </c>
      <c r="H56" s="239">
        <f t="shared" si="48"/>
        <v>0</v>
      </c>
      <c r="I56" s="239">
        <f t="shared" si="48"/>
        <v>0</v>
      </c>
      <c r="J56" s="239">
        <f t="shared" si="48"/>
        <v>0</v>
      </c>
      <c r="K56" s="239">
        <f t="shared" si="48"/>
        <v>0</v>
      </c>
      <c r="L56" s="239">
        <f t="shared" si="48"/>
        <v>0</v>
      </c>
      <c r="M56" s="239">
        <f t="shared" si="48"/>
        <v>0</v>
      </c>
      <c r="N56" s="240">
        <f>+'Plan de culture 106'!$J$13</f>
        <v>0</v>
      </c>
    </row>
    <row r="57" spans="1:14" x14ac:dyDescent="0.35">
      <c r="A57" s="238" t="s">
        <v>403</v>
      </c>
      <c r="B57" s="254">
        <v>0</v>
      </c>
      <c r="C57" s="254">
        <v>0</v>
      </c>
      <c r="D57" s="254">
        <v>0</v>
      </c>
      <c r="E57" s="254">
        <v>0</v>
      </c>
      <c r="F57" s="254">
        <v>0</v>
      </c>
      <c r="G57" s="254">
        <v>0</v>
      </c>
      <c r="H57" s="254">
        <v>0</v>
      </c>
      <c r="I57" s="254">
        <v>0</v>
      </c>
      <c r="J57" s="254">
        <v>0</v>
      </c>
      <c r="K57" s="254">
        <v>0</v>
      </c>
      <c r="L57" s="254">
        <v>0</v>
      </c>
      <c r="M57" s="254">
        <v>0</v>
      </c>
      <c r="N57" s="245" t="e">
        <f>+N55/N56</f>
        <v>#DIV/0!</v>
      </c>
    </row>
    <row r="58" spans="1:14" x14ac:dyDescent="0.35">
      <c r="A58" s="235" t="s">
        <v>376</v>
      </c>
      <c r="B58" s="80">
        <f>(B60*B59)</f>
        <v>0</v>
      </c>
      <c r="C58" s="80">
        <f t="shared" ref="C58:M58" si="49">(C60*C59)</f>
        <v>0</v>
      </c>
      <c r="D58" s="80">
        <f t="shared" si="49"/>
        <v>0</v>
      </c>
      <c r="E58" s="80">
        <f t="shared" si="49"/>
        <v>0</v>
      </c>
      <c r="F58" s="80">
        <f t="shared" si="49"/>
        <v>0</v>
      </c>
      <c r="G58" s="80">
        <f t="shared" si="49"/>
        <v>0</v>
      </c>
      <c r="H58" s="80">
        <f t="shared" si="49"/>
        <v>0</v>
      </c>
      <c r="I58" s="80">
        <f t="shared" si="49"/>
        <v>0</v>
      </c>
      <c r="J58" s="80">
        <f t="shared" si="49"/>
        <v>0</v>
      </c>
      <c r="K58" s="80">
        <f t="shared" si="49"/>
        <v>0</v>
      </c>
      <c r="L58" s="80">
        <f t="shared" si="49"/>
        <v>0</v>
      </c>
      <c r="M58" s="80">
        <f t="shared" si="49"/>
        <v>0</v>
      </c>
      <c r="N58" s="244">
        <f>SUM(B58:M58)</f>
        <v>0</v>
      </c>
    </row>
    <row r="59" spans="1:14" x14ac:dyDescent="0.35">
      <c r="A59" s="238" t="s">
        <v>93</v>
      </c>
      <c r="B59" s="239">
        <f>+'Plan de culture 106'!$J$19</f>
        <v>5.5750000000000002</v>
      </c>
      <c r="C59" s="239">
        <f>+B59</f>
        <v>5.5750000000000002</v>
      </c>
      <c r="D59" s="239">
        <f t="shared" ref="D59:M59" si="50">+C59</f>
        <v>5.5750000000000002</v>
      </c>
      <c r="E59" s="239">
        <f t="shared" si="50"/>
        <v>5.5750000000000002</v>
      </c>
      <c r="F59" s="239">
        <f t="shared" si="50"/>
        <v>5.5750000000000002</v>
      </c>
      <c r="G59" s="239">
        <f t="shared" si="50"/>
        <v>5.5750000000000002</v>
      </c>
      <c r="H59" s="239">
        <f t="shared" si="50"/>
        <v>5.5750000000000002</v>
      </c>
      <c r="I59" s="239">
        <f t="shared" si="50"/>
        <v>5.5750000000000002</v>
      </c>
      <c r="J59" s="239">
        <f t="shared" si="50"/>
        <v>5.5750000000000002</v>
      </c>
      <c r="K59" s="239">
        <f t="shared" si="50"/>
        <v>5.5750000000000002</v>
      </c>
      <c r="L59" s="239">
        <f t="shared" si="50"/>
        <v>5.5750000000000002</v>
      </c>
      <c r="M59" s="239">
        <f t="shared" si="50"/>
        <v>5.5750000000000002</v>
      </c>
      <c r="N59" s="240">
        <f>+'Plan de culture 106'!$J$19</f>
        <v>5.5750000000000002</v>
      </c>
    </row>
    <row r="60" spans="1:14" x14ac:dyDescent="0.35">
      <c r="A60" s="238" t="s">
        <v>403</v>
      </c>
      <c r="B60" s="254">
        <v>0</v>
      </c>
      <c r="C60" s="254">
        <v>0</v>
      </c>
      <c r="D60" s="254">
        <v>0</v>
      </c>
      <c r="E60" s="254">
        <v>0</v>
      </c>
      <c r="F60" s="254">
        <v>0</v>
      </c>
      <c r="G60" s="254">
        <v>0</v>
      </c>
      <c r="H60" s="254">
        <v>0</v>
      </c>
      <c r="I60" s="254">
        <v>0</v>
      </c>
      <c r="J60" s="254">
        <v>0</v>
      </c>
      <c r="K60" s="254">
        <v>0</v>
      </c>
      <c r="L60" s="254">
        <v>0</v>
      </c>
      <c r="M60" s="254">
        <v>0</v>
      </c>
      <c r="N60" s="245">
        <f>+N58/N59</f>
        <v>0</v>
      </c>
    </row>
    <row r="61" spans="1:14" x14ac:dyDescent="0.35">
      <c r="A61" s="235" t="s">
        <v>92</v>
      </c>
      <c r="B61" s="80">
        <f>(B63*B62)</f>
        <v>0</v>
      </c>
      <c r="C61" s="80">
        <f t="shared" ref="C61:M61" si="51">(C63*C62)</f>
        <v>0</v>
      </c>
      <c r="D61" s="80">
        <f t="shared" si="51"/>
        <v>0</v>
      </c>
      <c r="E61" s="80">
        <f t="shared" si="51"/>
        <v>0</v>
      </c>
      <c r="F61" s="80">
        <f t="shared" si="51"/>
        <v>0</v>
      </c>
      <c r="G61" s="80">
        <f t="shared" si="51"/>
        <v>0</v>
      </c>
      <c r="H61" s="80">
        <f t="shared" si="51"/>
        <v>0</v>
      </c>
      <c r="I61" s="80">
        <f t="shared" si="51"/>
        <v>0</v>
      </c>
      <c r="J61" s="80">
        <f t="shared" si="51"/>
        <v>0</v>
      </c>
      <c r="K61" s="80">
        <f t="shared" si="51"/>
        <v>0</v>
      </c>
      <c r="L61" s="80">
        <f t="shared" si="51"/>
        <v>0</v>
      </c>
      <c r="M61" s="80">
        <f t="shared" si="51"/>
        <v>0</v>
      </c>
      <c r="N61" s="244">
        <f>SUM(B61:M61)</f>
        <v>0</v>
      </c>
    </row>
    <row r="62" spans="1:14" x14ac:dyDescent="0.35">
      <c r="A62" s="238" t="s">
        <v>93</v>
      </c>
      <c r="B62" s="239">
        <f>+'Plan de culture 106'!$J$25</f>
        <v>0</v>
      </c>
      <c r="C62" s="239">
        <f>+B62</f>
        <v>0</v>
      </c>
      <c r="D62" s="239">
        <f t="shared" ref="D62" si="52">+C62</f>
        <v>0</v>
      </c>
      <c r="E62" s="239">
        <f>+'Plan de culture 104 '!C58</f>
        <v>0</v>
      </c>
      <c r="F62" s="239">
        <f>+E62+'Plan de culture 104 '!D58+'Plan de culture 104 '!E58</f>
        <v>0</v>
      </c>
      <c r="G62" s="239">
        <f>+F62</f>
        <v>0</v>
      </c>
      <c r="H62" s="239">
        <f t="shared" ref="H62:M62" si="53">+G62</f>
        <v>0</v>
      </c>
      <c r="I62" s="239">
        <f t="shared" si="53"/>
        <v>0</v>
      </c>
      <c r="J62" s="239">
        <f t="shared" si="53"/>
        <v>0</v>
      </c>
      <c r="K62" s="239">
        <f t="shared" si="53"/>
        <v>0</v>
      </c>
      <c r="L62" s="239">
        <f t="shared" si="53"/>
        <v>0</v>
      </c>
      <c r="M62" s="239">
        <f t="shared" si="53"/>
        <v>0</v>
      </c>
      <c r="N62" s="240">
        <f>+'Plan de culture 106'!$J$25</f>
        <v>0</v>
      </c>
    </row>
    <row r="63" spans="1:14" x14ac:dyDescent="0.35">
      <c r="A63" s="238" t="s">
        <v>403</v>
      </c>
      <c r="B63" s="254">
        <v>0</v>
      </c>
      <c r="C63" s="254">
        <v>0</v>
      </c>
      <c r="D63" s="254">
        <v>0</v>
      </c>
      <c r="E63" s="254">
        <v>0</v>
      </c>
      <c r="F63" s="254">
        <v>0</v>
      </c>
      <c r="G63" s="254">
        <v>0</v>
      </c>
      <c r="H63" s="254">
        <v>0</v>
      </c>
      <c r="I63" s="254">
        <v>0</v>
      </c>
      <c r="J63" s="254">
        <v>0</v>
      </c>
      <c r="K63" s="254">
        <v>0</v>
      </c>
      <c r="L63" s="254">
        <v>0</v>
      </c>
      <c r="M63" s="254">
        <v>0</v>
      </c>
      <c r="N63" s="245" t="e">
        <f>+N61/N62</f>
        <v>#DIV/0!</v>
      </c>
    </row>
    <row r="64" spans="1:14" x14ac:dyDescent="0.35">
      <c r="A64" s="235" t="s">
        <v>377</v>
      </c>
      <c r="B64" s="80">
        <f>(B66*B65)</f>
        <v>0</v>
      </c>
      <c r="C64" s="80">
        <f t="shared" ref="C64:M64" si="54">(C66*C65)</f>
        <v>0</v>
      </c>
      <c r="D64" s="80">
        <f t="shared" si="54"/>
        <v>0</v>
      </c>
      <c r="E64" s="80">
        <f t="shared" si="54"/>
        <v>0</v>
      </c>
      <c r="F64" s="80">
        <f t="shared" si="54"/>
        <v>0</v>
      </c>
      <c r="G64" s="80">
        <f t="shared" si="54"/>
        <v>0</v>
      </c>
      <c r="H64" s="80">
        <f t="shared" si="54"/>
        <v>0</v>
      </c>
      <c r="I64" s="80">
        <f t="shared" si="54"/>
        <v>0</v>
      </c>
      <c r="J64" s="80">
        <f t="shared" si="54"/>
        <v>0</v>
      </c>
      <c r="K64" s="80">
        <f t="shared" si="54"/>
        <v>0</v>
      </c>
      <c r="L64" s="80">
        <f t="shared" si="54"/>
        <v>0</v>
      </c>
      <c r="M64" s="80">
        <f t="shared" si="54"/>
        <v>0</v>
      </c>
      <c r="N64" s="244">
        <f>SUM(B64:M64)</f>
        <v>0</v>
      </c>
    </row>
    <row r="65" spans="1:14" x14ac:dyDescent="0.35">
      <c r="A65" s="238" t="s">
        <v>93</v>
      </c>
      <c r="B65" s="239">
        <f>+'Plan de culture 106'!$J$31</f>
        <v>0</v>
      </c>
      <c r="C65" s="239">
        <f>+B65</f>
        <v>0</v>
      </c>
      <c r="D65" s="239">
        <f t="shared" ref="D65" si="55">+C65</f>
        <v>0</v>
      </c>
      <c r="E65" s="239">
        <f>+'Plan de culture 104 '!C61</f>
        <v>0</v>
      </c>
      <c r="F65" s="239">
        <f>+E65+'Plan de culture 104 '!D61+'Plan de culture 104 '!E61</f>
        <v>0</v>
      </c>
      <c r="G65" s="239">
        <f>+F65</f>
        <v>0</v>
      </c>
      <c r="H65" s="239">
        <f t="shared" ref="H65:M65" si="56">+G65</f>
        <v>0</v>
      </c>
      <c r="I65" s="239">
        <f t="shared" si="56"/>
        <v>0</v>
      </c>
      <c r="J65" s="239">
        <f t="shared" si="56"/>
        <v>0</v>
      </c>
      <c r="K65" s="239">
        <f t="shared" si="56"/>
        <v>0</v>
      </c>
      <c r="L65" s="239">
        <f t="shared" si="56"/>
        <v>0</v>
      </c>
      <c r="M65" s="239">
        <f t="shared" si="56"/>
        <v>0</v>
      </c>
      <c r="N65" s="240">
        <f>+'Plan de culture 106'!$J$31</f>
        <v>0</v>
      </c>
    </row>
    <row r="66" spans="1:14" x14ac:dyDescent="0.35">
      <c r="A66" s="238" t="s">
        <v>403</v>
      </c>
      <c r="B66" s="254">
        <v>0</v>
      </c>
      <c r="C66" s="254">
        <v>0</v>
      </c>
      <c r="D66" s="254">
        <v>0</v>
      </c>
      <c r="E66" s="254">
        <v>0</v>
      </c>
      <c r="F66" s="254">
        <v>0</v>
      </c>
      <c r="G66" s="254">
        <v>0</v>
      </c>
      <c r="H66" s="254">
        <v>0</v>
      </c>
      <c r="I66" s="254">
        <v>0</v>
      </c>
      <c r="J66" s="254">
        <v>0</v>
      </c>
      <c r="K66" s="254">
        <v>0</v>
      </c>
      <c r="L66" s="254">
        <v>0</v>
      </c>
      <c r="M66" s="254">
        <v>0</v>
      </c>
      <c r="N66" s="245" t="e">
        <f>+N64/N65</f>
        <v>#DIV/0!</v>
      </c>
    </row>
    <row r="67" spans="1:14" x14ac:dyDescent="0.35">
      <c r="A67" s="235" t="s">
        <v>378</v>
      </c>
      <c r="B67" s="80">
        <f>(B69*B68)</f>
        <v>0</v>
      </c>
      <c r="C67" s="80">
        <f t="shared" ref="C67:M67" si="57">(C69*C68)</f>
        <v>0</v>
      </c>
      <c r="D67" s="80">
        <f t="shared" si="57"/>
        <v>0</v>
      </c>
      <c r="E67" s="80">
        <f t="shared" si="57"/>
        <v>0</v>
      </c>
      <c r="F67" s="80">
        <f t="shared" si="57"/>
        <v>0</v>
      </c>
      <c r="G67" s="80">
        <f t="shared" si="57"/>
        <v>0</v>
      </c>
      <c r="H67" s="80">
        <f t="shared" si="57"/>
        <v>0</v>
      </c>
      <c r="I67" s="80">
        <f t="shared" si="57"/>
        <v>0</v>
      </c>
      <c r="J67" s="80">
        <f t="shared" si="57"/>
        <v>0</v>
      </c>
      <c r="K67" s="80">
        <f t="shared" si="57"/>
        <v>0</v>
      </c>
      <c r="L67" s="80">
        <f t="shared" si="57"/>
        <v>0</v>
      </c>
      <c r="M67" s="80">
        <f t="shared" si="57"/>
        <v>0</v>
      </c>
      <c r="N67" s="244">
        <f>SUM(B67:M67)</f>
        <v>0</v>
      </c>
    </row>
    <row r="68" spans="1:14" x14ac:dyDescent="0.35">
      <c r="A68" s="238" t="s">
        <v>93</v>
      </c>
      <c r="B68" s="239">
        <f>+'Plan de culture 106'!$J$37</f>
        <v>0</v>
      </c>
      <c r="C68" s="239">
        <f>+B68</f>
        <v>0</v>
      </c>
      <c r="D68" s="239">
        <f t="shared" ref="D68" si="58">+C68</f>
        <v>0</v>
      </c>
      <c r="E68" s="239">
        <f>+'Plan de culture 104 '!C64</f>
        <v>0</v>
      </c>
      <c r="F68" s="239">
        <f>+E68+'Plan de culture 104 '!D64+'Plan de culture 104 '!E64</f>
        <v>0</v>
      </c>
      <c r="G68" s="239">
        <f>+F68</f>
        <v>0</v>
      </c>
      <c r="H68" s="239">
        <f t="shared" ref="H68:M68" si="59">+G68</f>
        <v>0</v>
      </c>
      <c r="I68" s="239">
        <f t="shared" si="59"/>
        <v>0</v>
      </c>
      <c r="J68" s="239">
        <f t="shared" si="59"/>
        <v>0</v>
      </c>
      <c r="K68" s="239">
        <f t="shared" si="59"/>
        <v>0</v>
      </c>
      <c r="L68" s="239">
        <f t="shared" si="59"/>
        <v>0</v>
      </c>
      <c r="M68" s="239">
        <f t="shared" si="59"/>
        <v>0</v>
      </c>
      <c r="N68" s="240">
        <f>+'Plan de culture 106'!$J$37</f>
        <v>0</v>
      </c>
    </row>
    <row r="69" spans="1:14" ht="12" thickBot="1" x14ac:dyDescent="0.4">
      <c r="A69" s="238" t="s">
        <v>403</v>
      </c>
      <c r="B69" s="254">
        <v>0</v>
      </c>
      <c r="C69" s="254">
        <v>0</v>
      </c>
      <c r="D69" s="254">
        <v>0</v>
      </c>
      <c r="E69" s="254">
        <v>0</v>
      </c>
      <c r="F69" s="254">
        <v>0</v>
      </c>
      <c r="G69" s="254">
        <v>0</v>
      </c>
      <c r="H69" s="254">
        <v>0</v>
      </c>
      <c r="I69" s="254">
        <v>0</v>
      </c>
      <c r="J69" s="254">
        <v>0</v>
      </c>
      <c r="K69" s="254">
        <v>0</v>
      </c>
      <c r="L69" s="254">
        <v>0</v>
      </c>
      <c r="M69" s="254">
        <v>0</v>
      </c>
      <c r="N69" s="245" t="e">
        <f>+N67/N68</f>
        <v>#DIV/0!</v>
      </c>
    </row>
    <row r="70" spans="1:14" x14ac:dyDescent="0.35">
      <c r="A70" s="233" t="s">
        <v>407</v>
      </c>
      <c r="B70" s="242">
        <f t="shared" ref="B70:M71" si="60">+B73+B76+B79+B82+B85+B88</f>
        <v>0</v>
      </c>
      <c r="C70" s="242">
        <f t="shared" si="60"/>
        <v>0</v>
      </c>
      <c r="D70" s="242">
        <f t="shared" si="60"/>
        <v>0</v>
      </c>
      <c r="E70" s="242">
        <f t="shared" si="60"/>
        <v>0</v>
      </c>
      <c r="F70" s="242">
        <f t="shared" si="60"/>
        <v>0</v>
      </c>
      <c r="G70" s="242">
        <f t="shared" si="60"/>
        <v>0</v>
      </c>
      <c r="H70" s="242">
        <f t="shared" si="60"/>
        <v>0</v>
      </c>
      <c r="I70" s="242">
        <f t="shared" si="60"/>
        <v>0</v>
      </c>
      <c r="J70" s="242">
        <f t="shared" si="60"/>
        <v>0</v>
      </c>
      <c r="K70" s="242">
        <f t="shared" si="60"/>
        <v>0</v>
      </c>
      <c r="L70" s="242">
        <f t="shared" si="60"/>
        <v>0</v>
      </c>
      <c r="M70" s="242">
        <f t="shared" si="60"/>
        <v>0</v>
      </c>
      <c r="N70" s="243">
        <f>SUM(B70:M70)</f>
        <v>0</v>
      </c>
    </row>
    <row r="71" spans="1:14" x14ac:dyDescent="0.35">
      <c r="A71" s="234" t="s">
        <v>93</v>
      </c>
      <c r="B71" s="83">
        <f t="shared" si="60"/>
        <v>16.558</v>
      </c>
      <c r="C71" s="83">
        <f t="shared" si="60"/>
        <v>16.558</v>
      </c>
      <c r="D71" s="83">
        <f t="shared" si="60"/>
        <v>16.558</v>
      </c>
      <c r="E71" s="83">
        <f t="shared" si="60"/>
        <v>16.558</v>
      </c>
      <c r="F71" s="83">
        <f t="shared" si="60"/>
        <v>16.558</v>
      </c>
      <c r="G71" s="83">
        <f t="shared" si="60"/>
        <v>16.558</v>
      </c>
      <c r="H71" s="83">
        <f t="shared" si="60"/>
        <v>16.558</v>
      </c>
      <c r="I71" s="83">
        <f t="shared" si="60"/>
        <v>16.558</v>
      </c>
      <c r="J71" s="83">
        <f t="shared" si="60"/>
        <v>16.558</v>
      </c>
      <c r="K71" s="83">
        <f t="shared" si="60"/>
        <v>16.558</v>
      </c>
      <c r="L71" s="83">
        <f t="shared" si="60"/>
        <v>16.558</v>
      </c>
      <c r="M71" s="83">
        <f t="shared" si="60"/>
        <v>16.558</v>
      </c>
      <c r="N71" s="248">
        <f>+M71</f>
        <v>16.558</v>
      </c>
    </row>
    <row r="72" spans="1:14" x14ac:dyDescent="0.35">
      <c r="A72" s="234" t="s">
        <v>403</v>
      </c>
      <c r="B72" s="83">
        <f t="shared" ref="B72:N72" si="61">+B70/B71</f>
        <v>0</v>
      </c>
      <c r="C72" s="83">
        <f t="shared" si="61"/>
        <v>0</v>
      </c>
      <c r="D72" s="83">
        <f t="shared" si="61"/>
        <v>0</v>
      </c>
      <c r="E72" s="83">
        <f t="shared" si="61"/>
        <v>0</v>
      </c>
      <c r="F72" s="83">
        <f t="shared" si="61"/>
        <v>0</v>
      </c>
      <c r="G72" s="83">
        <f t="shared" si="61"/>
        <v>0</v>
      </c>
      <c r="H72" s="83">
        <f t="shared" si="61"/>
        <v>0</v>
      </c>
      <c r="I72" s="83">
        <f t="shared" si="61"/>
        <v>0</v>
      </c>
      <c r="J72" s="83">
        <f t="shared" si="61"/>
        <v>0</v>
      </c>
      <c r="K72" s="83">
        <f t="shared" si="61"/>
        <v>0</v>
      </c>
      <c r="L72" s="83">
        <f t="shared" si="61"/>
        <v>0</v>
      </c>
      <c r="M72" s="83">
        <f t="shared" si="61"/>
        <v>0</v>
      </c>
      <c r="N72" s="249">
        <f t="shared" si="61"/>
        <v>0</v>
      </c>
    </row>
    <row r="73" spans="1:14" x14ac:dyDescent="0.35">
      <c r="A73" s="235" t="s">
        <v>90</v>
      </c>
      <c r="B73" s="80">
        <f>(B74*B75)</f>
        <v>0</v>
      </c>
      <c r="C73" s="80">
        <f t="shared" ref="C73:M73" si="62">(C74*C75)</f>
        <v>0</v>
      </c>
      <c r="D73" s="80">
        <f t="shared" si="62"/>
        <v>0</v>
      </c>
      <c r="E73" s="80">
        <f t="shared" si="62"/>
        <v>0</v>
      </c>
      <c r="F73" s="80">
        <f t="shared" si="62"/>
        <v>0</v>
      </c>
      <c r="G73" s="80">
        <f t="shared" si="62"/>
        <v>0</v>
      </c>
      <c r="H73" s="80">
        <f t="shared" si="62"/>
        <v>0</v>
      </c>
      <c r="I73" s="80">
        <f t="shared" si="62"/>
        <v>0</v>
      </c>
      <c r="J73" s="80">
        <f t="shared" si="62"/>
        <v>0</v>
      </c>
      <c r="K73" s="80">
        <f t="shared" si="62"/>
        <v>0</v>
      </c>
      <c r="L73" s="80">
        <f t="shared" si="62"/>
        <v>0</v>
      </c>
      <c r="M73" s="80">
        <f t="shared" si="62"/>
        <v>0</v>
      </c>
      <c r="N73" s="244">
        <f>SUM(B73:M73)</f>
        <v>0</v>
      </c>
    </row>
    <row r="74" spans="1:14" x14ac:dyDescent="0.35">
      <c r="A74" s="238" t="s">
        <v>93</v>
      </c>
      <c r="B74" s="239">
        <f>+'Plan de culture 107'!$Z$7</f>
        <v>0</v>
      </c>
      <c r="C74" s="239">
        <f>+B74</f>
        <v>0</v>
      </c>
      <c r="D74" s="239">
        <f t="shared" ref="D74" si="63">+C74</f>
        <v>0</v>
      </c>
      <c r="E74" s="239">
        <f>+D74</f>
        <v>0</v>
      </c>
      <c r="F74" s="239">
        <f>+E74</f>
        <v>0</v>
      </c>
      <c r="G74" s="239">
        <f>+F74</f>
        <v>0</v>
      </c>
      <c r="H74" s="239">
        <f t="shared" ref="H74:M74" si="64">+G74</f>
        <v>0</v>
      </c>
      <c r="I74" s="239">
        <f t="shared" si="64"/>
        <v>0</v>
      </c>
      <c r="J74" s="239">
        <f t="shared" si="64"/>
        <v>0</v>
      </c>
      <c r="K74" s="239">
        <f t="shared" si="64"/>
        <v>0</v>
      </c>
      <c r="L74" s="239">
        <f t="shared" si="64"/>
        <v>0</v>
      </c>
      <c r="M74" s="239">
        <f t="shared" si="64"/>
        <v>0</v>
      </c>
      <c r="N74" s="240">
        <f>+'Plan de culture 107'!$Z$7</f>
        <v>0</v>
      </c>
    </row>
    <row r="75" spans="1:14" x14ac:dyDescent="0.35">
      <c r="A75" s="238" t="s">
        <v>403</v>
      </c>
      <c r="B75" s="254">
        <v>0</v>
      </c>
      <c r="C75" s="254">
        <v>0</v>
      </c>
      <c r="D75" s="254">
        <v>0</v>
      </c>
      <c r="E75" s="254">
        <v>0</v>
      </c>
      <c r="F75" s="254">
        <v>0</v>
      </c>
      <c r="G75" s="254">
        <v>0</v>
      </c>
      <c r="H75" s="254">
        <v>0</v>
      </c>
      <c r="I75" s="254">
        <v>0</v>
      </c>
      <c r="J75" s="254">
        <v>0</v>
      </c>
      <c r="K75" s="254">
        <v>0</v>
      </c>
      <c r="L75" s="254">
        <v>0</v>
      </c>
      <c r="M75" s="254">
        <v>0</v>
      </c>
      <c r="N75" s="245" t="e">
        <f>+N73/N74</f>
        <v>#DIV/0!</v>
      </c>
    </row>
    <row r="76" spans="1:14" x14ac:dyDescent="0.35">
      <c r="A76" s="235" t="s">
        <v>91</v>
      </c>
      <c r="B76" s="80">
        <f>(B78*B77)</f>
        <v>0</v>
      </c>
      <c r="C76" s="80">
        <f t="shared" ref="C76:M76" si="65">(C78*C77)</f>
        <v>0</v>
      </c>
      <c r="D76" s="80">
        <f t="shared" si="65"/>
        <v>0</v>
      </c>
      <c r="E76" s="80">
        <f t="shared" si="65"/>
        <v>0</v>
      </c>
      <c r="F76" s="80">
        <f t="shared" si="65"/>
        <v>0</v>
      </c>
      <c r="G76" s="80">
        <f t="shared" si="65"/>
        <v>0</v>
      </c>
      <c r="H76" s="80">
        <f t="shared" si="65"/>
        <v>0</v>
      </c>
      <c r="I76" s="80">
        <f t="shared" si="65"/>
        <v>0</v>
      </c>
      <c r="J76" s="80">
        <f t="shared" si="65"/>
        <v>0</v>
      </c>
      <c r="K76" s="80">
        <f t="shared" si="65"/>
        <v>0</v>
      </c>
      <c r="L76" s="80">
        <f t="shared" si="65"/>
        <v>0</v>
      </c>
      <c r="M76" s="80">
        <f t="shared" si="65"/>
        <v>0</v>
      </c>
      <c r="N76" s="244">
        <f>SUM(B76:M76)</f>
        <v>0</v>
      </c>
    </row>
    <row r="77" spans="1:14" x14ac:dyDescent="0.35">
      <c r="A77" s="238" t="s">
        <v>93</v>
      </c>
      <c r="B77" s="239">
        <f>+'Plan de culture 107'!$Z$13</f>
        <v>0</v>
      </c>
      <c r="C77" s="239">
        <f>+B77</f>
        <v>0</v>
      </c>
      <c r="D77" s="239">
        <f t="shared" ref="D77:M77" si="66">+C77</f>
        <v>0</v>
      </c>
      <c r="E77" s="239">
        <f t="shared" si="66"/>
        <v>0</v>
      </c>
      <c r="F77" s="239">
        <f t="shared" si="66"/>
        <v>0</v>
      </c>
      <c r="G77" s="239">
        <f t="shared" si="66"/>
        <v>0</v>
      </c>
      <c r="H77" s="239">
        <f t="shared" si="66"/>
        <v>0</v>
      </c>
      <c r="I77" s="239">
        <f t="shared" si="66"/>
        <v>0</v>
      </c>
      <c r="J77" s="239">
        <f t="shared" si="66"/>
        <v>0</v>
      </c>
      <c r="K77" s="239">
        <f t="shared" si="66"/>
        <v>0</v>
      </c>
      <c r="L77" s="239">
        <f t="shared" si="66"/>
        <v>0</v>
      </c>
      <c r="M77" s="239">
        <f t="shared" si="66"/>
        <v>0</v>
      </c>
      <c r="N77" s="240">
        <f>+'Plan de culture 107'!$Z$13</f>
        <v>0</v>
      </c>
    </row>
    <row r="78" spans="1:14" x14ac:dyDescent="0.35">
      <c r="A78" s="238" t="s">
        <v>403</v>
      </c>
      <c r="B78" s="254">
        <v>0</v>
      </c>
      <c r="C78" s="254">
        <v>0</v>
      </c>
      <c r="D78" s="254">
        <v>0</v>
      </c>
      <c r="E78" s="254">
        <v>0</v>
      </c>
      <c r="F78" s="254">
        <v>0</v>
      </c>
      <c r="G78" s="254">
        <v>0</v>
      </c>
      <c r="H78" s="254">
        <v>0</v>
      </c>
      <c r="I78" s="254">
        <v>0</v>
      </c>
      <c r="J78" s="254">
        <v>0</v>
      </c>
      <c r="K78" s="254">
        <v>0</v>
      </c>
      <c r="L78" s="254">
        <v>0</v>
      </c>
      <c r="M78" s="254">
        <v>0</v>
      </c>
      <c r="N78" s="245" t="e">
        <f>+N76/N77</f>
        <v>#DIV/0!</v>
      </c>
    </row>
    <row r="79" spans="1:14" x14ac:dyDescent="0.35">
      <c r="A79" s="235" t="s">
        <v>376</v>
      </c>
      <c r="B79" s="80">
        <f>(B81*B80)</f>
        <v>0</v>
      </c>
      <c r="C79" s="80">
        <f t="shared" ref="C79:M79" si="67">(C81*C80)</f>
        <v>0</v>
      </c>
      <c r="D79" s="80">
        <f t="shared" si="67"/>
        <v>0</v>
      </c>
      <c r="E79" s="80">
        <f t="shared" si="67"/>
        <v>0</v>
      </c>
      <c r="F79" s="80">
        <f t="shared" si="67"/>
        <v>0</v>
      </c>
      <c r="G79" s="80">
        <f t="shared" si="67"/>
        <v>0</v>
      </c>
      <c r="H79" s="80">
        <f t="shared" si="67"/>
        <v>0</v>
      </c>
      <c r="I79" s="80">
        <f t="shared" si="67"/>
        <v>0</v>
      </c>
      <c r="J79" s="80">
        <f t="shared" si="67"/>
        <v>0</v>
      </c>
      <c r="K79" s="80">
        <f t="shared" si="67"/>
        <v>0</v>
      </c>
      <c r="L79" s="80">
        <f t="shared" si="67"/>
        <v>0</v>
      </c>
      <c r="M79" s="80">
        <f t="shared" si="67"/>
        <v>0</v>
      </c>
      <c r="N79" s="244">
        <f>SUM(B79:M79)</f>
        <v>0</v>
      </c>
    </row>
    <row r="80" spans="1:14" x14ac:dyDescent="0.35">
      <c r="A80" s="238" t="s">
        <v>93</v>
      </c>
      <c r="B80" s="239">
        <f>+'Plan de culture 107'!$Z$19</f>
        <v>0</v>
      </c>
      <c r="C80" s="239">
        <f>+B80</f>
        <v>0</v>
      </c>
      <c r="D80" s="239">
        <f t="shared" ref="D80" si="68">+C80</f>
        <v>0</v>
      </c>
      <c r="E80" s="239">
        <f>+'Plan de culture 104 '!C76</f>
        <v>0</v>
      </c>
      <c r="F80" s="239">
        <f>+E80+'Plan de culture 104 '!D76+'Plan de culture 104 '!E76</f>
        <v>0</v>
      </c>
      <c r="G80" s="239">
        <f>+F80</f>
        <v>0</v>
      </c>
      <c r="H80" s="239">
        <f t="shared" ref="H80:M80" si="69">+G80</f>
        <v>0</v>
      </c>
      <c r="I80" s="239">
        <f t="shared" si="69"/>
        <v>0</v>
      </c>
      <c r="J80" s="239">
        <f t="shared" si="69"/>
        <v>0</v>
      </c>
      <c r="K80" s="239">
        <f t="shared" si="69"/>
        <v>0</v>
      </c>
      <c r="L80" s="239">
        <f t="shared" si="69"/>
        <v>0</v>
      </c>
      <c r="M80" s="239">
        <f t="shared" si="69"/>
        <v>0</v>
      </c>
      <c r="N80" s="240">
        <f>+'Plan de culture 107'!$Z$19</f>
        <v>0</v>
      </c>
    </row>
    <row r="81" spans="1:14" x14ac:dyDescent="0.35">
      <c r="A81" s="238" t="s">
        <v>403</v>
      </c>
      <c r="B81" s="254">
        <v>0</v>
      </c>
      <c r="C81" s="254">
        <v>0</v>
      </c>
      <c r="D81" s="254">
        <v>0</v>
      </c>
      <c r="E81" s="254">
        <v>0</v>
      </c>
      <c r="F81" s="254">
        <v>0</v>
      </c>
      <c r="G81" s="254">
        <v>0</v>
      </c>
      <c r="H81" s="254">
        <v>0</v>
      </c>
      <c r="I81" s="254">
        <v>0</v>
      </c>
      <c r="J81" s="254">
        <v>0</v>
      </c>
      <c r="K81" s="254">
        <v>0</v>
      </c>
      <c r="L81" s="254">
        <v>0</v>
      </c>
      <c r="M81" s="254">
        <v>0</v>
      </c>
      <c r="N81" s="245" t="e">
        <f>+N79/N80</f>
        <v>#DIV/0!</v>
      </c>
    </row>
    <row r="82" spans="1:14" x14ac:dyDescent="0.35">
      <c r="A82" s="235" t="s">
        <v>92</v>
      </c>
      <c r="B82" s="80">
        <f>(B84*B83)</f>
        <v>0</v>
      </c>
      <c r="C82" s="80">
        <f t="shared" ref="C82:M82" si="70">(C84*C83)</f>
        <v>0</v>
      </c>
      <c r="D82" s="80">
        <f t="shared" si="70"/>
        <v>0</v>
      </c>
      <c r="E82" s="80">
        <f t="shared" si="70"/>
        <v>0</v>
      </c>
      <c r="F82" s="80">
        <f t="shared" si="70"/>
        <v>0</v>
      </c>
      <c r="G82" s="80">
        <f t="shared" si="70"/>
        <v>0</v>
      </c>
      <c r="H82" s="80">
        <f t="shared" si="70"/>
        <v>0</v>
      </c>
      <c r="I82" s="80">
        <f t="shared" si="70"/>
        <v>0</v>
      </c>
      <c r="J82" s="80">
        <f t="shared" si="70"/>
        <v>0</v>
      </c>
      <c r="K82" s="80">
        <f t="shared" si="70"/>
        <v>0</v>
      </c>
      <c r="L82" s="80">
        <f t="shared" si="70"/>
        <v>0</v>
      </c>
      <c r="M82" s="80">
        <f t="shared" si="70"/>
        <v>0</v>
      </c>
      <c r="N82" s="244">
        <f>SUM(B82:M82)</f>
        <v>0</v>
      </c>
    </row>
    <row r="83" spans="1:14" x14ac:dyDescent="0.35">
      <c r="A83" s="238" t="s">
        <v>93</v>
      </c>
      <c r="B83" s="239">
        <f>+'Plan de culture 107'!$Z$25</f>
        <v>16.558</v>
      </c>
      <c r="C83" s="239">
        <f>+B83</f>
        <v>16.558</v>
      </c>
      <c r="D83" s="239">
        <f t="shared" ref="D83:M83" si="71">+C83</f>
        <v>16.558</v>
      </c>
      <c r="E83" s="239">
        <f t="shared" si="71"/>
        <v>16.558</v>
      </c>
      <c r="F83" s="239">
        <f t="shared" si="71"/>
        <v>16.558</v>
      </c>
      <c r="G83" s="239">
        <f t="shared" si="71"/>
        <v>16.558</v>
      </c>
      <c r="H83" s="239">
        <f t="shared" si="71"/>
        <v>16.558</v>
      </c>
      <c r="I83" s="239">
        <f t="shared" si="71"/>
        <v>16.558</v>
      </c>
      <c r="J83" s="239">
        <f t="shared" si="71"/>
        <v>16.558</v>
      </c>
      <c r="K83" s="239">
        <f t="shared" si="71"/>
        <v>16.558</v>
      </c>
      <c r="L83" s="239">
        <f t="shared" si="71"/>
        <v>16.558</v>
      </c>
      <c r="M83" s="239">
        <f t="shared" si="71"/>
        <v>16.558</v>
      </c>
      <c r="N83" s="240">
        <f>+'Plan de culture 107'!$Z$25</f>
        <v>16.558</v>
      </c>
    </row>
    <row r="84" spans="1:14" x14ac:dyDescent="0.35">
      <c r="A84" s="238" t="s">
        <v>403</v>
      </c>
      <c r="B84" s="254">
        <v>0</v>
      </c>
      <c r="C84" s="254">
        <v>0</v>
      </c>
      <c r="D84" s="254">
        <v>0</v>
      </c>
      <c r="E84" s="254">
        <v>0</v>
      </c>
      <c r="F84" s="254">
        <v>0</v>
      </c>
      <c r="G84" s="254">
        <v>0</v>
      </c>
      <c r="H84" s="254">
        <v>0</v>
      </c>
      <c r="I84" s="254">
        <v>0</v>
      </c>
      <c r="J84" s="254">
        <v>0</v>
      </c>
      <c r="K84" s="254">
        <v>0</v>
      </c>
      <c r="L84" s="254">
        <v>0</v>
      </c>
      <c r="M84" s="254">
        <v>0</v>
      </c>
      <c r="N84" s="245">
        <f>+N82/N83</f>
        <v>0</v>
      </c>
    </row>
    <row r="85" spans="1:14" x14ac:dyDescent="0.35">
      <c r="A85" s="235" t="s">
        <v>377</v>
      </c>
      <c r="B85" s="80">
        <f>(B87*B86)</f>
        <v>0</v>
      </c>
      <c r="C85" s="80">
        <f t="shared" ref="C85:M85" si="72">(C87*C86)</f>
        <v>0</v>
      </c>
      <c r="D85" s="80">
        <f t="shared" si="72"/>
        <v>0</v>
      </c>
      <c r="E85" s="80">
        <f t="shared" si="72"/>
        <v>0</v>
      </c>
      <c r="F85" s="80">
        <f t="shared" si="72"/>
        <v>0</v>
      </c>
      <c r="G85" s="80">
        <f t="shared" si="72"/>
        <v>0</v>
      </c>
      <c r="H85" s="80">
        <f t="shared" si="72"/>
        <v>0</v>
      </c>
      <c r="I85" s="80">
        <f t="shared" si="72"/>
        <v>0</v>
      </c>
      <c r="J85" s="80">
        <f t="shared" si="72"/>
        <v>0</v>
      </c>
      <c r="K85" s="80">
        <f t="shared" si="72"/>
        <v>0</v>
      </c>
      <c r="L85" s="80">
        <f t="shared" si="72"/>
        <v>0</v>
      </c>
      <c r="M85" s="80">
        <f t="shared" si="72"/>
        <v>0</v>
      </c>
      <c r="N85" s="244">
        <f>SUM(B85:M85)</f>
        <v>0</v>
      </c>
    </row>
    <row r="86" spans="1:14" x14ac:dyDescent="0.35">
      <c r="A86" s="238" t="s">
        <v>93</v>
      </c>
      <c r="B86" s="239">
        <f>+'Plan de culture 107'!$Z$31</f>
        <v>0</v>
      </c>
      <c r="C86" s="239">
        <f>+B86</f>
        <v>0</v>
      </c>
      <c r="D86" s="239">
        <f t="shared" ref="D86" si="73">+C86</f>
        <v>0</v>
      </c>
      <c r="E86" s="239">
        <f>+'Plan de culture 104 '!C82</f>
        <v>0</v>
      </c>
      <c r="F86" s="239">
        <f>+E86+'Plan de culture 104 '!D82+'Plan de culture 104 '!E82</f>
        <v>0</v>
      </c>
      <c r="G86" s="239">
        <f>+F86</f>
        <v>0</v>
      </c>
      <c r="H86" s="239">
        <f t="shared" ref="H86:M86" si="74">+G86</f>
        <v>0</v>
      </c>
      <c r="I86" s="239">
        <f t="shared" si="74"/>
        <v>0</v>
      </c>
      <c r="J86" s="239">
        <f t="shared" si="74"/>
        <v>0</v>
      </c>
      <c r="K86" s="239">
        <f t="shared" si="74"/>
        <v>0</v>
      </c>
      <c r="L86" s="239">
        <f t="shared" si="74"/>
        <v>0</v>
      </c>
      <c r="M86" s="239">
        <f t="shared" si="74"/>
        <v>0</v>
      </c>
      <c r="N86" s="240">
        <f>+'Plan de culture 107'!$Z$31</f>
        <v>0</v>
      </c>
    </row>
    <row r="87" spans="1:14" x14ac:dyDescent="0.35">
      <c r="A87" s="238" t="s">
        <v>403</v>
      </c>
      <c r="B87" s="254">
        <v>0</v>
      </c>
      <c r="C87" s="254">
        <v>0</v>
      </c>
      <c r="D87" s="254">
        <v>0</v>
      </c>
      <c r="E87" s="254">
        <v>0</v>
      </c>
      <c r="F87" s="254">
        <v>0</v>
      </c>
      <c r="G87" s="254">
        <v>0</v>
      </c>
      <c r="H87" s="254">
        <v>0</v>
      </c>
      <c r="I87" s="254">
        <v>0</v>
      </c>
      <c r="J87" s="254">
        <v>0</v>
      </c>
      <c r="K87" s="254">
        <v>0</v>
      </c>
      <c r="L87" s="254">
        <v>0</v>
      </c>
      <c r="M87" s="254">
        <v>0</v>
      </c>
      <c r="N87" s="245" t="e">
        <f>+N85/N86</f>
        <v>#DIV/0!</v>
      </c>
    </row>
    <row r="88" spans="1:14" x14ac:dyDescent="0.35">
      <c r="A88" s="235" t="s">
        <v>378</v>
      </c>
      <c r="B88" s="80">
        <f>(B90*B89)</f>
        <v>0</v>
      </c>
      <c r="C88" s="80">
        <f t="shared" ref="C88:M88" si="75">(C90*C89)</f>
        <v>0</v>
      </c>
      <c r="D88" s="80">
        <f t="shared" si="75"/>
        <v>0</v>
      </c>
      <c r="E88" s="80">
        <f t="shared" si="75"/>
        <v>0</v>
      </c>
      <c r="F88" s="80">
        <f t="shared" si="75"/>
        <v>0</v>
      </c>
      <c r="G88" s="80">
        <f t="shared" si="75"/>
        <v>0</v>
      </c>
      <c r="H88" s="80">
        <f t="shared" si="75"/>
        <v>0</v>
      </c>
      <c r="I88" s="80">
        <f t="shared" si="75"/>
        <v>0</v>
      </c>
      <c r="J88" s="80">
        <f t="shared" si="75"/>
        <v>0</v>
      </c>
      <c r="K88" s="80">
        <f t="shared" si="75"/>
        <v>0</v>
      </c>
      <c r="L88" s="80">
        <f t="shared" si="75"/>
        <v>0</v>
      </c>
      <c r="M88" s="80">
        <f t="shared" si="75"/>
        <v>0</v>
      </c>
      <c r="N88" s="244">
        <f>SUM(B88:M88)</f>
        <v>0</v>
      </c>
    </row>
    <row r="89" spans="1:14" x14ac:dyDescent="0.35">
      <c r="A89" s="238" t="s">
        <v>93</v>
      </c>
      <c r="B89" s="239">
        <f>+'Plan de culture 107'!$Z$37</f>
        <v>0</v>
      </c>
      <c r="C89" s="239">
        <f>+B89</f>
        <v>0</v>
      </c>
      <c r="D89" s="239">
        <f t="shared" ref="D89" si="76">+C89</f>
        <v>0</v>
      </c>
      <c r="E89" s="239">
        <f>+'Plan de culture 104 '!C85</f>
        <v>0</v>
      </c>
      <c r="F89" s="239">
        <f>+E89+'Plan de culture 104 '!D85+'Plan de culture 104 '!E85</f>
        <v>0</v>
      </c>
      <c r="G89" s="239">
        <f>+F89</f>
        <v>0</v>
      </c>
      <c r="H89" s="239">
        <f t="shared" ref="H89:M89" si="77">+G89</f>
        <v>0</v>
      </c>
      <c r="I89" s="239">
        <f t="shared" si="77"/>
        <v>0</v>
      </c>
      <c r="J89" s="239">
        <f t="shared" si="77"/>
        <v>0</v>
      </c>
      <c r="K89" s="239">
        <f t="shared" si="77"/>
        <v>0</v>
      </c>
      <c r="L89" s="239">
        <f t="shared" si="77"/>
        <v>0</v>
      </c>
      <c r="M89" s="239">
        <f t="shared" si="77"/>
        <v>0</v>
      </c>
      <c r="N89" s="240">
        <f>+'Plan de culture 107'!$Z$37</f>
        <v>0</v>
      </c>
    </row>
    <row r="90" spans="1:14" ht="12" thickBot="1" x14ac:dyDescent="0.4">
      <c r="A90" s="238" t="s">
        <v>403</v>
      </c>
      <c r="B90" s="254">
        <v>0</v>
      </c>
      <c r="C90" s="254">
        <v>0</v>
      </c>
      <c r="D90" s="254">
        <v>0</v>
      </c>
      <c r="E90" s="254">
        <v>0</v>
      </c>
      <c r="F90" s="254">
        <v>0</v>
      </c>
      <c r="G90" s="254">
        <v>0</v>
      </c>
      <c r="H90" s="254">
        <v>0</v>
      </c>
      <c r="I90" s="254">
        <v>0</v>
      </c>
      <c r="J90" s="254">
        <v>0</v>
      </c>
      <c r="K90" s="254">
        <v>0</v>
      </c>
      <c r="L90" s="254">
        <v>0</v>
      </c>
      <c r="M90" s="254">
        <v>0</v>
      </c>
      <c r="N90" s="245" t="e">
        <f>+N88/N89</f>
        <v>#DIV/0!</v>
      </c>
    </row>
    <row r="91" spans="1:14" x14ac:dyDescent="0.35">
      <c r="A91" s="233" t="s">
        <v>408</v>
      </c>
      <c r="B91" s="242">
        <f t="shared" ref="B91:M92" si="78">+B94+B97+B100+B103+B106+B109</f>
        <v>0</v>
      </c>
      <c r="C91" s="242">
        <f t="shared" si="78"/>
        <v>0</v>
      </c>
      <c r="D91" s="242">
        <f t="shared" si="78"/>
        <v>0</v>
      </c>
      <c r="E91" s="242">
        <f t="shared" si="78"/>
        <v>0</v>
      </c>
      <c r="F91" s="242">
        <f t="shared" si="78"/>
        <v>0</v>
      </c>
      <c r="G91" s="242">
        <f t="shared" si="78"/>
        <v>0</v>
      </c>
      <c r="H91" s="242">
        <f t="shared" si="78"/>
        <v>0</v>
      </c>
      <c r="I91" s="242">
        <f t="shared" si="78"/>
        <v>0</v>
      </c>
      <c r="J91" s="242">
        <f t="shared" si="78"/>
        <v>0</v>
      </c>
      <c r="K91" s="242">
        <f t="shared" si="78"/>
        <v>0</v>
      </c>
      <c r="L91" s="242">
        <f t="shared" si="78"/>
        <v>0</v>
      </c>
      <c r="M91" s="242">
        <f t="shared" si="78"/>
        <v>0</v>
      </c>
      <c r="N91" s="243">
        <f>SUM(B91:M91)</f>
        <v>0</v>
      </c>
    </row>
    <row r="92" spans="1:14" x14ac:dyDescent="0.35">
      <c r="A92" s="234" t="s">
        <v>93</v>
      </c>
      <c r="B92" s="83">
        <f t="shared" si="78"/>
        <v>26.09</v>
      </c>
      <c r="C92" s="83">
        <f t="shared" si="78"/>
        <v>26.09</v>
      </c>
      <c r="D92" s="83">
        <f t="shared" si="78"/>
        <v>26.09</v>
      </c>
      <c r="E92" s="83">
        <f t="shared" si="78"/>
        <v>26.09</v>
      </c>
      <c r="F92" s="83">
        <f t="shared" si="78"/>
        <v>26.09</v>
      </c>
      <c r="G92" s="83">
        <f t="shared" si="78"/>
        <v>26.09</v>
      </c>
      <c r="H92" s="83">
        <f t="shared" si="78"/>
        <v>26.09</v>
      </c>
      <c r="I92" s="83">
        <f t="shared" si="78"/>
        <v>26.09</v>
      </c>
      <c r="J92" s="83">
        <f t="shared" si="78"/>
        <v>26.09</v>
      </c>
      <c r="K92" s="83">
        <f t="shared" si="78"/>
        <v>26.09</v>
      </c>
      <c r="L92" s="83">
        <f t="shared" si="78"/>
        <v>26.09</v>
      </c>
      <c r="M92" s="83">
        <f t="shared" si="78"/>
        <v>26.09</v>
      </c>
      <c r="N92" s="248">
        <f>+M92</f>
        <v>26.09</v>
      </c>
    </row>
    <row r="93" spans="1:14" x14ac:dyDescent="0.35">
      <c r="A93" s="234" t="s">
        <v>403</v>
      </c>
      <c r="B93" s="83">
        <f t="shared" ref="B93:N93" si="79">+B91/B92</f>
        <v>0</v>
      </c>
      <c r="C93" s="83">
        <f t="shared" si="79"/>
        <v>0</v>
      </c>
      <c r="D93" s="83">
        <f t="shared" si="79"/>
        <v>0</v>
      </c>
      <c r="E93" s="83">
        <f t="shared" si="79"/>
        <v>0</v>
      </c>
      <c r="F93" s="83">
        <f t="shared" si="79"/>
        <v>0</v>
      </c>
      <c r="G93" s="83">
        <f t="shared" si="79"/>
        <v>0</v>
      </c>
      <c r="H93" s="83">
        <f t="shared" si="79"/>
        <v>0</v>
      </c>
      <c r="I93" s="83">
        <f t="shared" si="79"/>
        <v>0</v>
      </c>
      <c r="J93" s="83">
        <f t="shared" si="79"/>
        <v>0</v>
      </c>
      <c r="K93" s="83">
        <f t="shared" si="79"/>
        <v>0</v>
      </c>
      <c r="L93" s="83">
        <f t="shared" si="79"/>
        <v>0</v>
      </c>
      <c r="M93" s="83">
        <f t="shared" si="79"/>
        <v>0</v>
      </c>
      <c r="N93" s="249">
        <f t="shared" si="79"/>
        <v>0</v>
      </c>
    </row>
    <row r="94" spans="1:14" x14ac:dyDescent="0.35">
      <c r="A94" s="235" t="s">
        <v>90</v>
      </c>
      <c r="B94" s="80">
        <f>(B95*B96)</f>
        <v>0</v>
      </c>
      <c r="C94" s="80">
        <f t="shared" ref="C94:M94" si="80">(C95*C96)</f>
        <v>0</v>
      </c>
      <c r="D94" s="80">
        <f t="shared" si="80"/>
        <v>0</v>
      </c>
      <c r="E94" s="80">
        <f t="shared" si="80"/>
        <v>0</v>
      </c>
      <c r="F94" s="80">
        <f t="shared" si="80"/>
        <v>0</v>
      </c>
      <c r="G94" s="80">
        <f t="shared" si="80"/>
        <v>0</v>
      </c>
      <c r="H94" s="80">
        <f t="shared" si="80"/>
        <v>0</v>
      </c>
      <c r="I94" s="80">
        <f t="shared" si="80"/>
        <v>0</v>
      </c>
      <c r="J94" s="80">
        <f t="shared" si="80"/>
        <v>0</v>
      </c>
      <c r="K94" s="80">
        <f t="shared" si="80"/>
        <v>0</v>
      </c>
      <c r="L94" s="80">
        <f t="shared" si="80"/>
        <v>0</v>
      </c>
      <c r="M94" s="80">
        <f t="shared" si="80"/>
        <v>0</v>
      </c>
      <c r="N94" s="244">
        <f>SUM(B94:M94)</f>
        <v>0</v>
      </c>
    </row>
    <row r="95" spans="1:14" x14ac:dyDescent="0.35">
      <c r="A95" s="238" t="s">
        <v>93</v>
      </c>
      <c r="B95" s="239">
        <f>+'Plan de culture 114'!$AE$7</f>
        <v>0</v>
      </c>
      <c r="C95" s="239">
        <f>+B95</f>
        <v>0</v>
      </c>
      <c r="D95" s="239">
        <f t="shared" ref="D95" si="81">+C95</f>
        <v>0</v>
      </c>
      <c r="E95" s="239">
        <f>+D95</f>
        <v>0</v>
      </c>
      <c r="F95" s="239">
        <f>+E95</f>
        <v>0</v>
      </c>
      <c r="G95" s="239">
        <f>+F95</f>
        <v>0</v>
      </c>
      <c r="H95" s="239">
        <f t="shared" ref="H95:M95" si="82">+G95</f>
        <v>0</v>
      </c>
      <c r="I95" s="239">
        <f t="shared" si="82"/>
        <v>0</v>
      </c>
      <c r="J95" s="239">
        <f t="shared" si="82"/>
        <v>0</v>
      </c>
      <c r="K95" s="239">
        <f t="shared" si="82"/>
        <v>0</v>
      </c>
      <c r="L95" s="239">
        <f t="shared" si="82"/>
        <v>0</v>
      </c>
      <c r="M95" s="239">
        <f t="shared" si="82"/>
        <v>0</v>
      </c>
      <c r="N95" s="240">
        <f>+'Plan de culture 114'!$AE$7</f>
        <v>0</v>
      </c>
    </row>
    <row r="96" spans="1:14" x14ac:dyDescent="0.35">
      <c r="A96" s="238" t="s">
        <v>403</v>
      </c>
      <c r="B96" s="254">
        <v>0</v>
      </c>
      <c r="C96" s="254">
        <v>0</v>
      </c>
      <c r="D96" s="254">
        <v>0</v>
      </c>
      <c r="E96" s="254">
        <v>0</v>
      </c>
      <c r="F96" s="254">
        <v>0</v>
      </c>
      <c r="G96" s="254">
        <v>0</v>
      </c>
      <c r="H96" s="254">
        <v>0</v>
      </c>
      <c r="I96" s="254">
        <v>0</v>
      </c>
      <c r="J96" s="254">
        <v>0</v>
      </c>
      <c r="K96" s="254">
        <v>0</v>
      </c>
      <c r="L96" s="254">
        <v>0</v>
      </c>
      <c r="M96" s="254">
        <v>0</v>
      </c>
      <c r="N96" s="245" t="e">
        <f>+N94/N95</f>
        <v>#DIV/0!</v>
      </c>
    </row>
    <row r="97" spans="1:14" x14ac:dyDescent="0.35">
      <c r="A97" s="235" t="s">
        <v>91</v>
      </c>
      <c r="B97" s="80">
        <f>(B99*B98)</f>
        <v>0</v>
      </c>
      <c r="C97" s="80">
        <f t="shared" ref="C97:M97" si="83">(C99*C98)</f>
        <v>0</v>
      </c>
      <c r="D97" s="80">
        <f t="shared" si="83"/>
        <v>0</v>
      </c>
      <c r="E97" s="80">
        <f t="shared" si="83"/>
        <v>0</v>
      </c>
      <c r="F97" s="80">
        <f t="shared" si="83"/>
        <v>0</v>
      </c>
      <c r="G97" s="80">
        <f t="shared" si="83"/>
        <v>0</v>
      </c>
      <c r="H97" s="80">
        <f t="shared" si="83"/>
        <v>0</v>
      </c>
      <c r="I97" s="80">
        <f t="shared" si="83"/>
        <v>0</v>
      </c>
      <c r="J97" s="80">
        <f t="shared" si="83"/>
        <v>0</v>
      </c>
      <c r="K97" s="80">
        <f t="shared" si="83"/>
        <v>0</v>
      </c>
      <c r="L97" s="80">
        <f t="shared" si="83"/>
        <v>0</v>
      </c>
      <c r="M97" s="80">
        <f t="shared" si="83"/>
        <v>0</v>
      </c>
      <c r="N97" s="244">
        <f>SUM(B97:M97)</f>
        <v>0</v>
      </c>
    </row>
    <row r="98" spans="1:14" x14ac:dyDescent="0.35">
      <c r="A98" s="238" t="s">
        <v>93</v>
      </c>
      <c r="B98" s="239">
        <f>+'Plan de culture 114'!$AE$13</f>
        <v>26.09</v>
      </c>
      <c r="C98" s="239">
        <f>+B98</f>
        <v>26.09</v>
      </c>
      <c r="D98" s="239">
        <f t="shared" ref="D98:M98" si="84">+C98</f>
        <v>26.09</v>
      </c>
      <c r="E98" s="239">
        <f t="shared" si="84"/>
        <v>26.09</v>
      </c>
      <c r="F98" s="239">
        <f t="shared" si="84"/>
        <v>26.09</v>
      </c>
      <c r="G98" s="239">
        <f t="shared" si="84"/>
        <v>26.09</v>
      </c>
      <c r="H98" s="239">
        <f t="shared" si="84"/>
        <v>26.09</v>
      </c>
      <c r="I98" s="239">
        <f t="shared" si="84"/>
        <v>26.09</v>
      </c>
      <c r="J98" s="239">
        <f t="shared" si="84"/>
        <v>26.09</v>
      </c>
      <c r="K98" s="239">
        <f t="shared" si="84"/>
        <v>26.09</v>
      </c>
      <c r="L98" s="239">
        <f t="shared" si="84"/>
        <v>26.09</v>
      </c>
      <c r="M98" s="239">
        <f t="shared" si="84"/>
        <v>26.09</v>
      </c>
      <c r="N98" s="240">
        <f>+'Plan de culture 114'!$AE$13</f>
        <v>26.09</v>
      </c>
    </row>
    <row r="99" spans="1:14" x14ac:dyDescent="0.35">
      <c r="A99" s="238" t="s">
        <v>403</v>
      </c>
      <c r="B99" s="254">
        <v>0</v>
      </c>
      <c r="C99" s="254">
        <v>0</v>
      </c>
      <c r="D99" s="254">
        <v>0</v>
      </c>
      <c r="E99" s="254">
        <v>0</v>
      </c>
      <c r="F99" s="254">
        <v>0</v>
      </c>
      <c r="G99" s="254">
        <v>0</v>
      </c>
      <c r="H99" s="254">
        <v>0</v>
      </c>
      <c r="I99" s="254">
        <v>0</v>
      </c>
      <c r="J99" s="254">
        <v>0</v>
      </c>
      <c r="K99" s="254">
        <v>0</v>
      </c>
      <c r="L99" s="254">
        <v>0</v>
      </c>
      <c r="M99" s="254">
        <v>0</v>
      </c>
      <c r="N99" s="245">
        <f>+N97/N98</f>
        <v>0</v>
      </c>
    </row>
    <row r="100" spans="1:14" x14ac:dyDescent="0.35">
      <c r="A100" s="235" t="s">
        <v>376</v>
      </c>
      <c r="B100" s="80">
        <f>(B102*B101)</f>
        <v>0</v>
      </c>
      <c r="C100" s="80">
        <f t="shared" ref="C100:M100" si="85">(C102*C101)</f>
        <v>0</v>
      </c>
      <c r="D100" s="80">
        <f t="shared" si="85"/>
        <v>0</v>
      </c>
      <c r="E100" s="80">
        <f t="shared" si="85"/>
        <v>0</v>
      </c>
      <c r="F100" s="80">
        <f t="shared" si="85"/>
        <v>0</v>
      </c>
      <c r="G100" s="80">
        <f t="shared" si="85"/>
        <v>0</v>
      </c>
      <c r="H100" s="80">
        <f t="shared" si="85"/>
        <v>0</v>
      </c>
      <c r="I100" s="80">
        <f t="shared" si="85"/>
        <v>0</v>
      </c>
      <c r="J100" s="80">
        <f t="shared" si="85"/>
        <v>0</v>
      </c>
      <c r="K100" s="80">
        <f t="shared" si="85"/>
        <v>0</v>
      </c>
      <c r="L100" s="80">
        <f t="shared" si="85"/>
        <v>0</v>
      </c>
      <c r="M100" s="80">
        <f t="shared" si="85"/>
        <v>0</v>
      </c>
      <c r="N100" s="244">
        <f>SUM(B100:M100)</f>
        <v>0</v>
      </c>
    </row>
    <row r="101" spans="1:14" x14ac:dyDescent="0.35">
      <c r="A101" s="238" t="s">
        <v>93</v>
      </c>
      <c r="B101" s="239">
        <f>+'Plan de culture 114'!$AE$19</f>
        <v>0</v>
      </c>
      <c r="C101" s="239">
        <f>+B101</f>
        <v>0</v>
      </c>
      <c r="D101" s="239">
        <f t="shared" ref="D101" si="86">+C101</f>
        <v>0</v>
      </c>
      <c r="E101" s="239">
        <f>+'Plan de culture 104 '!C97</f>
        <v>0</v>
      </c>
      <c r="F101" s="239">
        <f>+E101+'Plan de culture 104 '!D97+'Plan de culture 104 '!E97</f>
        <v>0</v>
      </c>
      <c r="G101" s="239">
        <f>+F101</f>
        <v>0</v>
      </c>
      <c r="H101" s="239">
        <f t="shared" ref="H101:M101" si="87">+G101</f>
        <v>0</v>
      </c>
      <c r="I101" s="239">
        <f t="shared" si="87"/>
        <v>0</v>
      </c>
      <c r="J101" s="239">
        <f t="shared" si="87"/>
        <v>0</v>
      </c>
      <c r="K101" s="239">
        <f t="shared" si="87"/>
        <v>0</v>
      </c>
      <c r="L101" s="239">
        <f t="shared" si="87"/>
        <v>0</v>
      </c>
      <c r="M101" s="239">
        <f t="shared" si="87"/>
        <v>0</v>
      </c>
      <c r="N101" s="240">
        <f>+'Plan de culture 114'!$AE$19</f>
        <v>0</v>
      </c>
    </row>
    <row r="102" spans="1:14" x14ac:dyDescent="0.35">
      <c r="A102" s="238" t="s">
        <v>403</v>
      </c>
      <c r="B102" s="254">
        <v>0</v>
      </c>
      <c r="C102" s="254">
        <v>0</v>
      </c>
      <c r="D102" s="254">
        <v>0</v>
      </c>
      <c r="E102" s="254">
        <v>0</v>
      </c>
      <c r="F102" s="254">
        <v>0</v>
      </c>
      <c r="G102" s="254">
        <v>0</v>
      </c>
      <c r="H102" s="254">
        <v>0</v>
      </c>
      <c r="I102" s="254">
        <v>0</v>
      </c>
      <c r="J102" s="254">
        <v>0</v>
      </c>
      <c r="K102" s="254">
        <v>0</v>
      </c>
      <c r="L102" s="254">
        <v>0</v>
      </c>
      <c r="M102" s="254">
        <v>0</v>
      </c>
      <c r="N102" s="245" t="e">
        <f>+N100/N101</f>
        <v>#DIV/0!</v>
      </c>
    </row>
    <row r="103" spans="1:14" x14ac:dyDescent="0.35">
      <c r="A103" s="235" t="s">
        <v>92</v>
      </c>
      <c r="B103" s="80">
        <f>(B105*B104)</f>
        <v>0</v>
      </c>
      <c r="C103" s="80">
        <f t="shared" ref="C103:M103" si="88">(C105*C104)</f>
        <v>0</v>
      </c>
      <c r="D103" s="80">
        <f t="shared" si="88"/>
        <v>0</v>
      </c>
      <c r="E103" s="80">
        <f t="shared" si="88"/>
        <v>0</v>
      </c>
      <c r="F103" s="80">
        <f t="shared" si="88"/>
        <v>0</v>
      </c>
      <c r="G103" s="80">
        <f t="shared" si="88"/>
        <v>0</v>
      </c>
      <c r="H103" s="80">
        <f t="shared" si="88"/>
        <v>0</v>
      </c>
      <c r="I103" s="80">
        <f t="shared" si="88"/>
        <v>0</v>
      </c>
      <c r="J103" s="80">
        <f t="shared" si="88"/>
        <v>0</v>
      </c>
      <c r="K103" s="80">
        <f t="shared" si="88"/>
        <v>0</v>
      </c>
      <c r="L103" s="80">
        <f t="shared" si="88"/>
        <v>0</v>
      </c>
      <c r="M103" s="80">
        <f t="shared" si="88"/>
        <v>0</v>
      </c>
      <c r="N103" s="244">
        <f>SUM(B103:M103)</f>
        <v>0</v>
      </c>
    </row>
    <row r="104" spans="1:14" x14ac:dyDescent="0.35">
      <c r="A104" s="238" t="s">
        <v>93</v>
      </c>
      <c r="B104" s="239">
        <f>+'Plan de culture 114'!$AE$25</f>
        <v>0</v>
      </c>
      <c r="C104" s="239">
        <f>+B104</f>
        <v>0</v>
      </c>
      <c r="D104" s="239">
        <f t="shared" ref="D104" si="89">+C104</f>
        <v>0</v>
      </c>
      <c r="E104" s="239">
        <f>+'Plan de culture 104 '!C100</f>
        <v>0</v>
      </c>
      <c r="F104" s="239">
        <f>+E104+'Plan de culture 104 '!D100+'Plan de culture 104 '!E100</f>
        <v>0</v>
      </c>
      <c r="G104" s="239">
        <f>+F104</f>
        <v>0</v>
      </c>
      <c r="H104" s="239">
        <f t="shared" ref="H104:M104" si="90">+G104</f>
        <v>0</v>
      </c>
      <c r="I104" s="239">
        <f t="shared" si="90"/>
        <v>0</v>
      </c>
      <c r="J104" s="239">
        <f t="shared" si="90"/>
        <v>0</v>
      </c>
      <c r="K104" s="239">
        <f t="shared" si="90"/>
        <v>0</v>
      </c>
      <c r="L104" s="239">
        <f t="shared" si="90"/>
        <v>0</v>
      </c>
      <c r="M104" s="239">
        <f t="shared" si="90"/>
        <v>0</v>
      </c>
      <c r="N104" s="240">
        <f>+'Plan de culture 114'!$AE$25</f>
        <v>0</v>
      </c>
    </row>
    <row r="105" spans="1:14" x14ac:dyDescent="0.35">
      <c r="A105" s="238" t="s">
        <v>403</v>
      </c>
      <c r="B105" s="254">
        <v>0</v>
      </c>
      <c r="C105" s="254">
        <v>0</v>
      </c>
      <c r="D105" s="254">
        <v>0</v>
      </c>
      <c r="E105" s="254">
        <v>0</v>
      </c>
      <c r="F105" s="254">
        <v>0</v>
      </c>
      <c r="G105" s="254">
        <v>0</v>
      </c>
      <c r="H105" s="254">
        <v>0</v>
      </c>
      <c r="I105" s="254">
        <v>0</v>
      </c>
      <c r="J105" s="254">
        <v>0</v>
      </c>
      <c r="K105" s="254">
        <v>0</v>
      </c>
      <c r="L105" s="254">
        <v>0</v>
      </c>
      <c r="M105" s="254">
        <v>0</v>
      </c>
      <c r="N105" s="245" t="e">
        <f>+N103/N104</f>
        <v>#DIV/0!</v>
      </c>
    </row>
    <row r="106" spans="1:14" x14ac:dyDescent="0.35">
      <c r="A106" s="235" t="s">
        <v>377</v>
      </c>
      <c r="B106" s="80">
        <f>(B108*B107)</f>
        <v>0</v>
      </c>
      <c r="C106" s="80">
        <f t="shared" ref="C106:M106" si="91">(C108*C107)</f>
        <v>0</v>
      </c>
      <c r="D106" s="80">
        <f t="shared" si="91"/>
        <v>0</v>
      </c>
      <c r="E106" s="80">
        <f t="shared" si="91"/>
        <v>0</v>
      </c>
      <c r="F106" s="80">
        <f t="shared" si="91"/>
        <v>0</v>
      </c>
      <c r="G106" s="80">
        <f t="shared" si="91"/>
        <v>0</v>
      </c>
      <c r="H106" s="80">
        <f t="shared" si="91"/>
        <v>0</v>
      </c>
      <c r="I106" s="80">
        <f t="shared" si="91"/>
        <v>0</v>
      </c>
      <c r="J106" s="80">
        <f t="shared" si="91"/>
        <v>0</v>
      </c>
      <c r="K106" s="80">
        <f t="shared" si="91"/>
        <v>0</v>
      </c>
      <c r="L106" s="80">
        <f t="shared" si="91"/>
        <v>0</v>
      </c>
      <c r="M106" s="80">
        <f t="shared" si="91"/>
        <v>0</v>
      </c>
      <c r="N106" s="244">
        <f>SUM(B106:M106)</f>
        <v>0</v>
      </c>
    </row>
    <row r="107" spans="1:14" x14ac:dyDescent="0.35">
      <c r="A107" s="238" t="s">
        <v>93</v>
      </c>
      <c r="B107" s="239">
        <f>+'Plan de culture 114'!$AE$31</f>
        <v>0</v>
      </c>
      <c r="C107" s="239">
        <f>+B107</f>
        <v>0</v>
      </c>
      <c r="D107" s="239">
        <f t="shared" ref="D107" si="92">+C107</f>
        <v>0</v>
      </c>
      <c r="E107" s="239">
        <f>+'Plan de culture 104 '!C103</f>
        <v>0</v>
      </c>
      <c r="F107" s="239">
        <f>+E107+'Plan de culture 104 '!D103+'Plan de culture 104 '!E103</f>
        <v>0</v>
      </c>
      <c r="G107" s="239">
        <f>+F107</f>
        <v>0</v>
      </c>
      <c r="H107" s="239">
        <f t="shared" ref="H107:M107" si="93">+G107</f>
        <v>0</v>
      </c>
      <c r="I107" s="239">
        <f t="shared" si="93"/>
        <v>0</v>
      </c>
      <c r="J107" s="239">
        <f t="shared" si="93"/>
        <v>0</v>
      </c>
      <c r="K107" s="239">
        <f t="shared" si="93"/>
        <v>0</v>
      </c>
      <c r="L107" s="239">
        <f t="shared" si="93"/>
        <v>0</v>
      </c>
      <c r="M107" s="239">
        <f t="shared" si="93"/>
        <v>0</v>
      </c>
      <c r="N107" s="240">
        <f>+'Plan de culture 114'!$AE$31</f>
        <v>0</v>
      </c>
    </row>
    <row r="108" spans="1:14" x14ac:dyDescent="0.35">
      <c r="A108" s="238" t="s">
        <v>403</v>
      </c>
      <c r="B108" s="254">
        <v>0</v>
      </c>
      <c r="C108" s="254">
        <v>0</v>
      </c>
      <c r="D108" s="254">
        <v>0</v>
      </c>
      <c r="E108" s="254">
        <v>0</v>
      </c>
      <c r="F108" s="254">
        <v>0</v>
      </c>
      <c r="G108" s="254">
        <v>0</v>
      </c>
      <c r="H108" s="254">
        <v>0</v>
      </c>
      <c r="I108" s="254">
        <v>0</v>
      </c>
      <c r="J108" s="254">
        <v>0</v>
      </c>
      <c r="K108" s="254">
        <v>0</v>
      </c>
      <c r="L108" s="254">
        <v>0</v>
      </c>
      <c r="M108" s="254">
        <v>0</v>
      </c>
      <c r="N108" s="245" t="e">
        <f>+N106/N107</f>
        <v>#DIV/0!</v>
      </c>
    </row>
    <row r="109" spans="1:14" x14ac:dyDescent="0.35">
      <c r="A109" s="235" t="s">
        <v>378</v>
      </c>
      <c r="B109" s="80">
        <f>(B111*B110)</f>
        <v>0</v>
      </c>
      <c r="C109" s="80">
        <f t="shared" ref="C109:M109" si="94">(C111*C110)</f>
        <v>0</v>
      </c>
      <c r="D109" s="80">
        <f t="shared" si="94"/>
        <v>0</v>
      </c>
      <c r="E109" s="80">
        <f t="shared" si="94"/>
        <v>0</v>
      </c>
      <c r="F109" s="80">
        <f t="shared" si="94"/>
        <v>0</v>
      </c>
      <c r="G109" s="80">
        <f t="shared" si="94"/>
        <v>0</v>
      </c>
      <c r="H109" s="80">
        <f t="shared" si="94"/>
        <v>0</v>
      </c>
      <c r="I109" s="80">
        <f t="shared" si="94"/>
        <v>0</v>
      </c>
      <c r="J109" s="80">
        <f t="shared" si="94"/>
        <v>0</v>
      </c>
      <c r="K109" s="80">
        <f t="shared" si="94"/>
        <v>0</v>
      </c>
      <c r="L109" s="80">
        <f t="shared" si="94"/>
        <v>0</v>
      </c>
      <c r="M109" s="80">
        <f t="shared" si="94"/>
        <v>0</v>
      </c>
      <c r="N109" s="244">
        <f>SUM(B109:M109)</f>
        <v>0</v>
      </c>
    </row>
    <row r="110" spans="1:14" x14ac:dyDescent="0.35">
      <c r="A110" s="238" t="s">
        <v>93</v>
      </c>
      <c r="B110" s="239">
        <f>+'Plan de culture 114'!$AE$37</f>
        <v>0</v>
      </c>
      <c r="C110" s="239">
        <f>+B110</f>
        <v>0</v>
      </c>
      <c r="D110" s="239">
        <f t="shared" ref="D110" si="95">+C110</f>
        <v>0</v>
      </c>
      <c r="E110" s="239">
        <f>+'Plan de culture 104 '!C106</f>
        <v>0</v>
      </c>
      <c r="F110" s="239">
        <f>+E110+'Plan de culture 104 '!D106+'Plan de culture 104 '!E106</f>
        <v>0</v>
      </c>
      <c r="G110" s="239">
        <f>+F110</f>
        <v>0</v>
      </c>
      <c r="H110" s="239">
        <f t="shared" ref="H110:M110" si="96">+G110</f>
        <v>0</v>
      </c>
      <c r="I110" s="239">
        <f t="shared" si="96"/>
        <v>0</v>
      </c>
      <c r="J110" s="239">
        <f t="shared" si="96"/>
        <v>0</v>
      </c>
      <c r="K110" s="239">
        <f t="shared" si="96"/>
        <v>0</v>
      </c>
      <c r="L110" s="239">
        <f t="shared" si="96"/>
        <v>0</v>
      </c>
      <c r="M110" s="239">
        <f t="shared" si="96"/>
        <v>0</v>
      </c>
      <c r="N110" s="240">
        <f>+'Plan de culture 114'!$AE$37</f>
        <v>0</v>
      </c>
    </row>
    <row r="111" spans="1:14" ht="12" thickBot="1" x14ac:dyDescent="0.4">
      <c r="A111" s="241" t="s">
        <v>403</v>
      </c>
      <c r="B111" s="268">
        <v>0</v>
      </c>
      <c r="C111" s="268">
        <v>0</v>
      </c>
      <c r="D111" s="268">
        <v>0</v>
      </c>
      <c r="E111" s="268">
        <v>0</v>
      </c>
      <c r="F111" s="268">
        <v>0</v>
      </c>
      <c r="G111" s="268">
        <v>0</v>
      </c>
      <c r="H111" s="268">
        <v>0</v>
      </c>
      <c r="I111" s="268">
        <v>0</v>
      </c>
      <c r="J111" s="268">
        <v>0</v>
      </c>
      <c r="K111" s="268">
        <v>0</v>
      </c>
      <c r="L111" s="268">
        <v>0</v>
      </c>
      <c r="M111" s="268">
        <v>0</v>
      </c>
      <c r="N111" s="247" t="e">
        <f>+N109/N110</f>
        <v>#DIV/0!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9C28-B9E0-4D94-BAA6-59E943BC45A8}">
  <sheetPr>
    <tabColor rgb="FF92D050"/>
  </sheetPr>
  <dimension ref="A1:P111"/>
  <sheetViews>
    <sheetView topLeftCell="A85" workbookViewId="0">
      <selection activeCell="B110" sqref="B110:N110"/>
    </sheetView>
  </sheetViews>
  <sheetFormatPr baseColWidth="10" defaultColWidth="11.46484375" defaultRowHeight="11.65" x14ac:dyDescent="0.35"/>
  <cols>
    <col min="1" max="1" width="29.3984375" style="32" bestFit="1" customWidth="1"/>
    <col min="2" max="2" width="7.86328125" style="32" bestFit="1" customWidth="1"/>
    <col min="3" max="3" width="10.19921875" style="32" bestFit="1" customWidth="1"/>
    <col min="4" max="13" width="7.3984375" style="32" bestFit="1" customWidth="1"/>
    <col min="14" max="14" width="7.796875" style="32" bestFit="1" customWidth="1"/>
    <col min="15" max="16384" width="11.46484375" style="32"/>
  </cols>
  <sheetData>
    <row r="1" spans="1:16" ht="35.25" thickBot="1" x14ac:dyDescent="0.4">
      <c r="A1" s="68" t="s">
        <v>417</v>
      </c>
    </row>
    <row r="3" spans="1:16" s="57" customFormat="1" ht="12" thickBot="1" x14ac:dyDescent="0.4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259" t="s">
        <v>410</v>
      </c>
      <c r="B4" s="260">
        <f t="shared" ref="B4:M4" si="1">B7+B28+B49+B70++B91</f>
        <v>0</v>
      </c>
      <c r="C4" s="260">
        <f t="shared" si="1"/>
        <v>0</v>
      </c>
      <c r="D4" s="260">
        <f t="shared" si="1"/>
        <v>0</v>
      </c>
      <c r="E4" s="260">
        <f t="shared" si="1"/>
        <v>0</v>
      </c>
      <c r="F4" s="260">
        <f t="shared" si="1"/>
        <v>0</v>
      </c>
      <c r="G4" s="260">
        <f t="shared" si="1"/>
        <v>0</v>
      </c>
      <c r="H4" s="260">
        <f t="shared" si="1"/>
        <v>0</v>
      </c>
      <c r="I4" s="260">
        <f t="shared" si="1"/>
        <v>0</v>
      </c>
      <c r="J4" s="260">
        <f t="shared" si="1"/>
        <v>0</v>
      </c>
      <c r="K4" s="260">
        <f t="shared" si="1"/>
        <v>0</v>
      </c>
      <c r="L4" s="260">
        <f t="shared" si="1"/>
        <v>0</v>
      </c>
      <c r="M4" s="260">
        <f t="shared" si="1"/>
        <v>0</v>
      </c>
      <c r="N4" s="261">
        <f>N7+N28+N49+N70+N91</f>
        <v>0</v>
      </c>
    </row>
    <row r="5" spans="1:16" s="57" customFormat="1" x14ac:dyDescent="0.35">
      <c r="A5" s="262" t="s">
        <v>93</v>
      </c>
      <c r="B5" s="263">
        <f t="shared" ref="B5:M5" si="2">B8+B29+B50+B71+B92</f>
        <v>68.968000000000004</v>
      </c>
      <c r="C5" s="263">
        <f t="shared" si="2"/>
        <v>68.968000000000004</v>
      </c>
      <c r="D5" s="263">
        <f t="shared" si="2"/>
        <v>68.968000000000004</v>
      </c>
      <c r="E5" s="263">
        <f t="shared" si="2"/>
        <v>68.968000000000004</v>
      </c>
      <c r="F5" s="263">
        <f t="shared" si="2"/>
        <v>68.968000000000004</v>
      </c>
      <c r="G5" s="263">
        <f t="shared" si="2"/>
        <v>68.968000000000004</v>
      </c>
      <c r="H5" s="263">
        <f t="shared" si="2"/>
        <v>68.968000000000004</v>
      </c>
      <c r="I5" s="263">
        <f t="shared" si="2"/>
        <v>68.968000000000004</v>
      </c>
      <c r="J5" s="263">
        <f t="shared" si="2"/>
        <v>68.968000000000004</v>
      </c>
      <c r="K5" s="263">
        <f t="shared" si="2"/>
        <v>68.968000000000004</v>
      </c>
      <c r="L5" s="263">
        <f t="shared" si="2"/>
        <v>68.968000000000004</v>
      </c>
      <c r="M5" s="263">
        <f t="shared" si="2"/>
        <v>68.968000000000004</v>
      </c>
      <c r="N5" s="264">
        <f>N8+N29+N50+N71+N92</f>
        <v>68.968000000000004</v>
      </c>
    </row>
    <row r="6" spans="1:16" s="57" customFormat="1" ht="12" thickBot="1" x14ac:dyDescent="0.4">
      <c r="A6" s="265" t="s">
        <v>411</v>
      </c>
      <c r="B6" s="266">
        <f>+B4/B5</f>
        <v>0</v>
      </c>
      <c r="C6" s="266">
        <f>+C4/C5</f>
        <v>0</v>
      </c>
      <c r="D6" s="266">
        <f t="shared" ref="D6:M6" si="3">+D4/D5</f>
        <v>0</v>
      </c>
      <c r="E6" s="266">
        <f t="shared" si="3"/>
        <v>0</v>
      </c>
      <c r="F6" s="266">
        <f t="shared" si="3"/>
        <v>0</v>
      </c>
      <c r="G6" s="266">
        <f t="shared" si="3"/>
        <v>0</v>
      </c>
      <c r="H6" s="266">
        <f t="shared" si="3"/>
        <v>0</v>
      </c>
      <c r="I6" s="266">
        <f t="shared" si="3"/>
        <v>0</v>
      </c>
      <c r="J6" s="266">
        <f t="shared" si="3"/>
        <v>0</v>
      </c>
      <c r="K6" s="266">
        <f t="shared" si="3"/>
        <v>0</v>
      </c>
      <c r="L6" s="266">
        <f t="shared" si="3"/>
        <v>0</v>
      </c>
      <c r="M6" s="266">
        <f t="shared" si="3"/>
        <v>0</v>
      </c>
      <c r="N6" s="267">
        <f>+N4/N5</f>
        <v>0</v>
      </c>
    </row>
    <row r="7" spans="1:16" x14ac:dyDescent="0.35">
      <c r="A7" s="233" t="s">
        <v>412</v>
      </c>
      <c r="B7" s="242">
        <f t="shared" ref="B7:M7" si="4">+B10+B13+B16+B19+B22+B25</f>
        <v>0</v>
      </c>
      <c r="C7" s="242">
        <f t="shared" si="4"/>
        <v>0</v>
      </c>
      <c r="D7" s="242">
        <f t="shared" si="4"/>
        <v>0</v>
      </c>
      <c r="E7" s="242">
        <f t="shared" si="4"/>
        <v>0</v>
      </c>
      <c r="F7" s="242">
        <f t="shared" si="4"/>
        <v>0</v>
      </c>
      <c r="G7" s="242">
        <f t="shared" si="4"/>
        <v>0</v>
      </c>
      <c r="H7" s="242">
        <f t="shared" si="4"/>
        <v>0</v>
      </c>
      <c r="I7" s="242">
        <f t="shared" si="4"/>
        <v>0</v>
      </c>
      <c r="J7" s="242">
        <f t="shared" si="4"/>
        <v>0</v>
      </c>
      <c r="K7" s="242">
        <f t="shared" si="4"/>
        <v>0</v>
      </c>
      <c r="L7" s="242">
        <f t="shared" si="4"/>
        <v>0</v>
      </c>
      <c r="M7" s="242">
        <f t="shared" si="4"/>
        <v>0</v>
      </c>
      <c r="N7" s="243">
        <f>SUM(B7:M7)</f>
        <v>0</v>
      </c>
    </row>
    <row r="8" spans="1:16" x14ac:dyDescent="0.35">
      <c r="A8" s="234" t="s">
        <v>93</v>
      </c>
      <c r="B8" s="83">
        <f>+B11+B14+B17+B20+B23+B26</f>
        <v>15.350000000000003</v>
      </c>
      <c r="C8" s="81">
        <f t="shared" ref="C8:M8" si="5">+C11</f>
        <v>15.350000000000003</v>
      </c>
      <c r="D8" s="81">
        <f t="shared" si="5"/>
        <v>15.350000000000003</v>
      </c>
      <c r="E8" s="81">
        <f t="shared" si="5"/>
        <v>15.350000000000003</v>
      </c>
      <c r="F8" s="81">
        <f t="shared" si="5"/>
        <v>15.350000000000003</v>
      </c>
      <c r="G8" s="81">
        <f t="shared" si="5"/>
        <v>15.350000000000003</v>
      </c>
      <c r="H8" s="81">
        <f t="shared" si="5"/>
        <v>15.350000000000003</v>
      </c>
      <c r="I8" s="81">
        <f t="shared" si="5"/>
        <v>15.350000000000003</v>
      </c>
      <c r="J8" s="81">
        <f t="shared" si="5"/>
        <v>15.350000000000003</v>
      </c>
      <c r="K8" s="81">
        <f t="shared" si="5"/>
        <v>15.350000000000003</v>
      </c>
      <c r="L8" s="81">
        <f t="shared" si="5"/>
        <v>15.350000000000003</v>
      </c>
      <c r="M8" s="81">
        <f t="shared" si="5"/>
        <v>15.350000000000003</v>
      </c>
      <c r="N8" s="248">
        <f>+M8</f>
        <v>15.350000000000003</v>
      </c>
    </row>
    <row r="9" spans="1:16" x14ac:dyDescent="0.35">
      <c r="A9" s="234" t="s">
        <v>411</v>
      </c>
      <c r="B9" s="83">
        <f t="shared" ref="B9:N9" si="6">+B7/B8</f>
        <v>0</v>
      </c>
      <c r="C9" s="83">
        <f t="shared" si="6"/>
        <v>0</v>
      </c>
      <c r="D9" s="83">
        <f t="shared" si="6"/>
        <v>0</v>
      </c>
      <c r="E9" s="83">
        <f t="shared" si="6"/>
        <v>0</v>
      </c>
      <c r="F9" s="83">
        <f t="shared" si="6"/>
        <v>0</v>
      </c>
      <c r="G9" s="83">
        <f t="shared" si="6"/>
        <v>0</v>
      </c>
      <c r="H9" s="83">
        <f t="shared" si="6"/>
        <v>0</v>
      </c>
      <c r="I9" s="83">
        <f t="shared" si="6"/>
        <v>0</v>
      </c>
      <c r="J9" s="83">
        <f t="shared" si="6"/>
        <v>0</v>
      </c>
      <c r="K9" s="83">
        <f t="shared" si="6"/>
        <v>0</v>
      </c>
      <c r="L9" s="83">
        <f t="shared" si="6"/>
        <v>0</v>
      </c>
      <c r="M9" s="83">
        <f t="shared" si="6"/>
        <v>0</v>
      </c>
      <c r="N9" s="249">
        <f t="shared" si="6"/>
        <v>0</v>
      </c>
      <c r="P9" s="62"/>
    </row>
    <row r="10" spans="1:16" x14ac:dyDescent="0.35">
      <c r="A10" s="235" t="s">
        <v>90</v>
      </c>
      <c r="B10" s="80">
        <f>(B11*B12)</f>
        <v>0</v>
      </c>
      <c r="C10" s="80">
        <f t="shared" ref="C10:M10" si="7">(C11*C12)</f>
        <v>0</v>
      </c>
      <c r="D10" s="80">
        <f t="shared" si="7"/>
        <v>0</v>
      </c>
      <c r="E10" s="80">
        <f t="shared" si="7"/>
        <v>0</v>
      </c>
      <c r="F10" s="80">
        <f t="shared" si="7"/>
        <v>0</v>
      </c>
      <c r="G10" s="80">
        <f t="shared" si="7"/>
        <v>0</v>
      </c>
      <c r="H10" s="80">
        <f t="shared" si="7"/>
        <v>0</v>
      </c>
      <c r="I10" s="80">
        <f t="shared" si="7"/>
        <v>0</v>
      </c>
      <c r="J10" s="80">
        <f t="shared" si="7"/>
        <v>0</v>
      </c>
      <c r="K10" s="80">
        <f t="shared" si="7"/>
        <v>0</v>
      </c>
      <c r="L10" s="80">
        <f t="shared" si="7"/>
        <v>0</v>
      </c>
      <c r="M10" s="80">
        <f t="shared" si="7"/>
        <v>0</v>
      </c>
      <c r="N10" s="244">
        <f>SUM(B10:M10)</f>
        <v>0</v>
      </c>
    </row>
    <row r="11" spans="1:16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8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8"/>
        <v>15.350000000000003</v>
      </c>
      <c r="I11" s="239">
        <f t="shared" si="8"/>
        <v>15.350000000000003</v>
      </c>
      <c r="J11" s="239">
        <f t="shared" si="8"/>
        <v>15.350000000000003</v>
      </c>
      <c r="K11" s="239">
        <f t="shared" si="8"/>
        <v>15.350000000000003</v>
      </c>
      <c r="L11" s="239">
        <f t="shared" si="8"/>
        <v>15.350000000000003</v>
      </c>
      <c r="M11" s="239">
        <f t="shared" si="8"/>
        <v>15.350000000000003</v>
      </c>
      <c r="N11" s="240">
        <f>+'Plan de culture 104 '!X7</f>
        <v>15.350000000000003</v>
      </c>
    </row>
    <row r="12" spans="1:16" x14ac:dyDescent="0.35">
      <c r="A12" s="238" t="s">
        <v>411</v>
      </c>
      <c r="B12" s="254">
        <v>0</v>
      </c>
      <c r="C12" s="254">
        <v>0</v>
      </c>
      <c r="D12" s="254">
        <v>0</v>
      </c>
      <c r="E12" s="254">
        <v>0</v>
      </c>
      <c r="F12" s="254">
        <v>0</v>
      </c>
      <c r="G12" s="254">
        <v>0</v>
      </c>
      <c r="H12" s="254">
        <v>0</v>
      </c>
      <c r="I12" s="254">
        <v>0</v>
      </c>
      <c r="J12" s="254">
        <v>0</v>
      </c>
      <c r="K12" s="254">
        <v>0</v>
      </c>
      <c r="L12" s="254">
        <v>0</v>
      </c>
      <c r="M12" s="254">
        <v>0</v>
      </c>
      <c r="N12" s="245">
        <f>+N10/N11</f>
        <v>0</v>
      </c>
    </row>
    <row r="13" spans="1:16" x14ac:dyDescent="0.35">
      <c r="A13" s="235" t="s">
        <v>91</v>
      </c>
      <c r="B13" s="80">
        <f>(B14*B15)</f>
        <v>0</v>
      </c>
      <c r="C13" s="80">
        <f t="shared" ref="C13:M13" si="9">(C14*C15)</f>
        <v>0</v>
      </c>
      <c r="D13" s="80">
        <f t="shared" si="9"/>
        <v>0</v>
      </c>
      <c r="E13" s="80">
        <f t="shared" si="9"/>
        <v>0</v>
      </c>
      <c r="F13" s="80">
        <f t="shared" si="9"/>
        <v>0</v>
      </c>
      <c r="G13" s="80">
        <f t="shared" si="9"/>
        <v>0</v>
      </c>
      <c r="H13" s="80">
        <f t="shared" si="9"/>
        <v>0</v>
      </c>
      <c r="I13" s="80">
        <f t="shared" si="9"/>
        <v>0</v>
      </c>
      <c r="J13" s="80">
        <f t="shared" si="9"/>
        <v>0</v>
      </c>
      <c r="K13" s="80">
        <f t="shared" si="9"/>
        <v>0</v>
      </c>
      <c r="L13" s="80">
        <f t="shared" si="9"/>
        <v>0</v>
      </c>
      <c r="M13" s="80">
        <f t="shared" si="9"/>
        <v>0</v>
      </c>
      <c r="N13" s="244">
        <f>SUM(B13:M13)</f>
        <v>0</v>
      </c>
    </row>
    <row r="14" spans="1:16" x14ac:dyDescent="0.35">
      <c r="A14" s="238" t="s">
        <v>93</v>
      </c>
      <c r="B14" s="239">
        <f>+'Plan de culture 104 '!$X$13</f>
        <v>0</v>
      </c>
      <c r="C14" s="239">
        <f>+B14</f>
        <v>0</v>
      </c>
      <c r="D14" s="239">
        <f t="shared" ref="D14:M14" si="10">+C14</f>
        <v>0</v>
      </c>
      <c r="E14" s="239">
        <f t="shared" si="10"/>
        <v>0</v>
      </c>
      <c r="F14" s="239">
        <f t="shared" si="10"/>
        <v>0</v>
      </c>
      <c r="G14" s="239">
        <f t="shared" si="10"/>
        <v>0</v>
      </c>
      <c r="H14" s="239">
        <f t="shared" si="10"/>
        <v>0</v>
      </c>
      <c r="I14" s="239">
        <f t="shared" si="10"/>
        <v>0</v>
      </c>
      <c r="J14" s="239">
        <f t="shared" si="10"/>
        <v>0</v>
      </c>
      <c r="K14" s="239">
        <f t="shared" si="10"/>
        <v>0</v>
      </c>
      <c r="L14" s="239">
        <f t="shared" si="10"/>
        <v>0</v>
      </c>
      <c r="M14" s="239">
        <f t="shared" si="10"/>
        <v>0</v>
      </c>
      <c r="N14" s="240">
        <f>+'Plan de culture 104 '!$X$13</f>
        <v>0</v>
      </c>
    </row>
    <row r="15" spans="1:16" x14ac:dyDescent="0.35">
      <c r="A15" s="238" t="s">
        <v>411</v>
      </c>
      <c r="B15" s="254">
        <v>0</v>
      </c>
      <c r="C15" s="254">
        <v>0</v>
      </c>
      <c r="D15" s="254">
        <v>0</v>
      </c>
      <c r="E15" s="254">
        <v>0</v>
      </c>
      <c r="F15" s="254">
        <v>0</v>
      </c>
      <c r="G15" s="254">
        <v>0</v>
      </c>
      <c r="H15" s="254">
        <v>0</v>
      </c>
      <c r="I15" s="254">
        <v>0</v>
      </c>
      <c r="J15" s="254">
        <v>0</v>
      </c>
      <c r="K15" s="254">
        <v>0</v>
      </c>
      <c r="L15" s="254">
        <v>0</v>
      </c>
      <c r="M15" s="254">
        <v>0</v>
      </c>
      <c r="N15" s="245" t="e">
        <f>+N13/N14</f>
        <v>#DIV/0!</v>
      </c>
    </row>
    <row r="16" spans="1:16" x14ac:dyDescent="0.35">
      <c r="A16" s="235" t="s">
        <v>376</v>
      </c>
      <c r="B16" s="80">
        <f>(B17*B18)</f>
        <v>0</v>
      </c>
      <c r="C16" s="80">
        <f t="shared" ref="C16:M16" si="11">(C17*C18)</f>
        <v>0</v>
      </c>
      <c r="D16" s="80">
        <f t="shared" si="11"/>
        <v>0</v>
      </c>
      <c r="E16" s="80">
        <f t="shared" si="11"/>
        <v>0</v>
      </c>
      <c r="F16" s="80">
        <f t="shared" si="11"/>
        <v>0</v>
      </c>
      <c r="G16" s="80">
        <f t="shared" si="11"/>
        <v>0</v>
      </c>
      <c r="H16" s="80">
        <f t="shared" si="11"/>
        <v>0</v>
      </c>
      <c r="I16" s="80">
        <f t="shared" si="11"/>
        <v>0</v>
      </c>
      <c r="J16" s="80">
        <f t="shared" si="11"/>
        <v>0</v>
      </c>
      <c r="K16" s="80">
        <f t="shared" si="11"/>
        <v>0</v>
      </c>
      <c r="L16" s="80">
        <f t="shared" si="11"/>
        <v>0</v>
      </c>
      <c r="M16" s="80">
        <f t="shared" si="11"/>
        <v>0</v>
      </c>
      <c r="N16" s="244">
        <f>SUM(B16:M16)</f>
        <v>0</v>
      </c>
    </row>
    <row r="17" spans="1:14" x14ac:dyDescent="0.35">
      <c r="A17" s="238" t="s">
        <v>93</v>
      </c>
      <c r="B17" s="239">
        <f>+'Plan de culture 104 '!$X$19</f>
        <v>0</v>
      </c>
      <c r="C17" s="239">
        <f>+B17</f>
        <v>0</v>
      </c>
      <c r="D17" s="239">
        <f t="shared" ref="D17" si="12">+C17</f>
        <v>0</v>
      </c>
      <c r="E17" s="239">
        <f>+'Plan de culture 104 '!C13</f>
        <v>0</v>
      </c>
      <c r="F17" s="239">
        <f>+E17+'Plan de culture 104 '!D13+'Plan de culture 104 '!E13</f>
        <v>0</v>
      </c>
      <c r="G17" s="239">
        <f>+F17</f>
        <v>0</v>
      </c>
      <c r="H17" s="239">
        <f t="shared" ref="H17:M17" si="13">+G17</f>
        <v>0</v>
      </c>
      <c r="I17" s="239">
        <f t="shared" si="13"/>
        <v>0</v>
      </c>
      <c r="J17" s="239">
        <f t="shared" si="13"/>
        <v>0</v>
      </c>
      <c r="K17" s="239">
        <f t="shared" si="13"/>
        <v>0</v>
      </c>
      <c r="L17" s="239">
        <f t="shared" si="13"/>
        <v>0</v>
      </c>
      <c r="M17" s="239">
        <f t="shared" si="13"/>
        <v>0</v>
      </c>
      <c r="N17" s="240">
        <f>+'Plan de culture 104 '!$X$19</f>
        <v>0</v>
      </c>
    </row>
    <row r="18" spans="1:14" x14ac:dyDescent="0.35">
      <c r="A18" s="238" t="s">
        <v>411</v>
      </c>
      <c r="B18" s="254">
        <v>0</v>
      </c>
      <c r="C18" s="254">
        <v>0</v>
      </c>
      <c r="D18" s="254">
        <v>0</v>
      </c>
      <c r="E18" s="254">
        <v>0</v>
      </c>
      <c r="F18" s="254">
        <v>0</v>
      </c>
      <c r="G18" s="254">
        <v>0</v>
      </c>
      <c r="H18" s="254">
        <v>0</v>
      </c>
      <c r="I18" s="254">
        <v>0</v>
      </c>
      <c r="J18" s="254">
        <v>0</v>
      </c>
      <c r="K18" s="254">
        <v>0</v>
      </c>
      <c r="L18" s="254">
        <v>0</v>
      </c>
      <c r="M18" s="254">
        <v>0</v>
      </c>
      <c r="N18" s="245" t="e">
        <f>+N16/N17</f>
        <v>#DIV/0!</v>
      </c>
    </row>
    <row r="19" spans="1:14" x14ac:dyDescent="0.35">
      <c r="A19" s="235" t="s">
        <v>92</v>
      </c>
      <c r="B19" s="80">
        <f>(B20*B21)</f>
        <v>0</v>
      </c>
      <c r="C19" s="80">
        <f t="shared" ref="C19:M19" si="14">(C20*C21)</f>
        <v>0</v>
      </c>
      <c r="D19" s="80">
        <f t="shared" si="14"/>
        <v>0</v>
      </c>
      <c r="E19" s="80">
        <f t="shared" si="14"/>
        <v>0</v>
      </c>
      <c r="F19" s="80">
        <f t="shared" si="14"/>
        <v>0</v>
      </c>
      <c r="G19" s="80">
        <f t="shared" si="14"/>
        <v>0</v>
      </c>
      <c r="H19" s="80">
        <f t="shared" si="14"/>
        <v>0</v>
      </c>
      <c r="I19" s="80">
        <f t="shared" si="14"/>
        <v>0</v>
      </c>
      <c r="J19" s="80">
        <f t="shared" si="14"/>
        <v>0</v>
      </c>
      <c r="K19" s="80">
        <f t="shared" si="14"/>
        <v>0</v>
      </c>
      <c r="L19" s="80">
        <f t="shared" si="14"/>
        <v>0</v>
      </c>
      <c r="M19" s="80">
        <f t="shared" si="14"/>
        <v>0</v>
      </c>
      <c r="N19" s="244">
        <f>SUM(B19:M19)</f>
        <v>0</v>
      </c>
    </row>
    <row r="20" spans="1:14" x14ac:dyDescent="0.35">
      <c r="A20" s="238" t="s">
        <v>93</v>
      </c>
      <c r="B20" s="239">
        <f>+'Plan de culture 104 '!$X$25</f>
        <v>0</v>
      </c>
      <c r="C20" s="239">
        <f>+B20</f>
        <v>0</v>
      </c>
      <c r="D20" s="239">
        <f t="shared" ref="D20" si="15">+C20</f>
        <v>0</v>
      </c>
      <c r="E20" s="239">
        <f>+'Plan de culture 104 '!C16</f>
        <v>0</v>
      </c>
      <c r="F20" s="239">
        <f>+E20+'Plan de culture 104 '!D16+'Plan de culture 104 '!E16</f>
        <v>0</v>
      </c>
      <c r="G20" s="239">
        <f>+F20</f>
        <v>0</v>
      </c>
      <c r="H20" s="239">
        <f t="shared" ref="H20:M20" si="16">+G20</f>
        <v>0</v>
      </c>
      <c r="I20" s="239">
        <f t="shared" si="16"/>
        <v>0</v>
      </c>
      <c r="J20" s="239">
        <f t="shared" si="16"/>
        <v>0</v>
      </c>
      <c r="K20" s="239">
        <f t="shared" si="16"/>
        <v>0</v>
      </c>
      <c r="L20" s="239">
        <f t="shared" si="16"/>
        <v>0</v>
      </c>
      <c r="M20" s="239">
        <f t="shared" si="16"/>
        <v>0</v>
      </c>
      <c r="N20" s="240">
        <f>+'Plan de culture 104 '!$X$25</f>
        <v>0</v>
      </c>
    </row>
    <row r="21" spans="1:14" x14ac:dyDescent="0.35">
      <c r="A21" s="238" t="s">
        <v>411</v>
      </c>
      <c r="B21" s="254">
        <v>0</v>
      </c>
      <c r="C21" s="254">
        <v>0</v>
      </c>
      <c r="D21" s="254">
        <v>0</v>
      </c>
      <c r="E21" s="254">
        <v>0</v>
      </c>
      <c r="F21" s="254">
        <v>0</v>
      </c>
      <c r="G21" s="254">
        <v>0</v>
      </c>
      <c r="H21" s="254">
        <v>0</v>
      </c>
      <c r="I21" s="254">
        <v>0</v>
      </c>
      <c r="J21" s="254">
        <v>0</v>
      </c>
      <c r="K21" s="254">
        <v>0</v>
      </c>
      <c r="L21" s="254">
        <v>0</v>
      </c>
      <c r="M21" s="254">
        <v>0</v>
      </c>
      <c r="N21" s="245" t="e">
        <f>+N19/N20</f>
        <v>#DIV/0!</v>
      </c>
    </row>
    <row r="22" spans="1:14" x14ac:dyDescent="0.35">
      <c r="A22" s="235" t="s">
        <v>377</v>
      </c>
      <c r="B22" s="80">
        <f>(B23*B24)</f>
        <v>0</v>
      </c>
      <c r="C22" s="80">
        <f t="shared" ref="C22:M22" si="17">(C23*C24)</f>
        <v>0</v>
      </c>
      <c r="D22" s="80">
        <f t="shared" si="17"/>
        <v>0</v>
      </c>
      <c r="E22" s="80">
        <f t="shared" si="17"/>
        <v>0</v>
      </c>
      <c r="F22" s="80">
        <f t="shared" si="17"/>
        <v>0</v>
      </c>
      <c r="G22" s="80">
        <f t="shared" si="17"/>
        <v>0</v>
      </c>
      <c r="H22" s="80">
        <f t="shared" si="17"/>
        <v>0</v>
      </c>
      <c r="I22" s="80">
        <f t="shared" si="17"/>
        <v>0</v>
      </c>
      <c r="J22" s="80">
        <f t="shared" si="17"/>
        <v>0</v>
      </c>
      <c r="K22" s="80">
        <f t="shared" si="17"/>
        <v>0</v>
      </c>
      <c r="L22" s="80">
        <f t="shared" si="17"/>
        <v>0</v>
      </c>
      <c r="M22" s="80">
        <f t="shared" si="17"/>
        <v>0</v>
      </c>
      <c r="N22" s="244">
        <f>SUM(B22:M22)</f>
        <v>0</v>
      </c>
    </row>
    <row r="23" spans="1:14" x14ac:dyDescent="0.35">
      <c r="A23" s="238" t="s">
        <v>93</v>
      </c>
      <c r="B23" s="239">
        <f>+'Plan de culture 104 '!$X$31</f>
        <v>0</v>
      </c>
      <c r="C23" s="239">
        <f>+B23</f>
        <v>0</v>
      </c>
      <c r="D23" s="239">
        <f t="shared" ref="D23" si="18">+C23</f>
        <v>0</v>
      </c>
      <c r="E23" s="239">
        <f>+'Plan de culture 104 '!C19</f>
        <v>0</v>
      </c>
      <c r="F23" s="239">
        <f>+E23+'Plan de culture 104 '!D19+'Plan de culture 104 '!E19</f>
        <v>0</v>
      </c>
      <c r="G23" s="239">
        <f>+F23</f>
        <v>0</v>
      </c>
      <c r="H23" s="239">
        <f t="shared" ref="H23:M23" si="19">+G23</f>
        <v>0</v>
      </c>
      <c r="I23" s="239">
        <f t="shared" si="19"/>
        <v>0</v>
      </c>
      <c r="J23" s="239">
        <f t="shared" si="19"/>
        <v>0</v>
      </c>
      <c r="K23" s="239">
        <f t="shared" si="19"/>
        <v>0</v>
      </c>
      <c r="L23" s="239">
        <f t="shared" si="19"/>
        <v>0</v>
      </c>
      <c r="M23" s="239">
        <f t="shared" si="19"/>
        <v>0</v>
      </c>
      <c r="N23" s="240">
        <f>+'Plan de culture 104 '!$X$31</f>
        <v>0</v>
      </c>
    </row>
    <row r="24" spans="1:14" x14ac:dyDescent="0.35">
      <c r="A24" s="238" t="s">
        <v>411</v>
      </c>
      <c r="B24" s="254">
        <v>0</v>
      </c>
      <c r="C24" s="254">
        <v>0</v>
      </c>
      <c r="D24" s="254">
        <v>0</v>
      </c>
      <c r="E24" s="254">
        <v>0</v>
      </c>
      <c r="F24" s="254">
        <v>0</v>
      </c>
      <c r="G24" s="254">
        <v>0</v>
      </c>
      <c r="H24" s="254">
        <v>0</v>
      </c>
      <c r="I24" s="254">
        <v>0</v>
      </c>
      <c r="J24" s="254">
        <v>0</v>
      </c>
      <c r="K24" s="254">
        <v>0</v>
      </c>
      <c r="L24" s="254">
        <v>0</v>
      </c>
      <c r="M24" s="254">
        <v>0</v>
      </c>
      <c r="N24" s="245" t="e">
        <f>+N22/N23</f>
        <v>#DIV/0!</v>
      </c>
    </row>
    <row r="25" spans="1:14" x14ac:dyDescent="0.35">
      <c r="A25" s="235" t="s">
        <v>378</v>
      </c>
      <c r="B25" s="80">
        <f>(B26*B27)</f>
        <v>0</v>
      </c>
      <c r="C25" s="80">
        <f t="shared" ref="C25:M25" si="20">(C26*C27)</f>
        <v>0</v>
      </c>
      <c r="D25" s="80">
        <f t="shared" si="20"/>
        <v>0</v>
      </c>
      <c r="E25" s="80">
        <f t="shared" si="20"/>
        <v>0</v>
      </c>
      <c r="F25" s="80">
        <f t="shared" si="20"/>
        <v>0</v>
      </c>
      <c r="G25" s="80">
        <f t="shared" si="20"/>
        <v>0</v>
      </c>
      <c r="H25" s="80">
        <f t="shared" si="20"/>
        <v>0</v>
      </c>
      <c r="I25" s="80">
        <f t="shared" si="20"/>
        <v>0</v>
      </c>
      <c r="J25" s="80">
        <f t="shared" si="20"/>
        <v>0</v>
      </c>
      <c r="K25" s="80">
        <f t="shared" si="20"/>
        <v>0</v>
      </c>
      <c r="L25" s="80">
        <f t="shared" si="20"/>
        <v>0</v>
      </c>
      <c r="M25" s="80">
        <f t="shared" si="20"/>
        <v>0</v>
      </c>
      <c r="N25" s="244">
        <f>SUM(B25:M25)</f>
        <v>0</v>
      </c>
    </row>
    <row r="26" spans="1:14" x14ac:dyDescent="0.35">
      <c r="A26" s="238" t="s">
        <v>93</v>
      </c>
      <c r="B26" s="239">
        <f>+'Plan de culture 104 '!$X$37</f>
        <v>0</v>
      </c>
      <c r="C26" s="239">
        <f>+B26</f>
        <v>0</v>
      </c>
      <c r="D26" s="239">
        <f t="shared" ref="D26" si="21">+C26</f>
        <v>0</v>
      </c>
      <c r="E26" s="239">
        <f>+'Plan de culture 104 '!C22</f>
        <v>0</v>
      </c>
      <c r="F26" s="239">
        <f>+E26+'Plan de culture 104 '!D22+'Plan de culture 104 '!E22</f>
        <v>0</v>
      </c>
      <c r="G26" s="239">
        <f>+F26</f>
        <v>0</v>
      </c>
      <c r="H26" s="239">
        <f t="shared" ref="H26:M26" si="22">+G26</f>
        <v>0</v>
      </c>
      <c r="I26" s="239">
        <f t="shared" si="22"/>
        <v>0</v>
      </c>
      <c r="J26" s="239">
        <f t="shared" si="22"/>
        <v>0</v>
      </c>
      <c r="K26" s="239">
        <f t="shared" si="22"/>
        <v>0</v>
      </c>
      <c r="L26" s="239">
        <f t="shared" si="22"/>
        <v>0</v>
      </c>
      <c r="M26" s="239">
        <f t="shared" si="22"/>
        <v>0</v>
      </c>
      <c r="N26" s="240">
        <f>+'Plan de culture 104 '!$X$37</f>
        <v>0</v>
      </c>
    </row>
    <row r="27" spans="1:14" ht="12" thickBot="1" x14ac:dyDescent="0.4">
      <c r="A27" s="238" t="s">
        <v>411</v>
      </c>
      <c r="B27" s="254">
        <v>0</v>
      </c>
      <c r="C27" s="254">
        <v>0</v>
      </c>
      <c r="D27" s="254">
        <v>0</v>
      </c>
      <c r="E27" s="254">
        <v>0</v>
      </c>
      <c r="F27" s="254">
        <v>0</v>
      </c>
      <c r="G27" s="254">
        <v>0</v>
      </c>
      <c r="H27" s="254">
        <v>0</v>
      </c>
      <c r="I27" s="254">
        <v>0</v>
      </c>
      <c r="J27" s="254">
        <v>0</v>
      </c>
      <c r="K27" s="254">
        <v>0</v>
      </c>
      <c r="L27" s="254">
        <v>0</v>
      </c>
      <c r="M27" s="254">
        <v>0</v>
      </c>
      <c r="N27" s="245" t="e">
        <f>+N25/N26</f>
        <v>#DIV/0!</v>
      </c>
    </row>
    <row r="28" spans="1:14" x14ac:dyDescent="0.35">
      <c r="A28" s="233" t="s">
        <v>413</v>
      </c>
      <c r="B28" s="242">
        <f t="shared" ref="B28:M29" si="23">+B31+B34+B37+B40+B43+B46</f>
        <v>0</v>
      </c>
      <c r="C28" s="242">
        <f t="shared" si="23"/>
        <v>0</v>
      </c>
      <c r="D28" s="242">
        <f t="shared" si="23"/>
        <v>0</v>
      </c>
      <c r="E28" s="242">
        <f t="shared" si="23"/>
        <v>0</v>
      </c>
      <c r="F28" s="242">
        <f t="shared" si="23"/>
        <v>0</v>
      </c>
      <c r="G28" s="242">
        <f t="shared" si="23"/>
        <v>0</v>
      </c>
      <c r="H28" s="242">
        <f t="shared" si="23"/>
        <v>0</v>
      </c>
      <c r="I28" s="242">
        <f t="shared" si="23"/>
        <v>0</v>
      </c>
      <c r="J28" s="242">
        <f t="shared" si="23"/>
        <v>0</v>
      </c>
      <c r="K28" s="242">
        <f t="shared" si="23"/>
        <v>0</v>
      </c>
      <c r="L28" s="242">
        <f t="shared" si="23"/>
        <v>0</v>
      </c>
      <c r="M28" s="242">
        <f t="shared" si="23"/>
        <v>0</v>
      </c>
      <c r="N28" s="243">
        <f>SUM(B28:M28)</f>
        <v>0</v>
      </c>
    </row>
    <row r="29" spans="1:14" x14ac:dyDescent="0.35">
      <c r="A29" s="234" t="s">
        <v>93</v>
      </c>
      <c r="B29" s="83">
        <f t="shared" si="23"/>
        <v>5.3950000000000005</v>
      </c>
      <c r="C29" s="81">
        <f t="shared" si="23"/>
        <v>5.3950000000000005</v>
      </c>
      <c r="D29" s="81">
        <f t="shared" si="23"/>
        <v>5.3950000000000005</v>
      </c>
      <c r="E29" s="81">
        <f t="shared" si="23"/>
        <v>5.3950000000000005</v>
      </c>
      <c r="F29" s="81">
        <f t="shared" si="23"/>
        <v>5.3950000000000005</v>
      </c>
      <c r="G29" s="81">
        <f t="shared" si="23"/>
        <v>5.3950000000000005</v>
      </c>
      <c r="H29" s="81">
        <f t="shared" si="23"/>
        <v>5.3950000000000005</v>
      </c>
      <c r="I29" s="81">
        <f t="shared" si="23"/>
        <v>5.3950000000000005</v>
      </c>
      <c r="J29" s="81">
        <f t="shared" si="23"/>
        <v>5.3950000000000005</v>
      </c>
      <c r="K29" s="81">
        <f t="shared" si="23"/>
        <v>5.3950000000000005</v>
      </c>
      <c r="L29" s="81">
        <f t="shared" si="23"/>
        <v>5.3950000000000005</v>
      </c>
      <c r="M29" s="81">
        <f t="shared" si="23"/>
        <v>5.3950000000000005</v>
      </c>
      <c r="N29" s="248">
        <f>+M29</f>
        <v>5.3950000000000005</v>
      </c>
    </row>
    <row r="30" spans="1:14" x14ac:dyDescent="0.35">
      <c r="A30" s="234" t="s">
        <v>411</v>
      </c>
      <c r="B30" s="83">
        <f t="shared" ref="B30:N30" si="24">+B28/B29</f>
        <v>0</v>
      </c>
      <c r="C30" s="83">
        <f t="shared" si="24"/>
        <v>0</v>
      </c>
      <c r="D30" s="83">
        <f t="shared" si="24"/>
        <v>0</v>
      </c>
      <c r="E30" s="83">
        <f t="shared" si="24"/>
        <v>0</v>
      </c>
      <c r="F30" s="83">
        <f t="shared" si="24"/>
        <v>0</v>
      </c>
      <c r="G30" s="83">
        <f t="shared" si="24"/>
        <v>0</v>
      </c>
      <c r="H30" s="83">
        <f t="shared" si="24"/>
        <v>0</v>
      </c>
      <c r="I30" s="83">
        <f t="shared" si="24"/>
        <v>0</v>
      </c>
      <c r="J30" s="83">
        <f t="shared" si="24"/>
        <v>0</v>
      </c>
      <c r="K30" s="83">
        <f t="shared" si="24"/>
        <v>0</v>
      </c>
      <c r="L30" s="83">
        <f t="shared" si="24"/>
        <v>0</v>
      </c>
      <c r="M30" s="83">
        <f t="shared" si="24"/>
        <v>0</v>
      </c>
      <c r="N30" s="249">
        <f t="shared" si="24"/>
        <v>0</v>
      </c>
    </row>
    <row r="31" spans="1:14" x14ac:dyDescent="0.35">
      <c r="A31" s="235" t="s">
        <v>90</v>
      </c>
      <c r="B31" s="80">
        <f>(B32*B33)</f>
        <v>0</v>
      </c>
      <c r="C31" s="80">
        <f t="shared" ref="C31:M31" si="25">(C32*C33)</f>
        <v>0</v>
      </c>
      <c r="D31" s="80">
        <f t="shared" si="25"/>
        <v>0</v>
      </c>
      <c r="E31" s="80">
        <f t="shared" si="25"/>
        <v>0</v>
      </c>
      <c r="F31" s="80">
        <f t="shared" si="25"/>
        <v>0</v>
      </c>
      <c r="G31" s="80">
        <f t="shared" si="25"/>
        <v>0</v>
      </c>
      <c r="H31" s="80">
        <f t="shared" si="25"/>
        <v>0</v>
      </c>
      <c r="I31" s="80">
        <f t="shared" si="25"/>
        <v>0</v>
      </c>
      <c r="J31" s="80">
        <f t="shared" si="25"/>
        <v>0</v>
      </c>
      <c r="K31" s="80">
        <f t="shared" si="25"/>
        <v>0</v>
      </c>
      <c r="L31" s="80">
        <f t="shared" si="25"/>
        <v>0</v>
      </c>
      <c r="M31" s="80">
        <f t="shared" si="25"/>
        <v>0</v>
      </c>
      <c r="N31" s="244">
        <f>SUM(B31:M31)</f>
        <v>0</v>
      </c>
    </row>
    <row r="32" spans="1:14" x14ac:dyDescent="0.35">
      <c r="A32" s="238" t="s">
        <v>93</v>
      </c>
      <c r="B32" s="239">
        <f>+'Plan de culture 105'!$I$7</f>
        <v>0</v>
      </c>
      <c r="C32" s="239">
        <f>+B32</f>
        <v>0</v>
      </c>
      <c r="D32" s="239">
        <f t="shared" ref="D32" si="26">+C32</f>
        <v>0</v>
      </c>
      <c r="E32" s="239">
        <f>+D32</f>
        <v>0</v>
      </c>
      <c r="F32" s="239">
        <f>+E32</f>
        <v>0</v>
      </c>
      <c r="G32" s="239">
        <f>+F32</f>
        <v>0</v>
      </c>
      <c r="H32" s="239">
        <f t="shared" ref="H32:M32" si="27">+G32</f>
        <v>0</v>
      </c>
      <c r="I32" s="239">
        <f t="shared" si="27"/>
        <v>0</v>
      </c>
      <c r="J32" s="239">
        <f t="shared" si="27"/>
        <v>0</v>
      </c>
      <c r="K32" s="239">
        <f t="shared" si="27"/>
        <v>0</v>
      </c>
      <c r="L32" s="239">
        <f t="shared" si="27"/>
        <v>0</v>
      </c>
      <c r="M32" s="239">
        <f t="shared" si="27"/>
        <v>0</v>
      </c>
      <c r="N32" s="240">
        <f>+'Plan de culture 105'!$I$7</f>
        <v>0</v>
      </c>
    </row>
    <row r="33" spans="1:14" x14ac:dyDescent="0.35">
      <c r="A33" s="238" t="s">
        <v>411</v>
      </c>
      <c r="B33" s="254">
        <v>0</v>
      </c>
      <c r="C33" s="254">
        <v>0</v>
      </c>
      <c r="D33" s="254">
        <v>0</v>
      </c>
      <c r="E33" s="254">
        <v>0</v>
      </c>
      <c r="F33" s="254">
        <v>0</v>
      </c>
      <c r="G33" s="254">
        <v>0</v>
      </c>
      <c r="H33" s="254">
        <v>0</v>
      </c>
      <c r="I33" s="254">
        <v>0</v>
      </c>
      <c r="J33" s="254">
        <v>0</v>
      </c>
      <c r="K33" s="254">
        <v>0</v>
      </c>
      <c r="L33" s="254">
        <v>0</v>
      </c>
      <c r="M33" s="254">
        <v>0</v>
      </c>
      <c r="N33" s="245" t="e">
        <f>+N31/N32</f>
        <v>#DIV/0!</v>
      </c>
    </row>
    <row r="34" spans="1:14" x14ac:dyDescent="0.35">
      <c r="A34" s="235" t="s">
        <v>91</v>
      </c>
      <c r="B34" s="80">
        <f>(B35*B36)</f>
        <v>0</v>
      </c>
      <c r="C34" s="80">
        <f t="shared" ref="C34:M34" si="28">(C35*C36)</f>
        <v>0</v>
      </c>
      <c r="D34" s="80">
        <f t="shared" si="28"/>
        <v>0</v>
      </c>
      <c r="E34" s="80">
        <f t="shared" si="28"/>
        <v>0</v>
      </c>
      <c r="F34" s="80">
        <f t="shared" si="28"/>
        <v>0</v>
      </c>
      <c r="G34" s="80">
        <f t="shared" si="28"/>
        <v>0</v>
      </c>
      <c r="H34" s="80">
        <f t="shared" si="28"/>
        <v>0</v>
      </c>
      <c r="I34" s="80">
        <f t="shared" si="28"/>
        <v>0</v>
      </c>
      <c r="J34" s="80">
        <f t="shared" si="28"/>
        <v>0</v>
      </c>
      <c r="K34" s="80">
        <f t="shared" si="28"/>
        <v>0</v>
      </c>
      <c r="L34" s="80">
        <f t="shared" si="28"/>
        <v>0</v>
      </c>
      <c r="M34" s="80">
        <f t="shared" si="28"/>
        <v>0</v>
      </c>
      <c r="N34" s="244">
        <f>SUM(B34:M34)</f>
        <v>0</v>
      </c>
    </row>
    <row r="35" spans="1:14" x14ac:dyDescent="0.35">
      <c r="A35" s="238" t="s">
        <v>93</v>
      </c>
      <c r="B35" s="239">
        <f>+'Plan de culture 105'!$I$13</f>
        <v>5.3950000000000005</v>
      </c>
      <c r="C35" s="239">
        <f>+B35</f>
        <v>5.3950000000000005</v>
      </c>
      <c r="D35" s="239">
        <f t="shared" ref="D35:M35" si="29">+C35</f>
        <v>5.3950000000000005</v>
      </c>
      <c r="E35" s="239">
        <f t="shared" si="29"/>
        <v>5.3950000000000005</v>
      </c>
      <c r="F35" s="239">
        <f t="shared" si="29"/>
        <v>5.3950000000000005</v>
      </c>
      <c r="G35" s="239">
        <f t="shared" si="29"/>
        <v>5.3950000000000005</v>
      </c>
      <c r="H35" s="239">
        <f t="shared" si="29"/>
        <v>5.3950000000000005</v>
      </c>
      <c r="I35" s="239">
        <f t="shared" si="29"/>
        <v>5.3950000000000005</v>
      </c>
      <c r="J35" s="239">
        <f t="shared" si="29"/>
        <v>5.3950000000000005</v>
      </c>
      <c r="K35" s="239">
        <f t="shared" si="29"/>
        <v>5.3950000000000005</v>
      </c>
      <c r="L35" s="239">
        <f t="shared" si="29"/>
        <v>5.3950000000000005</v>
      </c>
      <c r="M35" s="239">
        <f t="shared" si="29"/>
        <v>5.3950000000000005</v>
      </c>
      <c r="N35" s="240">
        <f>+'Plan de culture 105'!$I$13</f>
        <v>5.3950000000000005</v>
      </c>
    </row>
    <row r="36" spans="1:14" x14ac:dyDescent="0.35">
      <c r="A36" s="238" t="s">
        <v>411</v>
      </c>
      <c r="B36" s="254">
        <v>0</v>
      </c>
      <c r="C36" s="254">
        <v>0</v>
      </c>
      <c r="D36" s="254">
        <v>0</v>
      </c>
      <c r="E36" s="254">
        <v>0</v>
      </c>
      <c r="F36" s="254">
        <v>0</v>
      </c>
      <c r="G36" s="254">
        <v>0</v>
      </c>
      <c r="H36" s="254">
        <v>0</v>
      </c>
      <c r="I36" s="254">
        <v>0</v>
      </c>
      <c r="J36" s="254">
        <v>0</v>
      </c>
      <c r="K36" s="254">
        <v>0</v>
      </c>
      <c r="L36" s="254">
        <v>0</v>
      </c>
      <c r="M36" s="254">
        <v>0</v>
      </c>
      <c r="N36" s="245">
        <f>+N34/N35</f>
        <v>0</v>
      </c>
    </row>
    <row r="37" spans="1:14" x14ac:dyDescent="0.35">
      <c r="A37" s="235" t="s">
        <v>376</v>
      </c>
      <c r="B37" s="80">
        <f>(B39*B38)</f>
        <v>0</v>
      </c>
      <c r="C37" s="80">
        <f t="shared" ref="C37:M37" si="30">(C39*C38)</f>
        <v>0</v>
      </c>
      <c r="D37" s="80">
        <f t="shared" si="30"/>
        <v>0</v>
      </c>
      <c r="E37" s="80">
        <f t="shared" si="30"/>
        <v>0</v>
      </c>
      <c r="F37" s="80">
        <f t="shared" si="30"/>
        <v>0</v>
      </c>
      <c r="G37" s="80">
        <f t="shared" si="30"/>
        <v>0</v>
      </c>
      <c r="H37" s="80">
        <f t="shared" si="30"/>
        <v>0</v>
      </c>
      <c r="I37" s="80">
        <f t="shared" si="30"/>
        <v>0</v>
      </c>
      <c r="J37" s="80">
        <f t="shared" si="30"/>
        <v>0</v>
      </c>
      <c r="K37" s="80">
        <f t="shared" si="30"/>
        <v>0</v>
      </c>
      <c r="L37" s="80">
        <f t="shared" si="30"/>
        <v>0</v>
      </c>
      <c r="M37" s="80">
        <f t="shared" si="30"/>
        <v>0</v>
      </c>
      <c r="N37" s="244">
        <f>SUM(B37:M37)</f>
        <v>0</v>
      </c>
    </row>
    <row r="38" spans="1:14" x14ac:dyDescent="0.35">
      <c r="A38" s="238" t="s">
        <v>93</v>
      </c>
      <c r="B38" s="239">
        <f>+'Plan de culture 105'!$I$19</f>
        <v>0</v>
      </c>
      <c r="C38" s="239">
        <f>+B38</f>
        <v>0</v>
      </c>
      <c r="D38" s="239">
        <f t="shared" ref="D38" si="31">+C38</f>
        <v>0</v>
      </c>
      <c r="E38" s="239">
        <f>+'Plan de culture 104 '!C34</f>
        <v>0</v>
      </c>
      <c r="F38" s="239">
        <f>+E38+'Plan de culture 104 '!D34+'Plan de culture 104 '!E34</f>
        <v>0</v>
      </c>
      <c r="G38" s="239">
        <f>+F38</f>
        <v>0</v>
      </c>
      <c r="H38" s="239">
        <f t="shared" ref="H38:M38" si="32">+G38</f>
        <v>0</v>
      </c>
      <c r="I38" s="239">
        <f t="shared" si="32"/>
        <v>0</v>
      </c>
      <c r="J38" s="239">
        <f t="shared" si="32"/>
        <v>0</v>
      </c>
      <c r="K38" s="239">
        <f t="shared" si="32"/>
        <v>0</v>
      </c>
      <c r="L38" s="239">
        <f t="shared" si="32"/>
        <v>0</v>
      </c>
      <c r="M38" s="239">
        <f t="shared" si="32"/>
        <v>0</v>
      </c>
      <c r="N38" s="240">
        <f>+'Plan de culture 105'!$I$19</f>
        <v>0</v>
      </c>
    </row>
    <row r="39" spans="1:14" x14ac:dyDescent="0.35">
      <c r="A39" s="238" t="s">
        <v>411</v>
      </c>
      <c r="B39" s="254">
        <v>0</v>
      </c>
      <c r="C39" s="254">
        <v>0</v>
      </c>
      <c r="D39" s="254">
        <v>0</v>
      </c>
      <c r="E39" s="254">
        <v>0</v>
      </c>
      <c r="F39" s="254">
        <v>0</v>
      </c>
      <c r="G39" s="254">
        <v>0</v>
      </c>
      <c r="H39" s="254">
        <v>0</v>
      </c>
      <c r="I39" s="254">
        <v>0</v>
      </c>
      <c r="J39" s="254">
        <v>0</v>
      </c>
      <c r="K39" s="254">
        <v>0</v>
      </c>
      <c r="L39" s="254">
        <v>0</v>
      </c>
      <c r="M39" s="254">
        <v>0</v>
      </c>
      <c r="N39" s="245" t="e">
        <f>+N37/N38</f>
        <v>#DIV/0!</v>
      </c>
    </row>
    <row r="40" spans="1:14" x14ac:dyDescent="0.35">
      <c r="A40" s="235" t="s">
        <v>92</v>
      </c>
      <c r="B40" s="80">
        <f>(B42*B41)</f>
        <v>0</v>
      </c>
      <c r="C40" s="80">
        <f t="shared" ref="C40:M40" si="33">(C42*C41)</f>
        <v>0</v>
      </c>
      <c r="D40" s="80">
        <f t="shared" si="33"/>
        <v>0</v>
      </c>
      <c r="E40" s="80">
        <f t="shared" si="33"/>
        <v>0</v>
      </c>
      <c r="F40" s="80">
        <f t="shared" si="33"/>
        <v>0</v>
      </c>
      <c r="G40" s="80">
        <f t="shared" si="33"/>
        <v>0</v>
      </c>
      <c r="H40" s="80">
        <f t="shared" si="33"/>
        <v>0</v>
      </c>
      <c r="I40" s="80">
        <f t="shared" si="33"/>
        <v>0</v>
      </c>
      <c r="J40" s="80">
        <f t="shared" si="33"/>
        <v>0</v>
      </c>
      <c r="K40" s="80">
        <f t="shared" si="33"/>
        <v>0</v>
      </c>
      <c r="L40" s="80">
        <f t="shared" si="33"/>
        <v>0</v>
      </c>
      <c r="M40" s="80">
        <f t="shared" si="33"/>
        <v>0</v>
      </c>
      <c r="N40" s="244">
        <f>SUM(B40:M40)</f>
        <v>0</v>
      </c>
    </row>
    <row r="41" spans="1:14" x14ac:dyDescent="0.35">
      <c r="A41" s="238" t="s">
        <v>93</v>
      </c>
      <c r="B41" s="239">
        <f>+'Plan de culture 105'!$I$25</f>
        <v>0</v>
      </c>
      <c r="C41" s="239">
        <f>+B41</f>
        <v>0</v>
      </c>
      <c r="D41" s="239">
        <f t="shared" ref="D41" si="34">+C41</f>
        <v>0</v>
      </c>
      <c r="E41" s="239">
        <f>+'Plan de culture 104 '!C37</f>
        <v>0</v>
      </c>
      <c r="F41" s="239">
        <f>+E41+'Plan de culture 104 '!D37+'Plan de culture 104 '!E37</f>
        <v>0</v>
      </c>
      <c r="G41" s="239">
        <f>+F41</f>
        <v>0</v>
      </c>
      <c r="H41" s="239">
        <f t="shared" ref="H41:M41" si="35">+G41</f>
        <v>0</v>
      </c>
      <c r="I41" s="239">
        <f t="shared" si="35"/>
        <v>0</v>
      </c>
      <c r="J41" s="239">
        <f t="shared" si="35"/>
        <v>0</v>
      </c>
      <c r="K41" s="239">
        <f t="shared" si="35"/>
        <v>0</v>
      </c>
      <c r="L41" s="239">
        <f t="shared" si="35"/>
        <v>0</v>
      </c>
      <c r="M41" s="239">
        <f t="shared" si="35"/>
        <v>0</v>
      </c>
      <c r="N41" s="240">
        <f>+'Plan de culture 105'!$I$25</f>
        <v>0</v>
      </c>
    </row>
    <row r="42" spans="1:14" x14ac:dyDescent="0.35">
      <c r="A42" s="238" t="s">
        <v>411</v>
      </c>
      <c r="B42" s="254">
        <v>0</v>
      </c>
      <c r="C42" s="254">
        <v>0</v>
      </c>
      <c r="D42" s="254">
        <v>0</v>
      </c>
      <c r="E42" s="254">
        <v>0</v>
      </c>
      <c r="F42" s="254">
        <v>0</v>
      </c>
      <c r="G42" s="254">
        <v>0</v>
      </c>
      <c r="H42" s="254">
        <v>0</v>
      </c>
      <c r="I42" s="254">
        <v>0</v>
      </c>
      <c r="J42" s="254">
        <v>0</v>
      </c>
      <c r="K42" s="254">
        <v>0</v>
      </c>
      <c r="L42" s="254">
        <v>0</v>
      </c>
      <c r="M42" s="254">
        <v>0</v>
      </c>
      <c r="N42" s="245" t="e">
        <f>+N40/N41</f>
        <v>#DIV/0!</v>
      </c>
    </row>
    <row r="43" spans="1:14" x14ac:dyDescent="0.35">
      <c r="A43" s="235" t="s">
        <v>377</v>
      </c>
      <c r="B43" s="80">
        <f>(B45*B44)</f>
        <v>0</v>
      </c>
      <c r="C43" s="80">
        <f t="shared" ref="C43:M43" si="36">(C45*C44)</f>
        <v>0</v>
      </c>
      <c r="D43" s="80">
        <f t="shared" si="36"/>
        <v>0</v>
      </c>
      <c r="E43" s="80">
        <f t="shared" si="36"/>
        <v>0</v>
      </c>
      <c r="F43" s="80">
        <f t="shared" si="36"/>
        <v>0</v>
      </c>
      <c r="G43" s="80">
        <f t="shared" si="36"/>
        <v>0</v>
      </c>
      <c r="H43" s="80">
        <f t="shared" si="36"/>
        <v>0</v>
      </c>
      <c r="I43" s="80">
        <f t="shared" si="36"/>
        <v>0</v>
      </c>
      <c r="J43" s="80">
        <f t="shared" si="36"/>
        <v>0</v>
      </c>
      <c r="K43" s="80">
        <f t="shared" si="36"/>
        <v>0</v>
      </c>
      <c r="L43" s="80">
        <f t="shared" si="36"/>
        <v>0</v>
      </c>
      <c r="M43" s="80">
        <f t="shared" si="36"/>
        <v>0</v>
      </c>
      <c r="N43" s="244">
        <f>SUM(B43:M43)</f>
        <v>0</v>
      </c>
    </row>
    <row r="44" spans="1:14" x14ac:dyDescent="0.35">
      <c r="A44" s="238" t="s">
        <v>93</v>
      </c>
      <c r="B44" s="239">
        <f>+'Plan de culture 105'!$I$31</f>
        <v>0</v>
      </c>
      <c r="C44" s="239">
        <f>+B44</f>
        <v>0</v>
      </c>
      <c r="D44" s="239">
        <f t="shared" ref="D44" si="37">+C44</f>
        <v>0</v>
      </c>
      <c r="E44" s="239">
        <f>+'Plan de culture 104 '!C40</f>
        <v>0</v>
      </c>
      <c r="F44" s="239">
        <f>+E44+'Plan de culture 104 '!D40+'Plan de culture 104 '!E40</f>
        <v>0</v>
      </c>
      <c r="G44" s="239">
        <f>+F44</f>
        <v>0</v>
      </c>
      <c r="H44" s="239">
        <f t="shared" ref="H44:M44" si="38">+G44</f>
        <v>0</v>
      </c>
      <c r="I44" s="239">
        <f t="shared" si="38"/>
        <v>0</v>
      </c>
      <c r="J44" s="239">
        <f t="shared" si="38"/>
        <v>0</v>
      </c>
      <c r="K44" s="239">
        <f t="shared" si="38"/>
        <v>0</v>
      </c>
      <c r="L44" s="239">
        <f t="shared" si="38"/>
        <v>0</v>
      </c>
      <c r="M44" s="239">
        <f t="shared" si="38"/>
        <v>0</v>
      </c>
      <c r="N44" s="240">
        <f>+'Plan de culture 105'!$I$31</f>
        <v>0</v>
      </c>
    </row>
    <row r="45" spans="1:14" x14ac:dyDescent="0.35">
      <c r="A45" s="238" t="s">
        <v>411</v>
      </c>
      <c r="B45" s="254">
        <v>0</v>
      </c>
      <c r="C45" s="254">
        <v>0</v>
      </c>
      <c r="D45" s="254">
        <v>0</v>
      </c>
      <c r="E45" s="254">
        <v>0</v>
      </c>
      <c r="F45" s="254">
        <v>0</v>
      </c>
      <c r="G45" s="254">
        <v>0</v>
      </c>
      <c r="H45" s="254">
        <v>0</v>
      </c>
      <c r="I45" s="254">
        <v>0</v>
      </c>
      <c r="J45" s="254">
        <v>0</v>
      </c>
      <c r="K45" s="254">
        <v>0</v>
      </c>
      <c r="L45" s="254">
        <v>0</v>
      </c>
      <c r="M45" s="254">
        <v>0</v>
      </c>
      <c r="N45" s="245" t="e">
        <f>+N43/N44</f>
        <v>#DIV/0!</v>
      </c>
    </row>
    <row r="46" spans="1:14" x14ac:dyDescent="0.35">
      <c r="A46" s="235" t="s">
        <v>378</v>
      </c>
      <c r="B46" s="80">
        <f>(B48*B47)</f>
        <v>0</v>
      </c>
      <c r="C46" s="80">
        <f t="shared" ref="C46:M46" si="39">(C48*C47)</f>
        <v>0</v>
      </c>
      <c r="D46" s="80">
        <f t="shared" si="39"/>
        <v>0</v>
      </c>
      <c r="E46" s="80">
        <f t="shared" si="39"/>
        <v>0</v>
      </c>
      <c r="F46" s="80">
        <f t="shared" si="39"/>
        <v>0</v>
      </c>
      <c r="G46" s="80">
        <f t="shared" si="39"/>
        <v>0</v>
      </c>
      <c r="H46" s="80">
        <f t="shared" si="39"/>
        <v>0</v>
      </c>
      <c r="I46" s="80">
        <f t="shared" si="39"/>
        <v>0</v>
      </c>
      <c r="J46" s="80">
        <f t="shared" si="39"/>
        <v>0</v>
      </c>
      <c r="K46" s="80">
        <f t="shared" si="39"/>
        <v>0</v>
      </c>
      <c r="L46" s="80">
        <f t="shared" si="39"/>
        <v>0</v>
      </c>
      <c r="M46" s="80">
        <f t="shared" si="39"/>
        <v>0</v>
      </c>
      <c r="N46" s="244">
        <f>SUM(B46:M46)</f>
        <v>0</v>
      </c>
    </row>
    <row r="47" spans="1:14" x14ac:dyDescent="0.35">
      <c r="A47" s="238" t="s">
        <v>93</v>
      </c>
      <c r="B47" s="239">
        <f>+'Plan de culture 105'!$I$37</f>
        <v>0</v>
      </c>
      <c r="C47" s="239">
        <f>+B47</f>
        <v>0</v>
      </c>
      <c r="D47" s="239">
        <f t="shared" ref="D47" si="40">+C47</f>
        <v>0</v>
      </c>
      <c r="E47" s="239">
        <f>+'Plan de culture 104 '!C43</f>
        <v>0</v>
      </c>
      <c r="F47" s="239">
        <f>+E47+'Plan de culture 104 '!D43+'Plan de culture 104 '!E43</f>
        <v>0</v>
      </c>
      <c r="G47" s="239">
        <f>+F47</f>
        <v>0</v>
      </c>
      <c r="H47" s="239">
        <f t="shared" ref="H47:M47" si="41">+G47</f>
        <v>0</v>
      </c>
      <c r="I47" s="239">
        <f t="shared" si="41"/>
        <v>0</v>
      </c>
      <c r="J47" s="239">
        <f t="shared" si="41"/>
        <v>0</v>
      </c>
      <c r="K47" s="239">
        <f t="shared" si="41"/>
        <v>0</v>
      </c>
      <c r="L47" s="239">
        <f t="shared" si="41"/>
        <v>0</v>
      </c>
      <c r="M47" s="239">
        <f t="shared" si="41"/>
        <v>0</v>
      </c>
      <c r="N47" s="240">
        <f>+'Plan de culture 105'!$I$37</f>
        <v>0</v>
      </c>
    </row>
    <row r="48" spans="1:14" ht="12" thickBot="1" x14ac:dyDescent="0.4">
      <c r="A48" s="238" t="s">
        <v>411</v>
      </c>
      <c r="B48" s="254">
        <v>0</v>
      </c>
      <c r="C48" s="254">
        <v>0</v>
      </c>
      <c r="D48" s="254">
        <v>0</v>
      </c>
      <c r="E48" s="254">
        <v>0</v>
      </c>
      <c r="F48" s="254">
        <v>0</v>
      </c>
      <c r="G48" s="254">
        <v>0</v>
      </c>
      <c r="H48" s="254">
        <v>0</v>
      </c>
      <c r="I48" s="254">
        <v>0</v>
      </c>
      <c r="J48" s="254">
        <v>0</v>
      </c>
      <c r="K48" s="254">
        <v>0</v>
      </c>
      <c r="L48" s="254">
        <v>0</v>
      </c>
      <c r="M48" s="254">
        <v>0</v>
      </c>
      <c r="N48" s="245" t="e">
        <f>+N46/N47</f>
        <v>#DIV/0!</v>
      </c>
    </row>
    <row r="49" spans="1:14" x14ac:dyDescent="0.35">
      <c r="A49" s="233" t="s">
        <v>414</v>
      </c>
      <c r="B49" s="242">
        <f t="shared" ref="B49:M50" si="42">+B52+B55+B58+B61+B64+B67</f>
        <v>0</v>
      </c>
      <c r="C49" s="242">
        <f t="shared" si="42"/>
        <v>0</v>
      </c>
      <c r="D49" s="242">
        <f t="shared" si="42"/>
        <v>0</v>
      </c>
      <c r="E49" s="242">
        <f t="shared" si="42"/>
        <v>0</v>
      </c>
      <c r="F49" s="242">
        <f t="shared" si="42"/>
        <v>0</v>
      </c>
      <c r="G49" s="242">
        <f t="shared" si="42"/>
        <v>0</v>
      </c>
      <c r="H49" s="242">
        <f t="shared" si="42"/>
        <v>0</v>
      </c>
      <c r="I49" s="242">
        <f t="shared" si="42"/>
        <v>0</v>
      </c>
      <c r="J49" s="242">
        <f t="shared" si="42"/>
        <v>0</v>
      </c>
      <c r="K49" s="242">
        <f t="shared" si="42"/>
        <v>0</v>
      </c>
      <c r="L49" s="242">
        <f t="shared" si="42"/>
        <v>0</v>
      </c>
      <c r="M49" s="242">
        <f t="shared" si="42"/>
        <v>0</v>
      </c>
      <c r="N49" s="243">
        <f>SUM(B49:M49)</f>
        <v>0</v>
      </c>
    </row>
    <row r="50" spans="1:14" x14ac:dyDescent="0.35">
      <c r="A50" s="234" t="s">
        <v>93</v>
      </c>
      <c r="B50" s="83">
        <f t="shared" si="42"/>
        <v>5.5750000000000002</v>
      </c>
      <c r="C50" s="83">
        <f t="shared" si="42"/>
        <v>5.5750000000000002</v>
      </c>
      <c r="D50" s="83">
        <f t="shared" si="42"/>
        <v>5.5750000000000002</v>
      </c>
      <c r="E50" s="83">
        <f t="shared" si="42"/>
        <v>5.5750000000000002</v>
      </c>
      <c r="F50" s="83">
        <f t="shared" si="42"/>
        <v>5.5750000000000002</v>
      </c>
      <c r="G50" s="83">
        <f t="shared" si="42"/>
        <v>5.5750000000000002</v>
      </c>
      <c r="H50" s="83">
        <f t="shared" si="42"/>
        <v>5.5750000000000002</v>
      </c>
      <c r="I50" s="83">
        <f t="shared" si="42"/>
        <v>5.5750000000000002</v>
      </c>
      <c r="J50" s="83">
        <f t="shared" si="42"/>
        <v>5.5750000000000002</v>
      </c>
      <c r="K50" s="83">
        <f t="shared" si="42"/>
        <v>5.5750000000000002</v>
      </c>
      <c r="L50" s="83">
        <f t="shared" si="42"/>
        <v>5.5750000000000002</v>
      </c>
      <c r="M50" s="83">
        <f t="shared" si="42"/>
        <v>5.5750000000000002</v>
      </c>
      <c r="N50" s="248">
        <f>+M50</f>
        <v>5.5750000000000002</v>
      </c>
    </row>
    <row r="51" spans="1:14" x14ac:dyDescent="0.35">
      <c r="A51" s="234" t="s">
        <v>411</v>
      </c>
      <c r="B51" s="83">
        <f t="shared" ref="B51:N51" si="43">+B49/B50</f>
        <v>0</v>
      </c>
      <c r="C51" s="83">
        <f t="shared" si="43"/>
        <v>0</v>
      </c>
      <c r="D51" s="83">
        <f t="shared" si="43"/>
        <v>0</v>
      </c>
      <c r="E51" s="83">
        <f t="shared" si="43"/>
        <v>0</v>
      </c>
      <c r="F51" s="83">
        <f t="shared" si="43"/>
        <v>0</v>
      </c>
      <c r="G51" s="83">
        <f t="shared" si="43"/>
        <v>0</v>
      </c>
      <c r="H51" s="83">
        <f t="shared" si="43"/>
        <v>0</v>
      </c>
      <c r="I51" s="83">
        <f t="shared" si="43"/>
        <v>0</v>
      </c>
      <c r="J51" s="83">
        <f t="shared" si="43"/>
        <v>0</v>
      </c>
      <c r="K51" s="83">
        <f t="shared" si="43"/>
        <v>0</v>
      </c>
      <c r="L51" s="83">
        <f t="shared" si="43"/>
        <v>0</v>
      </c>
      <c r="M51" s="83">
        <f t="shared" si="43"/>
        <v>0</v>
      </c>
      <c r="N51" s="249">
        <f t="shared" si="43"/>
        <v>0</v>
      </c>
    </row>
    <row r="52" spans="1:14" x14ac:dyDescent="0.35">
      <c r="A52" s="235" t="s">
        <v>90</v>
      </c>
      <c r="B52" s="80">
        <f>(B53*B54)</f>
        <v>0</v>
      </c>
      <c r="C52" s="80">
        <f t="shared" ref="C52:M52" si="44">(C53*C54)</f>
        <v>0</v>
      </c>
      <c r="D52" s="80">
        <f t="shared" si="44"/>
        <v>0</v>
      </c>
      <c r="E52" s="80">
        <f t="shared" si="44"/>
        <v>0</v>
      </c>
      <c r="F52" s="80">
        <f t="shared" si="44"/>
        <v>0</v>
      </c>
      <c r="G52" s="80">
        <f t="shared" si="44"/>
        <v>0</v>
      </c>
      <c r="H52" s="80">
        <f t="shared" si="44"/>
        <v>0</v>
      </c>
      <c r="I52" s="80">
        <f t="shared" si="44"/>
        <v>0</v>
      </c>
      <c r="J52" s="80">
        <f t="shared" si="44"/>
        <v>0</v>
      </c>
      <c r="K52" s="80">
        <f t="shared" si="44"/>
        <v>0</v>
      </c>
      <c r="L52" s="80">
        <f t="shared" si="44"/>
        <v>0</v>
      </c>
      <c r="M52" s="80">
        <f t="shared" si="44"/>
        <v>0</v>
      </c>
      <c r="N52" s="244">
        <f>SUM(B52:M52)</f>
        <v>0</v>
      </c>
    </row>
    <row r="53" spans="1:14" x14ac:dyDescent="0.35">
      <c r="A53" s="238" t="s">
        <v>93</v>
      </c>
      <c r="B53" s="239">
        <f>+'Plan de culture 106'!$J$7</f>
        <v>0</v>
      </c>
      <c r="C53" s="239">
        <f>+B53</f>
        <v>0</v>
      </c>
      <c r="D53" s="239">
        <f t="shared" ref="D53" si="45">+C53</f>
        <v>0</v>
      </c>
      <c r="E53" s="239">
        <f>+D53</f>
        <v>0</v>
      </c>
      <c r="F53" s="239">
        <f>+E53</f>
        <v>0</v>
      </c>
      <c r="G53" s="239">
        <f>+F53</f>
        <v>0</v>
      </c>
      <c r="H53" s="239">
        <f t="shared" ref="H53:M53" si="46">+G53</f>
        <v>0</v>
      </c>
      <c r="I53" s="239">
        <f t="shared" si="46"/>
        <v>0</v>
      </c>
      <c r="J53" s="239">
        <f t="shared" si="46"/>
        <v>0</v>
      </c>
      <c r="K53" s="239">
        <f t="shared" si="46"/>
        <v>0</v>
      </c>
      <c r="L53" s="239">
        <f t="shared" si="46"/>
        <v>0</v>
      </c>
      <c r="M53" s="239">
        <f t="shared" si="46"/>
        <v>0</v>
      </c>
      <c r="N53" s="240">
        <f>+'Plan de culture 106'!$J$7</f>
        <v>0</v>
      </c>
    </row>
    <row r="54" spans="1:14" x14ac:dyDescent="0.35">
      <c r="A54" s="238" t="s">
        <v>411</v>
      </c>
      <c r="B54" s="254">
        <v>0</v>
      </c>
      <c r="C54" s="254">
        <v>0</v>
      </c>
      <c r="D54" s="254">
        <v>0</v>
      </c>
      <c r="E54" s="254">
        <v>0</v>
      </c>
      <c r="F54" s="254">
        <v>0</v>
      </c>
      <c r="G54" s="254">
        <v>0</v>
      </c>
      <c r="H54" s="254">
        <v>0</v>
      </c>
      <c r="I54" s="254">
        <v>0</v>
      </c>
      <c r="J54" s="254">
        <v>0</v>
      </c>
      <c r="K54" s="254">
        <v>0</v>
      </c>
      <c r="L54" s="254">
        <v>0</v>
      </c>
      <c r="M54" s="254">
        <v>0</v>
      </c>
      <c r="N54" s="245" t="e">
        <f>+N52/N53</f>
        <v>#DIV/0!</v>
      </c>
    </row>
    <row r="55" spans="1:14" x14ac:dyDescent="0.35">
      <c r="A55" s="235" t="s">
        <v>91</v>
      </c>
      <c r="B55" s="80">
        <f>(B57*B56)</f>
        <v>0</v>
      </c>
      <c r="C55" s="80">
        <f t="shared" ref="C55:M55" si="47">(C57*C56)</f>
        <v>0</v>
      </c>
      <c r="D55" s="80">
        <f t="shared" si="47"/>
        <v>0</v>
      </c>
      <c r="E55" s="80">
        <f t="shared" si="47"/>
        <v>0</v>
      </c>
      <c r="F55" s="80">
        <f t="shared" si="47"/>
        <v>0</v>
      </c>
      <c r="G55" s="80">
        <f t="shared" si="47"/>
        <v>0</v>
      </c>
      <c r="H55" s="80">
        <f t="shared" si="47"/>
        <v>0</v>
      </c>
      <c r="I55" s="80">
        <f t="shared" si="47"/>
        <v>0</v>
      </c>
      <c r="J55" s="80">
        <f t="shared" si="47"/>
        <v>0</v>
      </c>
      <c r="K55" s="80">
        <f t="shared" si="47"/>
        <v>0</v>
      </c>
      <c r="L55" s="80">
        <f t="shared" si="47"/>
        <v>0</v>
      </c>
      <c r="M55" s="80">
        <f t="shared" si="47"/>
        <v>0</v>
      </c>
      <c r="N55" s="244">
        <f>SUM(B55:M55)</f>
        <v>0</v>
      </c>
    </row>
    <row r="56" spans="1:14" x14ac:dyDescent="0.35">
      <c r="A56" s="238" t="s">
        <v>93</v>
      </c>
      <c r="B56" s="239">
        <f>+'Plan de culture 106'!$J$13</f>
        <v>0</v>
      </c>
      <c r="C56" s="239">
        <f>+B56</f>
        <v>0</v>
      </c>
      <c r="D56" s="239">
        <f t="shared" ref="D56:M56" si="48">+C56</f>
        <v>0</v>
      </c>
      <c r="E56" s="239">
        <f t="shared" si="48"/>
        <v>0</v>
      </c>
      <c r="F56" s="239">
        <f t="shared" si="48"/>
        <v>0</v>
      </c>
      <c r="G56" s="239">
        <f t="shared" si="48"/>
        <v>0</v>
      </c>
      <c r="H56" s="239">
        <f t="shared" si="48"/>
        <v>0</v>
      </c>
      <c r="I56" s="239">
        <f t="shared" si="48"/>
        <v>0</v>
      </c>
      <c r="J56" s="239">
        <f t="shared" si="48"/>
        <v>0</v>
      </c>
      <c r="K56" s="239">
        <f t="shared" si="48"/>
        <v>0</v>
      </c>
      <c r="L56" s="239">
        <f t="shared" si="48"/>
        <v>0</v>
      </c>
      <c r="M56" s="239">
        <f t="shared" si="48"/>
        <v>0</v>
      </c>
      <c r="N56" s="240">
        <f>+'Plan de culture 106'!$J$13</f>
        <v>0</v>
      </c>
    </row>
    <row r="57" spans="1:14" x14ac:dyDescent="0.35">
      <c r="A57" s="238" t="s">
        <v>411</v>
      </c>
      <c r="B57" s="254">
        <v>0</v>
      </c>
      <c r="C57" s="254">
        <v>0</v>
      </c>
      <c r="D57" s="254">
        <v>0</v>
      </c>
      <c r="E57" s="254">
        <v>0</v>
      </c>
      <c r="F57" s="254">
        <v>0</v>
      </c>
      <c r="G57" s="254">
        <v>0</v>
      </c>
      <c r="H57" s="254">
        <v>0</v>
      </c>
      <c r="I57" s="254">
        <v>0</v>
      </c>
      <c r="J57" s="254">
        <v>0</v>
      </c>
      <c r="K57" s="254">
        <v>0</v>
      </c>
      <c r="L57" s="254">
        <v>0</v>
      </c>
      <c r="M57" s="254">
        <v>0</v>
      </c>
      <c r="N57" s="245" t="e">
        <f>+N55/N56</f>
        <v>#DIV/0!</v>
      </c>
    </row>
    <row r="58" spans="1:14" x14ac:dyDescent="0.35">
      <c r="A58" s="235" t="s">
        <v>376</v>
      </c>
      <c r="B58" s="80">
        <f>(B60*B59)</f>
        <v>0</v>
      </c>
      <c r="C58" s="80">
        <f t="shared" ref="C58:M58" si="49">(C60*C59)</f>
        <v>0</v>
      </c>
      <c r="D58" s="80">
        <f t="shared" si="49"/>
        <v>0</v>
      </c>
      <c r="E58" s="80">
        <f t="shared" si="49"/>
        <v>0</v>
      </c>
      <c r="F58" s="80">
        <f t="shared" si="49"/>
        <v>0</v>
      </c>
      <c r="G58" s="80">
        <f t="shared" si="49"/>
        <v>0</v>
      </c>
      <c r="H58" s="80">
        <f t="shared" si="49"/>
        <v>0</v>
      </c>
      <c r="I58" s="80">
        <f t="shared" si="49"/>
        <v>0</v>
      </c>
      <c r="J58" s="80">
        <f t="shared" si="49"/>
        <v>0</v>
      </c>
      <c r="K58" s="80">
        <f t="shared" si="49"/>
        <v>0</v>
      </c>
      <c r="L58" s="80">
        <f t="shared" si="49"/>
        <v>0</v>
      </c>
      <c r="M58" s="80">
        <f t="shared" si="49"/>
        <v>0</v>
      </c>
      <c r="N58" s="244">
        <f>SUM(B58:M58)</f>
        <v>0</v>
      </c>
    </row>
    <row r="59" spans="1:14" x14ac:dyDescent="0.35">
      <c r="A59" s="238" t="s">
        <v>93</v>
      </c>
      <c r="B59" s="239">
        <f>+'Plan de culture 106'!$J$19</f>
        <v>5.5750000000000002</v>
      </c>
      <c r="C59" s="239">
        <f>+B59</f>
        <v>5.5750000000000002</v>
      </c>
      <c r="D59" s="239">
        <f t="shared" ref="D59:M59" si="50">+C59</f>
        <v>5.5750000000000002</v>
      </c>
      <c r="E59" s="239">
        <f t="shared" si="50"/>
        <v>5.5750000000000002</v>
      </c>
      <c r="F59" s="239">
        <f t="shared" si="50"/>
        <v>5.5750000000000002</v>
      </c>
      <c r="G59" s="239">
        <f t="shared" si="50"/>
        <v>5.5750000000000002</v>
      </c>
      <c r="H59" s="239">
        <f t="shared" si="50"/>
        <v>5.5750000000000002</v>
      </c>
      <c r="I59" s="239">
        <f t="shared" si="50"/>
        <v>5.5750000000000002</v>
      </c>
      <c r="J59" s="239">
        <f t="shared" si="50"/>
        <v>5.5750000000000002</v>
      </c>
      <c r="K59" s="239">
        <f t="shared" si="50"/>
        <v>5.5750000000000002</v>
      </c>
      <c r="L59" s="239">
        <f t="shared" si="50"/>
        <v>5.5750000000000002</v>
      </c>
      <c r="M59" s="239">
        <f t="shared" si="50"/>
        <v>5.5750000000000002</v>
      </c>
      <c r="N59" s="240">
        <f>+'Plan de culture 106'!$J$19</f>
        <v>5.5750000000000002</v>
      </c>
    </row>
    <row r="60" spans="1:14" x14ac:dyDescent="0.35">
      <c r="A60" s="238" t="s">
        <v>411</v>
      </c>
      <c r="B60" s="254">
        <v>0</v>
      </c>
      <c r="C60" s="254">
        <v>0</v>
      </c>
      <c r="D60" s="254">
        <v>0</v>
      </c>
      <c r="E60" s="254">
        <v>0</v>
      </c>
      <c r="F60" s="254">
        <v>0</v>
      </c>
      <c r="G60" s="254">
        <v>0</v>
      </c>
      <c r="H60" s="254">
        <v>0</v>
      </c>
      <c r="I60" s="254">
        <v>0</v>
      </c>
      <c r="J60" s="254">
        <v>0</v>
      </c>
      <c r="K60" s="254">
        <v>0</v>
      </c>
      <c r="L60" s="254">
        <v>0</v>
      </c>
      <c r="M60" s="254">
        <v>0</v>
      </c>
      <c r="N60" s="245">
        <f>+N58/N59</f>
        <v>0</v>
      </c>
    </row>
    <row r="61" spans="1:14" x14ac:dyDescent="0.35">
      <c r="A61" s="235" t="s">
        <v>92</v>
      </c>
      <c r="B61" s="80">
        <f>(B63*B62)</f>
        <v>0</v>
      </c>
      <c r="C61" s="80">
        <f t="shared" ref="C61:M61" si="51">(C63*C62)</f>
        <v>0</v>
      </c>
      <c r="D61" s="80">
        <f t="shared" si="51"/>
        <v>0</v>
      </c>
      <c r="E61" s="80">
        <f t="shared" si="51"/>
        <v>0</v>
      </c>
      <c r="F61" s="80">
        <f t="shared" si="51"/>
        <v>0</v>
      </c>
      <c r="G61" s="80">
        <f t="shared" si="51"/>
        <v>0</v>
      </c>
      <c r="H61" s="80">
        <f t="shared" si="51"/>
        <v>0</v>
      </c>
      <c r="I61" s="80">
        <f t="shared" si="51"/>
        <v>0</v>
      </c>
      <c r="J61" s="80">
        <f t="shared" si="51"/>
        <v>0</v>
      </c>
      <c r="K61" s="80">
        <f t="shared" si="51"/>
        <v>0</v>
      </c>
      <c r="L61" s="80">
        <f t="shared" si="51"/>
        <v>0</v>
      </c>
      <c r="M61" s="80">
        <f t="shared" si="51"/>
        <v>0</v>
      </c>
      <c r="N61" s="244">
        <f>SUM(B61:M61)</f>
        <v>0</v>
      </c>
    </row>
    <row r="62" spans="1:14" x14ac:dyDescent="0.35">
      <c r="A62" s="238" t="s">
        <v>93</v>
      </c>
      <c r="B62" s="239">
        <f>+'Plan de culture 106'!$J$25</f>
        <v>0</v>
      </c>
      <c r="C62" s="239">
        <f>+B62</f>
        <v>0</v>
      </c>
      <c r="D62" s="239">
        <f t="shared" ref="D62" si="52">+C62</f>
        <v>0</v>
      </c>
      <c r="E62" s="239">
        <f>+'Plan de culture 104 '!C58</f>
        <v>0</v>
      </c>
      <c r="F62" s="239">
        <f>+E62+'Plan de culture 104 '!D58+'Plan de culture 104 '!E58</f>
        <v>0</v>
      </c>
      <c r="G62" s="239">
        <f>+F62</f>
        <v>0</v>
      </c>
      <c r="H62" s="239">
        <f t="shared" ref="H62:M62" si="53">+G62</f>
        <v>0</v>
      </c>
      <c r="I62" s="239">
        <f t="shared" si="53"/>
        <v>0</v>
      </c>
      <c r="J62" s="239">
        <f t="shared" si="53"/>
        <v>0</v>
      </c>
      <c r="K62" s="239">
        <f t="shared" si="53"/>
        <v>0</v>
      </c>
      <c r="L62" s="239">
        <f t="shared" si="53"/>
        <v>0</v>
      </c>
      <c r="M62" s="239">
        <f t="shared" si="53"/>
        <v>0</v>
      </c>
      <c r="N62" s="240">
        <f>+'Plan de culture 106'!$J$25</f>
        <v>0</v>
      </c>
    </row>
    <row r="63" spans="1:14" x14ac:dyDescent="0.35">
      <c r="A63" s="238" t="s">
        <v>411</v>
      </c>
      <c r="B63" s="254">
        <v>0</v>
      </c>
      <c r="C63" s="254">
        <v>0</v>
      </c>
      <c r="D63" s="254">
        <v>0</v>
      </c>
      <c r="E63" s="254">
        <v>0</v>
      </c>
      <c r="F63" s="254">
        <v>0</v>
      </c>
      <c r="G63" s="254">
        <v>0</v>
      </c>
      <c r="H63" s="254">
        <v>0</v>
      </c>
      <c r="I63" s="254">
        <v>0</v>
      </c>
      <c r="J63" s="254">
        <v>0</v>
      </c>
      <c r="K63" s="254">
        <v>0</v>
      </c>
      <c r="L63" s="254">
        <v>0</v>
      </c>
      <c r="M63" s="254">
        <v>0</v>
      </c>
      <c r="N63" s="245" t="e">
        <f>+N61/N62</f>
        <v>#DIV/0!</v>
      </c>
    </row>
    <row r="64" spans="1:14" x14ac:dyDescent="0.35">
      <c r="A64" s="235" t="s">
        <v>377</v>
      </c>
      <c r="B64" s="80">
        <f>(B66*B65)</f>
        <v>0</v>
      </c>
      <c r="C64" s="80">
        <f t="shared" ref="C64:M64" si="54">(C66*C65)</f>
        <v>0</v>
      </c>
      <c r="D64" s="80">
        <f t="shared" si="54"/>
        <v>0</v>
      </c>
      <c r="E64" s="80">
        <f t="shared" si="54"/>
        <v>0</v>
      </c>
      <c r="F64" s="80">
        <f t="shared" si="54"/>
        <v>0</v>
      </c>
      <c r="G64" s="80">
        <f t="shared" si="54"/>
        <v>0</v>
      </c>
      <c r="H64" s="80">
        <f t="shared" si="54"/>
        <v>0</v>
      </c>
      <c r="I64" s="80">
        <f t="shared" si="54"/>
        <v>0</v>
      </c>
      <c r="J64" s="80">
        <f t="shared" si="54"/>
        <v>0</v>
      </c>
      <c r="K64" s="80">
        <f t="shared" si="54"/>
        <v>0</v>
      </c>
      <c r="L64" s="80">
        <f t="shared" si="54"/>
        <v>0</v>
      </c>
      <c r="M64" s="80">
        <f t="shared" si="54"/>
        <v>0</v>
      </c>
      <c r="N64" s="244">
        <f>SUM(B64:M64)</f>
        <v>0</v>
      </c>
    </row>
    <row r="65" spans="1:14" x14ac:dyDescent="0.35">
      <c r="A65" s="238" t="s">
        <v>93</v>
      </c>
      <c r="B65" s="239">
        <f>+'Plan de culture 106'!$J$31</f>
        <v>0</v>
      </c>
      <c r="C65" s="239">
        <f>+B65</f>
        <v>0</v>
      </c>
      <c r="D65" s="239">
        <f t="shared" ref="D65" si="55">+C65</f>
        <v>0</v>
      </c>
      <c r="E65" s="239">
        <f>+'Plan de culture 104 '!C61</f>
        <v>0</v>
      </c>
      <c r="F65" s="239">
        <f>+E65+'Plan de culture 104 '!D61+'Plan de culture 104 '!E61</f>
        <v>0</v>
      </c>
      <c r="G65" s="239">
        <f>+F65</f>
        <v>0</v>
      </c>
      <c r="H65" s="239">
        <f t="shared" ref="H65:M65" si="56">+G65</f>
        <v>0</v>
      </c>
      <c r="I65" s="239">
        <f t="shared" si="56"/>
        <v>0</v>
      </c>
      <c r="J65" s="239">
        <f t="shared" si="56"/>
        <v>0</v>
      </c>
      <c r="K65" s="239">
        <f t="shared" si="56"/>
        <v>0</v>
      </c>
      <c r="L65" s="239">
        <f t="shared" si="56"/>
        <v>0</v>
      </c>
      <c r="M65" s="239">
        <f t="shared" si="56"/>
        <v>0</v>
      </c>
      <c r="N65" s="240">
        <f>+'Plan de culture 106'!$J$31</f>
        <v>0</v>
      </c>
    </row>
    <row r="66" spans="1:14" x14ac:dyDescent="0.35">
      <c r="A66" s="238" t="s">
        <v>411</v>
      </c>
      <c r="B66" s="254">
        <v>0</v>
      </c>
      <c r="C66" s="254">
        <v>0</v>
      </c>
      <c r="D66" s="254">
        <v>0</v>
      </c>
      <c r="E66" s="254">
        <v>0</v>
      </c>
      <c r="F66" s="254">
        <v>0</v>
      </c>
      <c r="G66" s="254">
        <v>0</v>
      </c>
      <c r="H66" s="254">
        <v>0</v>
      </c>
      <c r="I66" s="254">
        <v>0</v>
      </c>
      <c r="J66" s="254">
        <v>0</v>
      </c>
      <c r="K66" s="254">
        <v>0</v>
      </c>
      <c r="L66" s="254">
        <v>0</v>
      </c>
      <c r="M66" s="254">
        <v>0</v>
      </c>
      <c r="N66" s="245" t="e">
        <f>+N64/N65</f>
        <v>#DIV/0!</v>
      </c>
    </row>
    <row r="67" spans="1:14" x14ac:dyDescent="0.35">
      <c r="A67" s="235" t="s">
        <v>378</v>
      </c>
      <c r="B67" s="80">
        <f>(B69*B68)</f>
        <v>0</v>
      </c>
      <c r="C67" s="80">
        <f t="shared" ref="C67:M67" si="57">(C69*C68)</f>
        <v>0</v>
      </c>
      <c r="D67" s="80">
        <f t="shared" si="57"/>
        <v>0</v>
      </c>
      <c r="E67" s="80">
        <f t="shared" si="57"/>
        <v>0</v>
      </c>
      <c r="F67" s="80">
        <f t="shared" si="57"/>
        <v>0</v>
      </c>
      <c r="G67" s="80">
        <f t="shared" si="57"/>
        <v>0</v>
      </c>
      <c r="H67" s="80">
        <f t="shared" si="57"/>
        <v>0</v>
      </c>
      <c r="I67" s="80">
        <f t="shared" si="57"/>
        <v>0</v>
      </c>
      <c r="J67" s="80">
        <f t="shared" si="57"/>
        <v>0</v>
      </c>
      <c r="K67" s="80">
        <f t="shared" si="57"/>
        <v>0</v>
      </c>
      <c r="L67" s="80">
        <f t="shared" si="57"/>
        <v>0</v>
      </c>
      <c r="M67" s="80">
        <f t="shared" si="57"/>
        <v>0</v>
      </c>
      <c r="N67" s="244">
        <f>SUM(B67:M67)</f>
        <v>0</v>
      </c>
    </row>
    <row r="68" spans="1:14" x14ac:dyDescent="0.35">
      <c r="A68" s="238" t="s">
        <v>93</v>
      </c>
      <c r="B68" s="239">
        <f>+'Plan de culture 106'!$J$37</f>
        <v>0</v>
      </c>
      <c r="C68" s="239">
        <f>+B68</f>
        <v>0</v>
      </c>
      <c r="D68" s="239">
        <f t="shared" ref="D68" si="58">+C68</f>
        <v>0</v>
      </c>
      <c r="E68" s="239">
        <f>+'Plan de culture 104 '!C64</f>
        <v>0</v>
      </c>
      <c r="F68" s="239">
        <f>+E68+'Plan de culture 104 '!D64+'Plan de culture 104 '!E64</f>
        <v>0</v>
      </c>
      <c r="G68" s="239">
        <f>+F68</f>
        <v>0</v>
      </c>
      <c r="H68" s="239">
        <f t="shared" ref="H68:M68" si="59">+G68</f>
        <v>0</v>
      </c>
      <c r="I68" s="239">
        <f t="shared" si="59"/>
        <v>0</v>
      </c>
      <c r="J68" s="239">
        <f t="shared" si="59"/>
        <v>0</v>
      </c>
      <c r="K68" s="239">
        <f t="shared" si="59"/>
        <v>0</v>
      </c>
      <c r="L68" s="239">
        <f t="shared" si="59"/>
        <v>0</v>
      </c>
      <c r="M68" s="239">
        <f t="shared" si="59"/>
        <v>0</v>
      </c>
      <c r="N68" s="240">
        <f>+'Plan de culture 106'!$J$37</f>
        <v>0</v>
      </c>
    </row>
    <row r="69" spans="1:14" ht="12" thickBot="1" x14ac:dyDescent="0.4">
      <c r="A69" s="238" t="s">
        <v>411</v>
      </c>
      <c r="B69" s="254">
        <v>0</v>
      </c>
      <c r="C69" s="254">
        <v>0</v>
      </c>
      <c r="D69" s="254">
        <v>0</v>
      </c>
      <c r="E69" s="254">
        <v>0</v>
      </c>
      <c r="F69" s="254">
        <v>0</v>
      </c>
      <c r="G69" s="254">
        <v>0</v>
      </c>
      <c r="H69" s="254">
        <v>0</v>
      </c>
      <c r="I69" s="254">
        <v>0</v>
      </c>
      <c r="J69" s="254">
        <v>0</v>
      </c>
      <c r="K69" s="254">
        <v>0</v>
      </c>
      <c r="L69" s="254">
        <v>0</v>
      </c>
      <c r="M69" s="254">
        <v>0</v>
      </c>
      <c r="N69" s="245" t="e">
        <f>+N67/N68</f>
        <v>#DIV/0!</v>
      </c>
    </row>
    <row r="70" spans="1:14" x14ac:dyDescent="0.35">
      <c r="A70" s="233" t="s">
        <v>415</v>
      </c>
      <c r="B70" s="242">
        <f t="shared" ref="B70:M71" si="60">+B73+B76+B79+B82+B85+B88</f>
        <v>0</v>
      </c>
      <c r="C70" s="242">
        <f t="shared" si="60"/>
        <v>0</v>
      </c>
      <c r="D70" s="242">
        <f t="shared" si="60"/>
        <v>0</v>
      </c>
      <c r="E70" s="242">
        <f t="shared" si="60"/>
        <v>0</v>
      </c>
      <c r="F70" s="242">
        <f t="shared" si="60"/>
        <v>0</v>
      </c>
      <c r="G70" s="242">
        <f t="shared" si="60"/>
        <v>0</v>
      </c>
      <c r="H70" s="242">
        <f t="shared" si="60"/>
        <v>0</v>
      </c>
      <c r="I70" s="242">
        <f t="shared" si="60"/>
        <v>0</v>
      </c>
      <c r="J70" s="242">
        <f t="shared" si="60"/>
        <v>0</v>
      </c>
      <c r="K70" s="242">
        <f t="shared" si="60"/>
        <v>0</v>
      </c>
      <c r="L70" s="242">
        <f t="shared" si="60"/>
        <v>0</v>
      </c>
      <c r="M70" s="242">
        <f t="shared" si="60"/>
        <v>0</v>
      </c>
      <c r="N70" s="243">
        <f>SUM(B70:M70)</f>
        <v>0</v>
      </c>
    </row>
    <row r="71" spans="1:14" x14ac:dyDescent="0.35">
      <c r="A71" s="234" t="s">
        <v>93</v>
      </c>
      <c r="B71" s="83">
        <f t="shared" si="60"/>
        <v>16.558</v>
      </c>
      <c r="C71" s="83">
        <f t="shared" si="60"/>
        <v>16.558</v>
      </c>
      <c r="D71" s="83">
        <f t="shared" si="60"/>
        <v>16.558</v>
      </c>
      <c r="E71" s="83">
        <f t="shared" si="60"/>
        <v>16.558</v>
      </c>
      <c r="F71" s="83">
        <f t="shared" si="60"/>
        <v>16.558</v>
      </c>
      <c r="G71" s="83">
        <f t="shared" si="60"/>
        <v>16.558</v>
      </c>
      <c r="H71" s="83">
        <f t="shared" si="60"/>
        <v>16.558</v>
      </c>
      <c r="I71" s="83">
        <f t="shared" si="60"/>
        <v>16.558</v>
      </c>
      <c r="J71" s="83">
        <f t="shared" si="60"/>
        <v>16.558</v>
      </c>
      <c r="K71" s="83">
        <f t="shared" si="60"/>
        <v>16.558</v>
      </c>
      <c r="L71" s="83">
        <f t="shared" si="60"/>
        <v>16.558</v>
      </c>
      <c r="M71" s="83">
        <f t="shared" si="60"/>
        <v>16.558</v>
      </c>
      <c r="N71" s="248">
        <f>+M71</f>
        <v>16.558</v>
      </c>
    </row>
    <row r="72" spans="1:14" x14ac:dyDescent="0.35">
      <c r="A72" s="234" t="s">
        <v>411</v>
      </c>
      <c r="B72" s="83">
        <f t="shared" ref="B72:N72" si="61">+B70/B71</f>
        <v>0</v>
      </c>
      <c r="C72" s="83">
        <f t="shared" si="61"/>
        <v>0</v>
      </c>
      <c r="D72" s="83">
        <f t="shared" si="61"/>
        <v>0</v>
      </c>
      <c r="E72" s="83">
        <f t="shared" si="61"/>
        <v>0</v>
      </c>
      <c r="F72" s="83">
        <f t="shared" si="61"/>
        <v>0</v>
      </c>
      <c r="G72" s="83">
        <f t="shared" si="61"/>
        <v>0</v>
      </c>
      <c r="H72" s="83">
        <f t="shared" si="61"/>
        <v>0</v>
      </c>
      <c r="I72" s="83">
        <f t="shared" si="61"/>
        <v>0</v>
      </c>
      <c r="J72" s="83">
        <f t="shared" si="61"/>
        <v>0</v>
      </c>
      <c r="K72" s="83">
        <f t="shared" si="61"/>
        <v>0</v>
      </c>
      <c r="L72" s="83">
        <f t="shared" si="61"/>
        <v>0</v>
      </c>
      <c r="M72" s="83">
        <f t="shared" si="61"/>
        <v>0</v>
      </c>
      <c r="N72" s="249">
        <f t="shared" si="61"/>
        <v>0</v>
      </c>
    </row>
    <row r="73" spans="1:14" x14ac:dyDescent="0.35">
      <c r="A73" s="235" t="s">
        <v>90</v>
      </c>
      <c r="B73" s="80">
        <f>(B74*B75)</f>
        <v>0</v>
      </c>
      <c r="C73" s="80">
        <f t="shared" ref="C73:M73" si="62">(C74*C75)</f>
        <v>0</v>
      </c>
      <c r="D73" s="80">
        <f t="shared" si="62"/>
        <v>0</v>
      </c>
      <c r="E73" s="80">
        <f t="shared" si="62"/>
        <v>0</v>
      </c>
      <c r="F73" s="80">
        <f t="shared" si="62"/>
        <v>0</v>
      </c>
      <c r="G73" s="80">
        <f t="shared" si="62"/>
        <v>0</v>
      </c>
      <c r="H73" s="80">
        <f t="shared" si="62"/>
        <v>0</v>
      </c>
      <c r="I73" s="80">
        <f t="shared" si="62"/>
        <v>0</v>
      </c>
      <c r="J73" s="80">
        <f t="shared" si="62"/>
        <v>0</v>
      </c>
      <c r="K73" s="80">
        <f t="shared" si="62"/>
        <v>0</v>
      </c>
      <c r="L73" s="80">
        <f t="shared" si="62"/>
        <v>0</v>
      </c>
      <c r="M73" s="80">
        <f t="shared" si="62"/>
        <v>0</v>
      </c>
      <c r="N73" s="244">
        <f>SUM(B73:M73)</f>
        <v>0</v>
      </c>
    </row>
    <row r="74" spans="1:14" x14ac:dyDescent="0.35">
      <c r="A74" s="238" t="s">
        <v>93</v>
      </c>
      <c r="B74" s="239">
        <f>+'Plan de culture 107'!$Z$7</f>
        <v>0</v>
      </c>
      <c r="C74" s="239">
        <f>+B74</f>
        <v>0</v>
      </c>
      <c r="D74" s="239">
        <f t="shared" ref="D74" si="63">+C74</f>
        <v>0</v>
      </c>
      <c r="E74" s="239">
        <f>+D74</f>
        <v>0</v>
      </c>
      <c r="F74" s="239">
        <f>+E74</f>
        <v>0</v>
      </c>
      <c r="G74" s="239">
        <f>+F74</f>
        <v>0</v>
      </c>
      <c r="H74" s="239">
        <f t="shared" ref="H74:M74" si="64">+G74</f>
        <v>0</v>
      </c>
      <c r="I74" s="239">
        <f t="shared" si="64"/>
        <v>0</v>
      </c>
      <c r="J74" s="239">
        <f t="shared" si="64"/>
        <v>0</v>
      </c>
      <c r="K74" s="239">
        <f t="shared" si="64"/>
        <v>0</v>
      </c>
      <c r="L74" s="239">
        <f t="shared" si="64"/>
        <v>0</v>
      </c>
      <c r="M74" s="239">
        <f t="shared" si="64"/>
        <v>0</v>
      </c>
      <c r="N74" s="240">
        <f>+'Plan de culture 107'!$Z$7</f>
        <v>0</v>
      </c>
    </row>
    <row r="75" spans="1:14" x14ac:dyDescent="0.35">
      <c r="A75" s="238" t="s">
        <v>411</v>
      </c>
      <c r="B75" s="254">
        <v>0</v>
      </c>
      <c r="C75" s="254">
        <v>0</v>
      </c>
      <c r="D75" s="254">
        <v>0</v>
      </c>
      <c r="E75" s="254">
        <v>0</v>
      </c>
      <c r="F75" s="254">
        <v>0</v>
      </c>
      <c r="G75" s="254">
        <v>0</v>
      </c>
      <c r="H75" s="254">
        <v>0</v>
      </c>
      <c r="I75" s="254">
        <v>0</v>
      </c>
      <c r="J75" s="254">
        <v>0</v>
      </c>
      <c r="K75" s="254">
        <v>0</v>
      </c>
      <c r="L75" s="254">
        <v>0</v>
      </c>
      <c r="M75" s="254">
        <v>0</v>
      </c>
      <c r="N75" s="245" t="e">
        <f>+N73/N74</f>
        <v>#DIV/0!</v>
      </c>
    </row>
    <row r="76" spans="1:14" x14ac:dyDescent="0.35">
      <c r="A76" s="235" t="s">
        <v>91</v>
      </c>
      <c r="B76" s="80">
        <f>(B78*B77)</f>
        <v>0</v>
      </c>
      <c r="C76" s="80">
        <f t="shared" ref="C76:M76" si="65">(C78*C77)</f>
        <v>0</v>
      </c>
      <c r="D76" s="80">
        <f t="shared" si="65"/>
        <v>0</v>
      </c>
      <c r="E76" s="80">
        <f t="shared" si="65"/>
        <v>0</v>
      </c>
      <c r="F76" s="80">
        <f t="shared" si="65"/>
        <v>0</v>
      </c>
      <c r="G76" s="80">
        <f t="shared" si="65"/>
        <v>0</v>
      </c>
      <c r="H76" s="80">
        <f t="shared" si="65"/>
        <v>0</v>
      </c>
      <c r="I76" s="80">
        <f t="shared" si="65"/>
        <v>0</v>
      </c>
      <c r="J76" s="80">
        <f t="shared" si="65"/>
        <v>0</v>
      </c>
      <c r="K76" s="80">
        <f t="shared" si="65"/>
        <v>0</v>
      </c>
      <c r="L76" s="80">
        <f t="shared" si="65"/>
        <v>0</v>
      </c>
      <c r="M76" s="80">
        <f t="shared" si="65"/>
        <v>0</v>
      </c>
      <c r="N76" s="244">
        <f>SUM(B76:M76)</f>
        <v>0</v>
      </c>
    </row>
    <row r="77" spans="1:14" x14ac:dyDescent="0.35">
      <c r="A77" s="238" t="s">
        <v>93</v>
      </c>
      <c r="B77" s="239">
        <f>+'Plan de culture 107'!$Z$13</f>
        <v>0</v>
      </c>
      <c r="C77" s="239">
        <f>+B77</f>
        <v>0</v>
      </c>
      <c r="D77" s="239">
        <f t="shared" ref="D77:M77" si="66">+C77</f>
        <v>0</v>
      </c>
      <c r="E77" s="239">
        <f t="shared" si="66"/>
        <v>0</v>
      </c>
      <c r="F77" s="239">
        <f t="shared" si="66"/>
        <v>0</v>
      </c>
      <c r="G77" s="239">
        <f t="shared" si="66"/>
        <v>0</v>
      </c>
      <c r="H77" s="239">
        <f t="shared" si="66"/>
        <v>0</v>
      </c>
      <c r="I77" s="239">
        <f t="shared" si="66"/>
        <v>0</v>
      </c>
      <c r="J77" s="239">
        <f t="shared" si="66"/>
        <v>0</v>
      </c>
      <c r="K77" s="239">
        <f t="shared" si="66"/>
        <v>0</v>
      </c>
      <c r="L77" s="239">
        <f t="shared" si="66"/>
        <v>0</v>
      </c>
      <c r="M77" s="239">
        <f t="shared" si="66"/>
        <v>0</v>
      </c>
      <c r="N77" s="240">
        <f>+'Plan de culture 107'!$Z$13</f>
        <v>0</v>
      </c>
    </row>
    <row r="78" spans="1:14" x14ac:dyDescent="0.35">
      <c r="A78" s="238" t="s">
        <v>411</v>
      </c>
      <c r="B78" s="254">
        <v>0</v>
      </c>
      <c r="C78" s="254">
        <v>0</v>
      </c>
      <c r="D78" s="254">
        <v>0</v>
      </c>
      <c r="E78" s="254">
        <v>0</v>
      </c>
      <c r="F78" s="254">
        <v>0</v>
      </c>
      <c r="G78" s="254">
        <v>0</v>
      </c>
      <c r="H78" s="254">
        <v>0</v>
      </c>
      <c r="I78" s="254">
        <v>0</v>
      </c>
      <c r="J78" s="254">
        <v>0</v>
      </c>
      <c r="K78" s="254">
        <v>0</v>
      </c>
      <c r="L78" s="254">
        <v>0</v>
      </c>
      <c r="M78" s="254">
        <v>0</v>
      </c>
      <c r="N78" s="245" t="e">
        <f>+N76/N77</f>
        <v>#DIV/0!</v>
      </c>
    </row>
    <row r="79" spans="1:14" x14ac:dyDescent="0.35">
      <c r="A79" s="235" t="s">
        <v>376</v>
      </c>
      <c r="B79" s="80">
        <f>(B81*B80)</f>
        <v>0</v>
      </c>
      <c r="C79" s="80">
        <f t="shared" ref="C79:M79" si="67">(C81*C80)</f>
        <v>0</v>
      </c>
      <c r="D79" s="80">
        <f t="shared" si="67"/>
        <v>0</v>
      </c>
      <c r="E79" s="80">
        <f t="shared" si="67"/>
        <v>0</v>
      </c>
      <c r="F79" s="80">
        <f t="shared" si="67"/>
        <v>0</v>
      </c>
      <c r="G79" s="80">
        <f t="shared" si="67"/>
        <v>0</v>
      </c>
      <c r="H79" s="80">
        <f t="shared" si="67"/>
        <v>0</v>
      </c>
      <c r="I79" s="80">
        <f t="shared" si="67"/>
        <v>0</v>
      </c>
      <c r="J79" s="80">
        <f t="shared" si="67"/>
        <v>0</v>
      </c>
      <c r="K79" s="80">
        <f t="shared" si="67"/>
        <v>0</v>
      </c>
      <c r="L79" s="80">
        <f t="shared" si="67"/>
        <v>0</v>
      </c>
      <c r="M79" s="80">
        <f t="shared" si="67"/>
        <v>0</v>
      </c>
      <c r="N79" s="244">
        <f>SUM(B79:M79)</f>
        <v>0</v>
      </c>
    </row>
    <row r="80" spans="1:14" x14ac:dyDescent="0.35">
      <c r="A80" s="238" t="s">
        <v>93</v>
      </c>
      <c r="B80" s="239">
        <f>+'Plan de culture 107'!$Z$19</f>
        <v>0</v>
      </c>
      <c r="C80" s="239">
        <f>+B80</f>
        <v>0</v>
      </c>
      <c r="D80" s="239">
        <f t="shared" ref="D80" si="68">+C80</f>
        <v>0</v>
      </c>
      <c r="E80" s="239">
        <f>+'Plan de culture 104 '!C76</f>
        <v>0</v>
      </c>
      <c r="F80" s="239">
        <f>+E80+'Plan de culture 104 '!D76+'Plan de culture 104 '!E76</f>
        <v>0</v>
      </c>
      <c r="G80" s="239">
        <f>+F80</f>
        <v>0</v>
      </c>
      <c r="H80" s="239">
        <f t="shared" ref="H80:M80" si="69">+G80</f>
        <v>0</v>
      </c>
      <c r="I80" s="239">
        <f t="shared" si="69"/>
        <v>0</v>
      </c>
      <c r="J80" s="239">
        <f t="shared" si="69"/>
        <v>0</v>
      </c>
      <c r="K80" s="239">
        <f t="shared" si="69"/>
        <v>0</v>
      </c>
      <c r="L80" s="239">
        <f t="shared" si="69"/>
        <v>0</v>
      </c>
      <c r="M80" s="239">
        <f t="shared" si="69"/>
        <v>0</v>
      </c>
      <c r="N80" s="240">
        <f>+'Plan de culture 107'!$Z$19</f>
        <v>0</v>
      </c>
    </row>
    <row r="81" spans="1:14" x14ac:dyDescent="0.35">
      <c r="A81" s="238" t="s">
        <v>411</v>
      </c>
      <c r="B81" s="254">
        <v>0</v>
      </c>
      <c r="C81" s="254">
        <v>0</v>
      </c>
      <c r="D81" s="254">
        <v>0</v>
      </c>
      <c r="E81" s="254">
        <v>0</v>
      </c>
      <c r="F81" s="254">
        <v>0</v>
      </c>
      <c r="G81" s="254">
        <v>0</v>
      </c>
      <c r="H81" s="254">
        <v>0</v>
      </c>
      <c r="I81" s="254">
        <v>0</v>
      </c>
      <c r="J81" s="254">
        <v>0</v>
      </c>
      <c r="K81" s="254">
        <v>0</v>
      </c>
      <c r="L81" s="254">
        <v>0</v>
      </c>
      <c r="M81" s="254">
        <v>0</v>
      </c>
      <c r="N81" s="245" t="e">
        <f>+N79/N80</f>
        <v>#DIV/0!</v>
      </c>
    </row>
    <row r="82" spans="1:14" x14ac:dyDescent="0.35">
      <c r="A82" s="235" t="s">
        <v>92</v>
      </c>
      <c r="B82" s="80">
        <f>(B84*B83)</f>
        <v>0</v>
      </c>
      <c r="C82" s="80">
        <f t="shared" ref="C82:M82" si="70">(C84*C83)</f>
        <v>0</v>
      </c>
      <c r="D82" s="80">
        <f t="shared" si="70"/>
        <v>0</v>
      </c>
      <c r="E82" s="80">
        <f t="shared" si="70"/>
        <v>0</v>
      </c>
      <c r="F82" s="80">
        <f t="shared" si="70"/>
        <v>0</v>
      </c>
      <c r="G82" s="80">
        <f t="shared" si="70"/>
        <v>0</v>
      </c>
      <c r="H82" s="80">
        <f t="shared" si="70"/>
        <v>0</v>
      </c>
      <c r="I82" s="80">
        <f t="shared" si="70"/>
        <v>0</v>
      </c>
      <c r="J82" s="80">
        <f t="shared" si="70"/>
        <v>0</v>
      </c>
      <c r="K82" s="80">
        <f t="shared" si="70"/>
        <v>0</v>
      </c>
      <c r="L82" s="80">
        <f t="shared" si="70"/>
        <v>0</v>
      </c>
      <c r="M82" s="80">
        <f t="shared" si="70"/>
        <v>0</v>
      </c>
      <c r="N82" s="244">
        <f>SUM(B82:M82)</f>
        <v>0</v>
      </c>
    </row>
    <row r="83" spans="1:14" x14ac:dyDescent="0.35">
      <c r="A83" s="238" t="s">
        <v>93</v>
      </c>
      <c r="B83" s="239">
        <f>+'Plan de culture 107'!$Z$25</f>
        <v>16.558</v>
      </c>
      <c r="C83" s="239">
        <f>+B83</f>
        <v>16.558</v>
      </c>
      <c r="D83" s="239">
        <f t="shared" ref="D83:M83" si="71">+C83</f>
        <v>16.558</v>
      </c>
      <c r="E83" s="239">
        <f t="shared" si="71"/>
        <v>16.558</v>
      </c>
      <c r="F83" s="239">
        <f t="shared" si="71"/>
        <v>16.558</v>
      </c>
      <c r="G83" s="239">
        <f t="shared" si="71"/>
        <v>16.558</v>
      </c>
      <c r="H83" s="239">
        <f t="shared" si="71"/>
        <v>16.558</v>
      </c>
      <c r="I83" s="239">
        <f t="shared" si="71"/>
        <v>16.558</v>
      </c>
      <c r="J83" s="239">
        <f t="shared" si="71"/>
        <v>16.558</v>
      </c>
      <c r="K83" s="239">
        <f t="shared" si="71"/>
        <v>16.558</v>
      </c>
      <c r="L83" s="239">
        <f t="shared" si="71"/>
        <v>16.558</v>
      </c>
      <c r="M83" s="239">
        <f t="shared" si="71"/>
        <v>16.558</v>
      </c>
      <c r="N83" s="240">
        <f>+'Plan de culture 107'!$Z$25</f>
        <v>16.558</v>
      </c>
    </row>
    <row r="84" spans="1:14" x14ac:dyDescent="0.35">
      <c r="A84" s="238" t="s">
        <v>411</v>
      </c>
      <c r="B84" s="254">
        <v>0</v>
      </c>
      <c r="C84" s="254">
        <v>0</v>
      </c>
      <c r="D84" s="254">
        <v>0</v>
      </c>
      <c r="E84" s="254">
        <v>0</v>
      </c>
      <c r="F84" s="254">
        <v>0</v>
      </c>
      <c r="G84" s="254">
        <v>0</v>
      </c>
      <c r="H84" s="254">
        <v>0</v>
      </c>
      <c r="I84" s="254">
        <v>0</v>
      </c>
      <c r="J84" s="254">
        <v>0</v>
      </c>
      <c r="K84" s="254">
        <v>0</v>
      </c>
      <c r="L84" s="254">
        <v>0</v>
      </c>
      <c r="M84" s="254">
        <v>0</v>
      </c>
      <c r="N84" s="245">
        <f>+N82/N83</f>
        <v>0</v>
      </c>
    </row>
    <row r="85" spans="1:14" x14ac:dyDescent="0.35">
      <c r="A85" s="235" t="s">
        <v>377</v>
      </c>
      <c r="B85" s="80">
        <f>(B87*B86)</f>
        <v>0</v>
      </c>
      <c r="C85" s="80">
        <f t="shared" ref="C85:M85" si="72">(C87*C86)</f>
        <v>0</v>
      </c>
      <c r="D85" s="80">
        <f t="shared" si="72"/>
        <v>0</v>
      </c>
      <c r="E85" s="80">
        <f t="shared" si="72"/>
        <v>0</v>
      </c>
      <c r="F85" s="80">
        <f t="shared" si="72"/>
        <v>0</v>
      </c>
      <c r="G85" s="80">
        <f t="shared" si="72"/>
        <v>0</v>
      </c>
      <c r="H85" s="80">
        <f t="shared" si="72"/>
        <v>0</v>
      </c>
      <c r="I85" s="80">
        <f t="shared" si="72"/>
        <v>0</v>
      </c>
      <c r="J85" s="80">
        <f t="shared" si="72"/>
        <v>0</v>
      </c>
      <c r="K85" s="80">
        <f t="shared" si="72"/>
        <v>0</v>
      </c>
      <c r="L85" s="80">
        <f t="shared" si="72"/>
        <v>0</v>
      </c>
      <c r="M85" s="80">
        <f t="shared" si="72"/>
        <v>0</v>
      </c>
      <c r="N85" s="244">
        <f>SUM(B85:M85)</f>
        <v>0</v>
      </c>
    </row>
    <row r="86" spans="1:14" x14ac:dyDescent="0.35">
      <c r="A86" s="238" t="s">
        <v>93</v>
      </c>
      <c r="B86" s="239">
        <f>+'Plan de culture 107'!$Z$31</f>
        <v>0</v>
      </c>
      <c r="C86" s="239">
        <f>+B86</f>
        <v>0</v>
      </c>
      <c r="D86" s="239">
        <f t="shared" ref="D86" si="73">+C86</f>
        <v>0</v>
      </c>
      <c r="E86" s="239">
        <f>+'Plan de culture 104 '!C82</f>
        <v>0</v>
      </c>
      <c r="F86" s="239">
        <f>+E86+'Plan de culture 104 '!D82+'Plan de culture 104 '!E82</f>
        <v>0</v>
      </c>
      <c r="G86" s="239">
        <f>+F86</f>
        <v>0</v>
      </c>
      <c r="H86" s="239">
        <f t="shared" ref="H86:M86" si="74">+G86</f>
        <v>0</v>
      </c>
      <c r="I86" s="239">
        <f t="shared" si="74"/>
        <v>0</v>
      </c>
      <c r="J86" s="239">
        <f t="shared" si="74"/>
        <v>0</v>
      </c>
      <c r="K86" s="239">
        <f t="shared" si="74"/>
        <v>0</v>
      </c>
      <c r="L86" s="239">
        <f t="shared" si="74"/>
        <v>0</v>
      </c>
      <c r="M86" s="239">
        <f t="shared" si="74"/>
        <v>0</v>
      </c>
      <c r="N86" s="240">
        <f>+'Plan de culture 107'!$Z$31</f>
        <v>0</v>
      </c>
    </row>
    <row r="87" spans="1:14" x14ac:dyDescent="0.35">
      <c r="A87" s="238" t="s">
        <v>411</v>
      </c>
      <c r="B87" s="254">
        <v>0</v>
      </c>
      <c r="C87" s="254">
        <v>0</v>
      </c>
      <c r="D87" s="254">
        <v>0</v>
      </c>
      <c r="E87" s="254">
        <v>0</v>
      </c>
      <c r="F87" s="254">
        <v>0</v>
      </c>
      <c r="G87" s="254">
        <v>0</v>
      </c>
      <c r="H87" s="254">
        <v>0</v>
      </c>
      <c r="I87" s="254">
        <v>0</v>
      </c>
      <c r="J87" s="254">
        <v>0</v>
      </c>
      <c r="K87" s="254">
        <v>0</v>
      </c>
      <c r="L87" s="254">
        <v>0</v>
      </c>
      <c r="M87" s="254">
        <v>0</v>
      </c>
      <c r="N87" s="245" t="e">
        <f>+N85/N86</f>
        <v>#DIV/0!</v>
      </c>
    </row>
    <row r="88" spans="1:14" x14ac:dyDescent="0.35">
      <c r="A88" s="235" t="s">
        <v>378</v>
      </c>
      <c r="B88" s="80">
        <f>(B90*B89)</f>
        <v>0</v>
      </c>
      <c r="C88" s="80">
        <f t="shared" ref="C88:M88" si="75">(C90*C89)</f>
        <v>0</v>
      </c>
      <c r="D88" s="80">
        <f t="shared" si="75"/>
        <v>0</v>
      </c>
      <c r="E88" s="80">
        <f t="shared" si="75"/>
        <v>0</v>
      </c>
      <c r="F88" s="80">
        <f t="shared" si="75"/>
        <v>0</v>
      </c>
      <c r="G88" s="80">
        <f t="shared" si="75"/>
        <v>0</v>
      </c>
      <c r="H88" s="80">
        <f t="shared" si="75"/>
        <v>0</v>
      </c>
      <c r="I88" s="80">
        <f t="shared" si="75"/>
        <v>0</v>
      </c>
      <c r="J88" s="80">
        <f t="shared" si="75"/>
        <v>0</v>
      </c>
      <c r="K88" s="80">
        <f t="shared" si="75"/>
        <v>0</v>
      </c>
      <c r="L88" s="80">
        <f t="shared" si="75"/>
        <v>0</v>
      </c>
      <c r="M88" s="80">
        <f t="shared" si="75"/>
        <v>0</v>
      </c>
      <c r="N88" s="244">
        <f>SUM(B88:M88)</f>
        <v>0</v>
      </c>
    </row>
    <row r="89" spans="1:14" x14ac:dyDescent="0.35">
      <c r="A89" s="238" t="s">
        <v>93</v>
      </c>
      <c r="B89" s="239">
        <f>+'Plan de culture 107'!$Z$37</f>
        <v>0</v>
      </c>
      <c r="C89" s="239">
        <f>+B89</f>
        <v>0</v>
      </c>
      <c r="D89" s="239">
        <f t="shared" ref="D89" si="76">+C89</f>
        <v>0</v>
      </c>
      <c r="E89" s="239">
        <f>+'Plan de culture 104 '!C85</f>
        <v>0</v>
      </c>
      <c r="F89" s="239">
        <f>+E89+'Plan de culture 104 '!D85+'Plan de culture 104 '!E85</f>
        <v>0</v>
      </c>
      <c r="G89" s="239">
        <f>+F89</f>
        <v>0</v>
      </c>
      <c r="H89" s="239">
        <f t="shared" ref="H89:M89" si="77">+G89</f>
        <v>0</v>
      </c>
      <c r="I89" s="239">
        <f t="shared" si="77"/>
        <v>0</v>
      </c>
      <c r="J89" s="239">
        <f t="shared" si="77"/>
        <v>0</v>
      </c>
      <c r="K89" s="239">
        <f t="shared" si="77"/>
        <v>0</v>
      </c>
      <c r="L89" s="239">
        <f t="shared" si="77"/>
        <v>0</v>
      </c>
      <c r="M89" s="239">
        <f t="shared" si="77"/>
        <v>0</v>
      </c>
      <c r="N89" s="240">
        <f>+'Plan de culture 107'!$Z$37</f>
        <v>0</v>
      </c>
    </row>
    <row r="90" spans="1:14" ht="12" thickBot="1" x14ac:dyDescent="0.4">
      <c r="A90" s="238" t="s">
        <v>411</v>
      </c>
      <c r="B90" s="254">
        <v>0</v>
      </c>
      <c r="C90" s="254">
        <v>0</v>
      </c>
      <c r="D90" s="254">
        <v>0</v>
      </c>
      <c r="E90" s="254">
        <v>0</v>
      </c>
      <c r="F90" s="254">
        <v>0</v>
      </c>
      <c r="G90" s="254">
        <v>0</v>
      </c>
      <c r="H90" s="254">
        <v>0</v>
      </c>
      <c r="I90" s="254">
        <v>0</v>
      </c>
      <c r="J90" s="254">
        <v>0</v>
      </c>
      <c r="K90" s="254">
        <v>0</v>
      </c>
      <c r="L90" s="254">
        <v>0</v>
      </c>
      <c r="M90" s="254">
        <v>0</v>
      </c>
      <c r="N90" s="245" t="e">
        <f>+N88/N89</f>
        <v>#DIV/0!</v>
      </c>
    </row>
    <row r="91" spans="1:14" x14ac:dyDescent="0.35">
      <c r="A91" s="233" t="s">
        <v>416</v>
      </c>
      <c r="B91" s="242">
        <f t="shared" ref="B91:M92" si="78">+B94+B97+B100+B103+B106+B109</f>
        <v>0</v>
      </c>
      <c r="C91" s="242">
        <f t="shared" si="78"/>
        <v>0</v>
      </c>
      <c r="D91" s="242">
        <f t="shared" si="78"/>
        <v>0</v>
      </c>
      <c r="E91" s="242">
        <f t="shared" si="78"/>
        <v>0</v>
      </c>
      <c r="F91" s="242">
        <f t="shared" si="78"/>
        <v>0</v>
      </c>
      <c r="G91" s="242">
        <f t="shared" si="78"/>
        <v>0</v>
      </c>
      <c r="H91" s="242">
        <f t="shared" si="78"/>
        <v>0</v>
      </c>
      <c r="I91" s="242">
        <f t="shared" si="78"/>
        <v>0</v>
      </c>
      <c r="J91" s="242">
        <f t="shared" si="78"/>
        <v>0</v>
      </c>
      <c r="K91" s="242">
        <f t="shared" si="78"/>
        <v>0</v>
      </c>
      <c r="L91" s="242">
        <f t="shared" si="78"/>
        <v>0</v>
      </c>
      <c r="M91" s="242">
        <f t="shared" si="78"/>
        <v>0</v>
      </c>
      <c r="N91" s="243">
        <f>SUM(B91:M91)</f>
        <v>0</v>
      </c>
    </row>
    <row r="92" spans="1:14" x14ac:dyDescent="0.35">
      <c r="A92" s="234" t="s">
        <v>93</v>
      </c>
      <c r="B92" s="83">
        <f t="shared" si="78"/>
        <v>26.09</v>
      </c>
      <c r="C92" s="83">
        <f t="shared" si="78"/>
        <v>26.09</v>
      </c>
      <c r="D92" s="83">
        <f t="shared" si="78"/>
        <v>26.09</v>
      </c>
      <c r="E92" s="83">
        <f t="shared" si="78"/>
        <v>26.09</v>
      </c>
      <c r="F92" s="83">
        <f t="shared" si="78"/>
        <v>26.09</v>
      </c>
      <c r="G92" s="83">
        <f t="shared" si="78"/>
        <v>26.09</v>
      </c>
      <c r="H92" s="83">
        <f t="shared" si="78"/>
        <v>26.09</v>
      </c>
      <c r="I92" s="83">
        <f t="shared" si="78"/>
        <v>26.09</v>
      </c>
      <c r="J92" s="83">
        <f t="shared" si="78"/>
        <v>26.09</v>
      </c>
      <c r="K92" s="83">
        <f t="shared" si="78"/>
        <v>26.09</v>
      </c>
      <c r="L92" s="83">
        <f t="shared" si="78"/>
        <v>26.09</v>
      </c>
      <c r="M92" s="83">
        <f t="shared" si="78"/>
        <v>26.09</v>
      </c>
      <c r="N92" s="248">
        <f>+M92</f>
        <v>26.09</v>
      </c>
    </row>
    <row r="93" spans="1:14" x14ac:dyDescent="0.35">
      <c r="A93" s="234" t="s">
        <v>411</v>
      </c>
      <c r="B93" s="83">
        <f t="shared" ref="B93:N93" si="79">+B91/B92</f>
        <v>0</v>
      </c>
      <c r="C93" s="83">
        <f t="shared" si="79"/>
        <v>0</v>
      </c>
      <c r="D93" s="83">
        <f t="shared" si="79"/>
        <v>0</v>
      </c>
      <c r="E93" s="83">
        <f t="shared" si="79"/>
        <v>0</v>
      </c>
      <c r="F93" s="83">
        <f t="shared" si="79"/>
        <v>0</v>
      </c>
      <c r="G93" s="83">
        <f t="shared" si="79"/>
        <v>0</v>
      </c>
      <c r="H93" s="83">
        <f t="shared" si="79"/>
        <v>0</v>
      </c>
      <c r="I93" s="83">
        <f t="shared" si="79"/>
        <v>0</v>
      </c>
      <c r="J93" s="83">
        <f t="shared" si="79"/>
        <v>0</v>
      </c>
      <c r="K93" s="83">
        <f t="shared" si="79"/>
        <v>0</v>
      </c>
      <c r="L93" s="83">
        <f t="shared" si="79"/>
        <v>0</v>
      </c>
      <c r="M93" s="83">
        <f t="shared" si="79"/>
        <v>0</v>
      </c>
      <c r="N93" s="249">
        <f t="shared" si="79"/>
        <v>0</v>
      </c>
    </row>
    <row r="94" spans="1:14" x14ac:dyDescent="0.35">
      <c r="A94" s="235" t="s">
        <v>90</v>
      </c>
      <c r="B94" s="80">
        <f>(B95*B96)</f>
        <v>0</v>
      </c>
      <c r="C94" s="80">
        <f t="shared" ref="C94:M94" si="80">(C95*C96)</f>
        <v>0</v>
      </c>
      <c r="D94" s="80">
        <f t="shared" si="80"/>
        <v>0</v>
      </c>
      <c r="E94" s="80">
        <f t="shared" si="80"/>
        <v>0</v>
      </c>
      <c r="F94" s="80">
        <f t="shared" si="80"/>
        <v>0</v>
      </c>
      <c r="G94" s="80">
        <f t="shared" si="80"/>
        <v>0</v>
      </c>
      <c r="H94" s="80">
        <f t="shared" si="80"/>
        <v>0</v>
      </c>
      <c r="I94" s="80">
        <f t="shared" si="80"/>
        <v>0</v>
      </c>
      <c r="J94" s="80">
        <f t="shared" si="80"/>
        <v>0</v>
      </c>
      <c r="K94" s="80">
        <f t="shared" si="80"/>
        <v>0</v>
      </c>
      <c r="L94" s="80">
        <f t="shared" si="80"/>
        <v>0</v>
      </c>
      <c r="M94" s="80">
        <f t="shared" si="80"/>
        <v>0</v>
      </c>
      <c r="N94" s="244">
        <f>SUM(B94:M94)</f>
        <v>0</v>
      </c>
    </row>
    <row r="95" spans="1:14" x14ac:dyDescent="0.35">
      <c r="A95" s="238" t="s">
        <v>93</v>
      </c>
      <c r="B95" s="239">
        <f>+'Plan de culture 114'!$AE$7</f>
        <v>0</v>
      </c>
      <c r="C95" s="239">
        <f>+B95</f>
        <v>0</v>
      </c>
      <c r="D95" s="239">
        <f t="shared" ref="D95" si="81">+C95</f>
        <v>0</v>
      </c>
      <c r="E95" s="239">
        <f>+D95</f>
        <v>0</v>
      </c>
      <c r="F95" s="239">
        <f>+E95</f>
        <v>0</v>
      </c>
      <c r="G95" s="239">
        <f>+F95</f>
        <v>0</v>
      </c>
      <c r="H95" s="239">
        <f t="shared" ref="H95:M95" si="82">+G95</f>
        <v>0</v>
      </c>
      <c r="I95" s="239">
        <f t="shared" si="82"/>
        <v>0</v>
      </c>
      <c r="J95" s="239">
        <f t="shared" si="82"/>
        <v>0</v>
      </c>
      <c r="K95" s="239">
        <f t="shared" si="82"/>
        <v>0</v>
      </c>
      <c r="L95" s="239">
        <f t="shared" si="82"/>
        <v>0</v>
      </c>
      <c r="M95" s="239">
        <f t="shared" si="82"/>
        <v>0</v>
      </c>
      <c r="N95" s="240">
        <f>+'Plan de culture 114'!$AE$7</f>
        <v>0</v>
      </c>
    </row>
    <row r="96" spans="1:14" x14ac:dyDescent="0.35">
      <c r="A96" s="238" t="s">
        <v>411</v>
      </c>
      <c r="B96" s="254">
        <v>0</v>
      </c>
      <c r="C96" s="254">
        <v>0</v>
      </c>
      <c r="D96" s="254">
        <v>0</v>
      </c>
      <c r="E96" s="254">
        <v>0</v>
      </c>
      <c r="F96" s="254">
        <v>0</v>
      </c>
      <c r="G96" s="254">
        <v>0</v>
      </c>
      <c r="H96" s="254">
        <v>0</v>
      </c>
      <c r="I96" s="254">
        <v>0</v>
      </c>
      <c r="J96" s="254">
        <v>0</v>
      </c>
      <c r="K96" s="254">
        <v>0</v>
      </c>
      <c r="L96" s="254">
        <v>0</v>
      </c>
      <c r="M96" s="254">
        <v>0</v>
      </c>
      <c r="N96" s="245" t="e">
        <f>+N94/N95</f>
        <v>#DIV/0!</v>
      </c>
    </row>
    <row r="97" spans="1:14" x14ac:dyDescent="0.35">
      <c r="A97" s="235" t="s">
        <v>91</v>
      </c>
      <c r="B97" s="80">
        <f>(B99*B98)</f>
        <v>0</v>
      </c>
      <c r="C97" s="80">
        <f t="shared" ref="C97:M97" si="83">(C99*C98)</f>
        <v>0</v>
      </c>
      <c r="D97" s="80">
        <f t="shared" si="83"/>
        <v>0</v>
      </c>
      <c r="E97" s="80">
        <f t="shared" si="83"/>
        <v>0</v>
      </c>
      <c r="F97" s="80">
        <f t="shared" si="83"/>
        <v>0</v>
      </c>
      <c r="G97" s="80">
        <f t="shared" si="83"/>
        <v>0</v>
      </c>
      <c r="H97" s="80">
        <f t="shared" si="83"/>
        <v>0</v>
      </c>
      <c r="I97" s="80">
        <f t="shared" si="83"/>
        <v>0</v>
      </c>
      <c r="J97" s="80">
        <f t="shared" si="83"/>
        <v>0</v>
      </c>
      <c r="K97" s="80">
        <f t="shared" si="83"/>
        <v>0</v>
      </c>
      <c r="L97" s="80">
        <f t="shared" si="83"/>
        <v>0</v>
      </c>
      <c r="M97" s="80">
        <f t="shared" si="83"/>
        <v>0</v>
      </c>
      <c r="N97" s="244">
        <f>SUM(B97:M97)</f>
        <v>0</v>
      </c>
    </row>
    <row r="98" spans="1:14" x14ac:dyDescent="0.35">
      <c r="A98" s="238" t="s">
        <v>93</v>
      </c>
      <c r="B98" s="239">
        <f>+'Plan de culture 114'!$AE$13</f>
        <v>26.09</v>
      </c>
      <c r="C98" s="239">
        <f>+B98</f>
        <v>26.09</v>
      </c>
      <c r="D98" s="239">
        <f t="shared" ref="D98:M98" si="84">+C98</f>
        <v>26.09</v>
      </c>
      <c r="E98" s="239">
        <f t="shared" si="84"/>
        <v>26.09</v>
      </c>
      <c r="F98" s="239">
        <f t="shared" si="84"/>
        <v>26.09</v>
      </c>
      <c r="G98" s="239">
        <f t="shared" si="84"/>
        <v>26.09</v>
      </c>
      <c r="H98" s="239">
        <f t="shared" si="84"/>
        <v>26.09</v>
      </c>
      <c r="I98" s="239">
        <f t="shared" si="84"/>
        <v>26.09</v>
      </c>
      <c r="J98" s="239">
        <f t="shared" si="84"/>
        <v>26.09</v>
      </c>
      <c r="K98" s="239">
        <f t="shared" si="84"/>
        <v>26.09</v>
      </c>
      <c r="L98" s="239">
        <f t="shared" si="84"/>
        <v>26.09</v>
      </c>
      <c r="M98" s="239">
        <f t="shared" si="84"/>
        <v>26.09</v>
      </c>
      <c r="N98" s="240">
        <f>+'Plan de culture 114'!$AE$13</f>
        <v>26.09</v>
      </c>
    </row>
    <row r="99" spans="1:14" x14ac:dyDescent="0.35">
      <c r="A99" s="238" t="s">
        <v>411</v>
      </c>
      <c r="B99" s="254">
        <v>0</v>
      </c>
      <c r="C99" s="254">
        <v>0</v>
      </c>
      <c r="D99" s="254">
        <v>0</v>
      </c>
      <c r="E99" s="254">
        <v>0</v>
      </c>
      <c r="F99" s="254">
        <v>0</v>
      </c>
      <c r="G99" s="254">
        <v>0</v>
      </c>
      <c r="H99" s="254">
        <v>0</v>
      </c>
      <c r="I99" s="254">
        <v>0</v>
      </c>
      <c r="J99" s="254">
        <v>0</v>
      </c>
      <c r="K99" s="254">
        <v>0</v>
      </c>
      <c r="L99" s="254">
        <v>0</v>
      </c>
      <c r="M99" s="254">
        <v>0</v>
      </c>
      <c r="N99" s="245">
        <f>+N97/N98</f>
        <v>0</v>
      </c>
    </row>
    <row r="100" spans="1:14" x14ac:dyDescent="0.35">
      <c r="A100" s="235" t="s">
        <v>376</v>
      </c>
      <c r="B100" s="80">
        <f>(B102*B101)</f>
        <v>0</v>
      </c>
      <c r="C100" s="80">
        <f t="shared" ref="C100:M100" si="85">(C102*C101)</f>
        <v>0</v>
      </c>
      <c r="D100" s="80">
        <f t="shared" si="85"/>
        <v>0</v>
      </c>
      <c r="E100" s="80">
        <f t="shared" si="85"/>
        <v>0</v>
      </c>
      <c r="F100" s="80">
        <f t="shared" si="85"/>
        <v>0</v>
      </c>
      <c r="G100" s="80">
        <f t="shared" si="85"/>
        <v>0</v>
      </c>
      <c r="H100" s="80">
        <f t="shared" si="85"/>
        <v>0</v>
      </c>
      <c r="I100" s="80">
        <f t="shared" si="85"/>
        <v>0</v>
      </c>
      <c r="J100" s="80">
        <f t="shared" si="85"/>
        <v>0</v>
      </c>
      <c r="K100" s="80">
        <f t="shared" si="85"/>
        <v>0</v>
      </c>
      <c r="L100" s="80">
        <f t="shared" si="85"/>
        <v>0</v>
      </c>
      <c r="M100" s="80">
        <f t="shared" si="85"/>
        <v>0</v>
      </c>
      <c r="N100" s="244">
        <f>SUM(B100:M100)</f>
        <v>0</v>
      </c>
    </row>
    <row r="101" spans="1:14" x14ac:dyDescent="0.35">
      <c r="A101" s="238" t="s">
        <v>93</v>
      </c>
      <c r="B101" s="239">
        <f>+'Plan de culture 114'!$AE$19</f>
        <v>0</v>
      </c>
      <c r="C101" s="239">
        <f>+B101</f>
        <v>0</v>
      </c>
      <c r="D101" s="239">
        <f t="shared" ref="D101" si="86">+C101</f>
        <v>0</v>
      </c>
      <c r="E101" s="239">
        <f>+'Plan de culture 104 '!C97</f>
        <v>0</v>
      </c>
      <c r="F101" s="239">
        <f>+E101+'Plan de culture 104 '!D97+'Plan de culture 104 '!E97</f>
        <v>0</v>
      </c>
      <c r="G101" s="239">
        <f>+F101</f>
        <v>0</v>
      </c>
      <c r="H101" s="239">
        <f t="shared" ref="H101:M101" si="87">+G101</f>
        <v>0</v>
      </c>
      <c r="I101" s="239">
        <f t="shared" si="87"/>
        <v>0</v>
      </c>
      <c r="J101" s="239">
        <f t="shared" si="87"/>
        <v>0</v>
      </c>
      <c r="K101" s="239">
        <f t="shared" si="87"/>
        <v>0</v>
      </c>
      <c r="L101" s="239">
        <f t="shared" si="87"/>
        <v>0</v>
      </c>
      <c r="M101" s="239">
        <f t="shared" si="87"/>
        <v>0</v>
      </c>
      <c r="N101" s="240">
        <f>+'Plan de culture 114'!$AE$19</f>
        <v>0</v>
      </c>
    </row>
    <row r="102" spans="1:14" x14ac:dyDescent="0.35">
      <c r="A102" s="238" t="s">
        <v>411</v>
      </c>
      <c r="B102" s="254">
        <v>0</v>
      </c>
      <c r="C102" s="254">
        <v>0</v>
      </c>
      <c r="D102" s="254">
        <v>0</v>
      </c>
      <c r="E102" s="254">
        <v>0</v>
      </c>
      <c r="F102" s="254">
        <v>0</v>
      </c>
      <c r="G102" s="254">
        <v>0</v>
      </c>
      <c r="H102" s="254">
        <v>0</v>
      </c>
      <c r="I102" s="254">
        <v>0</v>
      </c>
      <c r="J102" s="254">
        <v>0</v>
      </c>
      <c r="K102" s="254">
        <v>0</v>
      </c>
      <c r="L102" s="254">
        <v>0</v>
      </c>
      <c r="M102" s="254">
        <v>0</v>
      </c>
      <c r="N102" s="245" t="e">
        <f>+N100/N101</f>
        <v>#DIV/0!</v>
      </c>
    </row>
    <row r="103" spans="1:14" x14ac:dyDescent="0.35">
      <c r="A103" s="235" t="s">
        <v>92</v>
      </c>
      <c r="B103" s="80">
        <f>(B105*B104)</f>
        <v>0</v>
      </c>
      <c r="C103" s="80">
        <f t="shared" ref="C103:M103" si="88">(C105*C104)</f>
        <v>0</v>
      </c>
      <c r="D103" s="80">
        <f t="shared" si="88"/>
        <v>0</v>
      </c>
      <c r="E103" s="80">
        <f t="shared" si="88"/>
        <v>0</v>
      </c>
      <c r="F103" s="80">
        <f t="shared" si="88"/>
        <v>0</v>
      </c>
      <c r="G103" s="80">
        <f t="shared" si="88"/>
        <v>0</v>
      </c>
      <c r="H103" s="80">
        <f t="shared" si="88"/>
        <v>0</v>
      </c>
      <c r="I103" s="80">
        <f t="shared" si="88"/>
        <v>0</v>
      </c>
      <c r="J103" s="80">
        <f t="shared" si="88"/>
        <v>0</v>
      </c>
      <c r="K103" s="80">
        <f t="shared" si="88"/>
        <v>0</v>
      </c>
      <c r="L103" s="80">
        <f t="shared" si="88"/>
        <v>0</v>
      </c>
      <c r="M103" s="80">
        <f t="shared" si="88"/>
        <v>0</v>
      </c>
      <c r="N103" s="244">
        <f>SUM(B103:M103)</f>
        <v>0</v>
      </c>
    </row>
    <row r="104" spans="1:14" x14ac:dyDescent="0.35">
      <c r="A104" s="238" t="s">
        <v>93</v>
      </c>
      <c r="B104" s="239">
        <f>+'Plan de culture 114'!$AE$25</f>
        <v>0</v>
      </c>
      <c r="C104" s="239">
        <f>+B104</f>
        <v>0</v>
      </c>
      <c r="D104" s="239">
        <f t="shared" ref="D104" si="89">+C104</f>
        <v>0</v>
      </c>
      <c r="E104" s="239">
        <f>+'Plan de culture 104 '!C100</f>
        <v>0</v>
      </c>
      <c r="F104" s="239">
        <f>+E104+'Plan de culture 104 '!D100+'Plan de culture 104 '!E100</f>
        <v>0</v>
      </c>
      <c r="G104" s="239">
        <f>+F104</f>
        <v>0</v>
      </c>
      <c r="H104" s="239">
        <f t="shared" ref="H104:M104" si="90">+G104</f>
        <v>0</v>
      </c>
      <c r="I104" s="239">
        <f t="shared" si="90"/>
        <v>0</v>
      </c>
      <c r="J104" s="239">
        <f t="shared" si="90"/>
        <v>0</v>
      </c>
      <c r="K104" s="239">
        <f t="shared" si="90"/>
        <v>0</v>
      </c>
      <c r="L104" s="239">
        <f t="shared" si="90"/>
        <v>0</v>
      </c>
      <c r="M104" s="239">
        <f t="shared" si="90"/>
        <v>0</v>
      </c>
      <c r="N104" s="240">
        <f>+'Plan de culture 114'!$AE$25</f>
        <v>0</v>
      </c>
    </row>
    <row r="105" spans="1:14" x14ac:dyDescent="0.35">
      <c r="A105" s="238" t="s">
        <v>411</v>
      </c>
      <c r="B105" s="254">
        <v>0</v>
      </c>
      <c r="C105" s="254">
        <v>0</v>
      </c>
      <c r="D105" s="254">
        <v>0</v>
      </c>
      <c r="E105" s="254">
        <v>0</v>
      </c>
      <c r="F105" s="254">
        <v>0</v>
      </c>
      <c r="G105" s="254">
        <v>0</v>
      </c>
      <c r="H105" s="254">
        <v>0</v>
      </c>
      <c r="I105" s="254">
        <v>0</v>
      </c>
      <c r="J105" s="254">
        <v>0</v>
      </c>
      <c r="K105" s="254">
        <v>0</v>
      </c>
      <c r="L105" s="254">
        <v>0</v>
      </c>
      <c r="M105" s="254">
        <v>0</v>
      </c>
      <c r="N105" s="245" t="e">
        <f>+N103/N104</f>
        <v>#DIV/0!</v>
      </c>
    </row>
    <row r="106" spans="1:14" x14ac:dyDescent="0.35">
      <c r="A106" s="235" t="s">
        <v>377</v>
      </c>
      <c r="B106" s="80">
        <f>(B108*B107)</f>
        <v>0</v>
      </c>
      <c r="C106" s="80">
        <f t="shared" ref="C106:M106" si="91">(C108*C107)</f>
        <v>0</v>
      </c>
      <c r="D106" s="80">
        <f t="shared" si="91"/>
        <v>0</v>
      </c>
      <c r="E106" s="80">
        <f t="shared" si="91"/>
        <v>0</v>
      </c>
      <c r="F106" s="80">
        <f t="shared" si="91"/>
        <v>0</v>
      </c>
      <c r="G106" s="80">
        <f t="shared" si="91"/>
        <v>0</v>
      </c>
      <c r="H106" s="80">
        <f t="shared" si="91"/>
        <v>0</v>
      </c>
      <c r="I106" s="80">
        <f t="shared" si="91"/>
        <v>0</v>
      </c>
      <c r="J106" s="80">
        <f t="shared" si="91"/>
        <v>0</v>
      </c>
      <c r="K106" s="80">
        <f t="shared" si="91"/>
        <v>0</v>
      </c>
      <c r="L106" s="80">
        <f t="shared" si="91"/>
        <v>0</v>
      </c>
      <c r="M106" s="80">
        <f t="shared" si="91"/>
        <v>0</v>
      </c>
      <c r="N106" s="244">
        <f>SUM(B106:M106)</f>
        <v>0</v>
      </c>
    </row>
    <row r="107" spans="1:14" x14ac:dyDescent="0.35">
      <c r="A107" s="238" t="s">
        <v>93</v>
      </c>
      <c r="B107" s="239">
        <f>+'Plan de culture 114'!$AE$31</f>
        <v>0</v>
      </c>
      <c r="C107" s="239">
        <f>+B107</f>
        <v>0</v>
      </c>
      <c r="D107" s="239">
        <f t="shared" ref="D107" si="92">+C107</f>
        <v>0</v>
      </c>
      <c r="E107" s="239">
        <f>+'Plan de culture 104 '!C103</f>
        <v>0</v>
      </c>
      <c r="F107" s="239">
        <f>+E107+'Plan de culture 104 '!D103+'Plan de culture 104 '!E103</f>
        <v>0</v>
      </c>
      <c r="G107" s="239">
        <f>+F107</f>
        <v>0</v>
      </c>
      <c r="H107" s="239">
        <f t="shared" ref="H107:M107" si="93">+G107</f>
        <v>0</v>
      </c>
      <c r="I107" s="239">
        <f t="shared" si="93"/>
        <v>0</v>
      </c>
      <c r="J107" s="239">
        <f t="shared" si="93"/>
        <v>0</v>
      </c>
      <c r="K107" s="239">
        <f t="shared" si="93"/>
        <v>0</v>
      </c>
      <c r="L107" s="239">
        <f t="shared" si="93"/>
        <v>0</v>
      </c>
      <c r="M107" s="239">
        <f t="shared" si="93"/>
        <v>0</v>
      </c>
      <c r="N107" s="240">
        <f>+'Plan de culture 114'!$AE$31</f>
        <v>0</v>
      </c>
    </row>
    <row r="108" spans="1:14" x14ac:dyDescent="0.35">
      <c r="A108" s="238" t="s">
        <v>411</v>
      </c>
      <c r="B108" s="254">
        <v>0</v>
      </c>
      <c r="C108" s="254">
        <v>0</v>
      </c>
      <c r="D108" s="254">
        <v>0</v>
      </c>
      <c r="E108" s="254">
        <v>0</v>
      </c>
      <c r="F108" s="254">
        <v>0</v>
      </c>
      <c r="G108" s="254">
        <v>0</v>
      </c>
      <c r="H108" s="254">
        <v>0</v>
      </c>
      <c r="I108" s="254">
        <v>0</v>
      </c>
      <c r="J108" s="254">
        <v>0</v>
      </c>
      <c r="K108" s="254">
        <v>0</v>
      </c>
      <c r="L108" s="254">
        <v>0</v>
      </c>
      <c r="M108" s="254">
        <v>0</v>
      </c>
      <c r="N108" s="245" t="e">
        <f>+N106/N107</f>
        <v>#DIV/0!</v>
      </c>
    </row>
    <row r="109" spans="1:14" x14ac:dyDescent="0.35">
      <c r="A109" s="235" t="s">
        <v>378</v>
      </c>
      <c r="B109" s="80">
        <f>(B111*B110)</f>
        <v>0</v>
      </c>
      <c r="C109" s="80">
        <f t="shared" ref="C109:M109" si="94">(C111*C110)</f>
        <v>0</v>
      </c>
      <c r="D109" s="80">
        <f t="shared" si="94"/>
        <v>0</v>
      </c>
      <c r="E109" s="80">
        <f t="shared" si="94"/>
        <v>0</v>
      </c>
      <c r="F109" s="80">
        <f t="shared" si="94"/>
        <v>0</v>
      </c>
      <c r="G109" s="80">
        <f t="shared" si="94"/>
        <v>0</v>
      </c>
      <c r="H109" s="80">
        <f t="shared" si="94"/>
        <v>0</v>
      </c>
      <c r="I109" s="80">
        <f t="shared" si="94"/>
        <v>0</v>
      </c>
      <c r="J109" s="80">
        <f t="shared" si="94"/>
        <v>0</v>
      </c>
      <c r="K109" s="80">
        <f t="shared" si="94"/>
        <v>0</v>
      </c>
      <c r="L109" s="80">
        <f t="shared" si="94"/>
        <v>0</v>
      </c>
      <c r="M109" s="80">
        <f t="shared" si="94"/>
        <v>0</v>
      </c>
      <c r="N109" s="244">
        <f>SUM(B109:M109)</f>
        <v>0</v>
      </c>
    </row>
    <row r="110" spans="1:14" x14ac:dyDescent="0.35">
      <c r="A110" s="238" t="s">
        <v>93</v>
      </c>
      <c r="B110" s="239">
        <f>+'Plan de culture 114'!$AE$37</f>
        <v>0</v>
      </c>
      <c r="C110" s="239">
        <f>+B110</f>
        <v>0</v>
      </c>
      <c r="D110" s="239">
        <f t="shared" ref="D110" si="95">+C110</f>
        <v>0</v>
      </c>
      <c r="E110" s="239">
        <f>+'Plan de culture 104 '!C106</f>
        <v>0</v>
      </c>
      <c r="F110" s="239">
        <f>+E110+'Plan de culture 104 '!D106+'Plan de culture 104 '!E106</f>
        <v>0</v>
      </c>
      <c r="G110" s="239">
        <f>+F110</f>
        <v>0</v>
      </c>
      <c r="H110" s="239">
        <f t="shared" ref="H110:M110" si="96">+G110</f>
        <v>0</v>
      </c>
      <c r="I110" s="239">
        <f t="shared" si="96"/>
        <v>0</v>
      </c>
      <c r="J110" s="239">
        <f t="shared" si="96"/>
        <v>0</v>
      </c>
      <c r="K110" s="239">
        <f t="shared" si="96"/>
        <v>0</v>
      </c>
      <c r="L110" s="239">
        <f t="shared" si="96"/>
        <v>0</v>
      </c>
      <c r="M110" s="239">
        <f t="shared" si="96"/>
        <v>0</v>
      </c>
      <c r="N110" s="240">
        <f>+'Plan de culture 114'!$AE$37</f>
        <v>0</v>
      </c>
    </row>
    <row r="111" spans="1:14" ht="12" thickBot="1" x14ac:dyDescent="0.4">
      <c r="A111" s="241" t="s">
        <v>411</v>
      </c>
      <c r="B111" s="268">
        <v>0</v>
      </c>
      <c r="C111" s="268">
        <v>0</v>
      </c>
      <c r="D111" s="268">
        <v>0</v>
      </c>
      <c r="E111" s="268">
        <v>0</v>
      </c>
      <c r="F111" s="268">
        <v>0</v>
      </c>
      <c r="G111" s="268">
        <v>0</v>
      </c>
      <c r="H111" s="268">
        <v>0</v>
      </c>
      <c r="I111" s="268">
        <v>0</v>
      </c>
      <c r="J111" s="268">
        <v>0</v>
      </c>
      <c r="K111" s="268">
        <v>0</v>
      </c>
      <c r="L111" s="268">
        <v>0</v>
      </c>
      <c r="M111" s="268">
        <v>0</v>
      </c>
      <c r="N111" s="247" t="e">
        <f>+N109/N110</f>
        <v>#DIV/0!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Q171"/>
  <sheetViews>
    <sheetView topLeftCell="A136" zoomScaleNormal="100" workbookViewId="0">
      <selection activeCell="B168" sqref="B168:N168"/>
    </sheetView>
  </sheetViews>
  <sheetFormatPr baseColWidth="10" defaultColWidth="11.46484375" defaultRowHeight="11.65" x14ac:dyDescent="0.35"/>
  <cols>
    <col min="1" max="1" width="30" style="32" customWidth="1"/>
    <col min="2" max="13" width="7.19921875" style="32" bestFit="1" customWidth="1"/>
    <col min="14" max="14" width="7.796875" style="32" bestFit="1" customWidth="1"/>
    <col min="15" max="16384" width="11.46484375" style="32"/>
  </cols>
  <sheetData>
    <row r="1" spans="1:16" ht="35.25" thickBot="1" x14ac:dyDescent="0.4">
      <c r="A1" s="68" t="s">
        <v>418</v>
      </c>
    </row>
    <row r="3" spans="1:16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255" t="s">
        <v>419</v>
      </c>
      <c r="B4" s="256">
        <f>B7+B40+B73+B106+B139</f>
        <v>0</v>
      </c>
      <c r="C4" s="256">
        <f t="shared" ref="C4:N5" si="1">C7+C40+C73+C106+C139</f>
        <v>0</v>
      </c>
      <c r="D4" s="256">
        <f t="shared" si="1"/>
        <v>0</v>
      </c>
      <c r="E4" s="256">
        <f t="shared" si="1"/>
        <v>0</v>
      </c>
      <c r="F4" s="256">
        <f t="shared" si="1"/>
        <v>0</v>
      </c>
      <c r="G4" s="256">
        <f t="shared" si="1"/>
        <v>0</v>
      </c>
      <c r="H4" s="256">
        <f t="shared" si="1"/>
        <v>0</v>
      </c>
      <c r="I4" s="256">
        <f t="shared" si="1"/>
        <v>0</v>
      </c>
      <c r="J4" s="256">
        <f t="shared" si="1"/>
        <v>0</v>
      </c>
      <c r="K4" s="256">
        <f t="shared" si="1"/>
        <v>0</v>
      </c>
      <c r="L4" s="256">
        <f t="shared" si="1"/>
        <v>0</v>
      </c>
      <c r="M4" s="256">
        <f t="shared" si="1"/>
        <v>0</v>
      </c>
      <c r="N4" s="256">
        <f t="shared" si="1"/>
        <v>0</v>
      </c>
      <c r="O4" s="162"/>
      <c r="P4" s="162"/>
    </row>
    <row r="5" spans="1:16" s="57" customFormat="1" x14ac:dyDescent="0.35">
      <c r="A5" s="255" t="s">
        <v>93</v>
      </c>
      <c r="B5" s="263">
        <f>B8+B41+B74+B107+B140</f>
        <v>68.968000000000004</v>
      </c>
      <c r="C5" s="263">
        <f t="shared" si="1"/>
        <v>68.968000000000004</v>
      </c>
      <c r="D5" s="263">
        <f t="shared" si="1"/>
        <v>68.968000000000004</v>
      </c>
      <c r="E5" s="263">
        <f t="shared" si="1"/>
        <v>68.968000000000004</v>
      </c>
      <c r="F5" s="263">
        <f t="shared" si="1"/>
        <v>68.968000000000004</v>
      </c>
      <c r="G5" s="263">
        <f t="shared" si="1"/>
        <v>68.968000000000004</v>
      </c>
      <c r="H5" s="263">
        <f t="shared" si="1"/>
        <v>68.968000000000004</v>
      </c>
      <c r="I5" s="263">
        <f t="shared" si="1"/>
        <v>68.968000000000004</v>
      </c>
      <c r="J5" s="263">
        <f t="shared" si="1"/>
        <v>68.968000000000004</v>
      </c>
      <c r="K5" s="263">
        <f t="shared" si="1"/>
        <v>68.968000000000004</v>
      </c>
      <c r="L5" s="263">
        <f t="shared" si="1"/>
        <v>68.968000000000004</v>
      </c>
      <c r="M5" s="263">
        <f t="shared" si="1"/>
        <v>68.968000000000004</v>
      </c>
      <c r="N5" s="263">
        <f t="shared" si="1"/>
        <v>68.968000000000004</v>
      </c>
      <c r="P5" s="162"/>
    </row>
    <row r="6" spans="1:16" s="57" customFormat="1" ht="12" thickBot="1" x14ac:dyDescent="0.4">
      <c r="A6" s="255" t="s">
        <v>420</v>
      </c>
      <c r="B6" s="258">
        <f>+B4/B5</f>
        <v>0</v>
      </c>
      <c r="C6" s="258">
        <f t="shared" ref="C6:M6" si="2">+C4/C5</f>
        <v>0</v>
      </c>
      <c r="D6" s="258">
        <f t="shared" si="2"/>
        <v>0</v>
      </c>
      <c r="E6" s="258">
        <f t="shared" si="2"/>
        <v>0</v>
      </c>
      <c r="F6" s="258">
        <f t="shared" si="2"/>
        <v>0</v>
      </c>
      <c r="G6" s="258">
        <f t="shared" si="2"/>
        <v>0</v>
      </c>
      <c r="H6" s="258">
        <f t="shared" si="2"/>
        <v>0</v>
      </c>
      <c r="I6" s="258">
        <f t="shared" si="2"/>
        <v>0</v>
      </c>
      <c r="J6" s="258">
        <f t="shared" si="2"/>
        <v>0</v>
      </c>
      <c r="K6" s="258">
        <f t="shared" si="2"/>
        <v>0</v>
      </c>
      <c r="L6" s="258">
        <f t="shared" si="2"/>
        <v>0</v>
      </c>
      <c r="M6" s="258">
        <f t="shared" si="2"/>
        <v>0</v>
      </c>
      <c r="N6" s="258">
        <f>+N4/N5</f>
        <v>0</v>
      </c>
      <c r="P6" s="162"/>
    </row>
    <row r="7" spans="1:16" s="57" customFormat="1" x14ac:dyDescent="0.35">
      <c r="A7" s="233" t="s">
        <v>421</v>
      </c>
      <c r="B7" s="242">
        <f>+B10+B15+B20+B25+B30+B35</f>
        <v>0</v>
      </c>
      <c r="C7" s="242">
        <f t="shared" ref="C7:M8" si="3">+C10+C15+C20+C25+C30+C35</f>
        <v>0</v>
      </c>
      <c r="D7" s="242">
        <f t="shared" si="3"/>
        <v>0</v>
      </c>
      <c r="E7" s="242">
        <f t="shared" si="3"/>
        <v>0</v>
      </c>
      <c r="F7" s="242">
        <f t="shared" si="3"/>
        <v>0</v>
      </c>
      <c r="G7" s="242">
        <f t="shared" si="3"/>
        <v>0</v>
      </c>
      <c r="H7" s="242">
        <f t="shared" si="3"/>
        <v>0</v>
      </c>
      <c r="I7" s="242">
        <f t="shared" si="3"/>
        <v>0</v>
      </c>
      <c r="J7" s="242">
        <f t="shared" si="3"/>
        <v>0</v>
      </c>
      <c r="K7" s="242">
        <f t="shared" si="3"/>
        <v>0</v>
      </c>
      <c r="L7" s="242">
        <f t="shared" si="3"/>
        <v>0</v>
      </c>
      <c r="M7" s="242">
        <f t="shared" si="3"/>
        <v>0</v>
      </c>
      <c r="N7" s="243">
        <f>SUM(B7:M7)</f>
        <v>0</v>
      </c>
    </row>
    <row r="8" spans="1:16" s="57" customFormat="1" x14ac:dyDescent="0.35">
      <c r="A8" s="234" t="s">
        <v>93</v>
      </c>
      <c r="B8" s="81">
        <f>+B11+B16+B21+B26+B31+B36</f>
        <v>15.350000000000003</v>
      </c>
      <c r="C8" s="81">
        <f t="shared" si="3"/>
        <v>15.350000000000003</v>
      </c>
      <c r="D8" s="81">
        <f t="shared" si="3"/>
        <v>15.350000000000003</v>
      </c>
      <c r="E8" s="81">
        <f t="shared" si="3"/>
        <v>15.350000000000003</v>
      </c>
      <c r="F8" s="81">
        <f t="shared" si="3"/>
        <v>15.350000000000003</v>
      </c>
      <c r="G8" s="81">
        <f t="shared" si="3"/>
        <v>15.350000000000003</v>
      </c>
      <c r="H8" s="81">
        <f t="shared" si="3"/>
        <v>15.350000000000003</v>
      </c>
      <c r="I8" s="81">
        <f t="shared" si="3"/>
        <v>15.350000000000003</v>
      </c>
      <c r="J8" s="81">
        <f t="shared" si="3"/>
        <v>15.350000000000003</v>
      </c>
      <c r="K8" s="81">
        <f t="shared" si="3"/>
        <v>15.350000000000003</v>
      </c>
      <c r="L8" s="81">
        <f t="shared" si="3"/>
        <v>15.350000000000003</v>
      </c>
      <c r="M8" s="81">
        <f t="shared" si="3"/>
        <v>15.350000000000003</v>
      </c>
      <c r="N8" s="248">
        <f>+M8</f>
        <v>15.350000000000003</v>
      </c>
    </row>
    <row r="9" spans="1:16" s="57" customFormat="1" x14ac:dyDescent="0.35">
      <c r="A9" s="234" t="s">
        <v>420</v>
      </c>
      <c r="B9" s="83">
        <f>+B7/B8</f>
        <v>0</v>
      </c>
      <c r="C9" s="83">
        <f>+C7/C8</f>
        <v>0</v>
      </c>
      <c r="D9" s="83">
        <f>+D7/D8</f>
        <v>0</v>
      </c>
      <c r="E9" s="83">
        <f t="shared" ref="E9:N9" si="4">+E7/E8</f>
        <v>0</v>
      </c>
      <c r="F9" s="83">
        <f t="shared" si="4"/>
        <v>0</v>
      </c>
      <c r="G9" s="83">
        <f t="shared" si="4"/>
        <v>0</v>
      </c>
      <c r="H9" s="83">
        <f t="shared" si="4"/>
        <v>0</v>
      </c>
      <c r="I9" s="83">
        <f t="shared" si="4"/>
        <v>0</v>
      </c>
      <c r="J9" s="83">
        <f t="shared" si="4"/>
        <v>0</v>
      </c>
      <c r="K9" s="83">
        <f t="shared" si="4"/>
        <v>0</v>
      </c>
      <c r="L9" s="83">
        <f t="shared" si="4"/>
        <v>0</v>
      </c>
      <c r="M9" s="83">
        <f t="shared" si="4"/>
        <v>0</v>
      </c>
      <c r="N9" s="249">
        <f t="shared" si="4"/>
        <v>0</v>
      </c>
    </row>
    <row r="10" spans="1:16" x14ac:dyDescent="0.35">
      <c r="A10" s="235" t="s">
        <v>90</v>
      </c>
      <c r="B10" s="80">
        <f>(B12*B11)</f>
        <v>0</v>
      </c>
      <c r="C10" s="80">
        <f t="shared" ref="C10:M10" si="5">(C12*C11)</f>
        <v>0</v>
      </c>
      <c r="D10" s="80">
        <f t="shared" si="5"/>
        <v>0</v>
      </c>
      <c r="E10" s="80">
        <f t="shared" si="5"/>
        <v>0</v>
      </c>
      <c r="F10" s="80">
        <f t="shared" si="5"/>
        <v>0</v>
      </c>
      <c r="G10" s="80">
        <f t="shared" si="5"/>
        <v>0</v>
      </c>
      <c r="H10" s="80">
        <f t="shared" si="5"/>
        <v>0</v>
      </c>
      <c r="I10" s="80">
        <f t="shared" si="5"/>
        <v>0</v>
      </c>
      <c r="J10" s="80">
        <f t="shared" si="5"/>
        <v>0</v>
      </c>
      <c r="K10" s="80">
        <f t="shared" si="5"/>
        <v>0</v>
      </c>
      <c r="L10" s="80">
        <f t="shared" si="5"/>
        <v>0</v>
      </c>
      <c r="M10" s="80">
        <f t="shared" si="5"/>
        <v>0</v>
      </c>
      <c r="N10" s="244">
        <f>SUM(B10:M10)</f>
        <v>0</v>
      </c>
    </row>
    <row r="11" spans="1:16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6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6"/>
        <v>15.350000000000003</v>
      </c>
      <c r="I11" s="239">
        <f t="shared" si="6"/>
        <v>15.350000000000003</v>
      </c>
      <c r="J11" s="239">
        <f t="shared" si="6"/>
        <v>15.350000000000003</v>
      </c>
      <c r="K11" s="239">
        <f t="shared" si="6"/>
        <v>15.350000000000003</v>
      </c>
      <c r="L11" s="239">
        <f t="shared" si="6"/>
        <v>15.350000000000003</v>
      </c>
      <c r="M11" s="239">
        <f t="shared" si="6"/>
        <v>15.350000000000003</v>
      </c>
      <c r="N11" s="240">
        <f>+'Plan de culture 104 '!X7</f>
        <v>15.350000000000003</v>
      </c>
    </row>
    <row r="12" spans="1:16" x14ac:dyDescent="0.35">
      <c r="A12" s="238" t="s">
        <v>420</v>
      </c>
      <c r="B12" s="254">
        <f>IFERROR((B14*B13)/B11,"0,00")</f>
        <v>0</v>
      </c>
      <c r="C12" s="254">
        <f t="shared" ref="C12:M12" si="7">IFERROR((C14*C13)/C11,"0,00")</f>
        <v>0</v>
      </c>
      <c r="D12" s="254">
        <f t="shared" si="7"/>
        <v>0</v>
      </c>
      <c r="E12" s="254">
        <f t="shared" si="7"/>
        <v>0</v>
      </c>
      <c r="F12" s="254">
        <f t="shared" si="7"/>
        <v>0</v>
      </c>
      <c r="G12" s="254">
        <f t="shared" si="7"/>
        <v>0</v>
      </c>
      <c r="H12" s="254">
        <f t="shared" si="7"/>
        <v>0</v>
      </c>
      <c r="I12" s="254">
        <f t="shared" si="7"/>
        <v>0</v>
      </c>
      <c r="J12" s="254">
        <f t="shared" si="7"/>
        <v>0</v>
      </c>
      <c r="K12" s="254">
        <f t="shared" si="7"/>
        <v>0</v>
      </c>
      <c r="L12" s="254">
        <f t="shared" si="7"/>
        <v>0</v>
      </c>
      <c r="M12" s="254">
        <f t="shared" si="7"/>
        <v>0</v>
      </c>
      <c r="N12" s="245">
        <f>+N10/N11</f>
        <v>0</v>
      </c>
    </row>
    <row r="13" spans="1:16" x14ac:dyDescent="0.35">
      <c r="A13" s="250" t="s">
        <v>101</v>
      </c>
      <c r="B13" s="87">
        <v>4.7</v>
      </c>
      <c r="C13" s="87">
        <v>4.7</v>
      </c>
      <c r="D13" s="87">
        <v>4.7</v>
      </c>
      <c r="E13" s="87">
        <v>4.7</v>
      </c>
      <c r="F13" s="87">
        <v>4.7</v>
      </c>
      <c r="G13" s="87">
        <v>4.7</v>
      </c>
      <c r="H13" s="87">
        <v>4.7</v>
      </c>
      <c r="I13" s="87">
        <v>4.7</v>
      </c>
      <c r="J13" s="87">
        <v>4.7</v>
      </c>
      <c r="K13" s="87">
        <v>4.7</v>
      </c>
      <c r="L13" s="87">
        <v>4.7</v>
      </c>
      <c r="M13" s="87">
        <v>4.7</v>
      </c>
      <c r="N13" s="245"/>
    </row>
    <row r="14" spans="1:16" x14ac:dyDescent="0.35">
      <c r="A14" s="250" t="s">
        <v>102</v>
      </c>
      <c r="B14" s="88">
        <v>0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245"/>
    </row>
    <row r="15" spans="1:16" x14ac:dyDescent="0.35">
      <c r="A15" s="235" t="s">
        <v>91</v>
      </c>
      <c r="B15" s="80">
        <f>(B17*B16)</f>
        <v>0</v>
      </c>
      <c r="C15" s="80">
        <f t="shared" ref="C15:M15" si="8">(C17*C16)</f>
        <v>0</v>
      </c>
      <c r="D15" s="80">
        <f t="shared" si="8"/>
        <v>0</v>
      </c>
      <c r="E15" s="80">
        <f t="shared" si="8"/>
        <v>0</v>
      </c>
      <c r="F15" s="80">
        <f t="shared" si="8"/>
        <v>0</v>
      </c>
      <c r="G15" s="80">
        <f t="shared" si="8"/>
        <v>0</v>
      </c>
      <c r="H15" s="80">
        <f t="shared" si="8"/>
        <v>0</v>
      </c>
      <c r="I15" s="80">
        <f t="shared" si="8"/>
        <v>0</v>
      </c>
      <c r="J15" s="80">
        <f t="shared" si="8"/>
        <v>0</v>
      </c>
      <c r="K15" s="80">
        <f t="shared" si="8"/>
        <v>0</v>
      </c>
      <c r="L15" s="80">
        <f t="shared" si="8"/>
        <v>0</v>
      </c>
      <c r="M15" s="80">
        <f t="shared" si="8"/>
        <v>0</v>
      </c>
      <c r="N15" s="244">
        <f>SUM(B15:M15)</f>
        <v>0</v>
      </c>
    </row>
    <row r="16" spans="1:16" x14ac:dyDescent="0.35">
      <c r="A16" s="238" t="s">
        <v>93</v>
      </c>
      <c r="B16" s="239">
        <f>+'Plan de culture 104 '!$X$13</f>
        <v>0</v>
      </c>
      <c r="C16" s="239">
        <f>+B16</f>
        <v>0</v>
      </c>
      <c r="D16" s="239">
        <f t="shared" ref="D16:M16" si="9">+C16</f>
        <v>0</v>
      </c>
      <c r="E16" s="239">
        <f t="shared" si="9"/>
        <v>0</v>
      </c>
      <c r="F16" s="239">
        <f t="shared" si="9"/>
        <v>0</v>
      </c>
      <c r="G16" s="239">
        <f t="shared" si="9"/>
        <v>0</v>
      </c>
      <c r="H16" s="239">
        <f t="shared" si="9"/>
        <v>0</v>
      </c>
      <c r="I16" s="239">
        <f t="shared" si="9"/>
        <v>0</v>
      </c>
      <c r="J16" s="239">
        <f t="shared" si="9"/>
        <v>0</v>
      </c>
      <c r="K16" s="239">
        <f t="shared" si="9"/>
        <v>0</v>
      </c>
      <c r="L16" s="239">
        <f t="shared" si="9"/>
        <v>0</v>
      </c>
      <c r="M16" s="239">
        <f t="shared" si="9"/>
        <v>0</v>
      </c>
      <c r="N16" s="240">
        <f>+'Plan de culture 104 '!$X$13</f>
        <v>0</v>
      </c>
    </row>
    <row r="17" spans="1:17" x14ac:dyDescent="0.35">
      <c r="A17" s="238" t="s">
        <v>420</v>
      </c>
      <c r="B17" s="254" t="str">
        <f>IFERROR((B19*B18)/B16,"0,00")</f>
        <v>0,00</v>
      </c>
      <c r="C17" s="254" t="str">
        <f t="shared" ref="C17:M17" si="10">IFERROR((C19*C18)/C16,"0,00")</f>
        <v>0,00</v>
      </c>
      <c r="D17" s="254" t="str">
        <f t="shared" si="10"/>
        <v>0,00</v>
      </c>
      <c r="E17" s="254" t="str">
        <f t="shared" si="10"/>
        <v>0,00</v>
      </c>
      <c r="F17" s="254" t="str">
        <f t="shared" si="10"/>
        <v>0,00</v>
      </c>
      <c r="G17" s="254" t="str">
        <f t="shared" si="10"/>
        <v>0,00</v>
      </c>
      <c r="H17" s="254" t="str">
        <f t="shared" si="10"/>
        <v>0,00</v>
      </c>
      <c r="I17" s="254" t="str">
        <f t="shared" si="10"/>
        <v>0,00</v>
      </c>
      <c r="J17" s="254" t="str">
        <f t="shared" si="10"/>
        <v>0,00</v>
      </c>
      <c r="K17" s="254" t="str">
        <f t="shared" si="10"/>
        <v>0,00</v>
      </c>
      <c r="L17" s="254" t="str">
        <f t="shared" si="10"/>
        <v>0,00</v>
      </c>
      <c r="M17" s="254" t="str">
        <f t="shared" si="10"/>
        <v>0,00</v>
      </c>
      <c r="N17" s="245" t="e">
        <f>+N15/N16</f>
        <v>#DIV/0!</v>
      </c>
    </row>
    <row r="18" spans="1:17" x14ac:dyDescent="0.35">
      <c r="A18" s="250" t="s">
        <v>101</v>
      </c>
      <c r="B18" s="87">
        <v>4.7</v>
      </c>
      <c r="C18" s="87">
        <v>4.7</v>
      </c>
      <c r="D18" s="87">
        <v>4.7</v>
      </c>
      <c r="E18" s="87">
        <v>4.7</v>
      </c>
      <c r="F18" s="87">
        <v>4.7</v>
      </c>
      <c r="G18" s="87">
        <v>4.7</v>
      </c>
      <c r="H18" s="87">
        <v>4.7</v>
      </c>
      <c r="I18" s="87">
        <v>4.7</v>
      </c>
      <c r="J18" s="87">
        <v>4.7</v>
      </c>
      <c r="K18" s="87">
        <v>4.7</v>
      </c>
      <c r="L18" s="87">
        <v>4.7</v>
      </c>
      <c r="M18" s="87">
        <v>4.7</v>
      </c>
      <c r="N18" s="245"/>
      <c r="Q18" s="32" t="s">
        <v>178</v>
      </c>
    </row>
    <row r="19" spans="1:17" x14ac:dyDescent="0.35">
      <c r="A19" s="250" t="s">
        <v>102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245"/>
    </row>
    <row r="20" spans="1:17" x14ac:dyDescent="0.35">
      <c r="A20" s="235" t="s">
        <v>376</v>
      </c>
      <c r="B20" s="80">
        <f>(B22*B21)</f>
        <v>0</v>
      </c>
      <c r="C20" s="80">
        <f t="shared" ref="C20:M20" si="11">(C22*C21)</f>
        <v>0</v>
      </c>
      <c r="D20" s="80">
        <f t="shared" si="11"/>
        <v>0</v>
      </c>
      <c r="E20" s="80">
        <f t="shared" si="11"/>
        <v>0</v>
      </c>
      <c r="F20" s="80">
        <f t="shared" si="11"/>
        <v>0</v>
      </c>
      <c r="G20" s="80">
        <f t="shared" si="11"/>
        <v>0</v>
      </c>
      <c r="H20" s="80">
        <f t="shared" si="11"/>
        <v>0</v>
      </c>
      <c r="I20" s="80">
        <f t="shared" si="11"/>
        <v>0</v>
      </c>
      <c r="J20" s="80">
        <f t="shared" si="11"/>
        <v>0</v>
      </c>
      <c r="K20" s="80">
        <f t="shared" si="11"/>
        <v>0</v>
      </c>
      <c r="L20" s="80">
        <f t="shared" si="11"/>
        <v>0</v>
      </c>
      <c r="M20" s="80">
        <f t="shared" si="11"/>
        <v>0</v>
      </c>
      <c r="N20" s="244">
        <f>SUM(B20:M20)</f>
        <v>0</v>
      </c>
    </row>
    <row r="21" spans="1:17" x14ac:dyDescent="0.35">
      <c r="A21" s="238" t="s">
        <v>93</v>
      </c>
      <c r="B21" s="239">
        <f>+'Plan de culture 104 '!$X$19</f>
        <v>0</v>
      </c>
      <c r="C21" s="239">
        <f>+B21</f>
        <v>0</v>
      </c>
      <c r="D21" s="239">
        <f t="shared" ref="D21" si="12">+C21</f>
        <v>0</v>
      </c>
      <c r="E21" s="239">
        <f>+'Plan de culture 104 '!C17</f>
        <v>0</v>
      </c>
      <c r="F21" s="239">
        <f>+E21+'Plan de culture 104 '!D17+'Plan de culture 104 '!E17</f>
        <v>0</v>
      </c>
      <c r="G21" s="239">
        <f>+F21</f>
        <v>0</v>
      </c>
      <c r="H21" s="239">
        <f t="shared" ref="H21:M21" si="13">+G21</f>
        <v>0</v>
      </c>
      <c r="I21" s="239">
        <f t="shared" si="13"/>
        <v>0</v>
      </c>
      <c r="J21" s="239">
        <f t="shared" si="13"/>
        <v>0</v>
      </c>
      <c r="K21" s="239">
        <f t="shared" si="13"/>
        <v>0</v>
      </c>
      <c r="L21" s="239">
        <f t="shared" si="13"/>
        <v>0</v>
      </c>
      <c r="M21" s="239">
        <f t="shared" si="13"/>
        <v>0</v>
      </c>
      <c r="N21" s="240">
        <f>+'Plan de culture 104 '!$X$19</f>
        <v>0</v>
      </c>
    </row>
    <row r="22" spans="1:17" x14ac:dyDescent="0.35">
      <c r="A22" s="238" t="s">
        <v>420</v>
      </c>
      <c r="B22" s="254" t="str">
        <f>IFERROR((B24*B23)/B21,"0,00")</f>
        <v>0,00</v>
      </c>
      <c r="C22" s="254" t="str">
        <f t="shared" ref="C22:M22" si="14">IFERROR((C24*C23)/C21,"0,00")</f>
        <v>0,00</v>
      </c>
      <c r="D22" s="254" t="str">
        <f t="shared" si="14"/>
        <v>0,00</v>
      </c>
      <c r="E22" s="254" t="str">
        <f t="shared" si="14"/>
        <v>0,00</v>
      </c>
      <c r="F22" s="254" t="str">
        <f t="shared" si="14"/>
        <v>0,00</v>
      </c>
      <c r="G22" s="254" t="str">
        <f t="shared" si="14"/>
        <v>0,00</v>
      </c>
      <c r="H22" s="254" t="str">
        <f t="shared" si="14"/>
        <v>0,00</v>
      </c>
      <c r="I22" s="254" t="str">
        <f t="shared" si="14"/>
        <v>0,00</v>
      </c>
      <c r="J22" s="254" t="str">
        <f t="shared" si="14"/>
        <v>0,00</v>
      </c>
      <c r="K22" s="254" t="str">
        <f t="shared" si="14"/>
        <v>0,00</v>
      </c>
      <c r="L22" s="254" t="str">
        <f t="shared" si="14"/>
        <v>0,00</v>
      </c>
      <c r="M22" s="254" t="str">
        <f t="shared" si="14"/>
        <v>0,00</v>
      </c>
      <c r="N22" s="245" t="e">
        <f>+N20/N21</f>
        <v>#DIV/0!</v>
      </c>
    </row>
    <row r="23" spans="1:17" x14ac:dyDescent="0.35">
      <c r="A23" s="250" t="s">
        <v>101</v>
      </c>
      <c r="B23" s="87">
        <v>4.7</v>
      </c>
      <c r="C23" s="87">
        <v>4.7</v>
      </c>
      <c r="D23" s="87">
        <v>4.7</v>
      </c>
      <c r="E23" s="87">
        <v>4.7</v>
      </c>
      <c r="F23" s="87">
        <v>4.7</v>
      </c>
      <c r="G23" s="87">
        <v>4.7</v>
      </c>
      <c r="H23" s="87">
        <v>4.7</v>
      </c>
      <c r="I23" s="87">
        <v>4.7</v>
      </c>
      <c r="J23" s="87">
        <v>4.7</v>
      </c>
      <c r="K23" s="87">
        <v>4.7</v>
      </c>
      <c r="L23" s="87">
        <v>4.7</v>
      </c>
      <c r="M23" s="87">
        <v>4.7</v>
      </c>
      <c r="N23" s="245"/>
    </row>
    <row r="24" spans="1:17" x14ac:dyDescent="0.35">
      <c r="A24" s="250" t="s">
        <v>102</v>
      </c>
      <c r="B24" s="88">
        <v>0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245"/>
    </row>
    <row r="25" spans="1:17" x14ac:dyDescent="0.35">
      <c r="A25" s="235" t="s">
        <v>92</v>
      </c>
      <c r="B25" s="80">
        <f>(B27*B26)</f>
        <v>0</v>
      </c>
      <c r="C25" s="80">
        <f t="shared" ref="C25:M25" si="15">(C27*C26)</f>
        <v>0</v>
      </c>
      <c r="D25" s="80">
        <f t="shared" si="15"/>
        <v>0</v>
      </c>
      <c r="E25" s="80">
        <f t="shared" si="15"/>
        <v>0</v>
      </c>
      <c r="F25" s="80">
        <f t="shared" si="15"/>
        <v>0</v>
      </c>
      <c r="G25" s="80">
        <f t="shared" si="15"/>
        <v>0</v>
      </c>
      <c r="H25" s="80">
        <f t="shared" si="15"/>
        <v>0</v>
      </c>
      <c r="I25" s="80">
        <f t="shared" si="15"/>
        <v>0</v>
      </c>
      <c r="J25" s="80">
        <f t="shared" si="15"/>
        <v>0</v>
      </c>
      <c r="K25" s="80">
        <f t="shared" si="15"/>
        <v>0</v>
      </c>
      <c r="L25" s="80">
        <f t="shared" si="15"/>
        <v>0</v>
      </c>
      <c r="M25" s="80">
        <f t="shared" si="15"/>
        <v>0</v>
      </c>
      <c r="N25" s="244">
        <f>SUM(B25:M25)</f>
        <v>0</v>
      </c>
    </row>
    <row r="26" spans="1:17" x14ac:dyDescent="0.35">
      <c r="A26" s="238" t="s">
        <v>93</v>
      </c>
      <c r="B26" s="239">
        <f>+'Plan de culture 104 '!$X$25</f>
        <v>0</v>
      </c>
      <c r="C26" s="239">
        <f>+B26</f>
        <v>0</v>
      </c>
      <c r="D26" s="239">
        <f t="shared" ref="D26" si="16">+C26</f>
        <v>0</v>
      </c>
      <c r="E26" s="239">
        <f>+'Plan de culture 104 '!C22</f>
        <v>0</v>
      </c>
      <c r="F26" s="239">
        <f>+E26+'Plan de culture 104 '!D22+'Plan de culture 104 '!E22</f>
        <v>0</v>
      </c>
      <c r="G26" s="239">
        <f>+F26</f>
        <v>0</v>
      </c>
      <c r="H26" s="239">
        <f t="shared" ref="H26:M26" si="17">+G26</f>
        <v>0</v>
      </c>
      <c r="I26" s="239">
        <f t="shared" si="17"/>
        <v>0</v>
      </c>
      <c r="J26" s="239">
        <f t="shared" si="17"/>
        <v>0</v>
      </c>
      <c r="K26" s="239">
        <f t="shared" si="17"/>
        <v>0</v>
      </c>
      <c r="L26" s="239">
        <f t="shared" si="17"/>
        <v>0</v>
      </c>
      <c r="M26" s="239">
        <f t="shared" si="17"/>
        <v>0</v>
      </c>
      <c r="N26" s="240">
        <f>+'Plan de culture 104 '!$X$25</f>
        <v>0</v>
      </c>
    </row>
    <row r="27" spans="1:17" x14ac:dyDescent="0.35">
      <c r="A27" s="238" t="s">
        <v>420</v>
      </c>
      <c r="B27" s="254" t="str">
        <f>IFERROR((B29*B28)/B26,"0,00")</f>
        <v>0,00</v>
      </c>
      <c r="C27" s="254" t="str">
        <f t="shared" ref="C27:M27" si="18">IFERROR((C29*C28)/C26,"0,00")</f>
        <v>0,00</v>
      </c>
      <c r="D27" s="254" t="str">
        <f t="shared" si="18"/>
        <v>0,00</v>
      </c>
      <c r="E27" s="254" t="str">
        <f t="shared" si="18"/>
        <v>0,00</v>
      </c>
      <c r="F27" s="254" t="str">
        <f t="shared" si="18"/>
        <v>0,00</v>
      </c>
      <c r="G27" s="254" t="str">
        <f t="shared" si="18"/>
        <v>0,00</v>
      </c>
      <c r="H27" s="254" t="str">
        <f t="shared" si="18"/>
        <v>0,00</v>
      </c>
      <c r="I27" s="254" t="str">
        <f t="shared" si="18"/>
        <v>0,00</v>
      </c>
      <c r="J27" s="254" t="str">
        <f t="shared" si="18"/>
        <v>0,00</v>
      </c>
      <c r="K27" s="254" t="str">
        <f t="shared" si="18"/>
        <v>0,00</v>
      </c>
      <c r="L27" s="254" t="str">
        <f t="shared" si="18"/>
        <v>0,00</v>
      </c>
      <c r="M27" s="254" t="str">
        <f t="shared" si="18"/>
        <v>0,00</v>
      </c>
      <c r="N27" s="245" t="e">
        <f>+N25/N26</f>
        <v>#DIV/0!</v>
      </c>
    </row>
    <row r="28" spans="1:17" x14ac:dyDescent="0.35">
      <c r="A28" s="250" t="s">
        <v>101</v>
      </c>
      <c r="B28" s="87">
        <v>4.7</v>
      </c>
      <c r="C28" s="87">
        <v>4.7</v>
      </c>
      <c r="D28" s="87">
        <v>4.7</v>
      </c>
      <c r="E28" s="87">
        <v>4.7</v>
      </c>
      <c r="F28" s="87">
        <v>4.7</v>
      </c>
      <c r="G28" s="87">
        <v>4.7</v>
      </c>
      <c r="H28" s="87">
        <v>4.7</v>
      </c>
      <c r="I28" s="87">
        <v>4.7</v>
      </c>
      <c r="J28" s="87">
        <v>4.7</v>
      </c>
      <c r="K28" s="87">
        <v>4.7</v>
      </c>
      <c r="L28" s="87">
        <v>4.7</v>
      </c>
      <c r="M28" s="87">
        <v>4.7</v>
      </c>
      <c r="N28" s="245"/>
    </row>
    <row r="29" spans="1:17" x14ac:dyDescent="0.35">
      <c r="A29" s="250" t="s">
        <v>102</v>
      </c>
      <c r="B29" s="88">
        <v>0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245"/>
    </row>
    <row r="30" spans="1:17" x14ac:dyDescent="0.35">
      <c r="A30" s="235" t="s">
        <v>377</v>
      </c>
      <c r="B30" s="80">
        <f>(B32*B31)</f>
        <v>0</v>
      </c>
      <c r="C30" s="80">
        <f t="shared" ref="C30:M30" si="19">(C32*C31)</f>
        <v>0</v>
      </c>
      <c r="D30" s="80">
        <f t="shared" si="19"/>
        <v>0</v>
      </c>
      <c r="E30" s="80">
        <f t="shared" si="19"/>
        <v>0</v>
      </c>
      <c r="F30" s="80">
        <f t="shared" si="19"/>
        <v>0</v>
      </c>
      <c r="G30" s="80">
        <f t="shared" si="19"/>
        <v>0</v>
      </c>
      <c r="H30" s="80">
        <f t="shared" si="19"/>
        <v>0</v>
      </c>
      <c r="I30" s="80">
        <f t="shared" si="19"/>
        <v>0</v>
      </c>
      <c r="J30" s="80">
        <f t="shared" si="19"/>
        <v>0</v>
      </c>
      <c r="K30" s="80">
        <f t="shared" si="19"/>
        <v>0</v>
      </c>
      <c r="L30" s="80">
        <f t="shared" si="19"/>
        <v>0</v>
      </c>
      <c r="M30" s="80">
        <f t="shared" si="19"/>
        <v>0</v>
      </c>
      <c r="N30" s="244">
        <f>SUM(B30:M30)</f>
        <v>0</v>
      </c>
    </row>
    <row r="31" spans="1:17" x14ac:dyDescent="0.35">
      <c r="A31" s="238" t="s">
        <v>93</v>
      </c>
      <c r="B31" s="239">
        <f>+'Plan de culture 104 '!$X$31</f>
        <v>0</v>
      </c>
      <c r="C31" s="239">
        <f>+B31</f>
        <v>0</v>
      </c>
      <c r="D31" s="239">
        <f t="shared" ref="D31" si="20">+C31</f>
        <v>0</v>
      </c>
      <c r="E31" s="239">
        <f>+'Plan de culture 104 '!C27</f>
        <v>0</v>
      </c>
      <c r="F31" s="239">
        <f>+E31+'Plan de culture 104 '!D27+'Plan de culture 104 '!E27</f>
        <v>0</v>
      </c>
      <c r="G31" s="239">
        <f>+F31</f>
        <v>0</v>
      </c>
      <c r="H31" s="239">
        <f t="shared" ref="H31:M31" si="21">+G31</f>
        <v>0</v>
      </c>
      <c r="I31" s="239">
        <f t="shared" si="21"/>
        <v>0</v>
      </c>
      <c r="J31" s="239">
        <f t="shared" si="21"/>
        <v>0</v>
      </c>
      <c r="K31" s="239">
        <f t="shared" si="21"/>
        <v>0</v>
      </c>
      <c r="L31" s="239">
        <f t="shared" si="21"/>
        <v>0</v>
      </c>
      <c r="M31" s="239">
        <f t="shared" si="21"/>
        <v>0</v>
      </c>
      <c r="N31" s="240">
        <f>+'Plan de culture 104 '!$X$31</f>
        <v>0</v>
      </c>
    </row>
    <row r="32" spans="1:17" x14ac:dyDescent="0.35">
      <c r="A32" s="238" t="s">
        <v>420</v>
      </c>
      <c r="B32" s="254" t="str">
        <f>IFERROR((B34*B33)/B31,"0,00")</f>
        <v>0,00</v>
      </c>
      <c r="C32" s="254" t="str">
        <f t="shared" ref="C32:M32" si="22">IFERROR((C34*C33)/C31,"0,00")</f>
        <v>0,00</v>
      </c>
      <c r="D32" s="254" t="str">
        <f t="shared" si="22"/>
        <v>0,00</v>
      </c>
      <c r="E32" s="254" t="str">
        <f t="shared" si="22"/>
        <v>0,00</v>
      </c>
      <c r="F32" s="254" t="str">
        <f t="shared" si="22"/>
        <v>0,00</v>
      </c>
      <c r="G32" s="254" t="str">
        <f t="shared" si="22"/>
        <v>0,00</v>
      </c>
      <c r="H32" s="254" t="str">
        <f t="shared" si="22"/>
        <v>0,00</v>
      </c>
      <c r="I32" s="254" t="str">
        <f t="shared" si="22"/>
        <v>0,00</v>
      </c>
      <c r="J32" s="254" t="str">
        <f t="shared" si="22"/>
        <v>0,00</v>
      </c>
      <c r="K32" s="254" t="str">
        <f t="shared" si="22"/>
        <v>0,00</v>
      </c>
      <c r="L32" s="254" t="str">
        <f t="shared" si="22"/>
        <v>0,00</v>
      </c>
      <c r="M32" s="254" t="str">
        <f t="shared" si="22"/>
        <v>0,00</v>
      </c>
      <c r="N32" s="245" t="e">
        <f>+N30/N31</f>
        <v>#DIV/0!</v>
      </c>
    </row>
    <row r="33" spans="1:14" x14ac:dyDescent="0.35">
      <c r="A33" s="250" t="s">
        <v>101</v>
      </c>
      <c r="B33" s="87">
        <v>4.7</v>
      </c>
      <c r="C33" s="87">
        <v>4.7</v>
      </c>
      <c r="D33" s="87">
        <v>4.7</v>
      </c>
      <c r="E33" s="87">
        <v>4.7</v>
      </c>
      <c r="F33" s="87">
        <v>4.7</v>
      </c>
      <c r="G33" s="87">
        <v>4.7</v>
      </c>
      <c r="H33" s="87">
        <v>4.7</v>
      </c>
      <c r="I33" s="87">
        <v>4.7</v>
      </c>
      <c r="J33" s="87">
        <v>4.7</v>
      </c>
      <c r="K33" s="87">
        <v>4.7</v>
      </c>
      <c r="L33" s="87">
        <v>4.7</v>
      </c>
      <c r="M33" s="87">
        <v>4.7</v>
      </c>
      <c r="N33" s="245"/>
    </row>
    <row r="34" spans="1:14" x14ac:dyDescent="0.35">
      <c r="A34" s="250" t="s">
        <v>102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245"/>
    </row>
    <row r="35" spans="1:14" x14ac:dyDescent="0.35">
      <c r="A35" s="235" t="s">
        <v>378</v>
      </c>
      <c r="B35" s="80">
        <f>(B37*B36)</f>
        <v>0</v>
      </c>
      <c r="C35" s="80">
        <f t="shared" ref="C35:M35" si="23">(C37*C36)</f>
        <v>0</v>
      </c>
      <c r="D35" s="80">
        <f t="shared" si="23"/>
        <v>0</v>
      </c>
      <c r="E35" s="80">
        <f t="shared" si="23"/>
        <v>0</v>
      </c>
      <c r="F35" s="80">
        <f t="shared" si="23"/>
        <v>0</v>
      </c>
      <c r="G35" s="80">
        <f t="shared" si="23"/>
        <v>0</v>
      </c>
      <c r="H35" s="80">
        <f t="shared" si="23"/>
        <v>0</v>
      </c>
      <c r="I35" s="80">
        <f t="shared" si="23"/>
        <v>0</v>
      </c>
      <c r="J35" s="80">
        <f t="shared" si="23"/>
        <v>0</v>
      </c>
      <c r="K35" s="80">
        <f t="shared" si="23"/>
        <v>0</v>
      </c>
      <c r="L35" s="80">
        <f t="shared" si="23"/>
        <v>0</v>
      </c>
      <c r="M35" s="80">
        <f t="shared" si="23"/>
        <v>0</v>
      </c>
      <c r="N35" s="244">
        <f>SUM(B35:M35)</f>
        <v>0</v>
      </c>
    </row>
    <row r="36" spans="1:14" x14ac:dyDescent="0.35">
      <c r="A36" s="238" t="s">
        <v>93</v>
      </c>
      <c r="B36" s="239">
        <f>+'Plan de culture 104 '!$X$37</f>
        <v>0</v>
      </c>
      <c r="C36" s="239">
        <f>+B36</f>
        <v>0</v>
      </c>
      <c r="D36" s="239">
        <f t="shared" ref="D36" si="24">+C36</f>
        <v>0</v>
      </c>
      <c r="E36" s="239">
        <f>+'Plan de culture 104 '!C32</f>
        <v>0</v>
      </c>
      <c r="F36" s="239">
        <f>+E36+'Plan de culture 104 '!D32+'Plan de culture 104 '!E32</f>
        <v>0</v>
      </c>
      <c r="G36" s="239">
        <f>+F36</f>
        <v>0</v>
      </c>
      <c r="H36" s="239">
        <f t="shared" ref="H36:M36" si="25">+G36</f>
        <v>0</v>
      </c>
      <c r="I36" s="239">
        <f t="shared" si="25"/>
        <v>0</v>
      </c>
      <c r="J36" s="239">
        <f t="shared" si="25"/>
        <v>0</v>
      </c>
      <c r="K36" s="239">
        <f t="shared" si="25"/>
        <v>0</v>
      </c>
      <c r="L36" s="239">
        <f t="shared" si="25"/>
        <v>0</v>
      </c>
      <c r="M36" s="239">
        <f t="shared" si="25"/>
        <v>0</v>
      </c>
      <c r="N36" s="240">
        <f>+'Plan de culture 104 '!$X$37</f>
        <v>0</v>
      </c>
    </row>
    <row r="37" spans="1:14" x14ac:dyDescent="0.35">
      <c r="A37" s="238" t="s">
        <v>420</v>
      </c>
      <c r="B37" s="254" t="str">
        <f>IFERROR((B39*B38)/B36,"0,00")</f>
        <v>0,00</v>
      </c>
      <c r="C37" s="254" t="str">
        <f t="shared" ref="C37:M37" si="26">IFERROR((C39*C38)/C36,"0,00")</f>
        <v>0,00</v>
      </c>
      <c r="D37" s="254" t="str">
        <f t="shared" si="26"/>
        <v>0,00</v>
      </c>
      <c r="E37" s="254" t="str">
        <f t="shared" si="26"/>
        <v>0,00</v>
      </c>
      <c r="F37" s="254" t="str">
        <f t="shared" si="26"/>
        <v>0,00</v>
      </c>
      <c r="G37" s="254" t="str">
        <f t="shared" si="26"/>
        <v>0,00</v>
      </c>
      <c r="H37" s="254" t="str">
        <f t="shared" si="26"/>
        <v>0,00</v>
      </c>
      <c r="I37" s="254" t="str">
        <f t="shared" si="26"/>
        <v>0,00</v>
      </c>
      <c r="J37" s="254" t="str">
        <f t="shared" si="26"/>
        <v>0,00</v>
      </c>
      <c r="K37" s="254" t="str">
        <f t="shared" si="26"/>
        <v>0,00</v>
      </c>
      <c r="L37" s="254" t="str">
        <f t="shared" si="26"/>
        <v>0,00</v>
      </c>
      <c r="M37" s="254" t="str">
        <f t="shared" si="26"/>
        <v>0,00</v>
      </c>
      <c r="N37" s="245" t="e">
        <f>+N35/N36</f>
        <v>#DIV/0!</v>
      </c>
    </row>
    <row r="38" spans="1:14" x14ac:dyDescent="0.35">
      <c r="A38" s="250" t="s">
        <v>101</v>
      </c>
      <c r="B38" s="87">
        <v>4.7</v>
      </c>
      <c r="C38" s="87">
        <v>4.7</v>
      </c>
      <c r="D38" s="87">
        <v>4.7</v>
      </c>
      <c r="E38" s="87">
        <v>4.7</v>
      </c>
      <c r="F38" s="87">
        <v>4.7</v>
      </c>
      <c r="G38" s="87">
        <v>4.7</v>
      </c>
      <c r="H38" s="87">
        <v>4.7</v>
      </c>
      <c r="I38" s="87">
        <v>4.7</v>
      </c>
      <c r="J38" s="87">
        <v>4.7</v>
      </c>
      <c r="K38" s="87">
        <v>4.7</v>
      </c>
      <c r="L38" s="87">
        <v>4.7</v>
      </c>
      <c r="M38" s="87">
        <v>4.7</v>
      </c>
      <c r="N38" s="245"/>
    </row>
    <row r="39" spans="1:14" ht="12" thickBot="1" x14ac:dyDescent="0.4">
      <c r="A39" s="251" t="s">
        <v>102</v>
      </c>
      <c r="B39" s="88">
        <v>0</v>
      </c>
      <c r="C39" s="88">
        <v>0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245"/>
    </row>
    <row r="40" spans="1:14" s="57" customFormat="1" x14ac:dyDescent="0.35">
      <c r="A40" s="233" t="s">
        <v>422</v>
      </c>
      <c r="B40" s="242">
        <f>+B43+B48+B53+B58+B63+B68</f>
        <v>0</v>
      </c>
      <c r="C40" s="242">
        <f t="shared" ref="C40:M41" si="27">+C43+C48+C53+C58+C63+C68</f>
        <v>0</v>
      </c>
      <c r="D40" s="242">
        <f t="shared" si="27"/>
        <v>0</v>
      </c>
      <c r="E40" s="242">
        <f t="shared" si="27"/>
        <v>0</v>
      </c>
      <c r="F40" s="242">
        <f t="shared" si="27"/>
        <v>0</v>
      </c>
      <c r="G40" s="242">
        <f t="shared" si="27"/>
        <v>0</v>
      </c>
      <c r="H40" s="242">
        <f t="shared" si="27"/>
        <v>0</v>
      </c>
      <c r="I40" s="242">
        <f t="shared" si="27"/>
        <v>0</v>
      </c>
      <c r="J40" s="242">
        <f t="shared" si="27"/>
        <v>0</v>
      </c>
      <c r="K40" s="242">
        <f t="shared" si="27"/>
        <v>0</v>
      </c>
      <c r="L40" s="242">
        <f t="shared" si="27"/>
        <v>0</v>
      </c>
      <c r="M40" s="242">
        <f t="shared" si="27"/>
        <v>0</v>
      </c>
      <c r="N40" s="243">
        <f>SUM(B40:M40)</f>
        <v>0</v>
      </c>
    </row>
    <row r="41" spans="1:14" s="57" customFormat="1" x14ac:dyDescent="0.35">
      <c r="A41" s="234" t="s">
        <v>93</v>
      </c>
      <c r="B41" s="81">
        <f>+B44+B49+B54+B59+B64+B69</f>
        <v>5.3950000000000005</v>
      </c>
      <c r="C41" s="81">
        <f t="shared" si="27"/>
        <v>5.3950000000000005</v>
      </c>
      <c r="D41" s="81">
        <f t="shared" si="27"/>
        <v>5.3950000000000005</v>
      </c>
      <c r="E41" s="81">
        <f t="shared" si="27"/>
        <v>5.3950000000000005</v>
      </c>
      <c r="F41" s="81">
        <f t="shared" si="27"/>
        <v>5.3950000000000005</v>
      </c>
      <c r="G41" s="81">
        <f t="shared" si="27"/>
        <v>5.3950000000000005</v>
      </c>
      <c r="H41" s="81">
        <f t="shared" si="27"/>
        <v>5.3950000000000005</v>
      </c>
      <c r="I41" s="81">
        <f t="shared" si="27"/>
        <v>5.3950000000000005</v>
      </c>
      <c r="J41" s="81">
        <f t="shared" si="27"/>
        <v>5.3950000000000005</v>
      </c>
      <c r="K41" s="81">
        <f t="shared" si="27"/>
        <v>5.3950000000000005</v>
      </c>
      <c r="L41" s="81">
        <f t="shared" si="27"/>
        <v>5.3950000000000005</v>
      </c>
      <c r="M41" s="81">
        <f t="shared" si="27"/>
        <v>5.3950000000000005</v>
      </c>
      <c r="N41" s="248">
        <f>+M41</f>
        <v>5.3950000000000005</v>
      </c>
    </row>
    <row r="42" spans="1:14" s="57" customFormat="1" x14ac:dyDescent="0.35">
      <c r="A42" s="234" t="s">
        <v>420</v>
      </c>
      <c r="B42" s="83">
        <f>+B40/B41</f>
        <v>0</v>
      </c>
      <c r="C42" s="83">
        <f>+C40/C41</f>
        <v>0</v>
      </c>
      <c r="D42" s="83">
        <f>+D40/D41</f>
        <v>0</v>
      </c>
      <c r="E42" s="83">
        <f t="shared" ref="E42:N42" si="28">+E40/E41</f>
        <v>0</v>
      </c>
      <c r="F42" s="83">
        <f t="shared" si="28"/>
        <v>0</v>
      </c>
      <c r="G42" s="83">
        <f t="shared" si="28"/>
        <v>0</v>
      </c>
      <c r="H42" s="83">
        <f t="shared" si="28"/>
        <v>0</v>
      </c>
      <c r="I42" s="83">
        <f t="shared" si="28"/>
        <v>0</v>
      </c>
      <c r="J42" s="83">
        <f t="shared" si="28"/>
        <v>0</v>
      </c>
      <c r="K42" s="83">
        <f t="shared" si="28"/>
        <v>0</v>
      </c>
      <c r="L42" s="83">
        <f t="shared" si="28"/>
        <v>0</v>
      </c>
      <c r="M42" s="83">
        <f t="shared" si="28"/>
        <v>0</v>
      </c>
      <c r="N42" s="249">
        <f t="shared" si="28"/>
        <v>0</v>
      </c>
    </row>
    <row r="43" spans="1:14" x14ac:dyDescent="0.35">
      <c r="A43" s="235" t="s">
        <v>90</v>
      </c>
      <c r="B43" s="80">
        <f>(B45*B44)</f>
        <v>0</v>
      </c>
      <c r="C43" s="80">
        <f t="shared" ref="C43:M43" si="29">(C45*C44)</f>
        <v>0</v>
      </c>
      <c r="D43" s="80">
        <f t="shared" si="29"/>
        <v>0</v>
      </c>
      <c r="E43" s="80">
        <f t="shared" si="29"/>
        <v>0</v>
      </c>
      <c r="F43" s="80">
        <f t="shared" si="29"/>
        <v>0</v>
      </c>
      <c r="G43" s="80">
        <f t="shared" si="29"/>
        <v>0</v>
      </c>
      <c r="H43" s="80">
        <f t="shared" si="29"/>
        <v>0</v>
      </c>
      <c r="I43" s="80">
        <f t="shared" si="29"/>
        <v>0</v>
      </c>
      <c r="J43" s="80">
        <f t="shared" si="29"/>
        <v>0</v>
      </c>
      <c r="K43" s="80">
        <f t="shared" si="29"/>
        <v>0</v>
      </c>
      <c r="L43" s="80">
        <f t="shared" si="29"/>
        <v>0</v>
      </c>
      <c r="M43" s="80">
        <f t="shared" si="29"/>
        <v>0</v>
      </c>
      <c r="N43" s="244">
        <f>SUM(B43:M43)</f>
        <v>0</v>
      </c>
    </row>
    <row r="44" spans="1:14" x14ac:dyDescent="0.35">
      <c r="A44" s="238" t="s">
        <v>93</v>
      </c>
      <c r="B44" s="239">
        <f>+'Plan de culture 105'!$I$7</f>
        <v>0</v>
      </c>
      <c r="C44" s="239">
        <f>+B44</f>
        <v>0</v>
      </c>
      <c r="D44" s="239">
        <f t="shared" ref="D44" si="30">+C44</f>
        <v>0</v>
      </c>
      <c r="E44" s="239">
        <f>+D44</f>
        <v>0</v>
      </c>
      <c r="F44" s="239">
        <f>+E44</f>
        <v>0</v>
      </c>
      <c r="G44" s="239">
        <f>+F44</f>
        <v>0</v>
      </c>
      <c r="H44" s="239">
        <f t="shared" ref="H44:M44" si="31">+G44</f>
        <v>0</v>
      </c>
      <c r="I44" s="239">
        <f t="shared" si="31"/>
        <v>0</v>
      </c>
      <c r="J44" s="239">
        <f t="shared" si="31"/>
        <v>0</v>
      </c>
      <c r="K44" s="239">
        <f t="shared" si="31"/>
        <v>0</v>
      </c>
      <c r="L44" s="239">
        <f t="shared" si="31"/>
        <v>0</v>
      </c>
      <c r="M44" s="239">
        <f t="shared" si="31"/>
        <v>0</v>
      </c>
      <c r="N44" s="240">
        <f>+'Plan de culture 105'!$I$7</f>
        <v>0</v>
      </c>
    </row>
    <row r="45" spans="1:14" x14ac:dyDescent="0.35">
      <c r="A45" s="238" t="s">
        <v>420</v>
      </c>
      <c r="B45" s="254" t="str">
        <f>IFERROR((B47*B46)/B44,"0,00")</f>
        <v>0,00</v>
      </c>
      <c r="C45" s="254" t="str">
        <f t="shared" ref="C45:M45" si="32">IFERROR((C47*C46)/C44,"0,00")</f>
        <v>0,00</v>
      </c>
      <c r="D45" s="254" t="str">
        <f t="shared" si="32"/>
        <v>0,00</v>
      </c>
      <c r="E45" s="254" t="str">
        <f t="shared" si="32"/>
        <v>0,00</v>
      </c>
      <c r="F45" s="254" t="str">
        <f t="shared" si="32"/>
        <v>0,00</v>
      </c>
      <c r="G45" s="254" t="str">
        <f t="shared" si="32"/>
        <v>0,00</v>
      </c>
      <c r="H45" s="254" t="str">
        <f t="shared" si="32"/>
        <v>0,00</v>
      </c>
      <c r="I45" s="254" t="str">
        <f t="shared" si="32"/>
        <v>0,00</v>
      </c>
      <c r="J45" s="254" t="str">
        <f t="shared" si="32"/>
        <v>0,00</v>
      </c>
      <c r="K45" s="254" t="str">
        <f t="shared" si="32"/>
        <v>0,00</v>
      </c>
      <c r="L45" s="254" t="str">
        <f t="shared" si="32"/>
        <v>0,00</v>
      </c>
      <c r="M45" s="254" t="str">
        <f t="shared" si="32"/>
        <v>0,00</v>
      </c>
      <c r="N45" s="245" t="e">
        <f>+N43/N44</f>
        <v>#DIV/0!</v>
      </c>
    </row>
    <row r="46" spans="1:14" x14ac:dyDescent="0.35">
      <c r="A46" s="250" t="s">
        <v>101</v>
      </c>
      <c r="B46" s="87">
        <v>4.7</v>
      </c>
      <c r="C46" s="87">
        <v>4.7</v>
      </c>
      <c r="D46" s="87">
        <v>4.7</v>
      </c>
      <c r="E46" s="87">
        <v>4.7</v>
      </c>
      <c r="F46" s="87">
        <v>4.7</v>
      </c>
      <c r="G46" s="87">
        <v>4.7</v>
      </c>
      <c r="H46" s="87">
        <v>4.7</v>
      </c>
      <c r="I46" s="87">
        <v>4.7</v>
      </c>
      <c r="J46" s="87">
        <v>4.7</v>
      </c>
      <c r="K46" s="87">
        <v>4.7</v>
      </c>
      <c r="L46" s="87">
        <v>4.7</v>
      </c>
      <c r="M46" s="87">
        <v>4.7</v>
      </c>
      <c r="N46" s="245"/>
    </row>
    <row r="47" spans="1:14" x14ac:dyDescent="0.35">
      <c r="A47" s="250" t="s">
        <v>102</v>
      </c>
      <c r="B47" s="88">
        <v>0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245"/>
    </row>
    <row r="48" spans="1:14" x14ac:dyDescent="0.35">
      <c r="A48" s="235" t="s">
        <v>91</v>
      </c>
      <c r="B48" s="80">
        <f>(B50*B49)</f>
        <v>0</v>
      </c>
      <c r="C48" s="80">
        <f t="shared" ref="C48:M48" si="33">(C50*C49)</f>
        <v>0</v>
      </c>
      <c r="D48" s="80">
        <f t="shared" si="33"/>
        <v>0</v>
      </c>
      <c r="E48" s="80">
        <f t="shared" si="33"/>
        <v>0</v>
      </c>
      <c r="F48" s="80">
        <f t="shared" si="33"/>
        <v>0</v>
      </c>
      <c r="G48" s="80">
        <f t="shared" si="33"/>
        <v>0</v>
      </c>
      <c r="H48" s="80">
        <f t="shared" si="33"/>
        <v>0</v>
      </c>
      <c r="I48" s="80">
        <f t="shared" si="33"/>
        <v>0</v>
      </c>
      <c r="J48" s="80">
        <f t="shared" si="33"/>
        <v>0</v>
      </c>
      <c r="K48" s="80">
        <f t="shared" si="33"/>
        <v>0</v>
      </c>
      <c r="L48" s="80">
        <f t="shared" si="33"/>
        <v>0</v>
      </c>
      <c r="M48" s="80">
        <f t="shared" si="33"/>
        <v>0</v>
      </c>
      <c r="N48" s="244">
        <f>SUM(B48:M48)</f>
        <v>0</v>
      </c>
    </row>
    <row r="49" spans="1:14" x14ac:dyDescent="0.35">
      <c r="A49" s="238" t="s">
        <v>93</v>
      </c>
      <c r="B49" s="239">
        <f>+'Plan de culture 105'!$I$13</f>
        <v>5.3950000000000005</v>
      </c>
      <c r="C49" s="239">
        <f>+B49</f>
        <v>5.3950000000000005</v>
      </c>
      <c r="D49" s="239">
        <f t="shared" ref="D49:M49" si="34">+C49</f>
        <v>5.3950000000000005</v>
      </c>
      <c r="E49" s="239">
        <f t="shared" si="34"/>
        <v>5.3950000000000005</v>
      </c>
      <c r="F49" s="239">
        <f t="shared" si="34"/>
        <v>5.3950000000000005</v>
      </c>
      <c r="G49" s="239">
        <f t="shared" si="34"/>
        <v>5.3950000000000005</v>
      </c>
      <c r="H49" s="239">
        <f t="shared" si="34"/>
        <v>5.3950000000000005</v>
      </c>
      <c r="I49" s="239">
        <f t="shared" si="34"/>
        <v>5.3950000000000005</v>
      </c>
      <c r="J49" s="239">
        <f t="shared" si="34"/>
        <v>5.3950000000000005</v>
      </c>
      <c r="K49" s="239">
        <f t="shared" si="34"/>
        <v>5.3950000000000005</v>
      </c>
      <c r="L49" s="239">
        <f t="shared" si="34"/>
        <v>5.3950000000000005</v>
      </c>
      <c r="M49" s="239">
        <f t="shared" si="34"/>
        <v>5.3950000000000005</v>
      </c>
      <c r="N49" s="240">
        <f>+'Plan de culture 105'!$I$13</f>
        <v>5.3950000000000005</v>
      </c>
    </row>
    <row r="50" spans="1:14" x14ac:dyDescent="0.35">
      <c r="A50" s="238" t="s">
        <v>420</v>
      </c>
      <c r="B50" s="254">
        <f>IFERROR((B52*B51)/B49,"0,00")</f>
        <v>0</v>
      </c>
      <c r="C50" s="254">
        <f t="shared" ref="C50:M50" si="35">IFERROR((C52*C51)/C49,"0,00")</f>
        <v>0</v>
      </c>
      <c r="D50" s="254">
        <f t="shared" si="35"/>
        <v>0</v>
      </c>
      <c r="E50" s="254">
        <f t="shared" si="35"/>
        <v>0</v>
      </c>
      <c r="F50" s="254">
        <f t="shared" si="35"/>
        <v>0</v>
      </c>
      <c r="G50" s="254">
        <f t="shared" si="35"/>
        <v>0</v>
      </c>
      <c r="H50" s="254">
        <f t="shared" si="35"/>
        <v>0</v>
      </c>
      <c r="I50" s="254">
        <f t="shared" si="35"/>
        <v>0</v>
      </c>
      <c r="J50" s="254">
        <f t="shared" si="35"/>
        <v>0</v>
      </c>
      <c r="K50" s="254">
        <f t="shared" si="35"/>
        <v>0</v>
      </c>
      <c r="L50" s="254">
        <f t="shared" si="35"/>
        <v>0</v>
      </c>
      <c r="M50" s="254">
        <f t="shared" si="35"/>
        <v>0</v>
      </c>
      <c r="N50" s="245">
        <f>+N48/N49</f>
        <v>0</v>
      </c>
    </row>
    <row r="51" spans="1:14" x14ac:dyDescent="0.35">
      <c r="A51" s="250" t="s">
        <v>101</v>
      </c>
      <c r="B51" s="87">
        <v>4.7</v>
      </c>
      <c r="C51" s="87">
        <v>4.7</v>
      </c>
      <c r="D51" s="87">
        <v>4.7</v>
      </c>
      <c r="E51" s="87">
        <v>4.7</v>
      </c>
      <c r="F51" s="87">
        <v>4.7</v>
      </c>
      <c r="G51" s="87">
        <v>4.7</v>
      </c>
      <c r="H51" s="87">
        <v>4.7</v>
      </c>
      <c r="I51" s="87">
        <v>4.7</v>
      </c>
      <c r="J51" s="87">
        <v>4.7</v>
      </c>
      <c r="K51" s="87">
        <v>4.7</v>
      </c>
      <c r="L51" s="87">
        <v>4.7</v>
      </c>
      <c r="M51" s="87">
        <v>4.7</v>
      </c>
      <c r="N51" s="245"/>
    </row>
    <row r="52" spans="1:14" x14ac:dyDescent="0.35">
      <c r="A52" s="250" t="s">
        <v>102</v>
      </c>
      <c r="B52" s="88">
        <v>0</v>
      </c>
      <c r="C52" s="88">
        <v>0</v>
      </c>
      <c r="D52" s="88">
        <v>0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245"/>
    </row>
    <row r="53" spans="1:14" x14ac:dyDescent="0.35">
      <c r="A53" s="235" t="s">
        <v>376</v>
      </c>
      <c r="B53" s="80">
        <f>(B55*B54)</f>
        <v>0</v>
      </c>
      <c r="C53" s="80">
        <f t="shared" ref="C53:M53" si="36">(C55*C54)</f>
        <v>0</v>
      </c>
      <c r="D53" s="80">
        <f t="shared" si="36"/>
        <v>0</v>
      </c>
      <c r="E53" s="80">
        <f t="shared" si="36"/>
        <v>0</v>
      </c>
      <c r="F53" s="80">
        <f t="shared" si="36"/>
        <v>0</v>
      </c>
      <c r="G53" s="80">
        <f t="shared" si="36"/>
        <v>0</v>
      </c>
      <c r="H53" s="80">
        <f t="shared" si="36"/>
        <v>0</v>
      </c>
      <c r="I53" s="80">
        <f t="shared" si="36"/>
        <v>0</v>
      </c>
      <c r="J53" s="80">
        <f t="shared" si="36"/>
        <v>0</v>
      </c>
      <c r="K53" s="80">
        <f t="shared" si="36"/>
        <v>0</v>
      </c>
      <c r="L53" s="80">
        <f t="shared" si="36"/>
        <v>0</v>
      </c>
      <c r="M53" s="80">
        <f t="shared" si="36"/>
        <v>0</v>
      </c>
      <c r="N53" s="244">
        <f>SUM(B53:M53)</f>
        <v>0</v>
      </c>
    </row>
    <row r="54" spans="1:14" x14ac:dyDescent="0.35">
      <c r="A54" s="238" t="s">
        <v>93</v>
      </c>
      <c r="B54" s="239">
        <f>+'Plan de culture 105'!$I$19</f>
        <v>0</v>
      </c>
      <c r="C54" s="239">
        <f>+B54</f>
        <v>0</v>
      </c>
      <c r="D54" s="239">
        <f t="shared" ref="D54" si="37">+C54</f>
        <v>0</v>
      </c>
      <c r="E54" s="239">
        <f>+'Plan de culture 104 '!C50</f>
        <v>0</v>
      </c>
      <c r="F54" s="239">
        <f>+E54+'Plan de culture 104 '!D50+'Plan de culture 104 '!E50</f>
        <v>0</v>
      </c>
      <c r="G54" s="239">
        <f>+F54</f>
        <v>0</v>
      </c>
      <c r="H54" s="239">
        <f t="shared" ref="H54:M54" si="38">+G54</f>
        <v>0</v>
      </c>
      <c r="I54" s="239">
        <f t="shared" si="38"/>
        <v>0</v>
      </c>
      <c r="J54" s="239">
        <f t="shared" si="38"/>
        <v>0</v>
      </c>
      <c r="K54" s="239">
        <f t="shared" si="38"/>
        <v>0</v>
      </c>
      <c r="L54" s="239">
        <f t="shared" si="38"/>
        <v>0</v>
      </c>
      <c r="M54" s="239">
        <f t="shared" si="38"/>
        <v>0</v>
      </c>
      <c r="N54" s="240">
        <f>+'Plan de culture 105'!$I$19</f>
        <v>0</v>
      </c>
    </row>
    <row r="55" spans="1:14" x14ac:dyDescent="0.35">
      <c r="A55" s="238" t="s">
        <v>420</v>
      </c>
      <c r="B55" s="254" t="str">
        <f>IFERROR((B57*B56)/B54,"0,00")</f>
        <v>0,00</v>
      </c>
      <c r="C55" s="254" t="str">
        <f t="shared" ref="C55:M55" si="39">IFERROR((C57*C56)/C54,"0,00")</f>
        <v>0,00</v>
      </c>
      <c r="D55" s="254" t="str">
        <f t="shared" si="39"/>
        <v>0,00</v>
      </c>
      <c r="E55" s="254" t="str">
        <f t="shared" si="39"/>
        <v>0,00</v>
      </c>
      <c r="F55" s="254" t="str">
        <f t="shared" si="39"/>
        <v>0,00</v>
      </c>
      <c r="G55" s="254" t="str">
        <f t="shared" si="39"/>
        <v>0,00</v>
      </c>
      <c r="H55" s="254" t="str">
        <f t="shared" si="39"/>
        <v>0,00</v>
      </c>
      <c r="I55" s="254" t="str">
        <f t="shared" si="39"/>
        <v>0,00</v>
      </c>
      <c r="J55" s="254" t="str">
        <f t="shared" si="39"/>
        <v>0,00</v>
      </c>
      <c r="K55" s="254" t="str">
        <f t="shared" si="39"/>
        <v>0,00</v>
      </c>
      <c r="L55" s="254" t="str">
        <f t="shared" si="39"/>
        <v>0,00</v>
      </c>
      <c r="M55" s="254" t="str">
        <f t="shared" si="39"/>
        <v>0,00</v>
      </c>
      <c r="N55" s="245" t="e">
        <f>+N53/N54</f>
        <v>#DIV/0!</v>
      </c>
    </row>
    <row r="56" spans="1:14" x14ac:dyDescent="0.35">
      <c r="A56" s="250" t="s">
        <v>101</v>
      </c>
      <c r="B56" s="87">
        <v>4.7</v>
      </c>
      <c r="C56" s="87">
        <v>4.7</v>
      </c>
      <c r="D56" s="87">
        <v>4.7</v>
      </c>
      <c r="E56" s="87">
        <v>4.7</v>
      </c>
      <c r="F56" s="87">
        <v>4.7</v>
      </c>
      <c r="G56" s="87">
        <v>4.7</v>
      </c>
      <c r="H56" s="87">
        <v>4.7</v>
      </c>
      <c r="I56" s="87">
        <v>4.7</v>
      </c>
      <c r="J56" s="87">
        <v>4.7</v>
      </c>
      <c r="K56" s="87">
        <v>4.7</v>
      </c>
      <c r="L56" s="87">
        <v>4.7</v>
      </c>
      <c r="M56" s="87">
        <v>4.7</v>
      </c>
      <c r="N56" s="245"/>
    </row>
    <row r="57" spans="1:14" x14ac:dyDescent="0.35">
      <c r="A57" s="250" t="s">
        <v>102</v>
      </c>
      <c r="B57" s="88">
        <v>0</v>
      </c>
      <c r="C57" s="88">
        <v>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245"/>
    </row>
    <row r="58" spans="1:14" x14ac:dyDescent="0.35">
      <c r="A58" s="235" t="s">
        <v>92</v>
      </c>
      <c r="B58" s="80">
        <f>(B60*B59)</f>
        <v>0</v>
      </c>
      <c r="C58" s="80">
        <f t="shared" ref="C58:M58" si="40">(C60*C59)</f>
        <v>0</v>
      </c>
      <c r="D58" s="80">
        <f t="shared" si="40"/>
        <v>0</v>
      </c>
      <c r="E58" s="80">
        <f t="shared" si="40"/>
        <v>0</v>
      </c>
      <c r="F58" s="80">
        <f t="shared" si="40"/>
        <v>0</v>
      </c>
      <c r="G58" s="80">
        <f t="shared" si="40"/>
        <v>0</v>
      </c>
      <c r="H58" s="80">
        <f t="shared" si="40"/>
        <v>0</v>
      </c>
      <c r="I58" s="80">
        <f t="shared" si="40"/>
        <v>0</v>
      </c>
      <c r="J58" s="80">
        <f t="shared" si="40"/>
        <v>0</v>
      </c>
      <c r="K58" s="80">
        <f t="shared" si="40"/>
        <v>0</v>
      </c>
      <c r="L58" s="80">
        <f t="shared" si="40"/>
        <v>0</v>
      </c>
      <c r="M58" s="80">
        <f t="shared" si="40"/>
        <v>0</v>
      </c>
      <c r="N58" s="244">
        <f>SUM(B58:M58)</f>
        <v>0</v>
      </c>
    </row>
    <row r="59" spans="1:14" x14ac:dyDescent="0.35">
      <c r="A59" s="238" t="s">
        <v>93</v>
      </c>
      <c r="B59" s="239">
        <f>+'Plan de culture 105'!$I$25</f>
        <v>0</v>
      </c>
      <c r="C59" s="239">
        <f>+B59</f>
        <v>0</v>
      </c>
      <c r="D59" s="239">
        <f t="shared" ref="D59" si="41">+C59</f>
        <v>0</v>
      </c>
      <c r="E59" s="239">
        <f>+'Plan de culture 104 '!C55</f>
        <v>0</v>
      </c>
      <c r="F59" s="239">
        <f>+E59+'Plan de culture 104 '!D55+'Plan de culture 104 '!E55</f>
        <v>0</v>
      </c>
      <c r="G59" s="239">
        <f>+F59</f>
        <v>0</v>
      </c>
      <c r="H59" s="239">
        <f t="shared" ref="H59:M59" si="42">+G59</f>
        <v>0</v>
      </c>
      <c r="I59" s="239">
        <f t="shared" si="42"/>
        <v>0</v>
      </c>
      <c r="J59" s="239">
        <f t="shared" si="42"/>
        <v>0</v>
      </c>
      <c r="K59" s="239">
        <f t="shared" si="42"/>
        <v>0</v>
      </c>
      <c r="L59" s="239">
        <f t="shared" si="42"/>
        <v>0</v>
      </c>
      <c r="M59" s="239">
        <f t="shared" si="42"/>
        <v>0</v>
      </c>
      <c r="N59" s="240">
        <f>+'Plan de culture 105'!$I$25</f>
        <v>0</v>
      </c>
    </row>
    <row r="60" spans="1:14" x14ac:dyDescent="0.35">
      <c r="A60" s="238" t="s">
        <v>420</v>
      </c>
      <c r="B60" s="254" t="str">
        <f>IFERROR((B62*B61)/B59,"0,00")</f>
        <v>0,00</v>
      </c>
      <c r="C60" s="254" t="str">
        <f t="shared" ref="C60:M60" si="43">IFERROR((C62*C61)/C59,"0,00")</f>
        <v>0,00</v>
      </c>
      <c r="D60" s="254" t="str">
        <f t="shared" si="43"/>
        <v>0,00</v>
      </c>
      <c r="E60" s="254" t="str">
        <f t="shared" si="43"/>
        <v>0,00</v>
      </c>
      <c r="F60" s="254" t="str">
        <f t="shared" si="43"/>
        <v>0,00</v>
      </c>
      <c r="G60" s="254" t="str">
        <f t="shared" si="43"/>
        <v>0,00</v>
      </c>
      <c r="H60" s="254" t="str">
        <f t="shared" si="43"/>
        <v>0,00</v>
      </c>
      <c r="I60" s="254" t="str">
        <f t="shared" si="43"/>
        <v>0,00</v>
      </c>
      <c r="J60" s="254" t="str">
        <f t="shared" si="43"/>
        <v>0,00</v>
      </c>
      <c r="K60" s="254" t="str">
        <f t="shared" si="43"/>
        <v>0,00</v>
      </c>
      <c r="L60" s="254" t="str">
        <f t="shared" si="43"/>
        <v>0,00</v>
      </c>
      <c r="M60" s="254" t="str">
        <f t="shared" si="43"/>
        <v>0,00</v>
      </c>
      <c r="N60" s="245" t="e">
        <f>+N58/N59</f>
        <v>#DIV/0!</v>
      </c>
    </row>
    <row r="61" spans="1:14" x14ac:dyDescent="0.35">
      <c r="A61" s="250" t="s">
        <v>101</v>
      </c>
      <c r="B61" s="87">
        <v>4.7</v>
      </c>
      <c r="C61" s="87">
        <v>4.7</v>
      </c>
      <c r="D61" s="87">
        <v>4.7</v>
      </c>
      <c r="E61" s="87">
        <v>4.7</v>
      </c>
      <c r="F61" s="87">
        <v>4.7</v>
      </c>
      <c r="G61" s="87">
        <v>4.7</v>
      </c>
      <c r="H61" s="87">
        <v>4.7</v>
      </c>
      <c r="I61" s="87">
        <v>4.7</v>
      </c>
      <c r="J61" s="87">
        <v>4.7</v>
      </c>
      <c r="K61" s="87">
        <v>4.7</v>
      </c>
      <c r="L61" s="87">
        <v>4.7</v>
      </c>
      <c r="M61" s="87">
        <v>4.7</v>
      </c>
      <c r="N61" s="245"/>
    </row>
    <row r="62" spans="1:14" x14ac:dyDescent="0.35">
      <c r="A62" s="250" t="s">
        <v>102</v>
      </c>
      <c r="B62" s="88">
        <v>0</v>
      </c>
      <c r="C62" s="88">
        <v>0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245"/>
    </row>
    <row r="63" spans="1:14" x14ac:dyDescent="0.35">
      <c r="A63" s="235" t="s">
        <v>377</v>
      </c>
      <c r="B63" s="80">
        <f>(B65*B64)</f>
        <v>0</v>
      </c>
      <c r="C63" s="80">
        <f t="shared" ref="C63:M63" si="44">(C65*C64)</f>
        <v>0</v>
      </c>
      <c r="D63" s="80">
        <f t="shared" si="44"/>
        <v>0</v>
      </c>
      <c r="E63" s="80">
        <f t="shared" si="44"/>
        <v>0</v>
      </c>
      <c r="F63" s="80">
        <f t="shared" si="44"/>
        <v>0</v>
      </c>
      <c r="G63" s="80">
        <f t="shared" si="44"/>
        <v>0</v>
      </c>
      <c r="H63" s="80">
        <f t="shared" si="44"/>
        <v>0</v>
      </c>
      <c r="I63" s="80">
        <f t="shared" si="44"/>
        <v>0</v>
      </c>
      <c r="J63" s="80">
        <f t="shared" si="44"/>
        <v>0</v>
      </c>
      <c r="K63" s="80">
        <f t="shared" si="44"/>
        <v>0</v>
      </c>
      <c r="L63" s="80">
        <f t="shared" si="44"/>
        <v>0</v>
      </c>
      <c r="M63" s="80">
        <f t="shared" si="44"/>
        <v>0</v>
      </c>
      <c r="N63" s="244">
        <f>SUM(B63:M63)</f>
        <v>0</v>
      </c>
    </row>
    <row r="64" spans="1:14" x14ac:dyDescent="0.35">
      <c r="A64" s="238" t="s">
        <v>93</v>
      </c>
      <c r="B64" s="239">
        <f>+'Plan de culture 105'!$I$31</f>
        <v>0</v>
      </c>
      <c r="C64" s="239">
        <f>+B64</f>
        <v>0</v>
      </c>
      <c r="D64" s="239">
        <f t="shared" ref="D64" si="45">+C64</f>
        <v>0</v>
      </c>
      <c r="E64" s="239">
        <f>+'Plan de culture 104 '!C60</f>
        <v>0</v>
      </c>
      <c r="F64" s="239">
        <f>+E64+'Plan de culture 104 '!D60+'Plan de culture 104 '!E60</f>
        <v>0</v>
      </c>
      <c r="G64" s="239">
        <f>+F64</f>
        <v>0</v>
      </c>
      <c r="H64" s="239">
        <f t="shared" ref="H64:M64" si="46">+G64</f>
        <v>0</v>
      </c>
      <c r="I64" s="239">
        <f t="shared" si="46"/>
        <v>0</v>
      </c>
      <c r="J64" s="239">
        <f t="shared" si="46"/>
        <v>0</v>
      </c>
      <c r="K64" s="239">
        <f t="shared" si="46"/>
        <v>0</v>
      </c>
      <c r="L64" s="239">
        <f t="shared" si="46"/>
        <v>0</v>
      </c>
      <c r="M64" s="239">
        <f t="shared" si="46"/>
        <v>0</v>
      </c>
      <c r="N64" s="240">
        <f>+'Plan de culture 105'!$I$31</f>
        <v>0</v>
      </c>
    </row>
    <row r="65" spans="1:14" x14ac:dyDescent="0.35">
      <c r="A65" s="238" t="s">
        <v>420</v>
      </c>
      <c r="B65" s="254" t="str">
        <f>IFERROR((B67*B66)/B64,"0,00")</f>
        <v>0,00</v>
      </c>
      <c r="C65" s="254" t="str">
        <f t="shared" ref="C65:M65" si="47">IFERROR((C67*C66)/C64,"0,00")</f>
        <v>0,00</v>
      </c>
      <c r="D65" s="254" t="str">
        <f t="shared" si="47"/>
        <v>0,00</v>
      </c>
      <c r="E65" s="254" t="str">
        <f t="shared" si="47"/>
        <v>0,00</v>
      </c>
      <c r="F65" s="254" t="str">
        <f t="shared" si="47"/>
        <v>0,00</v>
      </c>
      <c r="G65" s="254" t="str">
        <f t="shared" si="47"/>
        <v>0,00</v>
      </c>
      <c r="H65" s="254" t="str">
        <f t="shared" si="47"/>
        <v>0,00</v>
      </c>
      <c r="I65" s="254" t="str">
        <f t="shared" si="47"/>
        <v>0,00</v>
      </c>
      <c r="J65" s="254" t="str">
        <f t="shared" si="47"/>
        <v>0,00</v>
      </c>
      <c r="K65" s="254" t="str">
        <f t="shared" si="47"/>
        <v>0,00</v>
      </c>
      <c r="L65" s="254" t="str">
        <f t="shared" si="47"/>
        <v>0,00</v>
      </c>
      <c r="M65" s="254" t="str">
        <f t="shared" si="47"/>
        <v>0,00</v>
      </c>
      <c r="N65" s="245" t="e">
        <f>+N63/N64</f>
        <v>#DIV/0!</v>
      </c>
    </row>
    <row r="66" spans="1:14" x14ac:dyDescent="0.35">
      <c r="A66" s="250" t="s">
        <v>101</v>
      </c>
      <c r="B66" s="87">
        <v>4.7</v>
      </c>
      <c r="C66" s="87">
        <v>4.7</v>
      </c>
      <c r="D66" s="87">
        <v>4.7</v>
      </c>
      <c r="E66" s="87">
        <v>4.7</v>
      </c>
      <c r="F66" s="87">
        <v>4.7</v>
      </c>
      <c r="G66" s="87">
        <v>4.7</v>
      </c>
      <c r="H66" s="87">
        <v>4.7</v>
      </c>
      <c r="I66" s="87">
        <v>4.7</v>
      </c>
      <c r="J66" s="87">
        <v>4.7</v>
      </c>
      <c r="K66" s="87">
        <v>4.7</v>
      </c>
      <c r="L66" s="87">
        <v>4.7</v>
      </c>
      <c r="M66" s="87">
        <v>4.7</v>
      </c>
      <c r="N66" s="245"/>
    </row>
    <row r="67" spans="1:14" x14ac:dyDescent="0.35">
      <c r="A67" s="250" t="s">
        <v>102</v>
      </c>
      <c r="B67" s="88">
        <v>0</v>
      </c>
      <c r="C67" s="88">
        <v>0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245"/>
    </row>
    <row r="68" spans="1:14" x14ac:dyDescent="0.35">
      <c r="A68" s="235" t="s">
        <v>378</v>
      </c>
      <c r="B68" s="80">
        <f>(B70*B69)</f>
        <v>0</v>
      </c>
      <c r="C68" s="80">
        <f t="shared" ref="C68:M68" si="48">(C70*C69)</f>
        <v>0</v>
      </c>
      <c r="D68" s="80">
        <f t="shared" si="48"/>
        <v>0</v>
      </c>
      <c r="E68" s="80">
        <f t="shared" si="48"/>
        <v>0</v>
      </c>
      <c r="F68" s="80">
        <f t="shared" si="48"/>
        <v>0</v>
      </c>
      <c r="G68" s="80">
        <f t="shared" si="48"/>
        <v>0</v>
      </c>
      <c r="H68" s="80">
        <f t="shared" si="48"/>
        <v>0</v>
      </c>
      <c r="I68" s="80">
        <f t="shared" si="48"/>
        <v>0</v>
      </c>
      <c r="J68" s="80">
        <f t="shared" si="48"/>
        <v>0</v>
      </c>
      <c r="K68" s="80">
        <f t="shared" si="48"/>
        <v>0</v>
      </c>
      <c r="L68" s="80">
        <f t="shared" si="48"/>
        <v>0</v>
      </c>
      <c r="M68" s="80">
        <f t="shared" si="48"/>
        <v>0</v>
      </c>
      <c r="N68" s="244">
        <f>SUM(B68:M68)</f>
        <v>0</v>
      </c>
    </row>
    <row r="69" spans="1:14" x14ac:dyDescent="0.35">
      <c r="A69" s="238" t="s">
        <v>93</v>
      </c>
      <c r="B69" s="239">
        <f>+'Plan de culture 105'!$I$37</f>
        <v>0</v>
      </c>
      <c r="C69" s="239">
        <f>+B69</f>
        <v>0</v>
      </c>
      <c r="D69" s="239">
        <f t="shared" ref="D69" si="49">+C69</f>
        <v>0</v>
      </c>
      <c r="E69" s="239">
        <f>+'Plan de culture 104 '!C65</f>
        <v>0</v>
      </c>
      <c r="F69" s="239">
        <f>+E69+'Plan de culture 104 '!D65+'Plan de culture 104 '!E65</f>
        <v>0</v>
      </c>
      <c r="G69" s="239">
        <f>+F69</f>
        <v>0</v>
      </c>
      <c r="H69" s="239">
        <f t="shared" ref="H69:M69" si="50">+G69</f>
        <v>0</v>
      </c>
      <c r="I69" s="239">
        <f t="shared" si="50"/>
        <v>0</v>
      </c>
      <c r="J69" s="239">
        <f t="shared" si="50"/>
        <v>0</v>
      </c>
      <c r="K69" s="239">
        <f t="shared" si="50"/>
        <v>0</v>
      </c>
      <c r="L69" s="239">
        <f t="shared" si="50"/>
        <v>0</v>
      </c>
      <c r="M69" s="239">
        <f t="shared" si="50"/>
        <v>0</v>
      </c>
      <c r="N69" s="240">
        <f>+'Plan de culture 105'!$I$37</f>
        <v>0</v>
      </c>
    </row>
    <row r="70" spans="1:14" x14ac:dyDescent="0.35">
      <c r="A70" s="238" t="s">
        <v>420</v>
      </c>
      <c r="B70" s="254" t="str">
        <f>IFERROR((B72*B71)/B69,"0,00")</f>
        <v>0,00</v>
      </c>
      <c r="C70" s="254" t="str">
        <f t="shared" ref="C70:M70" si="51">IFERROR((C72*C71)/C69,"0,00")</f>
        <v>0,00</v>
      </c>
      <c r="D70" s="254" t="str">
        <f t="shared" si="51"/>
        <v>0,00</v>
      </c>
      <c r="E70" s="254" t="str">
        <f t="shared" si="51"/>
        <v>0,00</v>
      </c>
      <c r="F70" s="254" t="str">
        <f t="shared" si="51"/>
        <v>0,00</v>
      </c>
      <c r="G70" s="254" t="str">
        <f t="shared" si="51"/>
        <v>0,00</v>
      </c>
      <c r="H70" s="254" t="str">
        <f t="shared" si="51"/>
        <v>0,00</v>
      </c>
      <c r="I70" s="254" t="str">
        <f t="shared" si="51"/>
        <v>0,00</v>
      </c>
      <c r="J70" s="254" t="str">
        <f t="shared" si="51"/>
        <v>0,00</v>
      </c>
      <c r="K70" s="254" t="str">
        <f t="shared" si="51"/>
        <v>0,00</v>
      </c>
      <c r="L70" s="254" t="str">
        <f t="shared" si="51"/>
        <v>0,00</v>
      </c>
      <c r="M70" s="254" t="str">
        <f t="shared" si="51"/>
        <v>0,00</v>
      </c>
      <c r="N70" s="245" t="e">
        <f>+N68/N69</f>
        <v>#DIV/0!</v>
      </c>
    </row>
    <row r="71" spans="1:14" x14ac:dyDescent="0.35">
      <c r="A71" s="250" t="s">
        <v>101</v>
      </c>
      <c r="B71" s="87">
        <v>4.7</v>
      </c>
      <c r="C71" s="87">
        <v>4.7</v>
      </c>
      <c r="D71" s="87">
        <v>4.7</v>
      </c>
      <c r="E71" s="87">
        <v>4.7</v>
      </c>
      <c r="F71" s="87">
        <v>4.7</v>
      </c>
      <c r="G71" s="87">
        <v>4.7</v>
      </c>
      <c r="H71" s="87">
        <v>4.7</v>
      </c>
      <c r="I71" s="87">
        <v>4.7</v>
      </c>
      <c r="J71" s="87">
        <v>4.7</v>
      </c>
      <c r="K71" s="87">
        <v>4.7</v>
      </c>
      <c r="L71" s="87">
        <v>4.7</v>
      </c>
      <c r="M71" s="87">
        <v>4.7</v>
      </c>
      <c r="N71" s="245"/>
    </row>
    <row r="72" spans="1:14" ht="12" thickBot="1" x14ac:dyDescent="0.4">
      <c r="A72" s="251" t="s">
        <v>102</v>
      </c>
      <c r="B72" s="88">
        <v>0</v>
      </c>
      <c r="C72" s="88">
        <v>0</v>
      </c>
      <c r="D72" s="88">
        <v>0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245"/>
    </row>
    <row r="73" spans="1:14" s="57" customFormat="1" x14ac:dyDescent="0.35">
      <c r="A73" s="233" t="s">
        <v>423</v>
      </c>
      <c r="B73" s="242">
        <f>+B76+B81+B86+B91+B96+B101</f>
        <v>0</v>
      </c>
      <c r="C73" s="242">
        <f t="shared" ref="C73:M74" si="52">+C76+C81+C86+C91+C96+C101</f>
        <v>0</v>
      </c>
      <c r="D73" s="242">
        <f t="shared" si="52"/>
        <v>0</v>
      </c>
      <c r="E73" s="242">
        <f t="shared" si="52"/>
        <v>0</v>
      </c>
      <c r="F73" s="242">
        <f t="shared" si="52"/>
        <v>0</v>
      </c>
      <c r="G73" s="242">
        <f t="shared" si="52"/>
        <v>0</v>
      </c>
      <c r="H73" s="242">
        <f t="shared" si="52"/>
        <v>0</v>
      </c>
      <c r="I73" s="242">
        <f t="shared" si="52"/>
        <v>0</v>
      </c>
      <c r="J73" s="242">
        <f t="shared" si="52"/>
        <v>0</v>
      </c>
      <c r="K73" s="242">
        <f t="shared" si="52"/>
        <v>0</v>
      </c>
      <c r="L73" s="242">
        <f t="shared" si="52"/>
        <v>0</v>
      </c>
      <c r="M73" s="242">
        <f t="shared" si="52"/>
        <v>0</v>
      </c>
      <c r="N73" s="243">
        <f>SUM(B73:M73)</f>
        <v>0</v>
      </c>
    </row>
    <row r="74" spans="1:14" s="57" customFormat="1" x14ac:dyDescent="0.35">
      <c r="A74" s="234" t="s">
        <v>93</v>
      </c>
      <c r="B74" s="81">
        <f>+B77+B82+B87+B92+B97+B102</f>
        <v>5.5750000000000002</v>
      </c>
      <c r="C74" s="81">
        <f t="shared" si="52"/>
        <v>5.5750000000000002</v>
      </c>
      <c r="D74" s="81">
        <f t="shared" si="52"/>
        <v>5.5750000000000002</v>
      </c>
      <c r="E74" s="81">
        <f t="shared" si="52"/>
        <v>5.5750000000000002</v>
      </c>
      <c r="F74" s="81">
        <f t="shared" si="52"/>
        <v>5.5750000000000002</v>
      </c>
      <c r="G74" s="81">
        <f t="shared" si="52"/>
        <v>5.5750000000000002</v>
      </c>
      <c r="H74" s="81">
        <f t="shared" si="52"/>
        <v>5.5750000000000002</v>
      </c>
      <c r="I74" s="81">
        <f t="shared" si="52"/>
        <v>5.5750000000000002</v>
      </c>
      <c r="J74" s="81">
        <f t="shared" si="52"/>
        <v>5.5750000000000002</v>
      </c>
      <c r="K74" s="81">
        <f t="shared" si="52"/>
        <v>5.5750000000000002</v>
      </c>
      <c r="L74" s="81">
        <f t="shared" si="52"/>
        <v>5.5750000000000002</v>
      </c>
      <c r="M74" s="81">
        <f t="shared" si="52"/>
        <v>5.5750000000000002</v>
      </c>
      <c r="N74" s="248">
        <f>+M74</f>
        <v>5.5750000000000002</v>
      </c>
    </row>
    <row r="75" spans="1:14" s="57" customFormat="1" x14ac:dyDescent="0.35">
      <c r="A75" s="234" t="s">
        <v>420</v>
      </c>
      <c r="B75" s="83">
        <f>+B73/B74</f>
        <v>0</v>
      </c>
      <c r="C75" s="83">
        <f>+C73/C74</f>
        <v>0</v>
      </c>
      <c r="D75" s="83">
        <f>+D73/D74</f>
        <v>0</v>
      </c>
      <c r="E75" s="83">
        <f t="shared" ref="E75:N75" si="53">+E73/E74</f>
        <v>0</v>
      </c>
      <c r="F75" s="83">
        <f t="shared" si="53"/>
        <v>0</v>
      </c>
      <c r="G75" s="83">
        <f t="shared" si="53"/>
        <v>0</v>
      </c>
      <c r="H75" s="83">
        <f t="shared" si="53"/>
        <v>0</v>
      </c>
      <c r="I75" s="83">
        <f t="shared" si="53"/>
        <v>0</v>
      </c>
      <c r="J75" s="83">
        <f t="shared" si="53"/>
        <v>0</v>
      </c>
      <c r="K75" s="83">
        <f t="shared" si="53"/>
        <v>0</v>
      </c>
      <c r="L75" s="83">
        <f t="shared" si="53"/>
        <v>0</v>
      </c>
      <c r="M75" s="83">
        <f t="shared" si="53"/>
        <v>0</v>
      </c>
      <c r="N75" s="249">
        <f t="shared" si="53"/>
        <v>0</v>
      </c>
    </row>
    <row r="76" spans="1:14" x14ac:dyDescent="0.35">
      <c r="A76" s="235" t="s">
        <v>90</v>
      </c>
      <c r="B76" s="80">
        <f>(B78*B77)</f>
        <v>0</v>
      </c>
      <c r="C76" s="80">
        <f t="shared" ref="C76:M76" si="54">(C78*C77)</f>
        <v>0</v>
      </c>
      <c r="D76" s="80">
        <f t="shared" si="54"/>
        <v>0</v>
      </c>
      <c r="E76" s="80">
        <f t="shared" si="54"/>
        <v>0</v>
      </c>
      <c r="F76" s="80">
        <f t="shared" si="54"/>
        <v>0</v>
      </c>
      <c r="G76" s="80">
        <f t="shared" si="54"/>
        <v>0</v>
      </c>
      <c r="H76" s="80">
        <f t="shared" si="54"/>
        <v>0</v>
      </c>
      <c r="I76" s="80">
        <f t="shared" si="54"/>
        <v>0</v>
      </c>
      <c r="J76" s="80">
        <f t="shared" si="54"/>
        <v>0</v>
      </c>
      <c r="K76" s="80">
        <f t="shared" si="54"/>
        <v>0</v>
      </c>
      <c r="L76" s="80">
        <f t="shared" si="54"/>
        <v>0</v>
      </c>
      <c r="M76" s="80">
        <f t="shared" si="54"/>
        <v>0</v>
      </c>
      <c r="N76" s="244">
        <f>SUM(B76:M76)</f>
        <v>0</v>
      </c>
    </row>
    <row r="77" spans="1:14" x14ac:dyDescent="0.35">
      <c r="A77" s="238" t="s">
        <v>93</v>
      </c>
      <c r="B77" s="239">
        <f>+'Plan de culture 106'!$J$7</f>
        <v>0</v>
      </c>
      <c r="C77" s="239">
        <f>+B77</f>
        <v>0</v>
      </c>
      <c r="D77" s="239">
        <f t="shared" ref="D77" si="55">+C77</f>
        <v>0</v>
      </c>
      <c r="E77" s="239">
        <f>+D77</f>
        <v>0</v>
      </c>
      <c r="F77" s="239">
        <f>+E77</f>
        <v>0</v>
      </c>
      <c r="G77" s="239">
        <f>+F77</f>
        <v>0</v>
      </c>
      <c r="H77" s="239">
        <f t="shared" ref="H77:M77" si="56">+G77</f>
        <v>0</v>
      </c>
      <c r="I77" s="239">
        <f t="shared" si="56"/>
        <v>0</v>
      </c>
      <c r="J77" s="239">
        <f t="shared" si="56"/>
        <v>0</v>
      </c>
      <c r="K77" s="239">
        <f t="shared" si="56"/>
        <v>0</v>
      </c>
      <c r="L77" s="239">
        <f t="shared" si="56"/>
        <v>0</v>
      </c>
      <c r="M77" s="239">
        <f t="shared" si="56"/>
        <v>0</v>
      </c>
      <c r="N77" s="240">
        <f>+'Plan de culture 106'!$J$7</f>
        <v>0</v>
      </c>
    </row>
    <row r="78" spans="1:14" x14ac:dyDescent="0.35">
      <c r="A78" s="238" t="s">
        <v>420</v>
      </c>
      <c r="B78" s="254" t="str">
        <f>IFERROR((B80*B79)/B77,"0,00")</f>
        <v>0,00</v>
      </c>
      <c r="C78" s="254" t="str">
        <f t="shared" ref="C78:M78" si="57">IFERROR((C80*C79)/C77,"0,00")</f>
        <v>0,00</v>
      </c>
      <c r="D78" s="254" t="str">
        <f t="shared" si="57"/>
        <v>0,00</v>
      </c>
      <c r="E78" s="254" t="str">
        <f t="shared" si="57"/>
        <v>0,00</v>
      </c>
      <c r="F78" s="254" t="str">
        <f t="shared" si="57"/>
        <v>0,00</v>
      </c>
      <c r="G78" s="254" t="str">
        <f t="shared" si="57"/>
        <v>0,00</v>
      </c>
      <c r="H78" s="254" t="str">
        <f t="shared" si="57"/>
        <v>0,00</v>
      </c>
      <c r="I78" s="254" t="str">
        <f t="shared" si="57"/>
        <v>0,00</v>
      </c>
      <c r="J78" s="254" t="str">
        <f t="shared" si="57"/>
        <v>0,00</v>
      </c>
      <c r="K78" s="254" t="str">
        <f t="shared" si="57"/>
        <v>0,00</v>
      </c>
      <c r="L78" s="254" t="str">
        <f t="shared" si="57"/>
        <v>0,00</v>
      </c>
      <c r="M78" s="254" t="str">
        <f t="shared" si="57"/>
        <v>0,00</v>
      </c>
      <c r="N78" s="245" t="e">
        <f>+N76/N77</f>
        <v>#DIV/0!</v>
      </c>
    </row>
    <row r="79" spans="1:14" x14ac:dyDescent="0.35">
      <c r="A79" s="250" t="s">
        <v>101</v>
      </c>
      <c r="B79" s="87">
        <v>4.7</v>
      </c>
      <c r="C79" s="87">
        <v>4.7</v>
      </c>
      <c r="D79" s="87">
        <v>4.7</v>
      </c>
      <c r="E79" s="87">
        <v>4.7</v>
      </c>
      <c r="F79" s="87">
        <v>4.7</v>
      </c>
      <c r="G79" s="87">
        <v>4.7</v>
      </c>
      <c r="H79" s="87">
        <v>4.7</v>
      </c>
      <c r="I79" s="87">
        <v>4.7</v>
      </c>
      <c r="J79" s="87">
        <v>4.7</v>
      </c>
      <c r="K79" s="87">
        <v>4.7</v>
      </c>
      <c r="L79" s="87">
        <v>4.7</v>
      </c>
      <c r="M79" s="87">
        <v>4.7</v>
      </c>
      <c r="N79" s="245"/>
    </row>
    <row r="80" spans="1:14" x14ac:dyDescent="0.35">
      <c r="A80" s="250" t="s">
        <v>102</v>
      </c>
      <c r="B80" s="88">
        <v>0</v>
      </c>
      <c r="C80" s="88">
        <v>0</v>
      </c>
      <c r="D80" s="88">
        <v>0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245"/>
    </row>
    <row r="81" spans="1:14" x14ac:dyDescent="0.35">
      <c r="A81" s="235" t="s">
        <v>91</v>
      </c>
      <c r="B81" s="80">
        <f>(B83*B82)</f>
        <v>0</v>
      </c>
      <c r="C81" s="80">
        <f t="shared" ref="C81:M81" si="58">(C83*C82)</f>
        <v>0</v>
      </c>
      <c r="D81" s="80">
        <f t="shared" si="58"/>
        <v>0</v>
      </c>
      <c r="E81" s="80">
        <f t="shared" si="58"/>
        <v>0</v>
      </c>
      <c r="F81" s="80">
        <f t="shared" si="58"/>
        <v>0</v>
      </c>
      <c r="G81" s="80">
        <f t="shared" si="58"/>
        <v>0</v>
      </c>
      <c r="H81" s="80">
        <f t="shared" si="58"/>
        <v>0</v>
      </c>
      <c r="I81" s="80">
        <f t="shared" si="58"/>
        <v>0</v>
      </c>
      <c r="J81" s="80">
        <f t="shared" si="58"/>
        <v>0</v>
      </c>
      <c r="K81" s="80">
        <f t="shared" si="58"/>
        <v>0</v>
      </c>
      <c r="L81" s="80">
        <f t="shared" si="58"/>
        <v>0</v>
      </c>
      <c r="M81" s="80">
        <f t="shared" si="58"/>
        <v>0</v>
      </c>
      <c r="N81" s="244">
        <f>SUM(B81:M81)</f>
        <v>0</v>
      </c>
    </row>
    <row r="82" spans="1:14" x14ac:dyDescent="0.35">
      <c r="A82" s="238" t="s">
        <v>93</v>
      </c>
      <c r="B82" s="239">
        <f>+'Plan de culture 106'!$J$13</f>
        <v>0</v>
      </c>
      <c r="C82" s="239">
        <f>+B82</f>
        <v>0</v>
      </c>
      <c r="D82" s="239">
        <f t="shared" ref="D82:M82" si="59">+C82</f>
        <v>0</v>
      </c>
      <c r="E82" s="239">
        <f t="shared" si="59"/>
        <v>0</v>
      </c>
      <c r="F82" s="239">
        <f t="shared" si="59"/>
        <v>0</v>
      </c>
      <c r="G82" s="239">
        <f t="shared" si="59"/>
        <v>0</v>
      </c>
      <c r="H82" s="239">
        <f t="shared" si="59"/>
        <v>0</v>
      </c>
      <c r="I82" s="239">
        <f t="shared" si="59"/>
        <v>0</v>
      </c>
      <c r="J82" s="239">
        <f t="shared" si="59"/>
        <v>0</v>
      </c>
      <c r="K82" s="239">
        <f t="shared" si="59"/>
        <v>0</v>
      </c>
      <c r="L82" s="239">
        <f t="shared" si="59"/>
        <v>0</v>
      </c>
      <c r="M82" s="239">
        <f t="shared" si="59"/>
        <v>0</v>
      </c>
      <c r="N82" s="240">
        <f>+'Plan de culture 106'!$J$13</f>
        <v>0</v>
      </c>
    </row>
    <row r="83" spans="1:14" x14ac:dyDescent="0.35">
      <c r="A83" s="238" t="s">
        <v>420</v>
      </c>
      <c r="B83" s="254" t="str">
        <f>IFERROR((B85*B84)/B82,"0,00")</f>
        <v>0,00</v>
      </c>
      <c r="C83" s="254" t="str">
        <f t="shared" ref="C83:M83" si="60">IFERROR((C85*C84)/C82,"0,00")</f>
        <v>0,00</v>
      </c>
      <c r="D83" s="254" t="str">
        <f t="shared" si="60"/>
        <v>0,00</v>
      </c>
      <c r="E83" s="254" t="str">
        <f t="shared" si="60"/>
        <v>0,00</v>
      </c>
      <c r="F83" s="254" t="str">
        <f t="shared" si="60"/>
        <v>0,00</v>
      </c>
      <c r="G83" s="254" t="str">
        <f t="shared" si="60"/>
        <v>0,00</v>
      </c>
      <c r="H83" s="254" t="str">
        <f t="shared" si="60"/>
        <v>0,00</v>
      </c>
      <c r="I83" s="254" t="str">
        <f t="shared" si="60"/>
        <v>0,00</v>
      </c>
      <c r="J83" s="254" t="str">
        <f t="shared" si="60"/>
        <v>0,00</v>
      </c>
      <c r="K83" s="254" t="str">
        <f t="shared" si="60"/>
        <v>0,00</v>
      </c>
      <c r="L83" s="254" t="str">
        <f t="shared" si="60"/>
        <v>0,00</v>
      </c>
      <c r="M83" s="254" t="str">
        <f t="shared" si="60"/>
        <v>0,00</v>
      </c>
      <c r="N83" s="245" t="e">
        <f>+N81/N82</f>
        <v>#DIV/0!</v>
      </c>
    </row>
    <row r="84" spans="1:14" x14ac:dyDescent="0.35">
      <c r="A84" s="250" t="s">
        <v>101</v>
      </c>
      <c r="B84" s="87">
        <v>4.7</v>
      </c>
      <c r="C84" s="87">
        <v>4.7</v>
      </c>
      <c r="D84" s="87">
        <v>4.7</v>
      </c>
      <c r="E84" s="87">
        <v>4.7</v>
      </c>
      <c r="F84" s="87">
        <v>4.7</v>
      </c>
      <c r="G84" s="87">
        <v>4.7</v>
      </c>
      <c r="H84" s="87">
        <v>4.7</v>
      </c>
      <c r="I84" s="87">
        <v>4.7</v>
      </c>
      <c r="J84" s="87">
        <v>4.7</v>
      </c>
      <c r="K84" s="87">
        <v>4.7</v>
      </c>
      <c r="L84" s="87">
        <v>4.7</v>
      </c>
      <c r="M84" s="87">
        <v>4.7</v>
      </c>
      <c r="N84" s="245"/>
    </row>
    <row r="85" spans="1:14" x14ac:dyDescent="0.35">
      <c r="A85" s="250" t="s">
        <v>102</v>
      </c>
      <c r="B85" s="88">
        <v>0</v>
      </c>
      <c r="C85" s="88">
        <v>0</v>
      </c>
      <c r="D85" s="88">
        <v>0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245"/>
    </row>
    <row r="86" spans="1:14" x14ac:dyDescent="0.35">
      <c r="A86" s="235" t="s">
        <v>376</v>
      </c>
      <c r="B86" s="80">
        <f>(B88*B87)</f>
        <v>0</v>
      </c>
      <c r="C86" s="80">
        <f t="shared" ref="C86:M86" si="61">(C88*C87)</f>
        <v>0</v>
      </c>
      <c r="D86" s="80">
        <f t="shared" si="61"/>
        <v>0</v>
      </c>
      <c r="E86" s="80">
        <f t="shared" si="61"/>
        <v>0</v>
      </c>
      <c r="F86" s="80">
        <f t="shared" si="61"/>
        <v>0</v>
      </c>
      <c r="G86" s="80">
        <f t="shared" si="61"/>
        <v>0</v>
      </c>
      <c r="H86" s="80">
        <f t="shared" si="61"/>
        <v>0</v>
      </c>
      <c r="I86" s="80">
        <f t="shared" si="61"/>
        <v>0</v>
      </c>
      <c r="J86" s="80">
        <f t="shared" si="61"/>
        <v>0</v>
      </c>
      <c r="K86" s="80">
        <f t="shared" si="61"/>
        <v>0</v>
      </c>
      <c r="L86" s="80">
        <f t="shared" si="61"/>
        <v>0</v>
      </c>
      <c r="M86" s="80">
        <f t="shared" si="61"/>
        <v>0</v>
      </c>
      <c r="N86" s="244">
        <f>SUM(B86:M86)</f>
        <v>0</v>
      </c>
    </row>
    <row r="87" spans="1:14" x14ac:dyDescent="0.35">
      <c r="A87" s="238" t="s">
        <v>93</v>
      </c>
      <c r="B87" s="239">
        <f>+'Plan de culture 106'!$J$19</f>
        <v>5.5750000000000002</v>
      </c>
      <c r="C87" s="239">
        <f>+B87</f>
        <v>5.5750000000000002</v>
      </c>
      <c r="D87" s="239">
        <f t="shared" ref="D87:M87" si="62">+C87</f>
        <v>5.5750000000000002</v>
      </c>
      <c r="E87" s="239">
        <f t="shared" si="62"/>
        <v>5.5750000000000002</v>
      </c>
      <c r="F87" s="239">
        <f t="shared" si="62"/>
        <v>5.5750000000000002</v>
      </c>
      <c r="G87" s="239">
        <f t="shared" si="62"/>
        <v>5.5750000000000002</v>
      </c>
      <c r="H87" s="239">
        <f t="shared" si="62"/>
        <v>5.5750000000000002</v>
      </c>
      <c r="I87" s="239">
        <f t="shared" si="62"/>
        <v>5.5750000000000002</v>
      </c>
      <c r="J87" s="239">
        <f t="shared" si="62"/>
        <v>5.5750000000000002</v>
      </c>
      <c r="K87" s="239">
        <f t="shared" si="62"/>
        <v>5.5750000000000002</v>
      </c>
      <c r="L87" s="239">
        <f t="shared" si="62"/>
        <v>5.5750000000000002</v>
      </c>
      <c r="M87" s="239">
        <f t="shared" si="62"/>
        <v>5.5750000000000002</v>
      </c>
      <c r="N87" s="240">
        <f>+'Plan de culture 106'!$J$19</f>
        <v>5.5750000000000002</v>
      </c>
    </row>
    <row r="88" spans="1:14" x14ac:dyDescent="0.35">
      <c r="A88" s="238" t="s">
        <v>420</v>
      </c>
      <c r="B88" s="254">
        <f>IFERROR((B90*B89)/B87,"0,00")</f>
        <v>0</v>
      </c>
      <c r="C88" s="254">
        <f t="shared" ref="C88:M88" si="63">IFERROR((C90*C89)/C87,"0,00")</f>
        <v>0</v>
      </c>
      <c r="D88" s="254">
        <f t="shared" si="63"/>
        <v>0</v>
      </c>
      <c r="E88" s="254">
        <f t="shared" si="63"/>
        <v>0</v>
      </c>
      <c r="F88" s="254">
        <f t="shared" si="63"/>
        <v>0</v>
      </c>
      <c r="G88" s="254">
        <f t="shared" si="63"/>
        <v>0</v>
      </c>
      <c r="H88" s="254">
        <f t="shared" si="63"/>
        <v>0</v>
      </c>
      <c r="I88" s="254">
        <f t="shared" si="63"/>
        <v>0</v>
      </c>
      <c r="J88" s="254">
        <f t="shared" si="63"/>
        <v>0</v>
      </c>
      <c r="K88" s="254">
        <f t="shared" si="63"/>
        <v>0</v>
      </c>
      <c r="L88" s="254">
        <f t="shared" si="63"/>
        <v>0</v>
      </c>
      <c r="M88" s="254">
        <f t="shared" si="63"/>
        <v>0</v>
      </c>
      <c r="N88" s="245">
        <f>+N86/N87</f>
        <v>0</v>
      </c>
    </row>
    <row r="89" spans="1:14" x14ac:dyDescent="0.35">
      <c r="A89" s="250" t="s">
        <v>101</v>
      </c>
      <c r="B89" s="87">
        <v>4.7</v>
      </c>
      <c r="C89" s="87">
        <v>4.7</v>
      </c>
      <c r="D89" s="87">
        <v>4.7</v>
      </c>
      <c r="E89" s="87">
        <v>4.7</v>
      </c>
      <c r="F89" s="87">
        <v>4.7</v>
      </c>
      <c r="G89" s="87">
        <v>4.7</v>
      </c>
      <c r="H89" s="87">
        <v>4.7</v>
      </c>
      <c r="I89" s="87">
        <v>4.7</v>
      </c>
      <c r="J89" s="87">
        <v>4.7</v>
      </c>
      <c r="K89" s="87">
        <v>4.7</v>
      </c>
      <c r="L89" s="87">
        <v>4.7</v>
      </c>
      <c r="M89" s="87">
        <v>4.7</v>
      </c>
      <c r="N89" s="245"/>
    </row>
    <row r="90" spans="1:14" x14ac:dyDescent="0.35">
      <c r="A90" s="250" t="s">
        <v>102</v>
      </c>
      <c r="B90" s="88">
        <v>0</v>
      </c>
      <c r="C90" s="88">
        <v>0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245"/>
    </row>
    <row r="91" spans="1:14" x14ac:dyDescent="0.35">
      <c r="A91" s="235" t="s">
        <v>92</v>
      </c>
      <c r="B91" s="80">
        <f>(B93*B92)</f>
        <v>0</v>
      </c>
      <c r="C91" s="80">
        <f t="shared" ref="C91:M91" si="64">(C93*C92)</f>
        <v>0</v>
      </c>
      <c r="D91" s="80">
        <f t="shared" si="64"/>
        <v>0</v>
      </c>
      <c r="E91" s="80">
        <f t="shared" si="64"/>
        <v>0</v>
      </c>
      <c r="F91" s="80">
        <f t="shared" si="64"/>
        <v>0</v>
      </c>
      <c r="G91" s="80">
        <f t="shared" si="64"/>
        <v>0</v>
      </c>
      <c r="H91" s="80">
        <f t="shared" si="64"/>
        <v>0</v>
      </c>
      <c r="I91" s="80">
        <f t="shared" si="64"/>
        <v>0</v>
      </c>
      <c r="J91" s="80">
        <f t="shared" si="64"/>
        <v>0</v>
      </c>
      <c r="K91" s="80">
        <f t="shared" si="64"/>
        <v>0</v>
      </c>
      <c r="L91" s="80">
        <f t="shared" si="64"/>
        <v>0</v>
      </c>
      <c r="M91" s="80">
        <f t="shared" si="64"/>
        <v>0</v>
      </c>
      <c r="N91" s="244">
        <f>SUM(B91:M91)</f>
        <v>0</v>
      </c>
    </row>
    <row r="92" spans="1:14" x14ac:dyDescent="0.35">
      <c r="A92" s="238" t="s">
        <v>93</v>
      </c>
      <c r="B92" s="239">
        <f>+'Plan de culture 106'!$J$25</f>
        <v>0</v>
      </c>
      <c r="C92" s="239">
        <f>+B92</f>
        <v>0</v>
      </c>
      <c r="D92" s="239">
        <f t="shared" ref="D92" si="65">+C92</f>
        <v>0</v>
      </c>
      <c r="E92" s="239">
        <f>+'Plan de culture 104 '!C88</f>
        <v>0</v>
      </c>
      <c r="F92" s="239">
        <f>+E92+'Plan de culture 104 '!D88+'Plan de culture 104 '!E88</f>
        <v>0</v>
      </c>
      <c r="G92" s="239">
        <f>+F92</f>
        <v>0</v>
      </c>
      <c r="H92" s="239">
        <f t="shared" ref="H92:M92" si="66">+G92</f>
        <v>0</v>
      </c>
      <c r="I92" s="239">
        <f t="shared" si="66"/>
        <v>0</v>
      </c>
      <c r="J92" s="239">
        <f t="shared" si="66"/>
        <v>0</v>
      </c>
      <c r="K92" s="239">
        <f t="shared" si="66"/>
        <v>0</v>
      </c>
      <c r="L92" s="239">
        <f t="shared" si="66"/>
        <v>0</v>
      </c>
      <c r="M92" s="239">
        <f t="shared" si="66"/>
        <v>0</v>
      </c>
      <c r="N92" s="240">
        <f>+'Plan de culture 106'!$J$25</f>
        <v>0</v>
      </c>
    </row>
    <row r="93" spans="1:14" x14ac:dyDescent="0.35">
      <c r="A93" s="238" t="s">
        <v>420</v>
      </c>
      <c r="B93" s="254" t="str">
        <f>IFERROR((B95*B94)/B92,"0,00")</f>
        <v>0,00</v>
      </c>
      <c r="C93" s="254" t="str">
        <f t="shared" ref="C93:M93" si="67">IFERROR((C95*C94)/C92,"0,00")</f>
        <v>0,00</v>
      </c>
      <c r="D93" s="254" t="str">
        <f t="shared" si="67"/>
        <v>0,00</v>
      </c>
      <c r="E93" s="254" t="str">
        <f t="shared" si="67"/>
        <v>0,00</v>
      </c>
      <c r="F93" s="254" t="str">
        <f t="shared" si="67"/>
        <v>0,00</v>
      </c>
      <c r="G93" s="254" t="str">
        <f t="shared" si="67"/>
        <v>0,00</v>
      </c>
      <c r="H93" s="254" t="str">
        <f t="shared" si="67"/>
        <v>0,00</v>
      </c>
      <c r="I93" s="254" t="str">
        <f t="shared" si="67"/>
        <v>0,00</v>
      </c>
      <c r="J93" s="254" t="str">
        <f t="shared" si="67"/>
        <v>0,00</v>
      </c>
      <c r="K93" s="254" t="str">
        <f t="shared" si="67"/>
        <v>0,00</v>
      </c>
      <c r="L93" s="254" t="str">
        <f t="shared" si="67"/>
        <v>0,00</v>
      </c>
      <c r="M93" s="254" t="str">
        <f t="shared" si="67"/>
        <v>0,00</v>
      </c>
      <c r="N93" s="245" t="e">
        <f>+N91/N92</f>
        <v>#DIV/0!</v>
      </c>
    </row>
    <row r="94" spans="1:14" x14ac:dyDescent="0.35">
      <c r="A94" s="250" t="s">
        <v>101</v>
      </c>
      <c r="B94" s="87">
        <v>4.7</v>
      </c>
      <c r="C94" s="87">
        <v>4.7</v>
      </c>
      <c r="D94" s="87">
        <v>4.7</v>
      </c>
      <c r="E94" s="87">
        <v>4.7</v>
      </c>
      <c r="F94" s="87">
        <v>4.7</v>
      </c>
      <c r="G94" s="87">
        <v>4.7</v>
      </c>
      <c r="H94" s="87">
        <v>4.7</v>
      </c>
      <c r="I94" s="87">
        <v>4.7</v>
      </c>
      <c r="J94" s="87">
        <v>4.7</v>
      </c>
      <c r="K94" s="87">
        <v>4.7</v>
      </c>
      <c r="L94" s="87">
        <v>4.7</v>
      </c>
      <c r="M94" s="87">
        <v>4.7</v>
      </c>
      <c r="N94" s="245"/>
    </row>
    <row r="95" spans="1:14" x14ac:dyDescent="0.35">
      <c r="A95" s="250" t="s">
        <v>102</v>
      </c>
      <c r="B95" s="88">
        <v>0</v>
      </c>
      <c r="C95" s="88">
        <v>0</v>
      </c>
      <c r="D95" s="88">
        <v>0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245"/>
    </row>
    <row r="96" spans="1:14" x14ac:dyDescent="0.35">
      <c r="A96" s="235" t="s">
        <v>377</v>
      </c>
      <c r="B96" s="80">
        <f>(B98*B97)</f>
        <v>0</v>
      </c>
      <c r="C96" s="80">
        <f t="shared" ref="C96:M96" si="68">(C98*C97)</f>
        <v>0</v>
      </c>
      <c r="D96" s="80">
        <f t="shared" si="68"/>
        <v>0</v>
      </c>
      <c r="E96" s="80">
        <f t="shared" si="68"/>
        <v>0</v>
      </c>
      <c r="F96" s="80">
        <f t="shared" si="68"/>
        <v>0</v>
      </c>
      <c r="G96" s="80">
        <f t="shared" si="68"/>
        <v>0</v>
      </c>
      <c r="H96" s="80">
        <f t="shared" si="68"/>
        <v>0</v>
      </c>
      <c r="I96" s="80">
        <f t="shared" si="68"/>
        <v>0</v>
      </c>
      <c r="J96" s="80">
        <f t="shared" si="68"/>
        <v>0</v>
      </c>
      <c r="K96" s="80">
        <f t="shared" si="68"/>
        <v>0</v>
      </c>
      <c r="L96" s="80">
        <f t="shared" si="68"/>
        <v>0</v>
      </c>
      <c r="M96" s="80">
        <f t="shared" si="68"/>
        <v>0</v>
      </c>
      <c r="N96" s="244">
        <f>SUM(B96:M96)</f>
        <v>0</v>
      </c>
    </row>
    <row r="97" spans="1:14" x14ac:dyDescent="0.35">
      <c r="A97" s="238" t="s">
        <v>93</v>
      </c>
      <c r="B97" s="239">
        <f>+'Plan de culture 106'!$J$31</f>
        <v>0</v>
      </c>
      <c r="C97" s="239">
        <f>+B97</f>
        <v>0</v>
      </c>
      <c r="D97" s="239">
        <f t="shared" ref="D97" si="69">+C97</f>
        <v>0</v>
      </c>
      <c r="E97" s="239">
        <f>+'Plan de culture 104 '!C93</f>
        <v>0</v>
      </c>
      <c r="F97" s="239">
        <f>+E97+'Plan de culture 104 '!D93+'Plan de culture 104 '!E93</f>
        <v>0</v>
      </c>
      <c r="G97" s="239">
        <f>+F97</f>
        <v>0</v>
      </c>
      <c r="H97" s="239">
        <f t="shared" ref="H97:M97" si="70">+G97</f>
        <v>0</v>
      </c>
      <c r="I97" s="239">
        <f t="shared" si="70"/>
        <v>0</v>
      </c>
      <c r="J97" s="239">
        <f t="shared" si="70"/>
        <v>0</v>
      </c>
      <c r="K97" s="239">
        <f t="shared" si="70"/>
        <v>0</v>
      </c>
      <c r="L97" s="239">
        <f t="shared" si="70"/>
        <v>0</v>
      </c>
      <c r="M97" s="239">
        <f t="shared" si="70"/>
        <v>0</v>
      </c>
      <c r="N97" s="240">
        <f>+'Plan de culture 106'!$J$31</f>
        <v>0</v>
      </c>
    </row>
    <row r="98" spans="1:14" x14ac:dyDescent="0.35">
      <c r="A98" s="238" t="s">
        <v>420</v>
      </c>
      <c r="B98" s="254" t="str">
        <f>IFERROR((B100*B99)/B97,"0,00")</f>
        <v>0,00</v>
      </c>
      <c r="C98" s="254" t="str">
        <f t="shared" ref="C98:M98" si="71">IFERROR((C100*C99)/C97,"0,00")</f>
        <v>0,00</v>
      </c>
      <c r="D98" s="254" t="str">
        <f t="shared" si="71"/>
        <v>0,00</v>
      </c>
      <c r="E98" s="254" t="str">
        <f t="shared" si="71"/>
        <v>0,00</v>
      </c>
      <c r="F98" s="254" t="str">
        <f t="shared" si="71"/>
        <v>0,00</v>
      </c>
      <c r="G98" s="254" t="str">
        <f t="shared" si="71"/>
        <v>0,00</v>
      </c>
      <c r="H98" s="254" t="str">
        <f t="shared" si="71"/>
        <v>0,00</v>
      </c>
      <c r="I98" s="254" t="str">
        <f t="shared" si="71"/>
        <v>0,00</v>
      </c>
      <c r="J98" s="254" t="str">
        <f t="shared" si="71"/>
        <v>0,00</v>
      </c>
      <c r="K98" s="254" t="str">
        <f t="shared" si="71"/>
        <v>0,00</v>
      </c>
      <c r="L98" s="254" t="str">
        <f t="shared" si="71"/>
        <v>0,00</v>
      </c>
      <c r="M98" s="254" t="str">
        <f t="shared" si="71"/>
        <v>0,00</v>
      </c>
      <c r="N98" s="245" t="e">
        <f>+N96/N97</f>
        <v>#DIV/0!</v>
      </c>
    </row>
    <row r="99" spans="1:14" x14ac:dyDescent="0.35">
      <c r="A99" s="250" t="s">
        <v>101</v>
      </c>
      <c r="B99" s="87">
        <v>4.7</v>
      </c>
      <c r="C99" s="87">
        <v>4.7</v>
      </c>
      <c r="D99" s="87">
        <v>4.7</v>
      </c>
      <c r="E99" s="87">
        <v>4.7</v>
      </c>
      <c r="F99" s="87">
        <v>4.7</v>
      </c>
      <c r="G99" s="87">
        <v>4.7</v>
      </c>
      <c r="H99" s="87">
        <v>4.7</v>
      </c>
      <c r="I99" s="87">
        <v>4.7</v>
      </c>
      <c r="J99" s="87">
        <v>4.7</v>
      </c>
      <c r="K99" s="87">
        <v>4.7</v>
      </c>
      <c r="L99" s="87">
        <v>4.7</v>
      </c>
      <c r="M99" s="87">
        <v>4.7</v>
      </c>
      <c r="N99" s="245"/>
    </row>
    <row r="100" spans="1:14" x14ac:dyDescent="0.35">
      <c r="A100" s="250" t="s">
        <v>102</v>
      </c>
      <c r="B100" s="88">
        <v>0</v>
      </c>
      <c r="C100" s="88">
        <v>0</v>
      </c>
      <c r="D100" s="88">
        <v>0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245"/>
    </row>
    <row r="101" spans="1:14" x14ac:dyDescent="0.35">
      <c r="A101" s="235" t="s">
        <v>378</v>
      </c>
      <c r="B101" s="80">
        <f>(B103*B102)</f>
        <v>0</v>
      </c>
      <c r="C101" s="80">
        <f t="shared" ref="C101:M101" si="72">(C103*C102)</f>
        <v>0</v>
      </c>
      <c r="D101" s="80">
        <f t="shared" si="72"/>
        <v>0</v>
      </c>
      <c r="E101" s="80">
        <f t="shared" si="72"/>
        <v>0</v>
      </c>
      <c r="F101" s="80">
        <f t="shared" si="72"/>
        <v>0</v>
      </c>
      <c r="G101" s="80">
        <f t="shared" si="72"/>
        <v>0</v>
      </c>
      <c r="H101" s="80">
        <f t="shared" si="72"/>
        <v>0</v>
      </c>
      <c r="I101" s="80">
        <f t="shared" si="72"/>
        <v>0</v>
      </c>
      <c r="J101" s="80">
        <f t="shared" si="72"/>
        <v>0</v>
      </c>
      <c r="K101" s="80">
        <f t="shared" si="72"/>
        <v>0</v>
      </c>
      <c r="L101" s="80">
        <f t="shared" si="72"/>
        <v>0</v>
      </c>
      <c r="M101" s="80">
        <f t="shared" si="72"/>
        <v>0</v>
      </c>
      <c r="N101" s="244">
        <f>SUM(B101:M101)</f>
        <v>0</v>
      </c>
    </row>
    <row r="102" spans="1:14" x14ac:dyDescent="0.35">
      <c r="A102" s="238" t="s">
        <v>93</v>
      </c>
      <c r="B102" s="239">
        <f>+'Plan de culture 106'!$J$37</f>
        <v>0</v>
      </c>
      <c r="C102" s="239">
        <f>+B102</f>
        <v>0</v>
      </c>
      <c r="D102" s="239">
        <f t="shared" ref="D102" si="73">+C102</f>
        <v>0</v>
      </c>
      <c r="E102" s="239">
        <f>+'Plan de culture 104 '!C98</f>
        <v>0</v>
      </c>
      <c r="F102" s="239">
        <f>+E102+'Plan de culture 104 '!D98+'Plan de culture 104 '!E98</f>
        <v>0</v>
      </c>
      <c r="G102" s="239">
        <f>+F102</f>
        <v>0</v>
      </c>
      <c r="H102" s="239">
        <f t="shared" ref="H102:M102" si="74">+G102</f>
        <v>0</v>
      </c>
      <c r="I102" s="239">
        <f t="shared" si="74"/>
        <v>0</v>
      </c>
      <c r="J102" s="239">
        <f t="shared" si="74"/>
        <v>0</v>
      </c>
      <c r="K102" s="239">
        <f t="shared" si="74"/>
        <v>0</v>
      </c>
      <c r="L102" s="239">
        <f t="shared" si="74"/>
        <v>0</v>
      </c>
      <c r="M102" s="239">
        <f t="shared" si="74"/>
        <v>0</v>
      </c>
      <c r="N102" s="240">
        <f>+'Plan de culture 106'!$J$37</f>
        <v>0</v>
      </c>
    </row>
    <row r="103" spans="1:14" x14ac:dyDescent="0.35">
      <c r="A103" s="238" t="s">
        <v>420</v>
      </c>
      <c r="B103" s="254" t="str">
        <f>IFERROR((B105*B104)/B102,"0,00")</f>
        <v>0,00</v>
      </c>
      <c r="C103" s="254" t="str">
        <f t="shared" ref="C103:M103" si="75">IFERROR((C105*C104)/C102,"0,00")</f>
        <v>0,00</v>
      </c>
      <c r="D103" s="254" t="str">
        <f t="shared" si="75"/>
        <v>0,00</v>
      </c>
      <c r="E103" s="254" t="str">
        <f t="shared" si="75"/>
        <v>0,00</v>
      </c>
      <c r="F103" s="254" t="str">
        <f t="shared" si="75"/>
        <v>0,00</v>
      </c>
      <c r="G103" s="254" t="str">
        <f t="shared" si="75"/>
        <v>0,00</v>
      </c>
      <c r="H103" s="254" t="str">
        <f t="shared" si="75"/>
        <v>0,00</v>
      </c>
      <c r="I103" s="254" t="str">
        <f t="shared" si="75"/>
        <v>0,00</v>
      </c>
      <c r="J103" s="254" t="str">
        <f t="shared" si="75"/>
        <v>0,00</v>
      </c>
      <c r="K103" s="254" t="str">
        <f t="shared" si="75"/>
        <v>0,00</v>
      </c>
      <c r="L103" s="254" t="str">
        <f t="shared" si="75"/>
        <v>0,00</v>
      </c>
      <c r="M103" s="254" t="str">
        <f t="shared" si="75"/>
        <v>0,00</v>
      </c>
      <c r="N103" s="245" t="e">
        <f>+N101/N102</f>
        <v>#DIV/0!</v>
      </c>
    </row>
    <row r="104" spans="1:14" x14ac:dyDescent="0.35">
      <c r="A104" s="250" t="s">
        <v>101</v>
      </c>
      <c r="B104" s="87">
        <v>4.7</v>
      </c>
      <c r="C104" s="87">
        <v>4.7</v>
      </c>
      <c r="D104" s="87">
        <v>4.7</v>
      </c>
      <c r="E104" s="87">
        <v>4.7</v>
      </c>
      <c r="F104" s="87">
        <v>4.7</v>
      </c>
      <c r="G104" s="87">
        <v>4.7</v>
      </c>
      <c r="H104" s="87">
        <v>4.7</v>
      </c>
      <c r="I104" s="87">
        <v>4.7</v>
      </c>
      <c r="J104" s="87">
        <v>4.7</v>
      </c>
      <c r="K104" s="87">
        <v>4.7</v>
      </c>
      <c r="L104" s="87">
        <v>4.7</v>
      </c>
      <c r="M104" s="87">
        <v>4.7</v>
      </c>
      <c r="N104" s="245"/>
    </row>
    <row r="105" spans="1:14" ht="12" thickBot="1" x14ac:dyDescent="0.4">
      <c r="A105" s="251" t="s">
        <v>102</v>
      </c>
      <c r="B105" s="88">
        <v>0</v>
      </c>
      <c r="C105" s="88">
        <v>0</v>
      </c>
      <c r="D105" s="88">
        <v>0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245"/>
    </row>
    <row r="106" spans="1:14" s="57" customFormat="1" x14ac:dyDescent="0.35">
      <c r="A106" s="233" t="s">
        <v>424</v>
      </c>
      <c r="B106" s="242">
        <f>+B109+B114+B119+B124+B129+B134</f>
        <v>0</v>
      </c>
      <c r="C106" s="242">
        <f t="shared" ref="C106:M107" si="76">+C109+C114+C119+C124+C129+C134</f>
        <v>0</v>
      </c>
      <c r="D106" s="242">
        <f t="shared" si="76"/>
        <v>0</v>
      </c>
      <c r="E106" s="242">
        <f t="shared" si="76"/>
        <v>0</v>
      </c>
      <c r="F106" s="242">
        <f t="shared" si="76"/>
        <v>0</v>
      </c>
      <c r="G106" s="242">
        <f t="shared" si="76"/>
        <v>0</v>
      </c>
      <c r="H106" s="242">
        <f t="shared" si="76"/>
        <v>0</v>
      </c>
      <c r="I106" s="242">
        <f t="shared" si="76"/>
        <v>0</v>
      </c>
      <c r="J106" s="242">
        <f t="shared" si="76"/>
        <v>0</v>
      </c>
      <c r="K106" s="242">
        <f t="shared" si="76"/>
        <v>0</v>
      </c>
      <c r="L106" s="242">
        <f t="shared" si="76"/>
        <v>0</v>
      </c>
      <c r="M106" s="242">
        <f t="shared" si="76"/>
        <v>0</v>
      </c>
      <c r="N106" s="243">
        <f>SUM(B106:M106)</f>
        <v>0</v>
      </c>
    </row>
    <row r="107" spans="1:14" s="57" customFormat="1" x14ac:dyDescent="0.35">
      <c r="A107" s="234" t="s">
        <v>93</v>
      </c>
      <c r="B107" s="81">
        <f>+B110+B115+B120+B125+B130+B135</f>
        <v>16.558</v>
      </c>
      <c r="C107" s="81">
        <f t="shared" si="76"/>
        <v>16.558</v>
      </c>
      <c r="D107" s="81">
        <f t="shared" si="76"/>
        <v>16.558</v>
      </c>
      <c r="E107" s="81">
        <f t="shared" si="76"/>
        <v>16.558</v>
      </c>
      <c r="F107" s="81">
        <f t="shared" si="76"/>
        <v>16.558</v>
      </c>
      <c r="G107" s="81">
        <f t="shared" si="76"/>
        <v>16.558</v>
      </c>
      <c r="H107" s="81">
        <f t="shared" si="76"/>
        <v>16.558</v>
      </c>
      <c r="I107" s="81">
        <f t="shared" si="76"/>
        <v>16.558</v>
      </c>
      <c r="J107" s="81">
        <f t="shared" si="76"/>
        <v>16.558</v>
      </c>
      <c r="K107" s="81">
        <f t="shared" si="76"/>
        <v>16.558</v>
      </c>
      <c r="L107" s="81">
        <f t="shared" si="76"/>
        <v>16.558</v>
      </c>
      <c r="M107" s="81">
        <f t="shared" si="76"/>
        <v>16.558</v>
      </c>
      <c r="N107" s="248">
        <f>+M107</f>
        <v>16.558</v>
      </c>
    </row>
    <row r="108" spans="1:14" s="57" customFormat="1" x14ac:dyDescent="0.35">
      <c r="A108" s="234" t="s">
        <v>420</v>
      </c>
      <c r="B108" s="83">
        <f>+B106/B107</f>
        <v>0</v>
      </c>
      <c r="C108" s="83">
        <f>+C106/C107</f>
        <v>0</v>
      </c>
      <c r="D108" s="83">
        <f>+D106/D107</f>
        <v>0</v>
      </c>
      <c r="E108" s="83">
        <f t="shared" ref="E108:N108" si="77">+E106/E107</f>
        <v>0</v>
      </c>
      <c r="F108" s="83">
        <f t="shared" si="77"/>
        <v>0</v>
      </c>
      <c r="G108" s="83">
        <f t="shared" si="77"/>
        <v>0</v>
      </c>
      <c r="H108" s="83">
        <f t="shared" si="77"/>
        <v>0</v>
      </c>
      <c r="I108" s="83">
        <f t="shared" si="77"/>
        <v>0</v>
      </c>
      <c r="J108" s="83">
        <f t="shared" si="77"/>
        <v>0</v>
      </c>
      <c r="K108" s="83">
        <f t="shared" si="77"/>
        <v>0</v>
      </c>
      <c r="L108" s="83">
        <f t="shared" si="77"/>
        <v>0</v>
      </c>
      <c r="M108" s="83">
        <f t="shared" si="77"/>
        <v>0</v>
      </c>
      <c r="N108" s="249">
        <f t="shared" si="77"/>
        <v>0</v>
      </c>
    </row>
    <row r="109" spans="1:14" x14ac:dyDescent="0.35">
      <c r="A109" s="235" t="s">
        <v>90</v>
      </c>
      <c r="B109" s="80">
        <f>(B111*B110)</f>
        <v>0</v>
      </c>
      <c r="C109" s="80">
        <f t="shared" ref="C109:M109" si="78">(C111*C110)</f>
        <v>0</v>
      </c>
      <c r="D109" s="80">
        <f t="shared" si="78"/>
        <v>0</v>
      </c>
      <c r="E109" s="80">
        <f t="shared" si="78"/>
        <v>0</v>
      </c>
      <c r="F109" s="80">
        <f t="shared" si="78"/>
        <v>0</v>
      </c>
      <c r="G109" s="80">
        <f t="shared" si="78"/>
        <v>0</v>
      </c>
      <c r="H109" s="80">
        <f t="shared" si="78"/>
        <v>0</v>
      </c>
      <c r="I109" s="80">
        <f t="shared" si="78"/>
        <v>0</v>
      </c>
      <c r="J109" s="80">
        <f t="shared" si="78"/>
        <v>0</v>
      </c>
      <c r="K109" s="80">
        <f t="shared" si="78"/>
        <v>0</v>
      </c>
      <c r="L109" s="80">
        <f t="shared" si="78"/>
        <v>0</v>
      </c>
      <c r="M109" s="80">
        <f t="shared" si="78"/>
        <v>0</v>
      </c>
      <c r="N109" s="244">
        <f>SUM(B109:M109)</f>
        <v>0</v>
      </c>
    </row>
    <row r="110" spans="1:14" x14ac:dyDescent="0.35">
      <c r="A110" s="238" t="s">
        <v>93</v>
      </c>
      <c r="B110" s="239">
        <f>+'Plan de culture 107'!$Z$7</f>
        <v>0</v>
      </c>
      <c r="C110" s="239">
        <f>+B110</f>
        <v>0</v>
      </c>
      <c r="D110" s="239">
        <f t="shared" ref="D110" si="79">+C110</f>
        <v>0</v>
      </c>
      <c r="E110" s="239">
        <f>+D110</f>
        <v>0</v>
      </c>
      <c r="F110" s="239">
        <f>+E110</f>
        <v>0</v>
      </c>
      <c r="G110" s="239">
        <f>+F110</f>
        <v>0</v>
      </c>
      <c r="H110" s="239">
        <f t="shared" ref="H110:M110" si="80">+G110</f>
        <v>0</v>
      </c>
      <c r="I110" s="239">
        <f t="shared" si="80"/>
        <v>0</v>
      </c>
      <c r="J110" s="239">
        <f t="shared" si="80"/>
        <v>0</v>
      </c>
      <c r="K110" s="239">
        <f t="shared" si="80"/>
        <v>0</v>
      </c>
      <c r="L110" s="239">
        <f t="shared" si="80"/>
        <v>0</v>
      </c>
      <c r="M110" s="239">
        <f t="shared" si="80"/>
        <v>0</v>
      </c>
      <c r="N110" s="240">
        <f>+'Plan de culture 107'!$Z$7</f>
        <v>0</v>
      </c>
    </row>
    <row r="111" spans="1:14" x14ac:dyDescent="0.35">
      <c r="A111" s="238" t="s">
        <v>420</v>
      </c>
      <c r="B111" s="254" t="str">
        <f>IFERROR((B113*B112)/B110,"0,00")</f>
        <v>0,00</v>
      </c>
      <c r="C111" s="254" t="str">
        <f t="shared" ref="C111:M111" si="81">IFERROR((C113*C112)/C110,"0,00")</f>
        <v>0,00</v>
      </c>
      <c r="D111" s="254" t="str">
        <f t="shared" si="81"/>
        <v>0,00</v>
      </c>
      <c r="E111" s="254" t="str">
        <f t="shared" si="81"/>
        <v>0,00</v>
      </c>
      <c r="F111" s="254" t="str">
        <f t="shared" si="81"/>
        <v>0,00</v>
      </c>
      <c r="G111" s="254" t="str">
        <f t="shared" si="81"/>
        <v>0,00</v>
      </c>
      <c r="H111" s="254" t="str">
        <f t="shared" si="81"/>
        <v>0,00</v>
      </c>
      <c r="I111" s="254" t="str">
        <f t="shared" si="81"/>
        <v>0,00</v>
      </c>
      <c r="J111" s="254" t="str">
        <f t="shared" si="81"/>
        <v>0,00</v>
      </c>
      <c r="K111" s="254" t="str">
        <f t="shared" si="81"/>
        <v>0,00</v>
      </c>
      <c r="L111" s="254" t="str">
        <f t="shared" si="81"/>
        <v>0,00</v>
      </c>
      <c r="M111" s="254" t="str">
        <f t="shared" si="81"/>
        <v>0,00</v>
      </c>
      <c r="N111" s="245" t="e">
        <f>+N109/N110</f>
        <v>#DIV/0!</v>
      </c>
    </row>
    <row r="112" spans="1:14" x14ac:dyDescent="0.35">
      <c r="A112" s="250" t="s">
        <v>101</v>
      </c>
      <c r="B112" s="87">
        <v>4.7</v>
      </c>
      <c r="C112" s="87">
        <v>4.7</v>
      </c>
      <c r="D112" s="87">
        <v>4.7</v>
      </c>
      <c r="E112" s="87">
        <v>4.7</v>
      </c>
      <c r="F112" s="87">
        <v>4.7</v>
      </c>
      <c r="G112" s="87">
        <v>4.7</v>
      </c>
      <c r="H112" s="87">
        <v>4.7</v>
      </c>
      <c r="I112" s="87">
        <v>4.7</v>
      </c>
      <c r="J112" s="87">
        <v>4.7</v>
      </c>
      <c r="K112" s="87">
        <v>4.7</v>
      </c>
      <c r="L112" s="87">
        <v>4.7</v>
      </c>
      <c r="M112" s="87">
        <v>4.7</v>
      </c>
      <c r="N112" s="245"/>
    </row>
    <row r="113" spans="1:14" x14ac:dyDescent="0.35">
      <c r="A113" s="250" t="s">
        <v>102</v>
      </c>
      <c r="B113" s="88">
        <v>0</v>
      </c>
      <c r="C113" s="88">
        <v>0</v>
      </c>
      <c r="D113" s="88">
        <v>0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0</v>
      </c>
      <c r="N113" s="245"/>
    </row>
    <row r="114" spans="1:14" x14ac:dyDescent="0.35">
      <c r="A114" s="235" t="s">
        <v>91</v>
      </c>
      <c r="B114" s="80">
        <f>(B116*B115)</f>
        <v>0</v>
      </c>
      <c r="C114" s="80">
        <f t="shared" ref="C114:M114" si="82">(C116*C115)</f>
        <v>0</v>
      </c>
      <c r="D114" s="80">
        <f t="shared" si="82"/>
        <v>0</v>
      </c>
      <c r="E114" s="80">
        <f t="shared" si="82"/>
        <v>0</v>
      </c>
      <c r="F114" s="80">
        <f t="shared" si="82"/>
        <v>0</v>
      </c>
      <c r="G114" s="80">
        <f t="shared" si="82"/>
        <v>0</v>
      </c>
      <c r="H114" s="80">
        <f t="shared" si="82"/>
        <v>0</v>
      </c>
      <c r="I114" s="80">
        <f t="shared" si="82"/>
        <v>0</v>
      </c>
      <c r="J114" s="80">
        <f t="shared" si="82"/>
        <v>0</v>
      </c>
      <c r="K114" s="80">
        <f t="shared" si="82"/>
        <v>0</v>
      </c>
      <c r="L114" s="80">
        <f t="shared" si="82"/>
        <v>0</v>
      </c>
      <c r="M114" s="80">
        <f t="shared" si="82"/>
        <v>0</v>
      </c>
      <c r="N114" s="244">
        <f>SUM(B114:M114)</f>
        <v>0</v>
      </c>
    </row>
    <row r="115" spans="1:14" x14ac:dyDescent="0.35">
      <c r="A115" s="238" t="s">
        <v>93</v>
      </c>
      <c r="B115" s="239">
        <f>+'Plan de culture 107'!$Z$13</f>
        <v>0</v>
      </c>
      <c r="C115" s="239">
        <f>+B115</f>
        <v>0</v>
      </c>
      <c r="D115" s="239">
        <f t="shared" ref="D115:M115" si="83">+C115</f>
        <v>0</v>
      </c>
      <c r="E115" s="239">
        <f t="shared" si="83"/>
        <v>0</v>
      </c>
      <c r="F115" s="239">
        <f t="shared" si="83"/>
        <v>0</v>
      </c>
      <c r="G115" s="239">
        <f t="shared" si="83"/>
        <v>0</v>
      </c>
      <c r="H115" s="239">
        <f t="shared" si="83"/>
        <v>0</v>
      </c>
      <c r="I115" s="239">
        <f t="shared" si="83"/>
        <v>0</v>
      </c>
      <c r="J115" s="239">
        <f t="shared" si="83"/>
        <v>0</v>
      </c>
      <c r="K115" s="239">
        <f t="shared" si="83"/>
        <v>0</v>
      </c>
      <c r="L115" s="239">
        <f t="shared" si="83"/>
        <v>0</v>
      </c>
      <c r="M115" s="239">
        <f t="shared" si="83"/>
        <v>0</v>
      </c>
      <c r="N115" s="240">
        <f>+'Plan de culture 107'!$Z$13</f>
        <v>0</v>
      </c>
    </row>
    <row r="116" spans="1:14" x14ac:dyDescent="0.35">
      <c r="A116" s="238" t="s">
        <v>420</v>
      </c>
      <c r="B116" s="254" t="str">
        <f>IFERROR((B118*B117)/B115,"0,00")</f>
        <v>0,00</v>
      </c>
      <c r="C116" s="254" t="str">
        <f t="shared" ref="C116:M116" si="84">IFERROR((C118*C117)/C115,"0,00")</f>
        <v>0,00</v>
      </c>
      <c r="D116" s="254" t="str">
        <f t="shared" si="84"/>
        <v>0,00</v>
      </c>
      <c r="E116" s="254" t="str">
        <f t="shared" si="84"/>
        <v>0,00</v>
      </c>
      <c r="F116" s="254" t="str">
        <f t="shared" si="84"/>
        <v>0,00</v>
      </c>
      <c r="G116" s="254" t="str">
        <f t="shared" si="84"/>
        <v>0,00</v>
      </c>
      <c r="H116" s="254" t="str">
        <f t="shared" si="84"/>
        <v>0,00</v>
      </c>
      <c r="I116" s="254" t="str">
        <f t="shared" si="84"/>
        <v>0,00</v>
      </c>
      <c r="J116" s="254" t="str">
        <f t="shared" si="84"/>
        <v>0,00</v>
      </c>
      <c r="K116" s="254" t="str">
        <f t="shared" si="84"/>
        <v>0,00</v>
      </c>
      <c r="L116" s="254" t="str">
        <f t="shared" si="84"/>
        <v>0,00</v>
      </c>
      <c r="M116" s="254" t="str">
        <f t="shared" si="84"/>
        <v>0,00</v>
      </c>
      <c r="N116" s="245" t="e">
        <f>+N114/N115</f>
        <v>#DIV/0!</v>
      </c>
    </row>
    <row r="117" spans="1:14" x14ac:dyDescent="0.35">
      <c r="A117" s="250" t="s">
        <v>101</v>
      </c>
      <c r="B117" s="87">
        <v>4.7</v>
      </c>
      <c r="C117" s="87">
        <v>4.7</v>
      </c>
      <c r="D117" s="87">
        <v>4.7</v>
      </c>
      <c r="E117" s="87">
        <v>4.7</v>
      </c>
      <c r="F117" s="87">
        <v>4.7</v>
      </c>
      <c r="G117" s="87">
        <v>4.7</v>
      </c>
      <c r="H117" s="87">
        <v>4.7</v>
      </c>
      <c r="I117" s="87">
        <v>4.7</v>
      </c>
      <c r="J117" s="87">
        <v>4.7</v>
      </c>
      <c r="K117" s="87">
        <v>4.7</v>
      </c>
      <c r="L117" s="87">
        <v>4.7</v>
      </c>
      <c r="M117" s="87">
        <v>4.7</v>
      </c>
      <c r="N117" s="245"/>
    </row>
    <row r="118" spans="1:14" x14ac:dyDescent="0.35">
      <c r="A118" s="250" t="s">
        <v>102</v>
      </c>
      <c r="B118" s="88">
        <v>0</v>
      </c>
      <c r="C118" s="88">
        <v>0</v>
      </c>
      <c r="D118" s="88">
        <v>0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245"/>
    </row>
    <row r="119" spans="1:14" x14ac:dyDescent="0.35">
      <c r="A119" s="235" t="s">
        <v>376</v>
      </c>
      <c r="B119" s="80">
        <f>(B121*B120)</f>
        <v>0</v>
      </c>
      <c r="C119" s="80">
        <f t="shared" ref="C119:M119" si="85">(C121*C120)</f>
        <v>0</v>
      </c>
      <c r="D119" s="80">
        <f t="shared" si="85"/>
        <v>0</v>
      </c>
      <c r="E119" s="80">
        <f t="shared" si="85"/>
        <v>0</v>
      </c>
      <c r="F119" s="80">
        <f t="shared" si="85"/>
        <v>0</v>
      </c>
      <c r="G119" s="80">
        <f t="shared" si="85"/>
        <v>0</v>
      </c>
      <c r="H119" s="80">
        <f t="shared" si="85"/>
        <v>0</v>
      </c>
      <c r="I119" s="80">
        <f t="shared" si="85"/>
        <v>0</v>
      </c>
      <c r="J119" s="80">
        <f t="shared" si="85"/>
        <v>0</v>
      </c>
      <c r="K119" s="80">
        <f t="shared" si="85"/>
        <v>0</v>
      </c>
      <c r="L119" s="80">
        <f t="shared" si="85"/>
        <v>0</v>
      </c>
      <c r="M119" s="80">
        <f t="shared" si="85"/>
        <v>0</v>
      </c>
      <c r="N119" s="244">
        <f>SUM(B119:M119)</f>
        <v>0</v>
      </c>
    </row>
    <row r="120" spans="1:14" x14ac:dyDescent="0.35">
      <c r="A120" s="238" t="s">
        <v>93</v>
      </c>
      <c r="B120" s="239">
        <f>+'Plan de culture 107'!$Z$19</f>
        <v>0</v>
      </c>
      <c r="C120" s="239">
        <f>+B120</f>
        <v>0</v>
      </c>
      <c r="D120" s="239">
        <f t="shared" ref="D120" si="86">+C120</f>
        <v>0</v>
      </c>
      <c r="E120" s="239">
        <f>+'Plan de culture 104 '!C116</f>
        <v>0</v>
      </c>
      <c r="F120" s="239">
        <f>+E120+'Plan de culture 104 '!D116+'Plan de culture 104 '!E116</f>
        <v>0</v>
      </c>
      <c r="G120" s="239">
        <f>+F120</f>
        <v>0</v>
      </c>
      <c r="H120" s="239">
        <f t="shared" ref="H120:M120" si="87">+G120</f>
        <v>0</v>
      </c>
      <c r="I120" s="239">
        <f t="shared" si="87"/>
        <v>0</v>
      </c>
      <c r="J120" s="239">
        <f t="shared" si="87"/>
        <v>0</v>
      </c>
      <c r="K120" s="239">
        <f t="shared" si="87"/>
        <v>0</v>
      </c>
      <c r="L120" s="239">
        <f t="shared" si="87"/>
        <v>0</v>
      </c>
      <c r="M120" s="239">
        <f t="shared" si="87"/>
        <v>0</v>
      </c>
      <c r="N120" s="240">
        <f>+'Plan de culture 107'!$Z$19</f>
        <v>0</v>
      </c>
    </row>
    <row r="121" spans="1:14" x14ac:dyDescent="0.35">
      <c r="A121" s="238" t="s">
        <v>420</v>
      </c>
      <c r="B121" s="254" t="str">
        <f>IFERROR((B123*B122)/B120,"0,00")</f>
        <v>0,00</v>
      </c>
      <c r="C121" s="254" t="str">
        <f t="shared" ref="C121:M121" si="88">IFERROR((C123*C122)/C120,"0,00")</f>
        <v>0,00</v>
      </c>
      <c r="D121" s="254" t="str">
        <f t="shared" si="88"/>
        <v>0,00</v>
      </c>
      <c r="E121" s="254" t="str">
        <f t="shared" si="88"/>
        <v>0,00</v>
      </c>
      <c r="F121" s="254" t="str">
        <f t="shared" si="88"/>
        <v>0,00</v>
      </c>
      <c r="G121" s="254" t="str">
        <f t="shared" si="88"/>
        <v>0,00</v>
      </c>
      <c r="H121" s="254" t="str">
        <f t="shared" si="88"/>
        <v>0,00</v>
      </c>
      <c r="I121" s="254" t="str">
        <f t="shared" si="88"/>
        <v>0,00</v>
      </c>
      <c r="J121" s="254" t="str">
        <f t="shared" si="88"/>
        <v>0,00</v>
      </c>
      <c r="K121" s="254" t="str">
        <f t="shared" si="88"/>
        <v>0,00</v>
      </c>
      <c r="L121" s="254" t="str">
        <f t="shared" si="88"/>
        <v>0,00</v>
      </c>
      <c r="M121" s="254" t="str">
        <f t="shared" si="88"/>
        <v>0,00</v>
      </c>
      <c r="N121" s="245" t="e">
        <f>+N119/N120</f>
        <v>#DIV/0!</v>
      </c>
    </row>
    <row r="122" spans="1:14" x14ac:dyDescent="0.35">
      <c r="A122" s="250" t="s">
        <v>101</v>
      </c>
      <c r="B122" s="87">
        <v>4.7</v>
      </c>
      <c r="C122" s="87">
        <v>4.7</v>
      </c>
      <c r="D122" s="87">
        <v>4.7</v>
      </c>
      <c r="E122" s="87">
        <v>4.7</v>
      </c>
      <c r="F122" s="87">
        <v>4.7</v>
      </c>
      <c r="G122" s="87">
        <v>4.7</v>
      </c>
      <c r="H122" s="87">
        <v>4.7</v>
      </c>
      <c r="I122" s="87">
        <v>4.7</v>
      </c>
      <c r="J122" s="87">
        <v>4.7</v>
      </c>
      <c r="K122" s="87">
        <v>4.7</v>
      </c>
      <c r="L122" s="87">
        <v>4.7</v>
      </c>
      <c r="M122" s="87">
        <v>4.7</v>
      </c>
      <c r="N122" s="245"/>
    </row>
    <row r="123" spans="1:14" x14ac:dyDescent="0.35">
      <c r="A123" s="250" t="s">
        <v>102</v>
      </c>
      <c r="B123" s="88">
        <v>0</v>
      </c>
      <c r="C123" s="88">
        <v>0</v>
      </c>
      <c r="D123" s="88">
        <v>0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245"/>
    </row>
    <row r="124" spans="1:14" x14ac:dyDescent="0.35">
      <c r="A124" s="235" t="s">
        <v>92</v>
      </c>
      <c r="B124" s="80">
        <f>(B126*B125)</f>
        <v>0</v>
      </c>
      <c r="C124" s="80">
        <f t="shared" ref="C124:M124" si="89">(C126*C125)</f>
        <v>0</v>
      </c>
      <c r="D124" s="80">
        <f t="shared" si="89"/>
        <v>0</v>
      </c>
      <c r="E124" s="80">
        <f t="shared" si="89"/>
        <v>0</v>
      </c>
      <c r="F124" s="80">
        <f t="shared" si="89"/>
        <v>0</v>
      </c>
      <c r="G124" s="80">
        <f t="shared" si="89"/>
        <v>0</v>
      </c>
      <c r="H124" s="80">
        <f t="shared" si="89"/>
        <v>0</v>
      </c>
      <c r="I124" s="80">
        <f t="shared" si="89"/>
        <v>0</v>
      </c>
      <c r="J124" s="80">
        <f t="shared" si="89"/>
        <v>0</v>
      </c>
      <c r="K124" s="80">
        <f t="shared" si="89"/>
        <v>0</v>
      </c>
      <c r="L124" s="80">
        <f t="shared" si="89"/>
        <v>0</v>
      </c>
      <c r="M124" s="80">
        <f t="shared" si="89"/>
        <v>0</v>
      </c>
      <c r="N124" s="244">
        <f>SUM(B124:M124)</f>
        <v>0</v>
      </c>
    </row>
    <row r="125" spans="1:14" x14ac:dyDescent="0.35">
      <c r="A125" s="238" t="s">
        <v>93</v>
      </c>
      <c r="B125" s="239">
        <f>+'Plan de culture 107'!$Z$25</f>
        <v>16.558</v>
      </c>
      <c r="C125" s="239">
        <f>+B125</f>
        <v>16.558</v>
      </c>
      <c r="D125" s="239">
        <f t="shared" ref="D125:M125" si="90">+C125</f>
        <v>16.558</v>
      </c>
      <c r="E125" s="239">
        <f t="shared" si="90"/>
        <v>16.558</v>
      </c>
      <c r="F125" s="239">
        <f t="shared" si="90"/>
        <v>16.558</v>
      </c>
      <c r="G125" s="239">
        <f t="shared" si="90"/>
        <v>16.558</v>
      </c>
      <c r="H125" s="239">
        <f t="shared" si="90"/>
        <v>16.558</v>
      </c>
      <c r="I125" s="239">
        <f t="shared" si="90"/>
        <v>16.558</v>
      </c>
      <c r="J125" s="239">
        <f t="shared" si="90"/>
        <v>16.558</v>
      </c>
      <c r="K125" s="239">
        <f t="shared" si="90"/>
        <v>16.558</v>
      </c>
      <c r="L125" s="239">
        <f t="shared" si="90"/>
        <v>16.558</v>
      </c>
      <c r="M125" s="239">
        <f t="shared" si="90"/>
        <v>16.558</v>
      </c>
      <c r="N125" s="240">
        <f>+'Plan de culture 107'!$Z$25</f>
        <v>16.558</v>
      </c>
    </row>
    <row r="126" spans="1:14" x14ac:dyDescent="0.35">
      <c r="A126" s="238" t="s">
        <v>420</v>
      </c>
      <c r="B126" s="254">
        <f>IFERROR((B128*B127)/B125,"0,00")</f>
        <v>0</v>
      </c>
      <c r="C126" s="254">
        <f t="shared" ref="C126:M126" si="91">IFERROR((C128*C127)/C125,"0,00")</f>
        <v>0</v>
      </c>
      <c r="D126" s="254">
        <f t="shared" si="91"/>
        <v>0</v>
      </c>
      <c r="E126" s="254">
        <f t="shared" si="91"/>
        <v>0</v>
      </c>
      <c r="F126" s="254">
        <f t="shared" si="91"/>
        <v>0</v>
      </c>
      <c r="G126" s="254">
        <f t="shared" si="91"/>
        <v>0</v>
      </c>
      <c r="H126" s="254">
        <f t="shared" si="91"/>
        <v>0</v>
      </c>
      <c r="I126" s="254">
        <f t="shared" si="91"/>
        <v>0</v>
      </c>
      <c r="J126" s="254">
        <f t="shared" si="91"/>
        <v>0</v>
      </c>
      <c r="K126" s="254">
        <f t="shared" si="91"/>
        <v>0</v>
      </c>
      <c r="L126" s="254">
        <f t="shared" si="91"/>
        <v>0</v>
      </c>
      <c r="M126" s="254">
        <f t="shared" si="91"/>
        <v>0</v>
      </c>
      <c r="N126" s="245">
        <f>+N124/N125</f>
        <v>0</v>
      </c>
    </row>
    <row r="127" spans="1:14" x14ac:dyDescent="0.35">
      <c r="A127" s="250" t="s">
        <v>101</v>
      </c>
      <c r="B127" s="87">
        <v>4.7</v>
      </c>
      <c r="C127" s="87">
        <v>4.7</v>
      </c>
      <c r="D127" s="87">
        <v>4.7</v>
      </c>
      <c r="E127" s="87">
        <v>4.7</v>
      </c>
      <c r="F127" s="87">
        <v>4.7</v>
      </c>
      <c r="G127" s="87">
        <v>4.7</v>
      </c>
      <c r="H127" s="87">
        <v>4.7</v>
      </c>
      <c r="I127" s="87">
        <v>4.7</v>
      </c>
      <c r="J127" s="87">
        <v>4.7</v>
      </c>
      <c r="K127" s="87">
        <v>4.7</v>
      </c>
      <c r="L127" s="87">
        <v>4.7</v>
      </c>
      <c r="M127" s="87">
        <v>4.7</v>
      </c>
      <c r="N127" s="245"/>
    </row>
    <row r="128" spans="1:14" x14ac:dyDescent="0.35">
      <c r="A128" s="250" t="s">
        <v>102</v>
      </c>
      <c r="B128" s="88">
        <v>0</v>
      </c>
      <c r="C128" s="88">
        <v>0</v>
      </c>
      <c r="D128" s="88">
        <v>0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245"/>
    </row>
    <row r="129" spans="1:14" x14ac:dyDescent="0.35">
      <c r="A129" s="235" t="s">
        <v>377</v>
      </c>
      <c r="B129" s="80">
        <f>(B131*B130)</f>
        <v>0</v>
      </c>
      <c r="C129" s="80">
        <f t="shared" ref="C129:M129" si="92">(C131*C130)</f>
        <v>0</v>
      </c>
      <c r="D129" s="80">
        <f t="shared" si="92"/>
        <v>0</v>
      </c>
      <c r="E129" s="80">
        <f t="shared" si="92"/>
        <v>0</v>
      </c>
      <c r="F129" s="80">
        <f t="shared" si="92"/>
        <v>0</v>
      </c>
      <c r="G129" s="80">
        <f t="shared" si="92"/>
        <v>0</v>
      </c>
      <c r="H129" s="80">
        <f t="shared" si="92"/>
        <v>0</v>
      </c>
      <c r="I129" s="80">
        <f t="shared" si="92"/>
        <v>0</v>
      </c>
      <c r="J129" s="80">
        <f t="shared" si="92"/>
        <v>0</v>
      </c>
      <c r="K129" s="80">
        <f t="shared" si="92"/>
        <v>0</v>
      </c>
      <c r="L129" s="80">
        <f t="shared" si="92"/>
        <v>0</v>
      </c>
      <c r="M129" s="80">
        <f t="shared" si="92"/>
        <v>0</v>
      </c>
      <c r="N129" s="244">
        <f>SUM(B129:M129)</f>
        <v>0</v>
      </c>
    </row>
    <row r="130" spans="1:14" x14ac:dyDescent="0.35">
      <c r="A130" s="238" t="s">
        <v>93</v>
      </c>
      <c r="B130" s="239">
        <f>+'Plan de culture 107'!$Z$31</f>
        <v>0</v>
      </c>
      <c r="C130" s="239">
        <f>+B130</f>
        <v>0</v>
      </c>
      <c r="D130" s="239">
        <f t="shared" ref="D130" si="93">+C130</f>
        <v>0</v>
      </c>
      <c r="E130" s="239">
        <f>+'Plan de culture 104 '!C126</f>
        <v>0</v>
      </c>
      <c r="F130" s="239">
        <f>+E130+'Plan de culture 104 '!D126+'Plan de culture 104 '!E126</f>
        <v>0</v>
      </c>
      <c r="G130" s="239">
        <f>+F130</f>
        <v>0</v>
      </c>
      <c r="H130" s="239">
        <f t="shared" ref="H130:M130" si="94">+G130</f>
        <v>0</v>
      </c>
      <c r="I130" s="239">
        <f t="shared" si="94"/>
        <v>0</v>
      </c>
      <c r="J130" s="239">
        <f t="shared" si="94"/>
        <v>0</v>
      </c>
      <c r="K130" s="239">
        <f t="shared" si="94"/>
        <v>0</v>
      </c>
      <c r="L130" s="239">
        <f t="shared" si="94"/>
        <v>0</v>
      </c>
      <c r="M130" s="239">
        <f t="shared" si="94"/>
        <v>0</v>
      </c>
      <c r="N130" s="240">
        <f>+'Plan de culture 107'!$Z$31</f>
        <v>0</v>
      </c>
    </row>
    <row r="131" spans="1:14" x14ac:dyDescent="0.35">
      <c r="A131" s="238" t="s">
        <v>420</v>
      </c>
      <c r="B131" s="254" t="str">
        <f>IFERROR((B133*B132)/B130,"0,00")</f>
        <v>0,00</v>
      </c>
      <c r="C131" s="254" t="str">
        <f t="shared" ref="C131:M131" si="95">IFERROR((C133*C132)/C130,"0,00")</f>
        <v>0,00</v>
      </c>
      <c r="D131" s="254" t="str">
        <f t="shared" si="95"/>
        <v>0,00</v>
      </c>
      <c r="E131" s="254" t="str">
        <f t="shared" si="95"/>
        <v>0,00</v>
      </c>
      <c r="F131" s="254" t="str">
        <f t="shared" si="95"/>
        <v>0,00</v>
      </c>
      <c r="G131" s="254" t="str">
        <f t="shared" si="95"/>
        <v>0,00</v>
      </c>
      <c r="H131" s="254" t="str">
        <f t="shared" si="95"/>
        <v>0,00</v>
      </c>
      <c r="I131" s="254" t="str">
        <f t="shared" si="95"/>
        <v>0,00</v>
      </c>
      <c r="J131" s="254" t="str">
        <f t="shared" si="95"/>
        <v>0,00</v>
      </c>
      <c r="K131" s="254" t="str">
        <f t="shared" si="95"/>
        <v>0,00</v>
      </c>
      <c r="L131" s="254" t="str">
        <f t="shared" si="95"/>
        <v>0,00</v>
      </c>
      <c r="M131" s="254" t="str">
        <f t="shared" si="95"/>
        <v>0,00</v>
      </c>
      <c r="N131" s="245" t="e">
        <f>+N129/N130</f>
        <v>#DIV/0!</v>
      </c>
    </row>
    <row r="132" spans="1:14" x14ac:dyDescent="0.35">
      <c r="A132" s="250" t="s">
        <v>101</v>
      </c>
      <c r="B132" s="87">
        <v>4.7</v>
      </c>
      <c r="C132" s="87">
        <v>4.7</v>
      </c>
      <c r="D132" s="87">
        <v>4.7</v>
      </c>
      <c r="E132" s="87">
        <v>4.7</v>
      </c>
      <c r="F132" s="87">
        <v>4.7</v>
      </c>
      <c r="G132" s="87">
        <v>4.7</v>
      </c>
      <c r="H132" s="87">
        <v>4.7</v>
      </c>
      <c r="I132" s="87">
        <v>4.7</v>
      </c>
      <c r="J132" s="87">
        <v>4.7</v>
      </c>
      <c r="K132" s="87">
        <v>4.7</v>
      </c>
      <c r="L132" s="87">
        <v>4.7</v>
      </c>
      <c r="M132" s="87">
        <v>4.7</v>
      </c>
      <c r="N132" s="245"/>
    </row>
    <row r="133" spans="1:14" x14ac:dyDescent="0.35">
      <c r="A133" s="250" t="s">
        <v>102</v>
      </c>
      <c r="B133" s="88">
        <v>0</v>
      </c>
      <c r="C133" s="88">
        <v>0</v>
      </c>
      <c r="D133" s="88">
        <v>0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245"/>
    </row>
    <row r="134" spans="1:14" x14ac:dyDescent="0.35">
      <c r="A134" s="235" t="s">
        <v>378</v>
      </c>
      <c r="B134" s="80">
        <f>(B136*B135)</f>
        <v>0</v>
      </c>
      <c r="C134" s="80">
        <f t="shared" ref="C134:M134" si="96">(C136*C135)</f>
        <v>0</v>
      </c>
      <c r="D134" s="80">
        <f t="shared" si="96"/>
        <v>0</v>
      </c>
      <c r="E134" s="80">
        <f t="shared" si="96"/>
        <v>0</v>
      </c>
      <c r="F134" s="80">
        <f t="shared" si="96"/>
        <v>0</v>
      </c>
      <c r="G134" s="80">
        <f t="shared" si="96"/>
        <v>0</v>
      </c>
      <c r="H134" s="80">
        <f t="shared" si="96"/>
        <v>0</v>
      </c>
      <c r="I134" s="80">
        <f t="shared" si="96"/>
        <v>0</v>
      </c>
      <c r="J134" s="80">
        <f t="shared" si="96"/>
        <v>0</v>
      </c>
      <c r="K134" s="80">
        <f t="shared" si="96"/>
        <v>0</v>
      </c>
      <c r="L134" s="80">
        <f t="shared" si="96"/>
        <v>0</v>
      </c>
      <c r="M134" s="80">
        <f t="shared" si="96"/>
        <v>0</v>
      </c>
      <c r="N134" s="244">
        <f>SUM(B134:M134)</f>
        <v>0</v>
      </c>
    </row>
    <row r="135" spans="1:14" x14ac:dyDescent="0.35">
      <c r="A135" s="238" t="s">
        <v>93</v>
      </c>
      <c r="B135" s="239">
        <f>+'Plan de culture 107'!$Z$37</f>
        <v>0</v>
      </c>
      <c r="C135" s="239">
        <f>+B135</f>
        <v>0</v>
      </c>
      <c r="D135" s="239">
        <f t="shared" ref="D135" si="97">+C135</f>
        <v>0</v>
      </c>
      <c r="E135" s="239">
        <f>+'Plan de culture 104 '!C131</f>
        <v>0</v>
      </c>
      <c r="F135" s="239">
        <f>+E135+'Plan de culture 104 '!D131+'Plan de culture 104 '!E131</f>
        <v>0</v>
      </c>
      <c r="G135" s="239">
        <f>+F135</f>
        <v>0</v>
      </c>
      <c r="H135" s="239">
        <f t="shared" ref="H135:M135" si="98">+G135</f>
        <v>0</v>
      </c>
      <c r="I135" s="239">
        <f t="shared" si="98"/>
        <v>0</v>
      </c>
      <c r="J135" s="239">
        <f t="shared" si="98"/>
        <v>0</v>
      </c>
      <c r="K135" s="239">
        <f t="shared" si="98"/>
        <v>0</v>
      </c>
      <c r="L135" s="239">
        <f t="shared" si="98"/>
        <v>0</v>
      </c>
      <c r="M135" s="239">
        <f t="shared" si="98"/>
        <v>0</v>
      </c>
      <c r="N135" s="240">
        <f>+'Plan de culture 107'!$Z$37</f>
        <v>0</v>
      </c>
    </row>
    <row r="136" spans="1:14" x14ac:dyDescent="0.35">
      <c r="A136" s="238" t="s">
        <v>420</v>
      </c>
      <c r="B136" s="254" t="str">
        <f>IFERROR((B138*B137)/B135,"0,00")</f>
        <v>0,00</v>
      </c>
      <c r="C136" s="254" t="str">
        <f t="shared" ref="C136:M136" si="99">IFERROR((C138*C137)/C135,"0,00")</f>
        <v>0,00</v>
      </c>
      <c r="D136" s="254" t="str">
        <f t="shared" si="99"/>
        <v>0,00</v>
      </c>
      <c r="E136" s="254" t="str">
        <f t="shared" si="99"/>
        <v>0,00</v>
      </c>
      <c r="F136" s="254" t="str">
        <f t="shared" si="99"/>
        <v>0,00</v>
      </c>
      <c r="G136" s="254" t="str">
        <f t="shared" si="99"/>
        <v>0,00</v>
      </c>
      <c r="H136" s="254" t="str">
        <f t="shared" si="99"/>
        <v>0,00</v>
      </c>
      <c r="I136" s="254" t="str">
        <f t="shared" si="99"/>
        <v>0,00</v>
      </c>
      <c r="J136" s="254" t="str">
        <f t="shared" si="99"/>
        <v>0,00</v>
      </c>
      <c r="K136" s="254" t="str">
        <f t="shared" si="99"/>
        <v>0,00</v>
      </c>
      <c r="L136" s="254" t="str">
        <f t="shared" si="99"/>
        <v>0,00</v>
      </c>
      <c r="M136" s="254" t="str">
        <f t="shared" si="99"/>
        <v>0,00</v>
      </c>
      <c r="N136" s="245" t="e">
        <f>+N134/N135</f>
        <v>#DIV/0!</v>
      </c>
    </row>
    <row r="137" spans="1:14" x14ac:dyDescent="0.35">
      <c r="A137" s="250" t="s">
        <v>101</v>
      </c>
      <c r="B137" s="87">
        <v>4.7</v>
      </c>
      <c r="C137" s="87">
        <v>4.7</v>
      </c>
      <c r="D137" s="87">
        <v>4.7</v>
      </c>
      <c r="E137" s="87">
        <v>4.7</v>
      </c>
      <c r="F137" s="87">
        <v>4.7</v>
      </c>
      <c r="G137" s="87">
        <v>4.7</v>
      </c>
      <c r="H137" s="87">
        <v>4.7</v>
      </c>
      <c r="I137" s="87">
        <v>4.7</v>
      </c>
      <c r="J137" s="87">
        <v>4.7</v>
      </c>
      <c r="K137" s="87">
        <v>4.7</v>
      </c>
      <c r="L137" s="87">
        <v>4.7</v>
      </c>
      <c r="M137" s="87">
        <v>4.7</v>
      </c>
      <c r="N137" s="245"/>
    </row>
    <row r="138" spans="1:14" ht="12" thickBot="1" x14ac:dyDescent="0.4">
      <c r="A138" s="251" t="s">
        <v>102</v>
      </c>
      <c r="B138" s="88">
        <v>0</v>
      </c>
      <c r="C138" s="88">
        <v>0</v>
      </c>
      <c r="D138" s="88">
        <v>0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245"/>
    </row>
    <row r="139" spans="1:14" s="57" customFormat="1" x14ac:dyDescent="0.35">
      <c r="A139" s="233" t="s">
        <v>425</v>
      </c>
      <c r="B139" s="242">
        <f>+B142+B147+B152+B157+B162+B167</f>
        <v>0</v>
      </c>
      <c r="C139" s="242">
        <f t="shared" ref="C139:M140" si="100">+C142+C147+C152+C157+C162+C167</f>
        <v>0</v>
      </c>
      <c r="D139" s="242">
        <f t="shared" si="100"/>
        <v>0</v>
      </c>
      <c r="E139" s="242">
        <f t="shared" si="100"/>
        <v>0</v>
      </c>
      <c r="F139" s="242">
        <f t="shared" si="100"/>
        <v>0</v>
      </c>
      <c r="G139" s="242">
        <f t="shared" si="100"/>
        <v>0</v>
      </c>
      <c r="H139" s="242">
        <f t="shared" si="100"/>
        <v>0</v>
      </c>
      <c r="I139" s="242">
        <f t="shared" si="100"/>
        <v>0</v>
      </c>
      <c r="J139" s="242">
        <f t="shared" si="100"/>
        <v>0</v>
      </c>
      <c r="K139" s="242">
        <f t="shared" si="100"/>
        <v>0</v>
      </c>
      <c r="L139" s="242">
        <f t="shared" si="100"/>
        <v>0</v>
      </c>
      <c r="M139" s="242">
        <f t="shared" si="100"/>
        <v>0</v>
      </c>
      <c r="N139" s="243">
        <f>SUM(B139:M139)</f>
        <v>0</v>
      </c>
    </row>
    <row r="140" spans="1:14" s="57" customFormat="1" x14ac:dyDescent="0.35">
      <c r="A140" s="234" t="s">
        <v>93</v>
      </c>
      <c r="B140" s="81">
        <f>+B143+B148+B153+B158+B163+B168</f>
        <v>26.09</v>
      </c>
      <c r="C140" s="81">
        <f t="shared" si="100"/>
        <v>26.09</v>
      </c>
      <c r="D140" s="81">
        <f t="shared" si="100"/>
        <v>26.09</v>
      </c>
      <c r="E140" s="81">
        <f t="shared" si="100"/>
        <v>26.09</v>
      </c>
      <c r="F140" s="81">
        <f t="shared" si="100"/>
        <v>26.09</v>
      </c>
      <c r="G140" s="81">
        <f t="shared" si="100"/>
        <v>26.09</v>
      </c>
      <c r="H140" s="81">
        <f t="shared" si="100"/>
        <v>26.09</v>
      </c>
      <c r="I140" s="81">
        <f t="shared" si="100"/>
        <v>26.09</v>
      </c>
      <c r="J140" s="81">
        <f t="shared" si="100"/>
        <v>26.09</v>
      </c>
      <c r="K140" s="81">
        <f t="shared" si="100"/>
        <v>26.09</v>
      </c>
      <c r="L140" s="81">
        <f t="shared" si="100"/>
        <v>26.09</v>
      </c>
      <c r="M140" s="81">
        <f t="shared" si="100"/>
        <v>26.09</v>
      </c>
      <c r="N140" s="248">
        <f>+M140</f>
        <v>26.09</v>
      </c>
    </row>
    <row r="141" spans="1:14" s="57" customFormat="1" x14ac:dyDescent="0.35">
      <c r="A141" s="234" t="s">
        <v>420</v>
      </c>
      <c r="B141" s="83">
        <f>+B139/B140</f>
        <v>0</v>
      </c>
      <c r="C141" s="83">
        <f>+C139/C140</f>
        <v>0</v>
      </c>
      <c r="D141" s="83">
        <f>+D139/D140</f>
        <v>0</v>
      </c>
      <c r="E141" s="83">
        <f t="shared" ref="E141:N141" si="101">+E139/E140</f>
        <v>0</v>
      </c>
      <c r="F141" s="83">
        <f t="shared" si="101"/>
        <v>0</v>
      </c>
      <c r="G141" s="83">
        <f t="shared" si="101"/>
        <v>0</v>
      </c>
      <c r="H141" s="83">
        <f t="shared" si="101"/>
        <v>0</v>
      </c>
      <c r="I141" s="83">
        <f t="shared" si="101"/>
        <v>0</v>
      </c>
      <c r="J141" s="83">
        <f t="shared" si="101"/>
        <v>0</v>
      </c>
      <c r="K141" s="83">
        <f t="shared" si="101"/>
        <v>0</v>
      </c>
      <c r="L141" s="83">
        <f t="shared" si="101"/>
        <v>0</v>
      </c>
      <c r="M141" s="83">
        <f t="shared" si="101"/>
        <v>0</v>
      </c>
      <c r="N141" s="249">
        <f t="shared" si="101"/>
        <v>0</v>
      </c>
    </row>
    <row r="142" spans="1:14" x14ac:dyDescent="0.35">
      <c r="A142" s="235" t="s">
        <v>90</v>
      </c>
      <c r="B142" s="80">
        <f>(B144*B143)</f>
        <v>0</v>
      </c>
      <c r="C142" s="80">
        <f t="shared" ref="C142:M142" si="102">(C144*C143)</f>
        <v>0</v>
      </c>
      <c r="D142" s="80">
        <f t="shared" si="102"/>
        <v>0</v>
      </c>
      <c r="E142" s="80">
        <f t="shared" si="102"/>
        <v>0</v>
      </c>
      <c r="F142" s="80">
        <f t="shared" si="102"/>
        <v>0</v>
      </c>
      <c r="G142" s="80">
        <f t="shared" si="102"/>
        <v>0</v>
      </c>
      <c r="H142" s="80">
        <f t="shared" si="102"/>
        <v>0</v>
      </c>
      <c r="I142" s="80">
        <f t="shared" si="102"/>
        <v>0</v>
      </c>
      <c r="J142" s="80">
        <f t="shared" si="102"/>
        <v>0</v>
      </c>
      <c r="K142" s="80">
        <f t="shared" si="102"/>
        <v>0</v>
      </c>
      <c r="L142" s="80">
        <f t="shared" si="102"/>
        <v>0</v>
      </c>
      <c r="M142" s="80">
        <f t="shared" si="102"/>
        <v>0</v>
      </c>
      <c r="N142" s="244">
        <f>SUM(B142:M142)</f>
        <v>0</v>
      </c>
    </row>
    <row r="143" spans="1:14" x14ac:dyDescent="0.35">
      <c r="A143" s="238" t="s">
        <v>93</v>
      </c>
      <c r="B143" s="239">
        <f>+'Plan de culture 114'!$AE$7</f>
        <v>0</v>
      </c>
      <c r="C143" s="239">
        <f>+B143</f>
        <v>0</v>
      </c>
      <c r="D143" s="239">
        <f t="shared" ref="D143" si="103">+C143</f>
        <v>0</v>
      </c>
      <c r="E143" s="239">
        <f>+D143</f>
        <v>0</v>
      </c>
      <c r="F143" s="239">
        <f>+E143</f>
        <v>0</v>
      </c>
      <c r="G143" s="239">
        <f>+F143</f>
        <v>0</v>
      </c>
      <c r="H143" s="239">
        <f t="shared" ref="H143:M143" si="104">+G143</f>
        <v>0</v>
      </c>
      <c r="I143" s="239">
        <f t="shared" si="104"/>
        <v>0</v>
      </c>
      <c r="J143" s="239">
        <f t="shared" si="104"/>
        <v>0</v>
      </c>
      <c r="K143" s="239">
        <f t="shared" si="104"/>
        <v>0</v>
      </c>
      <c r="L143" s="239">
        <f t="shared" si="104"/>
        <v>0</v>
      </c>
      <c r="M143" s="239">
        <f t="shared" si="104"/>
        <v>0</v>
      </c>
      <c r="N143" s="240">
        <f>+'Plan de culture 114'!$AE$7</f>
        <v>0</v>
      </c>
    </row>
    <row r="144" spans="1:14" x14ac:dyDescent="0.35">
      <c r="A144" s="238" t="s">
        <v>420</v>
      </c>
      <c r="B144" s="254" t="str">
        <f>IFERROR((B146*B145)/B143,"0,00")</f>
        <v>0,00</v>
      </c>
      <c r="C144" s="254" t="str">
        <f t="shared" ref="C144:M144" si="105">IFERROR((C146*C145)/C143,"0,00")</f>
        <v>0,00</v>
      </c>
      <c r="D144" s="254" t="str">
        <f t="shared" si="105"/>
        <v>0,00</v>
      </c>
      <c r="E144" s="254" t="str">
        <f t="shared" si="105"/>
        <v>0,00</v>
      </c>
      <c r="F144" s="254" t="str">
        <f t="shared" si="105"/>
        <v>0,00</v>
      </c>
      <c r="G144" s="254" t="str">
        <f t="shared" si="105"/>
        <v>0,00</v>
      </c>
      <c r="H144" s="254" t="str">
        <f t="shared" si="105"/>
        <v>0,00</v>
      </c>
      <c r="I144" s="254" t="str">
        <f t="shared" si="105"/>
        <v>0,00</v>
      </c>
      <c r="J144" s="254" t="str">
        <f t="shared" si="105"/>
        <v>0,00</v>
      </c>
      <c r="K144" s="254" t="str">
        <f t="shared" si="105"/>
        <v>0,00</v>
      </c>
      <c r="L144" s="254" t="str">
        <f t="shared" si="105"/>
        <v>0,00</v>
      </c>
      <c r="M144" s="254" t="str">
        <f t="shared" si="105"/>
        <v>0,00</v>
      </c>
      <c r="N144" s="245" t="e">
        <f>+N142/N143</f>
        <v>#DIV/0!</v>
      </c>
    </row>
    <row r="145" spans="1:14" x14ac:dyDescent="0.35">
      <c r="A145" s="250" t="s">
        <v>101</v>
      </c>
      <c r="B145" s="87">
        <v>4.7</v>
      </c>
      <c r="C145" s="87">
        <v>4.7</v>
      </c>
      <c r="D145" s="87">
        <v>4.7</v>
      </c>
      <c r="E145" s="87">
        <v>4.7</v>
      </c>
      <c r="F145" s="87">
        <v>4.7</v>
      </c>
      <c r="G145" s="87">
        <v>4.7</v>
      </c>
      <c r="H145" s="87">
        <v>4.7</v>
      </c>
      <c r="I145" s="87">
        <v>4.7</v>
      </c>
      <c r="J145" s="87">
        <v>4.7</v>
      </c>
      <c r="K145" s="87">
        <v>4.7</v>
      </c>
      <c r="L145" s="87">
        <v>4.7</v>
      </c>
      <c r="M145" s="87">
        <v>4.7</v>
      </c>
      <c r="N145" s="245"/>
    </row>
    <row r="146" spans="1:14" x14ac:dyDescent="0.35">
      <c r="A146" s="250" t="s">
        <v>102</v>
      </c>
      <c r="B146" s="88">
        <v>0</v>
      </c>
      <c r="C146" s="88">
        <v>0</v>
      </c>
      <c r="D146" s="88">
        <v>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245"/>
    </row>
    <row r="147" spans="1:14" x14ac:dyDescent="0.35">
      <c r="A147" s="235" t="s">
        <v>91</v>
      </c>
      <c r="B147" s="80">
        <f>(B149*B148)</f>
        <v>0</v>
      </c>
      <c r="C147" s="80">
        <f t="shared" ref="C147:M147" si="106">(C149*C148)</f>
        <v>0</v>
      </c>
      <c r="D147" s="80">
        <f t="shared" si="106"/>
        <v>0</v>
      </c>
      <c r="E147" s="80">
        <f t="shared" si="106"/>
        <v>0</v>
      </c>
      <c r="F147" s="80">
        <f t="shared" si="106"/>
        <v>0</v>
      </c>
      <c r="G147" s="80">
        <f t="shared" si="106"/>
        <v>0</v>
      </c>
      <c r="H147" s="80">
        <f t="shared" si="106"/>
        <v>0</v>
      </c>
      <c r="I147" s="80">
        <f t="shared" si="106"/>
        <v>0</v>
      </c>
      <c r="J147" s="80">
        <f t="shared" si="106"/>
        <v>0</v>
      </c>
      <c r="K147" s="80">
        <f t="shared" si="106"/>
        <v>0</v>
      </c>
      <c r="L147" s="80">
        <f t="shared" si="106"/>
        <v>0</v>
      </c>
      <c r="M147" s="80">
        <f t="shared" si="106"/>
        <v>0</v>
      </c>
      <c r="N147" s="244">
        <f>SUM(B147:M147)</f>
        <v>0</v>
      </c>
    </row>
    <row r="148" spans="1:14" x14ac:dyDescent="0.35">
      <c r="A148" s="238" t="s">
        <v>93</v>
      </c>
      <c r="B148" s="239">
        <f>+'Plan de culture 114'!$AE$13</f>
        <v>26.09</v>
      </c>
      <c r="C148" s="239">
        <f>+B148</f>
        <v>26.09</v>
      </c>
      <c r="D148" s="239">
        <f t="shared" ref="D148:M148" si="107">+C148</f>
        <v>26.09</v>
      </c>
      <c r="E148" s="239">
        <f t="shared" si="107"/>
        <v>26.09</v>
      </c>
      <c r="F148" s="239">
        <f t="shared" si="107"/>
        <v>26.09</v>
      </c>
      <c r="G148" s="239">
        <f t="shared" si="107"/>
        <v>26.09</v>
      </c>
      <c r="H148" s="239">
        <f t="shared" si="107"/>
        <v>26.09</v>
      </c>
      <c r="I148" s="239">
        <f t="shared" si="107"/>
        <v>26.09</v>
      </c>
      <c r="J148" s="239">
        <f t="shared" si="107"/>
        <v>26.09</v>
      </c>
      <c r="K148" s="239">
        <f t="shared" si="107"/>
        <v>26.09</v>
      </c>
      <c r="L148" s="239">
        <f t="shared" si="107"/>
        <v>26.09</v>
      </c>
      <c r="M148" s="239">
        <f t="shared" si="107"/>
        <v>26.09</v>
      </c>
      <c r="N148" s="240">
        <f>+'Plan de culture 114'!$AE$13</f>
        <v>26.09</v>
      </c>
    </row>
    <row r="149" spans="1:14" x14ac:dyDescent="0.35">
      <c r="A149" s="238" t="s">
        <v>420</v>
      </c>
      <c r="B149" s="254">
        <f>IFERROR((B151*B150)/B148,"0,00")</f>
        <v>0</v>
      </c>
      <c r="C149" s="254">
        <f t="shared" ref="C149:M149" si="108">IFERROR((C151*C150)/C148,"0,00")</f>
        <v>0</v>
      </c>
      <c r="D149" s="254">
        <f t="shared" si="108"/>
        <v>0</v>
      </c>
      <c r="E149" s="254">
        <f t="shared" si="108"/>
        <v>0</v>
      </c>
      <c r="F149" s="254">
        <f t="shared" si="108"/>
        <v>0</v>
      </c>
      <c r="G149" s="254">
        <f t="shared" si="108"/>
        <v>0</v>
      </c>
      <c r="H149" s="254">
        <f t="shared" si="108"/>
        <v>0</v>
      </c>
      <c r="I149" s="254">
        <f t="shared" si="108"/>
        <v>0</v>
      </c>
      <c r="J149" s="254">
        <f t="shared" si="108"/>
        <v>0</v>
      </c>
      <c r="K149" s="254">
        <f t="shared" si="108"/>
        <v>0</v>
      </c>
      <c r="L149" s="254">
        <f t="shared" si="108"/>
        <v>0</v>
      </c>
      <c r="M149" s="254">
        <f t="shared" si="108"/>
        <v>0</v>
      </c>
      <c r="N149" s="245">
        <f>+N147/N148</f>
        <v>0</v>
      </c>
    </row>
    <row r="150" spans="1:14" x14ac:dyDescent="0.35">
      <c r="A150" s="250" t="s">
        <v>101</v>
      </c>
      <c r="B150" s="87">
        <v>4.7</v>
      </c>
      <c r="C150" s="87">
        <v>4.7</v>
      </c>
      <c r="D150" s="87">
        <v>4.7</v>
      </c>
      <c r="E150" s="87">
        <v>4.7</v>
      </c>
      <c r="F150" s="87">
        <v>4.7</v>
      </c>
      <c r="G150" s="87">
        <v>4.7</v>
      </c>
      <c r="H150" s="87">
        <v>4.7</v>
      </c>
      <c r="I150" s="87">
        <v>4.7</v>
      </c>
      <c r="J150" s="87">
        <v>4.7</v>
      </c>
      <c r="K150" s="87">
        <v>4.7</v>
      </c>
      <c r="L150" s="87">
        <v>4.7</v>
      </c>
      <c r="M150" s="87">
        <v>4.7</v>
      </c>
      <c r="N150" s="245"/>
    </row>
    <row r="151" spans="1:14" x14ac:dyDescent="0.35">
      <c r="A151" s="250" t="s">
        <v>102</v>
      </c>
      <c r="B151" s="88">
        <v>0</v>
      </c>
      <c r="C151" s="88">
        <v>0</v>
      </c>
      <c r="D151" s="88">
        <v>0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245"/>
    </row>
    <row r="152" spans="1:14" x14ac:dyDescent="0.35">
      <c r="A152" s="235" t="s">
        <v>376</v>
      </c>
      <c r="B152" s="80">
        <f>(B154*B153)</f>
        <v>0</v>
      </c>
      <c r="C152" s="80">
        <f t="shared" ref="C152:M152" si="109">(C154*C153)</f>
        <v>0</v>
      </c>
      <c r="D152" s="80">
        <f t="shared" si="109"/>
        <v>0</v>
      </c>
      <c r="E152" s="80">
        <f t="shared" si="109"/>
        <v>0</v>
      </c>
      <c r="F152" s="80">
        <f t="shared" si="109"/>
        <v>0</v>
      </c>
      <c r="G152" s="80">
        <f t="shared" si="109"/>
        <v>0</v>
      </c>
      <c r="H152" s="80">
        <f t="shared" si="109"/>
        <v>0</v>
      </c>
      <c r="I152" s="80">
        <f t="shared" si="109"/>
        <v>0</v>
      </c>
      <c r="J152" s="80">
        <f t="shared" si="109"/>
        <v>0</v>
      </c>
      <c r="K152" s="80">
        <f t="shared" si="109"/>
        <v>0</v>
      </c>
      <c r="L152" s="80">
        <f t="shared" si="109"/>
        <v>0</v>
      </c>
      <c r="M152" s="80">
        <f t="shared" si="109"/>
        <v>0</v>
      </c>
      <c r="N152" s="244">
        <f>SUM(B152:M152)</f>
        <v>0</v>
      </c>
    </row>
    <row r="153" spans="1:14" x14ac:dyDescent="0.35">
      <c r="A153" s="238" t="s">
        <v>93</v>
      </c>
      <c r="B153" s="239">
        <f>+'Plan de culture 114'!$AE$19</f>
        <v>0</v>
      </c>
      <c r="C153" s="239">
        <f>+B153</f>
        <v>0</v>
      </c>
      <c r="D153" s="239">
        <f t="shared" ref="D153" si="110">+C153</f>
        <v>0</v>
      </c>
      <c r="E153" s="239">
        <f>+'Plan de culture 104 '!C149</f>
        <v>0</v>
      </c>
      <c r="F153" s="239">
        <f>+E153+'Plan de culture 104 '!D149+'Plan de culture 104 '!E149</f>
        <v>0</v>
      </c>
      <c r="G153" s="239">
        <f>+F153</f>
        <v>0</v>
      </c>
      <c r="H153" s="239">
        <f t="shared" ref="H153:M153" si="111">+G153</f>
        <v>0</v>
      </c>
      <c r="I153" s="239">
        <f t="shared" si="111"/>
        <v>0</v>
      </c>
      <c r="J153" s="239">
        <f t="shared" si="111"/>
        <v>0</v>
      </c>
      <c r="K153" s="239">
        <f t="shared" si="111"/>
        <v>0</v>
      </c>
      <c r="L153" s="239">
        <f t="shared" si="111"/>
        <v>0</v>
      </c>
      <c r="M153" s="239">
        <f t="shared" si="111"/>
        <v>0</v>
      </c>
      <c r="N153" s="240">
        <f>+'Plan de culture 114'!$AE$19</f>
        <v>0</v>
      </c>
    </row>
    <row r="154" spans="1:14" x14ac:dyDescent="0.35">
      <c r="A154" s="238" t="s">
        <v>420</v>
      </c>
      <c r="B154" s="254" t="str">
        <f>IFERROR((B156*B155)/B153,"0,00")</f>
        <v>0,00</v>
      </c>
      <c r="C154" s="254" t="str">
        <f t="shared" ref="C154:M154" si="112">IFERROR((C156*C155)/C153,"0,00")</f>
        <v>0,00</v>
      </c>
      <c r="D154" s="254" t="str">
        <f t="shared" si="112"/>
        <v>0,00</v>
      </c>
      <c r="E154" s="254" t="str">
        <f t="shared" si="112"/>
        <v>0,00</v>
      </c>
      <c r="F154" s="254" t="str">
        <f t="shared" si="112"/>
        <v>0,00</v>
      </c>
      <c r="G154" s="254" t="str">
        <f t="shared" si="112"/>
        <v>0,00</v>
      </c>
      <c r="H154" s="254" t="str">
        <f t="shared" si="112"/>
        <v>0,00</v>
      </c>
      <c r="I154" s="254" t="str">
        <f t="shared" si="112"/>
        <v>0,00</v>
      </c>
      <c r="J154" s="254" t="str">
        <f t="shared" si="112"/>
        <v>0,00</v>
      </c>
      <c r="K154" s="254" t="str">
        <f t="shared" si="112"/>
        <v>0,00</v>
      </c>
      <c r="L154" s="254" t="str">
        <f t="shared" si="112"/>
        <v>0,00</v>
      </c>
      <c r="M154" s="254" t="str">
        <f t="shared" si="112"/>
        <v>0,00</v>
      </c>
      <c r="N154" s="245" t="e">
        <f>+N152/N153</f>
        <v>#DIV/0!</v>
      </c>
    </row>
    <row r="155" spans="1:14" x14ac:dyDescent="0.35">
      <c r="A155" s="250" t="s">
        <v>101</v>
      </c>
      <c r="B155" s="87">
        <v>4.7</v>
      </c>
      <c r="C155" s="87">
        <v>4.7</v>
      </c>
      <c r="D155" s="87">
        <v>4.7</v>
      </c>
      <c r="E155" s="87">
        <v>4.7</v>
      </c>
      <c r="F155" s="87">
        <v>4.7</v>
      </c>
      <c r="G155" s="87">
        <v>4.7</v>
      </c>
      <c r="H155" s="87">
        <v>4.7</v>
      </c>
      <c r="I155" s="87">
        <v>4.7</v>
      </c>
      <c r="J155" s="87">
        <v>4.7</v>
      </c>
      <c r="K155" s="87">
        <v>4.7</v>
      </c>
      <c r="L155" s="87">
        <v>4.7</v>
      </c>
      <c r="M155" s="87">
        <v>4.7</v>
      </c>
      <c r="N155" s="245"/>
    </row>
    <row r="156" spans="1:14" x14ac:dyDescent="0.35">
      <c r="A156" s="250" t="s">
        <v>102</v>
      </c>
      <c r="B156" s="88">
        <v>0</v>
      </c>
      <c r="C156" s="88">
        <v>0</v>
      </c>
      <c r="D156" s="88">
        <v>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245"/>
    </row>
    <row r="157" spans="1:14" x14ac:dyDescent="0.35">
      <c r="A157" s="235" t="s">
        <v>92</v>
      </c>
      <c r="B157" s="80">
        <f>(B159*B158)</f>
        <v>0</v>
      </c>
      <c r="C157" s="80">
        <f t="shared" ref="C157:M157" si="113">(C159*C158)</f>
        <v>0</v>
      </c>
      <c r="D157" s="80">
        <f t="shared" si="113"/>
        <v>0</v>
      </c>
      <c r="E157" s="80">
        <f t="shared" si="113"/>
        <v>0</v>
      </c>
      <c r="F157" s="80">
        <f t="shared" si="113"/>
        <v>0</v>
      </c>
      <c r="G157" s="80">
        <f t="shared" si="113"/>
        <v>0</v>
      </c>
      <c r="H157" s="80">
        <f t="shared" si="113"/>
        <v>0</v>
      </c>
      <c r="I157" s="80">
        <f t="shared" si="113"/>
        <v>0</v>
      </c>
      <c r="J157" s="80">
        <f t="shared" si="113"/>
        <v>0</v>
      </c>
      <c r="K157" s="80">
        <f t="shared" si="113"/>
        <v>0</v>
      </c>
      <c r="L157" s="80">
        <f t="shared" si="113"/>
        <v>0</v>
      </c>
      <c r="M157" s="80">
        <f t="shared" si="113"/>
        <v>0</v>
      </c>
      <c r="N157" s="244">
        <f>SUM(B157:M157)</f>
        <v>0</v>
      </c>
    </row>
    <row r="158" spans="1:14" x14ac:dyDescent="0.35">
      <c r="A158" s="238" t="s">
        <v>93</v>
      </c>
      <c r="B158" s="239">
        <f>+'Plan de culture 114'!$AE$25</f>
        <v>0</v>
      </c>
      <c r="C158" s="239">
        <f>+B158</f>
        <v>0</v>
      </c>
      <c r="D158" s="239">
        <f t="shared" ref="D158" si="114">+C158</f>
        <v>0</v>
      </c>
      <c r="E158" s="239">
        <f>+'Plan de culture 104 '!C154</f>
        <v>0</v>
      </c>
      <c r="F158" s="239">
        <f>+E158+'Plan de culture 104 '!D154+'Plan de culture 104 '!E154</f>
        <v>0</v>
      </c>
      <c r="G158" s="239">
        <f>+F158</f>
        <v>0</v>
      </c>
      <c r="H158" s="239">
        <f t="shared" ref="H158:M158" si="115">+G158</f>
        <v>0</v>
      </c>
      <c r="I158" s="239">
        <f t="shared" si="115"/>
        <v>0</v>
      </c>
      <c r="J158" s="239">
        <f t="shared" si="115"/>
        <v>0</v>
      </c>
      <c r="K158" s="239">
        <f t="shared" si="115"/>
        <v>0</v>
      </c>
      <c r="L158" s="239">
        <f t="shared" si="115"/>
        <v>0</v>
      </c>
      <c r="M158" s="239">
        <f t="shared" si="115"/>
        <v>0</v>
      </c>
      <c r="N158" s="240">
        <f>+'Plan de culture 114'!$AE$25</f>
        <v>0</v>
      </c>
    </row>
    <row r="159" spans="1:14" x14ac:dyDescent="0.35">
      <c r="A159" s="238" t="s">
        <v>420</v>
      </c>
      <c r="B159" s="254" t="str">
        <f>IFERROR((B161*B160)/B158,"0,00")</f>
        <v>0,00</v>
      </c>
      <c r="C159" s="254" t="str">
        <f t="shared" ref="C159:M159" si="116">IFERROR((C161*C160)/C158,"0,00")</f>
        <v>0,00</v>
      </c>
      <c r="D159" s="254" t="str">
        <f t="shared" si="116"/>
        <v>0,00</v>
      </c>
      <c r="E159" s="254" t="str">
        <f t="shared" si="116"/>
        <v>0,00</v>
      </c>
      <c r="F159" s="254" t="str">
        <f t="shared" si="116"/>
        <v>0,00</v>
      </c>
      <c r="G159" s="254" t="str">
        <f t="shared" si="116"/>
        <v>0,00</v>
      </c>
      <c r="H159" s="254" t="str">
        <f t="shared" si="116"/>
        <v>0,00</v>
      </c>
      <c r="I159" s="254" t="str">
        <f t="shared" si="116"/>
        <v>0,00</v>
      </c>
      <c r="J159" s="254" t="str">
        <f t="shared" si="116"/>
        <v>0,00</v>
      </c>
      <c r="K159" s="254" t="str">
        <f t="shared" si="116"/>
        <v>0,00</v>
      </c>
      <c r="L159" s="254" t="str">
        <f t="shared" si="116"/>
        <v>0,00</v>
      </c>
      <c r="M159" s="254" t="str">
        <f t="shared" si="116"/>
        <v>0,00</v>
      </c>
      <c r="N159" s="245" t="e">
        <f>+N157/N158</f>
        <v>#DIV/0!</v>
      </c>
    </row>
    <row r="160" spans="1:14" x14ac:dyDescent="0.35">
      <c r="A160" s="250" t="s">
        <v>101</v>
      </c>
      <c r="B160" s="87">
        <v>4.7</v>
      </c>
      <c r="C160" s="87">
        <v>4.7</v>
      </c>
      <c r="D160" s="87">
        <v>4.7</v>
      </c>
      <c r="E160" s="87">
        <v>4.7</v>
      </c>
      <c r="F160" s="87">
        <v>4.7</v>
      </c>
      <c r="G160" s="87">
        <v>4.7</v>
      </c>
      <c r="H160" s="87">
        <v>4.7</v>
      </c>
      <c r="I160" s="87">
        <v>4.7</v>
      </c>
      <c r="J160" s="87">
        <v>4.7</v>
      </c>
      <c r="K160" s="87">
        <v>4.7</v>
      </c>
      <c r="L160" s="87">
        <v>4.7</v>
      </c>
      <c r="M160" s="87">
        <v>4.7</v>
      </c>
      <c r="N160" s="245"/>
    </row>
    <row r="161" spans="1:14" x14ac:dyDescent="0.35">
      <c r="A161" s="250" t="s">
        <v>102</v>
      </c>
      <c r="B161" s="88">
        <v>0</v>
      </c>
      <c r="C161" s="88">
        <v>0</v>
      </c>
      <c r="D161" s="88">
        <v>0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245"/>
    </row>
    <row r="162" spans="1:14" x14ac:dyDescent="0.35">
      <c r="A162" s="235" t="s">
        <v>377</v>
      </c>
      <c r="B162" s="80">
        <f>(B164*B163)</f>
        <v>0</v>
      </c>
      <c r="C162" s="80">
        <f t="shared" ref="C162:M162" si="117">(C164*C163)</f>
        <v>0</v>
      </c>
      <c r="D162" s="80">
        <f t="shared" si="117"/>
        <v>0</v>
      </c>
      <c r="E162" s="80">
        <f t="shared" si="117"/>
        <v>0</v>
      </c>
      <c r="F162" s="80">
        <f t="shared" si="117"/>
        <v>0</v>
      </c>
      <c r="G162" s="80">
        <f t="shared" si="117"/>
        <v>0</v>
      </c>
      <c r="H162" s="80">
        <f t="shared" si="117"/>
        <v>0</v>
      </c>
      <c r="I162" s="80">
        <f t="shared" si="117"/>
        <v>0</v>
      </c>
      <c r="J162" s="80">
        <f t="shared" si="117"/>
        <v>0</v>
      </c>
      <c r="K162" s="80">
        <f t="shared" si="117"/>
        <v>0</v>
      </c>
      <c r="L162" s="80">
        <f t="shared" si="117"/>
        <v>0</v>
      </c>
      <c r="M162" s="80">
        <f t="shared" si="117"/>
        <v>0</v>
      </c>
      <c r="N162" s="244">
        <f>SUM(B162:M162)</f>
        <v>0</v>
      </c>
    </row>
    <row r="163" spans="1:14" x14ac:dyDescent="0.35">
      <c r="A163" s="238" t="s">
        <v>93</v>
      </c>
      <c r="B163" s="239">
        <f>+'Plan de culture 114'!$AE$31</f>
        <v>0</v>
      </c>
      <c r="C163" s="239">
        <f>+B163</f>
        <v>0</v>
      </c>
      <c r="D163" s="239">
        <f t="shared" ref="D163" si="118">+C163</f>
        <v>0</v>
      </c>
      <c r="E163" s="239">
        <f>+'Plan de culture 104 '!C159</f>
        <v>0</v>
      </c>
      <c r="F163" s="239">
        <f>+E163+'Plan de culture 104 '!D159+'Plan de culture 104 '!E159</f>
        <v>0</v>
      </c>
      <c r="G163" s="239">
        <f>+F163</f>
        <v>0</v>
      </c>
      <c r="H163" s="239">
        <f t="shared" ref="H163:M163" si="119">+G163</f>
        <v>0</v>
      </c>
      <c r="I163" s="239">
        <f t="shared" si="119"/>
        <v>0</v>
      </c>
      <c r="J163" s="239">
        <f t="shared" si="119"/>
        <v>0</v>
      </c>
      <c r="K163" s="239">
        <f t="shared" si="119"/>
        <v>0</v>
      </c>
      <c r="L163" s="239">
        <f t="shared" si="119"/>
        <v>0</v>
      </c>
      <c r="M163" s="239">
        <f t="shared" si="119"/>
        <v>0</v>
      </c>
      <c r="N163" s="240">
        <f>+'Plan de culture 114'!$AE$31</f>
        <v>0</v>
      </c>
    </row>
    <row r="164" spans="1:14" x14ac:dyDescent="0.35">
      <c r="A164" s="238" t="s">
        <v>420</v>
      </c>
      <c r="B164" s="254" t="str">
        <f>IFERROR((B166*B165)/B163,"0,00")</f>
        <v>0,00</v>
      </c>
      <c r="C164" s="254" t="str">
        <f t="shared" ref="C164:M164" si="120">IFERROR((C166*C165)/C163,"0,00")</f>
        <v>0,00</v>
      </c>
      <c r="D164" s="254" t="str">
        <f t="shared" si="120"/>
        <v>0,00</v>
      </c>
      <c r="E164" s="254" t="str">
        <f t="shared" si="120"/>
        <v>0,00</v>
      </c>
      <c r="F164" s="254" t="str">
        <f t="shared" si="120"/>
        <v>0,00</v>
      </c>
      <c r="G164" s="254" t="str">
        <f t="shared" si="120"/>
        <v>0,00</v>
      </c>
      <c r="H164" s="254" t="str">
        <f t="shared" si="120"/>
        <v>0,00</v>
      </c>
      <c r="I164" s="254" t="str">
        <f t="shared" si="120"/>
        <v>0,00</v>
      </c>
      <c r="J164" s="254" t="str">
        <f t="shared" si="120"/>
        <v>0,00</v>
      </c>
      <c r="K164" s="254" t="str">
        <f t="shared" si="120"/>
        <v>0,00</v>
      </c>
      <c r="L164" s="254" t="str">
        <f t="shared" si="120"/>
        <v>0,00</v>
      </c>
      <c r="M164" s="254" t="str">
        <f t="shared" si="120"/>
        <v>0,00</v>
      </c>
      <c r="N164" s="245" t="e">
        <f>+N162/N163</f>
        <v>#DIV/0!</v>
      </c>
    </row>
    <row r="165" spans="1:14" x14ac:dyDescent="0.35">
      <c r="A165" s="250" t="s">
        <v>101</v>
      </c>
      <c r="B165" s="87">
        <v>4.7</v>
      </c>
      <c r="C165" s="87">
        <v>4.7</v>
      </c>
      <c r="D165" s="87">
        <v>4.7</v>
      </c>
      <c r="E165" s="87">
        <v>4.7</v>
      </c>
      <c r="F165" s="87">
        <v>4.7</v>
      </c>
      <c r="G165" s="87">
        <v>4.7</v>
      </c>
      <c r="H165" s="87">
        <v>4.7</v>
      </c>
      <c r="I165" s="87">
        <v>4.7</v>
      </c>
      <c r="J165" s="87">
        <v>4.7</v>
      </c>
      <c r="K165" s="87">
        <v>4.7</v>
      </c>
      <c r="L165" s="87">
        <v>4.7</v>
      </c>
      <c r="M165" s="87">
        <v>4.7</v>
      </c>
      <c r="N165" s="245"/>
    </row>
    <row r="166" spans="1:14" x14ac:dyDescent="0.35">
      <c r="A166" s="250" t="s">
        <v>102</v>
      </c>
      <c r="B166" s="88">
        <v>0</v>
      </c>
      <c r="C166" s="88">
        <v>0</v>
      </c>
      <c r="D166" s="88">
        <v>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245"/>
    </row>
    <row r="167" spans="1:14" x14ac:dyDescent="0.35">
      <c r="A167" s="235" t="s">
        <v>378</v>
      </c>
      <c r="B167" s="80">
        <f>(B169*B168)</f>
        <v>0</v>
      </c>
      <c r="C167" s="80">
        <f t="shared" ref="C167:M167" si="121">(C169*C168)</f>
        <v>0</v>
      </c>
      <c r="D167" s="80">
        <f t="shared" si="121"/>
        <v>0</v>
      </c>
      <c r="E167" s="80">
        <f t="shared" si="121"/>
        <v>0</v>
      </c>
      <c r="F167" s="80">
        <f t="shared" si="121"/>
        <v>0</v>
      </c>
      <c r="G167" s="80">
        <f t="shared" si="121"/>
        <v>0</v>
      </c>
      <c r="H167" s="80">
        <f t="shared" si="121"/>
        <v>0</v>
      </c>
      <c r="I167" s="80">
        <f t="shared" si="121"/>
        <v>0</v>
      </c>
      <c r="J167" s="80">
        <f t="shared" si="121"/>
        <v>0</v>
      </c>
      <c r="K167" s="80">
        <f t="shared" si="121"/>
        <v>0</v>
      </c>
      <c r="L167" s="80">
        <f t="shared" si="121"/>
        <v>0</v>
      </c>
      <c r="M167" s="80">
        <f t="shared" si="121"/>
        <v>0</v>
      </c>
      <c r="N167" s="244">
        <f>SUM(B167:M167)</f>
        <v>0</v>
      </c>
    </row>
    <row r="168" spans="1:14" x14ac:dyDescent="0.35">
      <c r="A168" s="238" t="s">
        <v>93</v>
      </c>
      <c r="B168" s="239">
        <f>+'Plan de culture 114'!$AE$37</f>
        <v>0</v>
      </c>
      <c r="C168" s="239">
        <f>+B168</f>
        <v>0</v>
      </c>
      <c r="D168" s="239">
        <f t="shared" ref="D168" si="122">+C168</f>
        <v>0</v>
      </c>
      <c r="E168" s="239">
        <f>+'Plan de culture 104 '!C164</f>
        <v>0</v>
      </c>
      <c r="F168" s="239">
        <f>+E168+'Plan de culture 104 '!D164+'Plan de culture 104 '!E164</f>
        <v>0</v>
      </c>
      <c r="G168" s="239">
        <f>+F168</f>
        <v>0</v>
      </c>
      <c r="H168" s="239">
        <f t="shared" ref="H168:M168" si="123">+G168</f>
        <v>0</v>
      </c>
      <c r="I168" s="239">
        <f t="shared" si="123"/>
        <v>0</v>
      </c>
      <c r="J168" s="239">
        <f t="shared" si="123"/>
        <v>0</v>
      </c>
      <c r="K168" s="239">
        <f t="shared" si="123"/>
        <v>0</v>
      </c>
      <c r="L168" s="239">
        <f t="shared" si="123"/>
        <v>0</v>
      </c>
      <c r="M168" s="239">
        <f t="shared" si="123"/>
        <v>0</v>
      </c>
      <c r="N168" s="240">
        <f>+'Plan de culture 114'!$AE$37</f>
        <v>0</v>
      </c>
    </row>
    <row r="169" spans="1:14" x14ac:dyDescent="0.35">
      <c r="A169" s="238" t="s">
        <v>420</v>
      </c>
      <c r="B169" s="254" t="str">
        <f>IFERROR((B171*B170)/B168,"0,00")</f>
        <v>0,00</v>
      </c>
      <c r="C169" s="254" t="str">
        <f t="shared" ref="C169:M169" si="124">IFERROR((C171*C170)/C168,"0,00")</f>
        <v>0,00</v>
      </c>
      <c r="D169" s="254" t="str">
        <f t="shared" si="124"/>
        <v>0,00</v>
      </c>
      <c r="E169" s="254" t="str">
        <f t="shared" si="124"/>
        <v>0,00</v>
      </c>
      <c r="F169" s="254" t="str">
        <f t="shared" si="124"/>
        <v>0,00</v>
      </c>
      <c r="G169" s="254" t="str">
        <f t="shared" si="124"/>
        <v>0,00</v>
      </c>
      <c r="H169" s="254" t="str">
        <f t="shared" si="124"/>
        <v>0,00</v>
      </c>
      <c r="I169" s="254" t="str">
        <f t="shared" si="124"/>
        <v>0,00</v>
      </c>
      <c r="J169" s="254" t="str">
        <f t="shared" si="124"/>
        <v>0,00</v>
      </c>
      <c r="K169" s="254" t="str">
        <f t="shared" si="124"/>
        <v>0,00</v>
      </c>
      <c r="L169" s="254" t="str">
        <f t="shared" si="124"/>
        <v>0,00</v>
      </c>
      <c r="M169" s="254" t="str">
        <f t="shared" si="124"/>
        <v>0,00</v>
      </c>
      <c r="N169" s="245" t="e">
        <f>+N167/N168</f>
        <v>#DIV/0!</v>
      </c>
    </row>
    <row r="170" spans="1:14" x14ac:dyDescent="0.35">
      <c r="A170" s="250" t="s">
        <v>101</v>
      </c>
      <c r="B170" s="87">
        <v>4.7</v>
      </c>
      <c r="C170" s="87">
        <v>4.7</v>
      </c>
      <c r="D170" s="87">
        <v>4.7</v>
      </c>
      <c r="E170" s="87">
        <v>4.7</v>
      </c>
      <c r="F170" s="87">
        <v>4.7</v>
      </c>
      <c r="G170" s="87">
        <v>4.7</v>
      </c>
      <c r="H170" s="87">
        <v>4.7</v>
      </c>
      <c r="I170" s="87">
        <v>4.7</v>
      </c>
      <c r="J170" s="87">
        <v>4.7</v>
      </c>
      <c r="K170" s="87">
        <v>4.7</v>
      </c>
      <c r="L170" s="87">
        <v>4.7</v>
      </c>
      <c r="M170" s="87">
        <v>4.7</v>
      </c>
      <c r="N170" s="245"/>
    </row>
    <row r="171" spans="1:14" ht="12" thickBot="1" x14ac:dyDescent="0.4">
      <c r="A171" s="251" t="s">
        <v>102</v>
      </c>
      <c r="B171" s="252">
        <v>0</v>
      </c>
      <c r="C171" s="252">
        <v>0</v>
      </c>
      <c r="D171" s="252">
        <v>0</v>
      </c>
      <c r="E171" s="252">
        <v>0</v>
      </c>
      <c r="F171" s="252">
        <v>0</v>
      </c>
      <c r="G171" s="252">
        <v>0</v>
      </c>
      <c r="H171" s="252">
        <v>0</v>
      </c>
      <c r="I171" s="252">
        <v>0</v>
      </c>
      <c r="J171" s="252">
        <v>0</v>
      </c>
      <c r="K171" s="252">
        <v>0</v>
      </c>
      <c r="L171" s="252">
        <v>0</v>
      </c>
      <c r="M171" s="252">
        <v>0</v>
      </c>
      <c r="N171" s="247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231"/>
  <sheetViews>
    <sheetView topLeftCell="A187" zoomScaleNormal="100" workbookViewId="0">
      <selection activeCell="B226" sqref="B226:N226"/>
    </sheetView>
  </sheetViews>
  <sheetFormatPr baseColWidth="10" defaultColWidth="11.46484375" defaultRowHeight="11.65" x14ac:dyDescent="0.35"/>
  <cols>
    <col min="1" max="1" width="30" style="32" bestFit="1" customWidth="1"/>
    <col min="2" max="13" width="8.73046875" style="32" bestFit="1" customWidth="1"/>
    <col min="14" max="14" width="10" style="32" bestFit="1" customWidth="1"/>
    <col min="15" max="16384" width="11.46484375" style="32"/>
  </cols>
  <sheetData>
    <row r="1" spans="1:16" ht="35.25" thickBot="1" x14ac:dyDescent="0.4">
      <c r="A1" s="68" t="s">
        <v>314</v>
      </c>
    </row>
    <row r="3" spans="1:16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71" t="s">
        <v>426</v>
      </c>
      <c r="B4" s="76">
        <f>B7+B52+B97+B142+B187</f>
        <v>1463125.4</v>
      </c>
      <c r="C4" s="76">
        <f t="shared" ref="C4:N5" si="1">C7+C52+C97+C142+C187</f>
        <v>46835</v>
      </c>
      <c r="D4" s="76">
        <f t="shared" si="1"/>
        <v>46835</v>
      </c>
      <c r="E4" s="76">
        <f t="shared" si="1"/>
        <v>46835</v>
      </c>
      <c r="F4" s="76">
        <f t="shared" si="1"/>
        <v>46835</v>
      </c>
      <c r="G4" s="76">
        <f t="shared" si="1"/>
        <v>46835</v>
      </c>
      <c r="H4" s="76">
        <f t="shared" si="1"/>
        <v>46835</v>
      </c>
      <c r="I4" s="76">
        <f t="shared" si="1"/>
        <v>46835</v>
      </c>
      <c r="J4" s="76">
        <f t="shared" si="1"/>
        <v>46835</v>
      </c>
      <c r="K4" s="76">
        <f t="shared" si="1"/>
        <v>46835</v>
      </c>
      <c r="L4" s="76">
        <f t="shared" si="1"/>
        <v>46835</v>
      </c>
      <c r="M4" s="76">
        <f t="shared" si="1"/>
        <v>46835</v>
      </c>
      <c r="N4" s="76">
        <f>N7+N52+N97+N142+N187</f>
        <v>1978310.4000000001</v>
      </c>
    </row>
    <row r="5" spans="1:16" s="57" customFormat="1" x14ac:dyDescent="0.35">
      <c r="A5" s="71" t="s">
        <v>93</v>
      </c>
      <c r="B5" s="85">
        <f>B8+B53+B98+B143+B188</f>
        <v>46.835000000000008</v>
      </c>
      <c r="C5" s="85">
        <f t="shared" si="1"/>
        <v>46.835000000000008</v>
      </c>
      <c r="D5" s="85">
        <f t="shared" si="1"/>
        <v>46.835000000000008</v>
      </c>
      <c r="E5" s="85">
        <f t="shared" si="1"/>
        <v>46.835000000000008</v>
      </c>
      <c r="F5" s="85">
        <f t="shared" si="1"/>
        <v>46.835000000000008</v>
      </c>
      <c r="G5" s="85">
        <f t="shared" si="1"/>
        <v>46.835000000000008</v>
      </c>
      <c r="H5" s="85">
        <f t="shared" si="1"/>
        <v>46.835000000000008</v>
      </c>
      <c r="I5" s="85">
        <f t="shared" si="1"/>
        <v>46.835000000000008</v>
      </c>
      <c r="J5" s="85">
        <f t="shared" si="1"/>
        <v>46.835000000000008</v>
      </c>
      <c r="K5" s="85">
        <f t="shared" si="1"/>
        <v>46.835000000000008</v>
      </c>
      <c r="L5" s="85">
        <f t="shared" si="1"/>
        <v>46.835000000000008</v>
      </c>
      <c r="M5" s="85">
        <f t="shared" si="1"/>
        <v>46.835000000000008</v>
      </c>
      <c r="N5" s="85">
        <f t="shared" si="1"/>
        <v>46.835000000000008</v>
      </c>
    </row>
    <row r="6" spans="1:16" s="57" customFormat="1" ht="12" thickBot="1" x14ac:dyDescent="0.4">
      <c r="A6" s="71" t="s">
        <v>149</v>
      </c>
      <c r="B6" s="75">
        <f>+B4/B5</f>
        <v>31239.999999999993</v>
      </c>
      <c r="C6" s="75">
        <f t="shared" ref="C6:M6" si="2">+C4/C5</f>
        <v>999.99999999999989</v>
      </c>
      <c r="D6" s="75">
        <f t="shared" si="2"/>
        <v>999.99999999999989</v>
      </c>
      <c r="E6" s="75">
        <f t="shared" si="2"/>
        <v>999.99999999999989</v>
      </c>
      <c r="F6" s="75">
        <f t="shared" si="2"/>
        <v>999.99999999999989</v>
      </c>
      <c r="G6" s="75">
        <f t="shared" si="2"/>
        <v>999.99999999999989</v>
      </c>
      <c r="H6" s="75">
        <f t="shared" si="2"/>
        <v>999.99999999999989</v>
      </c>
      <c r="I6" s="75">
        <f t="shared" si="2"/>
        <v>999.99999999999989</v>
      </c>
      <c r="J6" s="75">
        <f t="shared" si="2"/>
        <v>999.99999999999989</v>
      </c>
      <c r="K6" s="75">
        <f t="shared" si="2"/>
        <v>999.99999999999989</v>
      </c>
      <c r="L6" s="75">
        <f t="shared" si="2"/>
        <v>999.99999999999989</v>
      </c>
      <c r="M6" s="75">
        <f t="shared" si="2"/>
        <v>999.99999999999989</v>
      </c>
      <c r="N6" s="75">
        <f>+N4/N5</f>
        <v>42239.999999999993</v>
      </c>
    </row>
    <row r="7" spans="1:16" s="57" customFormat="1" x14ac:dyDescent="0.35">
      <c r="A7" s="233" t="s">
        <v>427</v>
      </c>
      <c r="B7" s="242">
        <f>+B10+B17</f>
        <v>479534.00000000006</v>
      </c>
      <c r="C7" s="242">
        <f t="shared" ref="C7:M8" si="3">+C10+C17</f>
        <v>15350.000000000004</v>
      </c>
      <c r="D7" s="242">
        <f t="shared" si="3"/>
        <v>15350.000000000004</v>
      </c>
      <c r="E7" s="242">
        <f t="shared" si="3"/>
        <v>15350.000000000004</v>
      </c>
      <c r="F7" s="242">
        <f t="shared" si="3"/>
        <v>15350.000000000004</v>
      </c>
      <c r="G7" s="242">
        <f t="shared" si="3"/>
        <v>15350.000000000004</v>
      </c>
      <c r="H7" s="242">
        <f t="shared" si="3"/>
        <v>15350.000000000004</v>
      </c>
      <c r="I7" s="242">
        <f t="shared" si="3"/>
        <v>15350.000000000004</v>
      </c>
      <c r="J7" s="242">
        <f t="shared" si="3"/>
        <v>15350.000000000004</v>
      </c>
      <c r="K7" s="242">
        <f t="shared" si="3"/>
        <v>15350.000000000004</v>
      </c>
      <c r="L7" s="242">
        <f t="shared" si="3"/>
        <v>15350.000000000004</v>
      </c>
      <c r="M7" s="242">
        <f t="shared" si="3"/>
        <v>15350.000000000004</v>
      </c>
      <c r="N7" s="243">
        <f>SUM(B7:M7)</f>
        <v>648384.00000000012</v>
      </c>
    </row>
    <row r="8" spans="1:16" s="57" customFormat="1" x14ac:dyDescent="0.35">
      <c r="A8" s="234" t="s">
        <v>93</v>
      </c>
      <c r="B8" s="81">
        <f>+B11+B18</f>
        <v>15.350000000000003</v>
      </c>
      <c r="C8" s="81">
        <f t="shared" si="3"/>
        <v>15.350000000000003</v>
      </c>
      <c r="D8" s="81">
        <f t="shared" si="3"/>
        <v>15.350000000000003</v>
      </c>
      <c r="E8" s="81">
        <f t="shared" si="3"/>
        <v>15.350000000000003</v>
      </c>
      <c r="F8" s="81">
        <f t="shared" si="3"/>
        <v>15.350000000000003</v>
      </c>
      <c r="G8" s="81">
        <f t="shared" si="3"/>
        <v>15.350000000000003</v>
      </c>
      <c r="H8" s="81">
        <f t="shared" si="3"/>
        <v>15.350000000000003</v>
      </c>
      <c r="I8" s="81">
        <f t="shared" si="3"/>
        <v>15.350000000000003</v>
      </c>
      <c r="J8" s="81">
        <f t="shared" si="3"/>
        <v>15.350000000000003</v>
      </c>
      <c r="K8" s="81">
        <f t="shared" si="3"/>
        <v>15.350000000000003</v>
      </c>
      <c r="L8" s="81">
        <f t="shared" si="3"/>
        <v>15.350000000000003</v>
      </c>
      <c r="M8" s="81">
        <f t="shared" si="3"/>
        <v>15.350000000000003</v>
      </c>
      <c r="N8" s="248">
        <f>+M8</f>
        <v>15.350000000000003</v>
      </c>
    </row>
    <row r="9" spans="1:16" s="57" customFormat="1" x14ac:dyDescent="0.35">
      <c r="A9" s="234" t="s">
        <v>149</v>
      </c>
      <c r="B9" s="83">
        <f>+B7/B8</f>
        <v>31239.999999999996</v>
      </c>
      <c r="C9" s="83">
        <f>+C7/C8</f>
        <v>1000</v>
      </c>
      <c r="D9" s="83">
        <f>+D7/D8</f>
        <v>1000</v>
      </c>
      <c r="E9" s="83">
        <f t="shared" ref="E9:M9" si="4">+E7/E8</f>
        <v>1000</v>
      </c>
      <c r="F9" s="83">
        <f t="shared" si="4"/>
        <v>1000</v>
      </c>
      <c r="G9" s="83">
        <f t="shared" si="4"/>
        <v>1000</v>
      </c>
      <c r="H9" s="83">
        <f t="shared" si="4"/>
        <v>1000</v>
      </c>
      <c r="I9" s="83">
        <f t="shared" si="4"/>
        <v>1000</v>
      </c>
      <c r="J9" s="83">
        <f t="shared" si="4"/>
        <v>1000</v>
      </c>
      <c r="K9" s="83">
        <f t="shared" si="4"/>
        <v>1000</v>
      </c>
      <c r="L9" s="83">
        <f t="shared" si="4"/>
        <v>1000</v>
      </c>
      <c r="M9" s="83">
        <f t="shared" si="4"/>
        <v>1000</v>
      </c>
      <c r="N9" s="249">
        <f>+N7/N8</f>
        <v>42240</v>
      </c>
    </row>
    <row r="10" spans="1:16" x14ac:dyDescent="0.35">
      <c r="A10" s="235" t="s">
        <v>90</v>
      </c>
      <c r="B10" s="80">
        <f>+B15</f>
        <v>479534.00000000006</v>
      </c>
      <c r="C10" s="80">
        <f t="shared" ref="C10:M10" si="5">+C15</f>
        <v>15350.000000000004</v>
      </c>
      <c r="D10" s="80">
        <f t="shared" si="5"/>
        <v>15350.000000000004</v>
      </c>
      <c r="E10" s="80">
        <f t="shared" si="5"/>
        <v>15350.000000000004</v>
      </c>
      <c r="F10" s="80">
        <f t="shared" si="5"/>
        <v>15350.000000000004</v>
      </c>
      <c r="G10" s="80">
        <f t="shared" si="5"/>
        <v>15350.000000000004</v>
      </c>
      <c r="H10" s="80">
        <f t="shared" si="5"/>
        <v>15350.000000000004</v>
      </c>
      <c r="I10" s="80">
        <f t="shared" si="5"/>
        <v>15350.000000000004</v>
      </c>
      <c r="J10" s="80">
        <f t="shared" si="5"/>
        <v>15350.000000000004</v>
      </c>
      <c r="K10" s="80">
        <f t="shared" si="5"/>
        <v>15350.000000000004</v>
      </c>
      <c r="L10" s="80">
        <f t="shared" si="5"/>
        <v>15350.000000000004</v>
      </c>
      <c r="M10" s="80">
        <f t="shared" si="5"/>
        <v>15350.000000000004</v>
      </c>
      <c r="N10" s="244">
        <f>SUM(B10:M10)</f>
        <v>648384.00000000012</v>
      </c>
    </row>
    <row r="11" spans="1:16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6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6"/>
        <v>15.350000000000003</v>
      </c>
      <c r="I11" s="239">
        <f t="shared" si="6"/>
        <v>15.350000000000003</v>
      </c>
      <c r="J11" s="239">
        <f t="shared" si="6"/>
        <v>15.350000000000003</v>
      </c>
      <c r="K11" s="239">
        <f t="shared" si="6"/>
        <v>15.350000000000003</v>
      </c>
      <c r="L11" s="239">
        <f t="shared" si="6"/>
        <v>15.350000000000003</v>
      </c>
      <c r="M11" s="239">
        <f t="shared" si="6"/>
        <v>15.350000000000003</v>
      </c>
      <c r="N11" s="240">
        <f>+'Plan de culture 104 '!X7</f>
        <v>15.350000000000003</v>
      </c>
    </row>
    <row r="12" spans="1:16" x14ac:dyDescent="0.35">
      <c r="A12" s="270" t="s">
        <v>151</v>
      </c>
      <c r="B12" s="90">
        <f>25200*B11</f>
        <v>386820.00000000006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271">
        <f t="shared" ref="N12:N15" si="7">SUM(B12:M12)</f>
        <v>386820.00000000006</v>
      </c>
      <c r="P12" s="32">
        <v>24</v>
      </c>
    </row>
    <row r="13" spans="1:16" x14ac:dyDescent="0.35">
      <c r="A13" s="270" t="s">
        <v>152</v>
      </c>
      <c r="B13" s="90">
        <f>5040*B11</f>
        <v>77364.000000000015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271">
        <f t="shared" si="7"/>
        <v>77364.000000000015</v>
      </c>
      <c r="P13" s="32" t="e">
        <f>+P12*#REF!</f>
        <v>#REF!</v>
      </c>
    </row>
    <row r="14" spans="1:16" x14ac:dyDescent="0.35">
      <c r="A14" s="270" t="s">
        <v>153</v>
      </c>
      <c r="B14" s="90">
        <f>1000*B11</f>
        <v>15350.000000000004</v>
      </c>
      <c r="C14" s="90">
        <f t="shared" ref="C14:M14" si="8">+B14</f>
        <v>15350.000000000004</v>
      </c>
      <c r="D14" s="90">
        <f t="shared" si="8"/>
        <v>15350.000000000004</v>
      </c>
      <c r="E14" s="90">
        <f t="shared" si="8"/>
        <v>15350.000000000004</v>
      </c>
      <c r="F14" s="90">
        <f t="shared" si="8"/>
        <v>15350.000000000004</v>
      </c>
      <c r="G14" s="90">
        <f t="shared" si="8"/>
        <v>15350.000000000004</v>
      </c>
      <c r="H14" s="90">
        <f t="shared" si="8"/>
        <v>15350.000000000004</v>
      </c>
      <c r="I14" s="90">
        <f t="shared" si="8"/>
        <v>15350.000000000004</v>
      </c>
      <c r="J14" s="90">
        <f t="shared" si="8"/>
        <v>15350.000000000004</v>
      </c>
      <c r="K14" s="90">
        <f t="shared" si="8"/>
        <v>15350.000000000004</v>
      </c>
      <c r="L14" s="90">
        <f t="shared" si="8"/>
        <v>15350.000000000004</v>
      </c>
      <c r="M14" s="90">
        <f t="shared" si="8"/>
        <v>15350.000000000004</v>
      </c>
      <c r="N14" s="271">
        <f t="shared" si="7"/>
        <v>184200.00000000003</v>
      </c>
      <c r="P14" s="62" t="e">
        <f>+P13*#REF!*1.16</f>
        <v>#REF!</v>
      </c>
    </row>
    <row r="15" spans="1:16" x14ac:dyDescent="0.35">
      <c r="A15" s="272" t="s">
        <v>150</v>
      </c>
      <c r="B15" s="91">
        <f t="shared" ref="B15:M15" si="9">SUM(B12:B14)</f>
        <v>479534.00000000006</v>
      </c>
      <c r="C15" s="91">
        <f t="shared" si="9"/>
        <v>15350.000000000004</v>
      </c>
      <c r="D15" s="91">
        <f t="shared" si="9"/>
        <v>15350.000000000004</v>
      </c>
      <c r="E15" s="91">
        <f t="shared" si="9"/>
        <v>15350.000000000004</v>
      </c>
      <c r="F15" s="91">
        <f t="shared" si="9"/>
        <v>15350.000000000004</v>
      </c>
      <c r="G15" s="91">
        <f t="shared" si="9"/>
        <v>15350.000000000004</v>
      </c>
      <c r="H15" s="91">
        <f t="shared" si="9"/>
        <v>15350.000000000004</v>
      </c>
      <c r="I15" s="91">
        <f t="shared" si="9"/>
        <v>15350.000000000004</v>
      </c>
      <c r="J15" s="91">
        <f t="shared" si="9"/>
        <v>15350.000000000004</v>
      </c>
      <c r="K15" s="91">
        <f t="shared" si="9"/>
        <v>15350.000000000004</v>
      </c>
      <c r="L15" s="91">
        <f t="shared" si="9"/>
        <v>15350.000000000004</v>
      </c>
      <c r="M15" s="91">
        <f t="shared" si="9"/>
        <v>15350.000000000004</v>
      </c>
      <c r="N15" s="271">
        <f t="shared" si="7"/>
        <v>648384.00000000012</v>
      </c>
      <c r="P15" s="32">
        <v>12000</v>
      </c>
    </row>
    <row r="16" spans="1:16" x14ac:dyDescent="0.35">
      <c r="A16" s="238" t="s">
        <v>149</v>
      </c>
      <c r="B16" s="62">
        <f>+B15/B11</f>
        <v>31239.999999999996</v>
      </c>
      <c r="C16" s="62">
        <f t="shared" ref="C16:N16" si="10">+C10/C11</f>
        <v>1000</v>
      </c>
      <c r="D16" s="62">
        <f t="shared" si="10"/>
        <v>1000</v>
      </c>
      <c r="E16" s="62">
        <f t="shared" si="10"/>
        <v>1000</v>
      </c>
      <c r="F16" s="62">
        <f t="shared" si="10"/>
        <v>1000</v>
      </c>
      <c r="G16" s="62">
        <f t="shared" si="10"/>
        <v>1000</v>
      </c>
      <c r="H16" s="62">
        <f t="shared" si="10"/>
        <v>1000</v>
      </c>
      <c r="I16" s="62">
        <f t="shared" si="10"/>
        <v>1000</v>
      </c>
      <c r="J16" s="62">
        <f t="shared" si="10"/>
        <v>1000</v>
      </c>
      <c r="K16" s="62">
        <f t="shared" si="10"/>
        <v>1000</v>
      </c>
      <c r="L16" s="62">
        <f t="shared" si="10"/>
        <v>1000</v>
      </c>
      <c r="M16" s="62">
        <f t="shared" si="10"/>
        <v>1000</v>
      </c>
      <c r="N16" s="269">
        <f t="shared" si="10"/>
        <v>42240</v>
      </c>
      <c r="P16" s="62" t="e">
        <f>+P15+P14</f>
        <v>#REF!</v>
      </c>
    </row>
    <row r="17" spans="1:14" x14ac:dyDescent="0.35">
      <c r="A17" s="235" t="s">
        <v>91</v>
      </c>
      <c r="B17" s="80">
        <f>+B22</f>
        <v>0</v>
      </c>
      <c r="C17" s="80">
        <f t="shared" ref="C17:M17" si="11">+C22</f>
        <v>0</v>
      </c>
      <c r="D17" s="80">
        <f t="shared" si="11"/>
        <v>0</v>
      </c>
      <c r="E17" s="80">
        <f t="shared" si="11"/>
        <v>0</v>
      </c>
      <c r="F17" s="80">
        <f t="shared" si="11"/>
        <v>0</v>
      </c>
      <c r="G17" s="80">
        <f t="shared" si="11"/>
        <v>0</v>
      </c>
      <c r="H17" s="80">
        <f t="shared" si="11"/>
        <v>0</v>
      </c>
      <c r="I17" s="80">
        <f t="shared" si="11"/>
        <v>0</v>
      </c>
      <c r="J17" s="80">
        <f t="shared" si="11"/>
        <v>0</v>
      </c>
      <c r="K17" s="80">
        <f t="shared" si="11"/>
        <v>0</v>
      </c>
      <c r="L17" s="80">
        <f t="shared" si="11"/>
        <v>0</v>
      </c>
      <c r="M17" s="80">
        <f t="shared" si="11"/>
        <v>0</v>
      </c>
      <c r="N17" s="273">
        <f>SUM(B17:M17)</f>
        <v>0</v>
      </c>
    </row>
    <row r="18" spans="1:14" x14ac:dyDescent="0.35">
      <c r="A18" s="238" t="s">
        <v>93</v>
      </c>
      <c r="B18" s="239">
        <f>+'Plan de culture 104 '!$X$13</f>
        <v>0</v>
      </c>
      <c r="C18" s="239">
        <f>+B18</f>
        <v>0</v>
      </c>
      <c r="D18" s="239">
        <f t="shared" ref="D18:M18" si="12">+C18</f>
        <v>0</v>
      </c>
      <c r="E18" s="239">
        <f t="shared" si="12"/>
        <v>0</v>
      </c>
      <c r="F18" s="239">
        <f t="shared" si="12"/>
        <v>0</v>
      </c>
      <c r="G18" s="239">
        <f t="shared" si="12"/>
        <v>0</v>
      </c>
      <c r="H18" s="239">
        <f t="shared" si="12"/>
        <v>0</v>
      </c>
      <c r="I18" s="239">
        <f t="shared" si="12"/>
        <v>0</v>
      </c>
      <c r="J18" s="239">
        <f t="shared" si="12"/>
        <v>0</v>
      </c>
      <c r="K18" s="239">
        <f t="shared" si="12"/>
        <v>0</v>
      </c>
      <c r="L18" s="239">
        <f t="shared" si="12"/>
        <v>0</v>
      </c>
      <c r="M18" s="239">
        <f t="shared" si="12"/>
        <v>0</v>
      </c>
      <c r="N18" s="240">
        <f>+'Plan de culture 104 '!$X$13</f>
        <v>0</v>
      </c>
    </row>
    <row r="19" spans="1:14" x14ac:dyDescent="0.35">
      <c r="A19" s="270" t="s">
        <v>151</v>
      </c>
      <c r="B19" s="90">
        <f>25200*B18</f>
        <v>0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271">
        <f t="shared" ref="N19:N22" si="13">SUM(B19:M19)</f>
        <v>0</v>
      </c>
    </row>
    <row r="20" spans="1:14" x14ac:dyDescent="0.35">
      <c r="A20" s="270" t="s">
        <v>152</v>
      </c>
      <c r="B20" s="90">
        <f>5040*B18</f>
        <v>0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271">
        <f t="shared" si="13"/>
        <v>0</v>
      </c>
    </row>
    <row r="21" spans="1:14" x14ac:dyDescent="0.35">
      <c r="A21" s="270" t="s">
        <v>153</v>
      </c>
      <c r="B21" s="90">
        <f>1000*B18</f>
        <v>0</v>
      </c>
      <c r="C21" s="90">
        <f t="shared" ref="C21:M21" si="14">+B21</f>
        <v>0</v>
      </c>
      <c r="D21" s="90">
        <f t="shared" si="14"/>
        <v>0</v>
      </c>
      <c r="E21" s="90">
        <f t="shared" si="14"/>
        <v>0</v>
      </c>
      <c r="F21" s="90">
        <f t="shared" si="14"/>
        <v>0</v>
      </c>
      <c r="G21" s="90">
        <f t="shared" si="14"/>
        <v>0</v>
      </c>
      <c r="H21" s="90">
        <f t="shared" si="14"/>
        <v>0</v>
      </c>
      <c r="I21" s="90">
        <f t="shared" si="14"/>
        <v>0</v>
      </c>
      <c r="J21" s="90">
        <f t="shared" si="14"/>
        <v>0</v>
      </c>
      <c r="K21" s="90">
        <f t="shared" si="14"/>
        <v>0</v>
      </c>
      <c r="L21" s="90">
        <f t="shared" si="14"/>
        <v>0</v>
      </c>
      <c r="M21" s="90">
        <f t="shared" si="14"/>
        <v>0</v>
      </c>
      <c r="N21" s="271">
        <f t="shared" si="13"/>
        <v>0</v>
      </c>
    </row>
    <row r="22" spans="1:14" x14ac:dyDescent="0.35">
      <c r="A22" s="272" t="s">
        <v>150</v>
      </c>
      <c r="B22" s="91">
        <f t="shared" ref="B22:M22" si="15">SUM(B19:B21)</f>
        <v>0</v>
      </c>
      <c r="C22" s="91">
        <f t="shared" si="15"/>
        <v>0</v>
      </c>
      <c r="D22" s="91">
        <f t="shared" si="15"/>
        <v>0</v>
      </c>
      <c r="E22" s="91">
        <f t="shared" si="15"/>
        <v>0</v>
      </c>
      <c r="F22" s="91">
        <f t="shared" si="15"/>
        <v>0</v>
      </c>
      <c r="G22" s="91">
        <f t="shared" si="15"/>
        <v>0</v>
      </c>
      <c r="H22" s="91">
        <f t="shared" si="15"/>
        <v>0</v>
      </c>
      <c r="I22" s="91">
        <f t="shared" si="15"/>
        <v>0</v>
      </c>
      <c r="J22" s="91">
        <f t="shared" si="15"/>
        <v>0</v>
      </c>
      <c r="K22" s="91">
        <f t="shared" si="15"/>
        <v>0</v>
      </c>
      <c r="L22" s="91">
        <f t="shared" si="15"/>
        <v>0</v>
      </c>
      <c r="M22" s="91">
        <f t="shared" si="15"/>
        <v>0</v>
      </c>
      <c r="N22" s="271">
        <f t="shared" si="13"/>
        <v>0</v>
      </c>
    </row>
    <row r="23" spans="1:14" x14ac:dyDescent="0.35">
      <c r="A23" s="238" t="s">
        <v>149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269" t="e">
        <f>+N17/N18</f>
        <v>#DIV/0!</v>
      </c>
    </row>
    <row r="24" spans="1:14" x14ac:dyDescent="0.35">
      <c r="A24" s="235" t="s">
        <v>376</v>
      </c>
      <c r="B24" s="80">
        <f>+B29</f>
        <v>0</v>
      </c>
      <c r="C24" s="80">
        <f t="shared" ref="C24:M24" si="16">+C29</f>
        <v>0</v>
      </c>
      <c r="D24" s="80">
        <f t="shared" si="16"/>
        <v>0</v>
      </c>
      <c r="E24" s="80">
        <f t="shared" si="16"/>
        <v>0</v>
      </c>
      <c r="F24" s="80">
        <f t="shared" si="16"/>
        <v>0</v>
      </c>
      <c r="G24" s="80">
        <f t="shared" si="16"/>
        <v>0</v>
      </c>
      <c r="H24" s="80">
        <f t="shared" si="16"/>
        <v>0</v>
      </c>
      <c r="I24" s="80">
        <f t="shared" si="16"/>
        <v>0</v>
      </c>
      <c r="J24" s="80">
        <f t="shared" si="16"/>
        <v>0</v>
      </c>
      <c r="K24" s="80">
        <f t="shared" si="16"/>
        <v>0</v>
      </c>
      <c r="L24" s="80">
        <f t="shared" si="16"/>
        <v>0</v>
      </c>
      <c r="M24" s="80">
        <f t="shared" si="16"/>
        <v>0</v>
      </c>
      <c r="N24" s="273">
        <f>SUM(B24:M24)</f>
        <v>0</v>
      </c>
    </row>
    <row r="25" spans="1:14" x14ac:dyDescent="0.35">
      <c r="A25" s="238" t="s">
        <v>93</v>
      </c>
      <c r="B25" s="239">
        <f>+'Plan de culture 104 '!$X$19</f>
        <v>0</v>
      </c>
      <c r="C25" s="239">
        <f>+B25</f>
        <v>0</v>
      </c>
      <c r="D25" s="239">
        <f t="shared" ref="D25" si="17">+C25</f>
        <v>0</v>
      </c>
      <c r="E25" s="239">
        <f>+'Plan de culture 104 '!C21</f>
        <v>0</v>
      </c>
      <c r="F25" s="239">
        <f>+E25+'Plan de culture 104 '!D21+'Plan de culture 104 '!E21</f>
        <v>0</v>
      </c>
      <c r="G25" s="239">
        <f>+F25</f>
        <v>0</v>
      </c>
      <c r="H25" s="239">
        <f t="shared" ref="H25:M25" si="18">+G25</f>
        <v>0</v>
      </c>
      <c r="I25" s="239">
        <f t="shared" si="18"/>
        <v>0</v>
      </c>
      <c r="J25" s="239">
        <f t="shared" si="18"/>
        <v>0</v>
      </c>
      <c r="K25" s="239">
        <f t="shared" si="18"/>
        <v>0</v>
      </c>
      <c r="L25" s="239">
        <f t="shared" si="18"/>
        <v>0</v>
      </c>
      <c r="M25" s="239">
        <f t="shared" si="18"/>
        <v>0</v>
      </c>
      <c r="N25" s="240">
        <f>+'Plan de culture 104 '!$X$19</f>
        <v>0</v>
      </c>
    </row>
    <row r="26" spans="1:14" x14ac:dyDescent="0.35">
      <c r="A26" s="270" t="s">
        <v>151</v>
      </c>
      <c r="B26" s="90">
        <f>25200*B25</f>
        <v>0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271">
        <f t="shared" ref="N26:N29" si="19">SUM(B26:M26)</f>
        <v>0</v>
      </c>
    </row>
    <row r="27" spans="1:14" x14ac:dyDescent="0.35">
      <c r="A27" s="270" t="s">
        <v>152</v>
      </c>
      <c r="B27" s="90">
        <f>5040*B25</f>
        <v>0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271">
        <f t="shared" si="19"/>
        <v>0</v>
      </c>
    </row>
    <row r="28" spans="1:14" x14ac:dyDescent="0.35">
      <c r="A28" s="270" t="s">
        <v>153</v>
      </c>
      <c r="B28" s="90">
        <f>1000*B25</f>
        <v>0</v>
      </c>
      <c r="C28" s="90">
        <f t="shared" ref="C28:M28" si="20">+B28</f>
        <v>0</v>
      </c>
      <c r="D28" s="90">
        <f t="shared" si="20"/>
        <v>0</v>
      </c>
      <c r="E28" s="90">
        <f t="shared" si="20"/>
        <v>0</v>
      </c>
      <c r="F28" s="90">
        <f t="shared" si="20"/>
        <v>0</v>
      </c>
      <c r="G28" s="90">
        <f t="shared" si="20"/>
        <v>0</v>
      </c>
      <c r="H28" s="90">
        <f t="shared" si="20"/>
        <v>0</v>
      </c>
      <c r="I28" s="90">
        <f t="shared" si="20"/>
        <v>0</v>
      </c>
      <c r="J28" s="90">
        <f t="shared" si="20"/>
        <v>0</v>
      </c>
      <c r="K28" s="90">
        <f t="shared" si="20"/>
        <v>0</v>
      </c>
      <c r="L28" s="90">
        <f t="shared" si="20"/>
        <v>0</v>
      </c>
      <c r="M28" s="90">
        <f t="shared" si="20"/>
        <v>0</v>
      </c>
      <c r="N28" s="271">
        <f t="shared" si="19"/>
        <v>0</v>
      </c>
    </row>
    <row r="29" spans="1:14" x14ac:dyDescent="0.35">
      <c r="A29" s="272" t="s">
        <v>150</v>
      </c>
      <c r="B29" s="91">
        <f t="shared" ref="B29:M29" si="21">SUM(B26:B28)</f>
        <v>0</v>
      </c>
      <c r="C29" s="91">
        <f t="shared" si="21"/>
        <v>0</v>
      </c>
      <c r="D29" s="91">
        <f t="shared" si="21"/>
        <v>0</v>
      </c>
      <c r="E29" s="91">
        <f t="shared" si="21"/>
        <v>0</v>
      </c>
      <c r="F29" s="91">
        <f t="shared" si="21"/>
        <v>0</v>
      </c>
      <c r="G29" s="91">
        <f t="shared" si="21"/>
        <v>0</v>
      </c>
      <c r="H29" s="91">
        <f t="shared" si="21"/>
        <v>0</v>
      </c>
      <c r="I29" s="91">
        <f t="shared" si="21"/>
        <v>0</v>
      </c>
      <c r="J29" s="91">
        <f t="shared" si="21"/>
        <v>0</v>
      </c>
      <c r="K29" s="91">
        <f t="shared" si="21"/>
        <v>0</v>
      </c>
      <c r="L29" s="91">
        <f t="shared" si="21"/>
        <v>0</v>
      </c>
      <c r="M29" s="91">
        <f t="shared" si="21"/>
        <v>0</v>
      </c>
      <c r="N29" s="271">
        <f t="shared" si="19"/>
        <v>0</v>
      </c>
    </row>
    <row r="30" spans="1:14" x14ac:dyDescent="0.35">
      <c r="A30" s="238" t="s">
        <v>149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269" t="e">
        <f>+N24/N25</f>
        <v>#DIV/0!</v>
      </c>
    </row>
    <row r="31" spans="1:14" x14ac:dyDescent="0.35">
      <c r="A31" s="235" t="s">
        <v>92</v>
      </c>
      <c r="B31" s="80">
        <f>+B36</f>
        <v>0</v>
      </c>
      <c r="C31" s="80">
        <f t="shared" ref="C31:M31" si="22">+C36</f>
        <v>0</v>
      </c>
      <c r="D31" s="80">
        <f t="shared" si="22"/>
        <v>0</v>
      </c>
      <c r="E31" s="80">
        <f t="shared" si="22"/>
        <v>0</v>
      </c>
      <c r="F31" s="80">
        <f t="shared" si="22"/>
        <v>0</v>
      </c>
      <c r="G31" s="80">
        <f t="shared" si="22"/>
        <v>0</v>
      </c>
      <c r="H31" s="80">
        <f t="shared" si="22"/>
        <v>0</v>
      </c>
      <c r="I31" s="80">
        <f t="shared" si="22"/>
        <v>0</v>
      </c>
      <c r="J31" s="80">
        <f t="shared" si="22"/>
        <v>0</v>
      </c>
      <c r="K31" s="80">
        <f t="shared" si="22"/>
        <v>0</v>
      </c>
      <c r="L31" s="80">
        <f t="shared" si="22"/>
        <v>0</v>
      </c>
      <c r="M31" s="80">
        <f t="shared" si="22"/>
        <v>0</v>
      </c>
      <c r="N31" s="273">
        <f>SUM(B31:M31)</f>
        <v>0</v>
      </c>
    </row>
    <row r="32" spans="1:14" x14ac:dyDescent="0.35">
      <c r="A32" s="238" t="s">
        <v>93</v>
      </c>
      <c r="B32" s="239">
        <f>+'Plan de culture 104 '!$X$25</f>
        <v>0</v>
      </c>
      <c r="C32" s="239">
        <f>+B32</f>
        <v>0</v>
      </c>
      <c r="D32" s="239">
        <f t="shared" ref="D32" si="23">+C32</f>
        <v>0</v>
      </c>
      <c r="E32" s="239">
        <f>+'Plan de culture 104 '!C28</f>
        <v>0</v>
      </c>
      <c r="F32" s="239">
        <f>+E32+'Plan de culture 104 '!D28+'Plan de culture 104 '!E28</f>
        <v>0</v>
      </c>
      <c r="G32" s="239">
        <f>+F32</f>
        <v>0</v>
      </c>
      <c r="H32" s="239">
        <f t="shared" ref="H32:M32" si="24">+G32</f>
        <v>0</v>
      </c>
      <c r="I32" s="239">
        <f t="shared" si="24"/>
        <v>0</v>
      </c>
      <c r="J32" s="239">
        <f t="shared" si="24"/>
        <v>0</v>
      </c>
      <c r="K32" s="239">
        <f t="shared" si="24"/>
        <v>0</v>
      </c>
      <c r="L32" s="239">
        <f t="shared" si="24"/>
        <v>0</v>
      </c>
      <c r="M32" s="239">
        <f t="shared" si="24"/>
        <v>0</v>
      </c>
      <c r="N32" s="240">
        <f>+'Plan de culture 104 '!$X$25</f>
        <v>0</v>
      </c>
    </row>
    <row r="33" spans="1:14" x14ac:dyDescent="0.35">
      <c r="A33" s="270" t="s">
        <v>151</v>
      </c>
      <c r="B33" s="90">
        <f>25200*B32</f>
        <v>0</v>
      </c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271">
        <f t="shared" ref="N33:N36" si="25">SUM(B33:M33)</f>
        <v>0</v>
      </c>
    </row>
    <row r="34" spans="1:14" x14ac:dyDescent="0.35">
      <c r="A34" s="270" t="s">
        <v>152</v>
      </c>
      <c r="B34" s="90">
        <f>5040*B32</f>
        <v>0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271">
        <f t="shared" si="25"/>
        <v>0</v>
      </c>
    </row>
    <row r="35" spans="1:14" x14ac:dyDescent="0.35">
      <c r="A35" s="270" t="s">
        <v>153</v>
      </c>
      <c r="B35" s="90">
        <f>1000*B32</f>
        <v>0</v>
      </c>
      <c r="C35" s="90">
        <f t="shared" ref="C35:M35" si="26">+B35</f>
        <v>0</v>
      </c>
      <c r="D35" s="90">
        <f t="shared" si="26"/>
        <v>0</v>
      </c>
      <c r="E35" s="90">
        <f t="shared" si="26"/>
        <v>0</v>
      </c>
      <c r="F35" s="90">
        <f t="shared" si="26"/>
        <v>0</v>
      </c>
      <c r="G35" s="90">
        <f t="shared" si="26"/>
        <v>0</v>
      </c>
      <c r="H35" s="90">
        <f t="shared" si="26"/>
        <v>0</v>
      </c>
      <c r="I35" s="90">
        <f t="shared" si="26"/>
        <v>0</v>
      </c>
      <c r="J35" s="90">
        <f t="shared" si="26"/>
        <v>0</v>
      </c>
      <c r="K35" s="90">
        <f t="shared" si="26"/>
        <v>0</v>
      </c>
      <c r="L35" s="90">
        <f t="shared" si="26"/>
        <v>0</v>
      </c>
      <c r="M35" s="90">
        <f t="shared" si="26"/>
        <v>0</v>
      </c>
      <c r="N35" s="271">
        <f t="shared" si="25"/>
        <v>0</v>
      </c>
    </row>
    <row r="36" spans="1:14" x14ac:dyDescent="0.35">
      <c r="A36" s="272" t="s">
        <v>150</v>
      </c>
      <c r="B36" s="91">
        <f t="shared" ref="B36:M36" si="27">SUM(B33:B35)</f>
        <v>0</v>
      </c>
      <c r="C36" s="91">
        <f t="shared" si="27"/>
        <v>0</v>
      </c>
      <c r="D36" s="91">
        <f t="shared" si="27"/>
        <v>0</v>
      </c>
      <c r="E36" s="91">
        <f t="shared" si="27"/>
        <v>0</v>
      </c>
      <c r="F36" s="91">
        <f t="shared" si="27"/>
        <v>0</v>
      </c>
      <c r="G36" s="91">
        <f t="shared" si="27"/>
        <v>0</v>
      </c>
      <c r="H36" s="91">
        <f t="shared" si="27"/>
        <v>0</v>
      </c>
      <c r="I36" s="91">
        <f t="shared" si="27"/>
        <v>0</v>
      </c>
      <c r="J36" s="91">
        <f t="shared" si="27"/>
        <v>0</v>
      </c>
      <c r="K36" s="91">
        <f t="shared" si="27"/>
        <v>0</v>
      </c>
      <c r="L36" s="91">
        <f t="shared" si="27"/>
        <v>0</v>
      </c>
      <c r="M36" s="91">
        <f t="shared" si="27"/>
        <v>0</v>
      </c>
      <c r="N36" s="271">
        <f t="shared" si="25"/>
        <v>0</v>
      </c>
    </row>
    <row r="37" spans="1:14" x14ac:dyDescent="0.35">
      <c r="A37" s="238" t="s">
        <v>149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269" t="e">
        <f>+N31/N32</f>
        <v>#DIV/0!</v>
      </c>
    </row>
    <row r="38" spans="1:14" x14ac:dyDescent="0.35">
      <c r="A38" s="235" t="s">
        <v>377</v>
      </c>
      <c r="B38" s="80">
        <f>+B43</f>
        <v>0</v>
      </c>
      <c r="C38" s="80">
        <f t="shared" ref="C38:M38" si="28">+C43</f>
        <v>0</v>
      </c>
      <c r="D38" s="80">
        <f t="shared" si="28"/>
        <v>0</v>
      </c>
      <c r="E38" s="80">
        <f t="shared" si="28"/>
        <v>0</v>
      </c>
      <c r="F38" s="80">
        <f t="shared" si="28"/>
        <v>0</v>
      </c>
      <c r="G38" s="80">
        <f t="shared" si="28"/>
        <v>0</v>
      </c>
      <c r="H38" s="80">
        <f t="shared" si="28"/>
        <v>0</v>
      </c>
      <c r="I38" s="80">
        <f t="shared" si="28"/>
        <v>0</v>
      </c>
      <c r="J38" s="80">
        <f t="shared" si="28"/>
        <v>0</v>
      </c>
      <c r="K38" s="80">
        <f t="shared" si="28"/>
        <v>0</v>
      </c>
      <c r="L38" s="80">
        <f t="shared" si="28"/>
        <v>0</v>
      </c>
      <c r="M38" s="80">
        <f t="shared" si="28"/>
        <v>0</v>
      </c>
      <c r="N38" s="273">
        <f>SUM(B38:M38)</f>
        <v>0</v>
      </c>
    </row>
    <row r="39" spans="1:14" x14ac:dyDescent="0.35">
      <c r="A39" s="238" t="s">
        <v>93</v>
      </c>
      <c r="B39" s="239">
        <f>+'Plan de culture 104 '!$X$31</f>
        <v>0</v>
      </c>
      <c r="C39" s="239">
        <f>+B39</f>
        <v>0</v>
      </c>
      <c r="D39" s="239">
        <f t="shared" ref="D39" si="29">+C39</f>
        <v>0</v>
      </c>
      <c r="E39" s="239">
        <f>+'Plan de culture 104 '!C35</f>
        <v>0</v>
      </c>
      <c r="F39" s="239">
        <f>+E39+'Plan de culture 104 '!D35+'Plan de culture 104 '!E35</f>
        <v>0</v>
      </c>
      <c r="G39" s="239">
        <f>+F39</f>
        <v>0</v>
      </c>
      <c r="H39" s="239">
        <f t="shared" ref="H39:M39" si="30">+G39</f>
        <v>0</v>
      </c>
      <c r="I39" s="239">
        <f t="shared" si="30"/>
        <v>0</v>
      </c>
      <c r="J39" s="239">
        <f t="shared" si="30"/>
        <v>0</v>
      </c>
      <c r="K39" s="239">
        <f t="shared" si="30"/>
        <v>0</v>
      </c>
      <c r="L39" s="239">
        <f t="shared" si="30"/>
        <v>0</v>
      </c>
      <c r="M39" s="239">
        <f t="shared" si="30"/>
        <v>0</v>
      </c>
      <c r="N39" s="240">
        <f>+'Plan de culture 104 '!$X$31</f>
        <v>0</v>
      </c>
    </row>
    <row r="40" spans="1:14" x14ac:dyDescent="0.35">
      <c r="A40" s="270" t="s">
        <v>151</v>
      </c>
      <c r="B40" s="90">
        <f>25200*B39</f>
        <v>0</v>
      </c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271">
        <f t="shared" ref="N40:N43" si="31">SUM(B40:M40)</f>
        <v>0</v>
      </c>
    </row>
    <row r="41" spans="1:14" x14ac:dyDescent="0.35">
      <c r="A41" s="270" t="s">
        <v>152</v>
      </c>
      <c r="B41" s="90">
        <f>5040*B39</f>
        <v>0</v>
      </c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271">
        <f t="shared" si="31"/>
        <v>0</v>
      </c>
    </row>
    <row r="42" spans="1:14" x14ac:dyDescent="0.35">
      <c r="A42" s="270" t="s">
        <v>153</v>
      </c>
      <c r="B42" s="90">
        <f>1000*B39</f>
        <v>0</v>
      </c>
      <c r="C42" s="90">
        <f t="shared" ref="C42:M42" si="32">+B42</f>
        <v>0</v>
      </c>
      <c r="D42" s="90">
        <f t="shared" si="32"/>
        <v>0</v>
      </c>
      <c r="E42" s="90">
        <f t="shared" si="32"/>
        <v>0</v>
      </c>
      <c r="F42" s="90">
        <f t="shared" si="32"/>
        <v>0</v>
      </c>
      <c r="G42" s="90">
        <f t="shared" si="32"/>
        <v>0</v>
      </c>
      <c r="H42" s="90">
        <f t="shared" si="32"/>
        <v>0</v>
      </c>
      <c r="I42" s="90">
        <f t="shared" si="32"/>
        <v>0</v>
      </c>
      <c r="J42" s="90">
        <f t="shared" si="32"/>
        <v>0</v>
      </c>
      <c r="K42" s="90">
        <f t="shared" si="32"/>
        <v>0</v>
      </c>
      <c r="L42" s="90">
        <f t="shared" si="32"/>
        <v>0</v>
      </c>
      <c r="M42" s="90">
        <f t="shared" si="32"/>
        <v>0</v>
      </c>
      <c r="N42" s="271">
        <f t="shared" si="31"/>
        <v>0</v>
      </c>
    </row>
    <row r="43" spans="1:14" x14ac:dyDescent="0.35">
      <c r="A43" s="272" t="s">
        <v>150</v>
      </c>
      <c r="B43" s="91">
        <f t="shared" ref="B43:M43" si="33">SUM(B40:B42)</f>
        <v>0</v>
      </c>
      <c r="C43" s="91">
        <f t="shared" si="33"/>
        <v>0</v>
      </c>
      <c r="D43" s="91">
        <f t="shared" si="33"/>
        <v>0</v>
      </c>
      <c r="E43" s="91">
        <f t="shared" si="33"/>
        <v>0</v>
      </c>
      <c r="F43" s="91">
        <f t="shared" si="33"/>
        <v>0</v>
      </c>
      <c r="G43" s="91">
        <f t="shared" si="33"/>
        <v>0</v>
      </c>
      <c r="H43" s="91">
        <f t="shared" si="33"/>
        <v>0</v>
      </c>
      <c r="I43" s="91">
        <f t="shared" si="33"/>
        <v>0</v>
      </c>
      <c r="J43" s="91">
        <f t="shared" si="33"/>
        <v>0</v>
      </c>
      <c r="K43" s="91">
        <f t="shared" si="33"/>
        <v>0</v>
      </c>
      <c r="L43" s="91">
        <f t="shared" si="33"/>
        <v>0</v>
      </c>
      <c r="M43" s="91">
        <f t="shared" si="33"/>
        <v>0</v>
      </c>
      <c r="N43" s="271">
        <f t="shared" si="31"/>
        <v>0</v>
      </c>
    </row>
    <row r="44" spans="1:14" x14ac:dyDescent="0.35">
      <c r="A44" s="238" t="s">
        <v>149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269" t="e">
        <f>+N38/N39</f>
        <v>#DIV/0!</v>
      </c>
    </row>
    <row r="45" spans="1:14" x14ac:dyDescent="0.35">
      <c r="A45" s="235" t="s">
        <v>378</v>
      </c>
      <c r="B45" s="80">
        <f>+B50</f>
        <v>0</v>
      </c>
      <c r="C45" s="80">
        <f t="shared" ref="C45:M45" si="34">+C50</f>
        <v>0</v>
      </c>
      <c r="D45" s="80">
        <f t="shared" si="34"/>
        <v>0</v>
      </c>
      <c r="E45" s="80">
        <f t="shared" si="34"/>
        <v>0</v>
      </c>
      <c r="F45" s="80">
        <f t="shared" si="34"/>
        <v>0</v>
      </c>
      <c r="G45" s="80">
        <f t="shared" si="34"/>
        <v>0</v>
      </c>
      <c r="H45" s="80">
        <f t="shared" si="34"/>
        <v>0</v>
      </c>
      <c r="I45" s="80">
        <f t="shared" si="34"/>
        <v>0</v>
      </c>
      <c r="J45" s="80">
        <f t="shared" si="34"/>
        <v>0</v>
      </c>
      <c r="K45" s="80">
        <f t="shared" si="34"/>
        <v>0</v>
      </c>
      <c r="L45" s="80">
        <f t="shared" si="34"/>
        <v>0</v>
      </c>
      <c r="M45" s="80">
        <f t="shared" si="34"/>
        <v>0</v>
      </c>
      <c r="N45" s="273">
        <f>SUM(B45:M45)</f>
        <v>0</v>
      </c>
    </row>
    <row r="46" spans="1:14" x14ac:dyDescent="0.35">
      <c r="A46" s="238" t="s">
        <v>93</v>
      </c>
      <c r="B46" s="239">
        <f>+'Plan de culture 104 '!$X$37</f>
        <v>0</v>
      </c>
      <c r="C46" s="239">
        <f>+B46</f>
        <v>0</v>
      </c>
      <c r="D46" s="239">
        <f t="shared" ref="D46" si="35">+C46</f>
        <v>0</v>
      </c>
      <c r="E46" s="239">
        <f>+'Plan de culture 104 '!C42</f>
        <v>0</v>
      </c>
      <c r="F46" s="239">
        <f>+E46+'Plan de culture 104 '!D42+'Plan de culture 104 '!E42</f>
        <v>0</v>
      </c>
      <c r="G46" s="239">
        <f>+F46</f>
        <v>0</v>
      </c>
      <c r="H46" s="239">
        <f t="shared" ref="H46:M46" si="36">+G46</f>
        <v>0</v>
      </c>
      <c r="I46" s="239">
        <f t="shared" si="36"/>
        <v>0</v>
      </c>
      <c r="J46" s="239">
        <f t="shared" si="36"/>
        <v>0</v>
      </c>
      <c r="K46" s="239">
        <f t="shared" si="36"/>
        <v>0</v>
      </c>
      <c r="L46" s="239">
        <f t="shared" si="36"/>
        <v>0</v>
      </c>
      <c r="M46" s="239">
        <f t="shared" si="36"/>
        <v>0</v>
      </c>
      <c r="N46" s="240">
        <f>+'Plan de culture 104 '!$X$37</f>
        <v>0</v>
      </c>
    </row>
    <row r="47" spans="1:14" x14ac:dyDescent="0.35">
      <c r="A47" s="270" t="s">
        <v>151</v>
      </c>
      <c r="B47" s="90">
        <f>25200*B46</f>
        <v>0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271">
        <f t="shared" ref="N47:N50" si="37">SUM(B47:M47)</f>
        <v>0</v>
      </c>
    </row>
    <row r="48" spans="1:14" x14ac:dyDescent="0.35">
      <c r="A48" s="270" t="s">
        <v>152</v>
      </c>
      <c r="B48" s="90">
        <f>5040*B46</f>
        <v>0</v>
      </c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271">
        <f t="shared" si="37"/>
        <v>0</v>
      </c>
    </row>
    <row r="49" spans="1:14" x14ac:dyDescent="0.35">
      <c r="A49" s="270" t="s">
        <v>153</v>
      </c>
      <c r="B49" s="90">
        <f>1000*B46</f>
        <v>0</v>
      </c>
      <c r="C49" s="90">
        <f t="shared" ref="C49:M49" si="38">+B49</f>
        <v>0</v>
      </c>
      <c r="D49" s="90">
        <f t="shared" si="38"/>
        <v>0</v>
      </c>
      <c r="E49" s="90">
        <f t="shared" si="38"/>
        <v>0</v>
      </c>
      <c r="F49" s="90">
        <f t="shared" si="38"/>
        <v>0</v>
      </c>
      <c r="G49" s="90">
        <f t="shared" si="38"/>
        <v>0</v>
      </c>
      <c r="H49" s="90">
        <f t="shared" si="38"/>
        <v>0</v>
      </c>
      <c r="I49" s="90">
        <f t="shared" si="38"/>
        <v>0</v>
      </c>
      <c r="J49" s="90">
        <f t="shared" si="38"/>
        <v>0</v>
      </c>
      <c r="K49" s="90">
        <f t="shared" si="38"/>
        <v>0</v>
      </c>
      <c r="L49" s="90">
        <f t="shared" si="38"/>
        <v>0</v>
      </c>
      <c r="M49" s="90">
        <f t="shared" si="38"/>
        <v>0</v>
      </c>
      <c r="N49" s="271">
        <f t="shared" si="37"/>
        <v>0</v>
      </c>
    </row>
    <row r="50" spans="1:14" x14ac:dyDescent="0.35">
      <c r="A50" s="272" t="s">
        <v>150</v>
      </c>
      <c r="B50" s="91">
        <f t="shared" ref="B50:M50" si="39">SUM(B47:B49)</f>
        <v>0</v>
      </c>
      <c r="C50" s="91">
        <f t="shared" si="39"/>
        <v>0</v>
      </c>
      <c r="D50" s="91">
        <f t="shared" si="39"/>
        <v>0</v>
      </c>
      <c r="E50" s="91">
        <f t="shared" si="39"/>
        <v>0</v>
      </c>
      <c r="F50" s="91">
        <f t="shared" si="39"/>
        <v>0</v>
      </c>
      <c r="G50" s="91">
        <f t="shared" si="39"/>
        <v>0</v>
      </c>
      <c r="H50" s="91">
        <f t="shared" si="39"/>
        <v>0</v>
      </c>
      <c r="I50" s="91">
        <f t="shared" si="39"/>
        <v>0</v>
      </c>
      <c r="J50" s="91">
        <f t="shared" si="39"/>
        <v>0</v>
      </c>
      <c r="K50" s="91">
        <f t="shared" si="39"/>
        <v>0</v>
      </c>
      <c r="L50" s="91">
        <f t="shared" si="39"/>
        <v>0</v>
      </c>
      <c r="M50" s="91">
        <f t="shared" si="39"/>
        <v>0</v>
      </c>
      <c r="N50" s="271">
        <f t="shared" si="37"/>
        <v>0</v>
      </c>
    </row>
    <row r="51" spans="1:14" ht="12" thickBot="1" x14ac:dyDescent="0.4">
      <c r="A51" s="241" t="s">
        <v>149</v>
      </c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74" t="e">
        <f>+N45/N46</f>
        <v>#DIV/0!</v>
      </c>
    </row>
    <row r="52" spans="1:14" x14ac:dyDescent="0.35">
      <c r="A52" s="233" t="s">
        <v>428</v>
      </c>
      <c r="B52" s="242">
        <f>+B55+B62</f>
        <v>168539.8</v>
      </c>
      <c r="C52" s="242">
        <f t="shared" ref="C52:M53" si="40">+C55+C62</f>
        <v>5395.0000000000009</v>
      </c>
      <c r="D52" s="242">
        <f t="shared" si="40"/>
        <v>5395.0000000000009</v>
      </c>
      <c r="E52" s="242">
        <f t="shared" si="40"/>
        <v>5395.0000000000009</v>
      </c>
      <c r="F52" s="242">
        <f t="shared" si="40"/>
        <v>5395.0000000000009</v>
      </c>
      <c r="G52" s="242">
        <f t="shared" si="40"/>
        <v>5395.0000000000009</v>
      </c>
      <c r="H52" s="242">
        <f t="shared" si="40"/>
        <v>5395.0000000000009</v>
      </c>
      <c r="I52" s="242">
        <f t="shared" si="40"/>
        <v>5395.0000000000009</v>
      </c>
      <c r="J52" s="242">
        <f t="shared" si="40"/>
        <v>5395.0000000000009</v>
      </c>
      <c r="K52" s="242">
        <f t="shared" si="40"/>
        <v>5395.0000000000009</v>
      </c>
      <c r="L52" s="242">
        <f t="shared" si="40"/>
        <v>5395.0000000000009</v>
      </c>
      <c r="M52" s="242">
        <f t="shared" si="40"/>
        <v>5395.0000000000009</v>
      </c>
      <c r="N52" s="243">
        <f>SUM(B52:M52)</f>
        <v>227884.79999999999</v>
      </c>
    </row>
    <row r="53" spans="1:14" x14ac:dyDescent="0.35">
      <c r="A53" s="234" t="s">
        <v>93</v>
      </c>
      <c r="B53" s="81">
        <f>+B56+B63</f>
        <v>5.3950000000000005</v>
      </c>
      <c r="C53" s="81">
        <f t="shared" si="40"/>
        <v>5.3950000000000005</v>
      </c>
      <c r="D53" s="81">
        <f t="shared" si="40"/>
        <v>5.3950000000000005</v>
      </c>
      <c r="E53" s="81">
        <f t="shared" si="40"/>
        <v>5.3950000000000005</v>
      </c>
      <c r="F53" s="81">
        <f t="shared" si="40"/>
        <v>5.3950000000000005</v>
      </c>
      <c r="G53" s="81">
        <f t="shared" si="40"/>
        <v>5.3950000000000005</v>
      </c>
      <c r="H53" s="81">
        <f t="shared" si="40"/>
        <v>5.3950000000000005</v>
      </c>
      <c r="I53" s="81">
        <f t="shared" si="40"/>
        <v>5.3950000000000005</v>
      </c>
      <c r="J53" s="81">
        <f t="shared" si="40"/>
        <v>5.3950000000000005</v>
      </c>
      <c r="K53" s="81">
        <f t="shared" si="40"/>
        <v>5.3950000000000005</v>
      </c>
      <c r="L53" s="81">
        <f t="shared" si="40"/>
        <v>5.3950000000000005</v>
      </c>
      <c r="M53" s="81">
        <f t="shared" si="40"/>
        <v>5.3950000000000005</v>
      </c>
      <c r="N53" s="248">
        <f>+M53</f>
        <v>5.3950000000000005</v>
      </c>
    </row>
    <row r="54" spans="1:14" x14ac:dyDescent="0.35">
      <c r="A54" s="234" t="s">
        <v>149</v>
      </c>
      <c r="B54" s="83">
        <f>+B52/B53</f>
        <v>31239.999999999996</v>
      </c>
      <c r="C54" s="83">
        <f>+C52/C53</f>
        <v>1000.0000000000001</v>
      </c>
      <c r="D54" s="83">
        <f>+D52/D53</f>
        <v>1000.0000000000001</v>
      </c>
      <c r="E54" s="83">
        <f t="shared" ref="E54:M54" si="41">+E52/E53</f>
        <v>1000.0000000000001</v>
      </c>
      <c r="F54" s="83">
        <f t="shared" si="41"/>
        <v>1000.0000000000001</v>
      </c>
      <c r="G54" s="83">
        <f t="shared" si="41"/>
        <v>1000.0000000000001</v>
      </c>
      <c r="H54" s="83">
        <f t="shared" si="41"/>
        <v>1000.0000000000001</v>
      </c>
      <c r="I54" s="83">
        <f t="shared" si="41"/>
        <v>1000.0000000000001</v>
      </c>
      <c r="J54" s="83">
        <f t="shared" si="41"/>
        <v>1000.0000000000001</v>
      </c>
      <c r="K54" s="83">
        <f t="shared" si="41"/>
        <v>1000.0000000000001</v>
      </c>
      <c r="L54" s="83">
        <f t="shared" si="41"/>
        <v>1000.0000000000001</v>
      </c>
      <c r="M54" s="83">
        <f t="shared" si="41"/>
        <v>1000.0000000000001</v>
      </c>
      <c r="N54" s="249">
        <f>+N52/N53</f>
        <v>42239.999999999993</v>
      </c>
    </row>
    <row r="55" spans="1:14" x14ac:dyDescent="0.35">
      <c r="A55" s="235" t="s">
        <v>90</v>
      </c>
      <c r="B55" s="80">
        <f>+B60</f>
        <v>0</v>
      </c>
      <c r="C55" s="80">
        <f t="shared" ref="C55:M55" si="42">+C60</f>
        <v>0</v>
      </c>
      <c r="D55" s="80">
        <f t="shared" si="42"/>
        <v>0</v>
      </c>
      <c r="E55" s="80">
        <f t="shared" si="42"/>
        <v>0</v>
      </c>
      <c r="F55" s="80">
        <f t="shared" si="42"/>
        <v>0</v>
      </c>
      <c r="G55" s="80">
        <f t="shared" si="42"/>
        <v>0</v>
      </c>
      <c r="H55" s="80">
        <f t="shared" si="42"/>
        <v>0</v>
      </c>
      <c r="I55" s="80">
        <f t="shared" si="42"/>
        <v>0</v>
      </c>
      <c r="J55" s="80">
        <f t="shared" si="42"/>
        <v>0</v>
      </c>
      <c r="K55" s="80">
        <f t="shared" si="42"/>
        <v>0</v>
      </c>
      <c r="L55" s="80">
        <f t="shared" si="42"/>
        <v>0</v>
      </c>
      <c r="M55" s="80">
        <f t="shared" si="42"/>
        <v>0</v>
      </c>
      <c r="N55" s="244">
        <f>SUM(B55:M55)</f>
        <v>0</v>
      </c>
    </row>
    <row r="56" spans="1:14" x14ac:dyDescent="0.35">
      <c r="A56" s="238" t="s">
        <v>93</v>
      </c>
      <c r="B56" s="239">
        <f>+'Plan de culture 105'!$I$7</f>
        <v>0</v>
      </c>
      <c r="C56" s="239">
        <f>+B56</f>
        <v>0</v>
      </c>
      <c r="D56" s="239">
        <f t="shared" ref="D56" si="43">+C56</f>
        <v>0</v>
      </c>
      <c r="E56" s="239">
        <f>+D56</f>
        <v>0</v>
      </c>
      <c r="F56" s="239">
        <f>+E56</f>
        <v>0</v>
      </c>
      <c r="G56" s="239">
        <f>+F56</f>
        <v>0</v>
      </c>
      <c r="H56" s="239">
        <f t="shared" ref="H56:M56" si="44">+G56</f>
        <v>0</v>
      </c>
      <c r="I56" s="239">
        <f t="shared" si="44"/>
        <v>0</v>
      </c>
      <c r="J56" s="239">
        <f t="shared" si="44"/>
        <v>0</v>
      </c>
      <c r="K56" s="239">
        <f t="shared" si="44"/>
        <v>0</v>
      </c>
      <c r="L56" s="239">
        <f t="shared" si="44"/>
        <v>0</v>
      </c>
      <c r="M56" s="239">
        <f t="shared" si="44"/>
        <v>0</v>
      </c>
      <c r="N56" s="240">
        <f>+'Plan de culture 105'!$I$7</f>
        <v>0</v>
      </c>
    </row>
    <row r="57" spans="1:14" x14ac:dyDescent="0.35">
      <c r="A57" s="270" t="s">
        <v>151</v>
      </c>
      <c r="B57" s="90">
        <f>25200*B56</f>
        <v>0</v>
      </c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271">
        <f t="shared" ref="N57:N60" si="45">SUM(B57:M57)</f>
        <v>0</v>
      </c>
    </row>
    <row r="58" spans="1:14" x14ac:dyDescent="0.35">
      <c r="A58" s="270" t="s">
        <v>152</v>
      </c>
      <c r="B58" s="90">
        <f>5040*B56</f>
        <v>0</v>
      </c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271">
        <f t="shared" si="45"/>
        <v>0</v>
      </c>
    </row>
    <row r="59" spans="1:14" x14ac:dyDescent="0.35">
      <c r="A59" s="270" t="s">
        <v>153</v>
      </c>
      <c r="B59" s="90">
        <f>1000*B56</f>
        <v>0</v>
      </c>
      <c r="C59" s="90">
        <f t="shared" ref="C59:M59" si="46">+B59</f>
        <v>0</v>
      </c>
      <c r="D59" s="90">
        <f t="shared" si="46"/>
        <v>0</v>
      </c>
      <c r="E59" s="90">
        <f t="shared" si="46"/>
        <v>0</v>
      </c>
      <c r="F59" s="90">
        <f t="shared" si="46"/>
        <v>0</v>
      </c>
      <c r="G59" s="90">
        <f t="shared" si="46"/>
        <v>0</v>
      </c>
      <c r="H59" s="90">
        <f t="shared" si="46"/>
        <v>0</v>
      </c>
      <c r="I59" s="90">
        <f t="shared" si="46"/>
        <v>0</v>
      </c>
      <c r="J59" s="90">
        <f t="shared" si="46"/>
        <v>0</v>
      </c>
      <c r="K59" s="90">
        <f t="shared" si="46"/>
        <v>0</v>
      </c>
      <c r="L59" s="90">
        <f t="shared" si="46"/>
        <v>0</v>
      </c>
      <c r="M59" s="90">
        <f t="shared" si="46"/>
        <v>0</v>
      </c>
      <c r="N59" s="271">
        <f t="shared" si="45"/>
        <v>0</v>
      </c>
    </row>
    <row r="60" spans="1:14" x14ac:dyDescent="0.35">
      <c r="A60" s="272" t="s">
        <v>150</v>
      </c>
      <c r="B60" s="91">
        <f t="shared" ref="B60:M60" si="47">SUM(B57:B59)</f>
        <v>0</v>
      </c>
      <c r="C60" s="91">
        <f t="shared" si="47"/>
        <v>0</v>
      </c>
      <c r="D60" s="91">
        <f t="shared" si="47"/>
        <v>0</v>
      </c>
      <c r="E60" s="91">
        <f t="shared" si="47"/>
        <v>0</v>
      </c>
      <c r="F60" s="91">
        <f t="shared" si="47"/>
        <v>0</v>
      </c>
      <c r="G60" s="91">
        <f t="shared" si="47"/>
        <v>0</v>
      </c>
      <c r="H60" s="91">
        <f t="shared" si="47"/>
        <v>0</v>
      </c>
      <c r="I60" s="91">
        <f t="shared" si="47"/>
        <v>0</v>
      </c>
      <c r="J60" s="91">
        <f t="shared" si="47"/>
        <v>0</v>
      </c>
      <c r="K60" s="91">
        <f t="shared" si="47"/>
        <v>0</v>
      </c>
      <c r="L60" s="91">
        <f t="shared" si="47"/>
        <v>0</v>
      </c>
      <c r="M60" s="91">
        <f t="shared" si="47"/>
        <v>0</v>
      </c>
      <c r="N60" s="271">
        <f t="shared" si="45"/>
        <v>0</v>
      </c>
    </row>
    <row r="61" spans="1:14" x14ac:dyDescent="0.35">
      <c r="A61" s="238" t="s">
        <v>149</v>
      </c>
      <c r="B61" s="62" t="e">
        <f>+B60/B56</f>
        <v>#DIV/0!</v>
      </c>
      <c r="C61" s="62" t="e">
        <f t="shared" ref="C61:N61" si="48">+C55/C56</f>
        <v>#DIV/0!</v>
      </c>
      <c r="D61" s="62" t="e">
        <f t="shared" si="48"/>
        <v>#DIV/0!</v>
      </c>
      <c r="E61" s="62" t="e">
        <f t="shared" si="48"/>
        <v>#DIV/0!</v>
      </c>
      <c r="F61" s="62" t="e">
        <f t="shared" si="48"/>
        <v>#DIV/0!</v>
      </c>
      <c r="G61" s="62" t="e">
        <f t="shared" si="48"/>
        <v>#DIV/0!</v>
      </c>
      <c r="H61" s="62" t="e">
        <f t="shared" si="48"/>
        <v>#DIV/0!</v>
      </c>
      <c r="I61" s="62" t="e">
        <f t="shared" si="48"/>
        <v>#DIV/0!</v>
      </c>
      <c r="J61" s="62" t="e">
        <f t="shared" si="48"/>
        <v>#DIV/0!</v>
      </c>
      <c r="K61" s="62" t="e">
        <f t="shared" si="48"/>
        <v>#DIV/0!</v>
      </c>
      <c r="L61" s="62" t="e">
        <f t="shared" si="48"/>
        <v>#DIV/0!</v>
      </c>
      <c r="M61" s="62" t="e">
        <f t="shared" si="48"/>
        <v>#DIV/0!</v>
      </c>
      <c r="N61" s="269" t="e">
        <f t="shared" si="48"/>
        <v>#DIV/0!</v>
      </c>
    </row>
    <row r="62" spans="1:14" x14ac:dyDescent="0.35">
      <c r="A62" s="235" t="s">
        <v>91</v>
      </c>
      <c r="B62" s="80">
        <f>+B67</f>
        <v>168539.8</v>
      </c>
      <c r="C62" s="80">
        <f t="shared" ref="C62:M62" si="49">+C67</f>
        <v>5395.0000000000009</v>
      </c>
      <c r="D62" s="80">
        <f t="shared" si="49"/>
        <v>5395.0000000000009</v>
      </c>
      <c r="E62" s="80">
        <f t="shared" si="49"/>
        <v>5395.0000000000009</v>
      </c>
      <c r="F62" s="80">
        <f t="shared" si="49"/>
        <v>5395.0000000000009</v>
      </c>
      <c r="G62" s="80">
        <f t="shared" si="49"/>
        <v>5395.0000000000009</v>
      </c>
      <c r="H62" s="80">
        <f t="shared" si="49"/>
        <v>5395.0000000000009</v>
      </c>
      <c r="I62" s="80">
        <f t="shared" si="49"/>
        <v>5395.0000000000009</v>
      </c>
      <c r="J62" s="80">
        <f t="shared" si="49"/>
        <v>5395.0000000000009</v>
      </c>
      <c r="K62" s="80">
        <f t="shared" si="49"/>
        <v>5395.0000000000009</v>
      </c>
      <c r="L62" s="80">
        <f t="shared" si="49"/>
        <v>5395.0000000000009</v>
      </c>
      <c r="M62" s="80">
        <f t="shared" si="49"/>
        <v>5395.0000000000009</v>
      </c>
      <c r="N62" s="273">
        <f>SUM(B62:M62)</f>
        <v>227884.79999999999</v>
      </c>
    </row>
    <row r="63" spans="1:14" x14ac:dyDescent="0.35">
      <c r="A63" s="238" t="s">
        <v>93</v>
      </c>
      <c r="B63" s="239">
        <f>+'Plan de culture 105'!$I$13</f>
        <v>5.3950000000000005</v>
      </c>
      <c r="C63" s="239">
        <f>+B63</f>
        <v>5.3950000000000005</v>
      </c>
      <c r="D63" s="239">
        <f t="shared" ref="D63:M63" si="50">+C63</f>
        <v>5.3950000000000005</v>
      </c>
      <c r="E63" s="239">
        <f t="shared" si="50"/>
        <v>5.3950000000000005</v>
      </c>
      <c r="F63" s="239">
        <f t="shared" si="50"/>
        <v>5.3950000000000005</v>
      </c>
      <c r="G63" s="239">
        <f t="shared" si="50"/>
        <v>5.3950000000000005</v>
      </c>
      <c r="H63" s="239">
        <f t="shared" si="50"/>
        <v>5.3950000000000005</v>
      </c>
      <c r="I63" s="239">
        <f t="shared" si="50"/>
        <v>5.3950000000000005</v>
      </c>
      <c r="J63" s="239">
        <f t="shared" si="50"/>
        <v>5.3950000000000005</v>
      </c>
      <c r="K63" s="239">
        <f t="shared" si="50"/>
        <v>5.3950000000000005</v>
      </c>
      <c r="L63" s="239">
        <f t="shared" si="50"/>
        <v>5.3950000000000005</v>
      </c>
      <c r="M63" s="239">
        <f t="shared" si="50"/>
        <v>5.3950000000000005</v>
      </c>
      <c r="N63" s="240">
        <f>+'Plan de culture 105'!$I$13</f>
        <v>5.3950000000000005</v>
      </c>
    </row>
    <row r="64" spans="1:14" x14ac:dyDescent="0.35">
      <c r="A64" s="270" t="s">
        <v>151</v>
      </c>
      <c r="B64" s="90">
        <f>25200*B63</f>
        <v>135954</v>
      </c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271">
        <f t="shared" ref="N64:N67" si="51">SUM(B64:M64)</f>
        <v>135954</v>
      </c>
    </row>
    <row r="65" spans="1:14" x14ac:dyDescent="0.35">
      <c r="A65" s="270" t="s">
        <v>152</v>
      </c>
      <c r="B65" s="90">
        <f>5040*B63</f>
        <v>27190.800000000003</v>
      </c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271">
        <f t="shared" si="51"/>
        <v>27190.800000000003</v>
      </c>
    </row>
    <row r="66" spans="1:14" x14ac:dyDescent="0.35">
      <c r="A66" s="270" t="s">
        <v>153</v>
      </c>
      <c r="B66" s="90">
        <f>1000*B63</f>
        <v>5395.0000000000009</v>
      </c>
      <c r="C66" s="90">
        <f t="shared" ref="C66:M66" si="52">+B66</f>
        <v>5395.0000000000009</v>
      </c>
      <c r="D66" s="90">
        <f t="shared" si="52"/>
        <v>5395.0000000000009</v>
      </c>
      <c r="E66" s="90">
        <f t="shared" si="52"/>
        <v>5395.0000000000009</v>
      </c>
      <c r="F66" s="90">
        <f t="shared" si="52"/>
        <v>5395.0000000000009</v>
      </c>
      <c r="G66" s="90">
        <f t="shared" si="52"/>
        <v>5395.0000000000009</v>
      </c>
      <c r="H66" s="90">
        <f t="shared" si="52"/>
        <v>5395.0000000000009</v>
      </c>
      <c r="I66" s="90">
        <f t="shared" si="52"/>
        <v>5395.0000000000009</v>
      </c>
      <c r="J66" s="90">
        <f t="shared" si="52"/>
        <v>5395.0000000000009</v>
      </c>
      <c r="K66" s="90">
        <f t="shared" si="52"/>
        <v>5395.0000000000009</v>
      </c>
      <c r="L66" s="90">
        <f t="shared" si="52"/>
        <v>5395.0000000000009</v>
      </c>
      <c r="M66" s="90">
        <f t="shared" si="52"/>
        <v>5395.0000000000009</v>
      </c>
      <c r="N66" s="271">
        <f t="shared" si="51"/>
        <v>64740.000000000007</v>
      </c>
    </row>
    <row r="67" spans="1:14" x14ac:dyDescent="0.35">
      <c r="A67" s="272" t="s">
        <v>150</v>
      </c>
      <c r="B67" s="91">
        <f t="shared" ref="B67:M67" si="53">SUM(B64:B66)</f>
        <v>168539.8</v>
      </c>
      <c r="C67" s="91">
        <f t="shared" si="53"/>
        <v>5395.0000000000009</v>
      </c>
      <c r="D67" s="91">
        <f t="shared" si="53"/>
        <v>5395.0000000000009</v>
      </c>
      <c r="E67" s="91">
        <f t="shared" si="53"/>
        <v>5395.0000000000009</v>
      </c>
      <c r="F67" s="91">
        <f t="shared" si="53"/>
        <v>5395.0000000000009</v>
      </c>
      <c r="G67" s="91">
        <f t="shared" si="53"/>
        <v>5395.0000000000009</v>
      </c>
      <c r="H67" s="91">
        <f t="shared" si="53"/>
        <v>5395.0000000000009</v>
      </c>
      <c r="I67" s="91">
        <f t="shared" si="53"/>
        <v>5395.0000000000009</v>
      </c>
      <c r="J67" s="91">
        <f t="shared" si="53"/>
        <v>5395.0000000000009</v>
      </c>
      <c r="K67" s="91">
        <f t="shared" si="53"/>
        <v>5395.0000000000009</v>
      </c>
      <c r="L67" s="91">
        <f t="shared" si="53"/>
        <v>5395.0000000000009</v>
      </c>
      <c r="M67" s="91">
        <f t="shared" si="53"/>
        <v>5395.0000000000009</v>
      </c>
      <c r="N67" s="271">
        <f t="shared" si="51"/>
        <v>227884.79999999999</v>
      </c>
    </row>
    <row r="68" spans="1:14" x14ac:dyDescent="0.35">
      <c r="A68" s="238" t="s">
        <v>149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269">
        <f>+N62/N63</f>
        <v>42239.999999999993</v>
      </c>
    </row>
    <row r="69" spans="1:14" x14ac:dyDescent="0.35">
      <c r="A69" s="235" t="s">
        <v>376</v>
      </c>
      <c r="B69" s="80">
        <f>+B74</f>
        <v>0</v>
      </c>
      <c r="C69" s="80">
        <f t="shared" ref="C69:M69" si="54">+C74</f>
        <v>0</v>
      </c>
      <c r="D69" s="80">
        <f t="shared" si="54"/>
        <v>0</v>
      </c>
      <c r="E69" s="80">
        <f t="shared" si="54"/>
        <v>0</v>
      </c>
      <c r="F69" s="80">
        <f t="shared" si="54"/>
        <v>0</v>
      </c>
      <c r="G69" s="80">
        <f t="shared" si="54"/>
        <v>0</v>
      </c>
      <c r="H69" s="80">
        <f t="shared" si="54"/>
        <v>0</v>
      </c>
      <c r="I69" s="80">
        <f t="shared" si="54"/>
        <v>0</v>
      </c>
      <c r="J69" s="80">
        <f t="shared" si="54"/>
        <v>0</v>
      </c>
      <c r="K69" s="80">
        <f t="shared" si="54"/>
        <v>0</v>
      </c>
      <c r="L69" s="80">
        <f t="shared" si="54"/>
        <v>0</v>
      </c>
      <c r="M69" s="80">
        <f t="shared" si="54"/>
        <v>0</v>
      </c>
      <c r="N69" s="273">
        <f>SUM(B69:M69)</f>
        <v>0</v>
      </c>
    </row>
    <row r="70" spans="1:14" x14ac:dyDescent="0.35">
      <c r="A70" s="238" t="s">
        <v>93</v>
      </c>
      <c r="B70" s="239">
        <f>+'Plan de culture 105'!$I$19</f>
        <v>0</v>
      </c>
      <c r="C70" s="239">
        <f>+B70</f>
        <v>0</v>
      </c>
      <c r="D70" s="239">
        <f t="shared" ref="D70" si="55">+C70</f>
        <v>0</v>
      </c>
      <c r="E70" s="239">
        <f>+'Plan de culture 104 '!C66</f>
        <v>0</v>
      </c>
      <c r="F70" s="239">
        <f>+E70+'Plan de culture 104 '!D66+'Plan de culture 104 '!E66</f>
        <v>0</v>
      </c>
      <c r="G70" s="239">
        <f>+F70</f>
        <v>0</v>
      </c>
      <c r="H70" s="239">
        <f t="shared" ref="H70:M70" si="56">+G70</f>
        <v>0</v>
      </c>
      <c r="I70" s="239">
        <f t="shared" si="56"/>
        <v>0</v>
      </c>
      <c r="J70" s="239">
        <f t="shared" si="56"/>
        <v>0</v>
      </c>
      <c r="K70" s="239">
        <f t="shared" si="56"/>
        <v>0</v>
      </c>
      <c r="L70" s="239">
        <f t="shared" si="56"/>
        <v>0</v>
      </c>
      <c r="M70" s="239">
        <f t="shared" si="56"/>
        <v>0</v>
      </c>
      <c r="N70" s="240">
        <f>+'Plan de culture 105'!$I$19</f>
        <v>0</v>
      </c>
    </row>
    <row r="71" spans="1:14" x14ac:dyDescent="0.35">
      <c r="A71" s="270" t="s">
        <v>151</v>
      </c>
      <c r="B71" s="90">
        <f>25200*B70</f>
        <v>0</v>
      </c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271">
        <f t="shared" ref="N71:N74" si="57">SUM(B71:M71)</f>
        <v>0</v>
      </c>
    </row>
    <row r="72" spans="1:14" x14ac:dyDescent="0.35">
      <c r="A72" s="270" t="s">
        <v>152</v>
      </c>
      <c r="B72" s="90">
        <f>5040*B70</f>
        <v>0</v>
      </c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271">
        <f t="shared" si="57"/>
        <v>0</v>
      </c>
    </row>
    <row r="73" spans="1:14" x14ac:dyDescent="0.35">
      <c r="A73" s="270" t="s">
        <v>153</v>
      </c>
      <c r="B73" s="90">
        <f>1000*B70</f>
        <v>0</v>
      </c>
      <c r="C73" s="90">
        <f t="shared" ref="C73:M73" si="58">+B73</f>
        <v>0</v>
      </c>
      <c r="D73" s="90">
        <f t="shared" si="58"/>
        <v>0</v>
      </c>
      <c r="E73" s="90">
        <f t="shared" si="58"/>
        <v>0</v>
      </c>
      <c r="F73" s="90">
        <f t="shared" si="58"/>
        <v>0</v>
      </c>
      <c r="G73" s="90">
        <f t="shared" si="58"/>
        <v>0</v>
      </c>
      <c r="H73" s="90">
        <f t="shared" si="58"/>
        <v>0</v>
      </c>
      <c r="I73" s="90">
        <f t="shared" si="58"/>
        <v>0</v>
      </c>
      <c r="J73" s="90">
        <f t="shared" si="58"/>
        <v>0</v>
      </c>
      <c r="K73" s="90">
        <f t="shared" si="58"/>
        <v>0</v>
      </c>
      <c r="L73" s="90">
        <f t="shared" si="58"/>
        <v>0</v>
      </c>
      <c r="M73" s="90">
        <f t="shared" si="58"/>
        <v>0</v>
      </c>
      <c r="N73" s="271">
        <f t="shared" si="57"/>
        <v>0</v>
      </c>
    </row>
    <row r="74" spans="1:14" x14ac:dyDescent="0.35">
      <c r="A74" s="272" t="s">
        <v>150</v>
      </c>
      <c r="B74" s="91">
        <f t="shared" ref="B74:M74" si="59">SUM(B71:B73)</f>
        <v>0</v>
      </c>
      <c r="C74" s="91">
        <f t="shared" si="59"/>
        <v>0</v>
      </c>
      <c r="D74" s="91">
        <f t="shared" si="59"/>
        <v>0</v>
      </c>
      <c r="E74" s="91">
        <f t="shared" si="59"/>
        <v>0</v>
      </c>
      <c r="F74" s="91">
        <f t="shared" si="59"/>
        <v>0</v>
      </c>
      <c r="G74" s="91">
        <f t="shared" si="59"/>
        <v>0</v>
      </c>
      <c r="H74" s="91">
        <f t="shared" si="59"/>
        <v>0</v>
      </c>
      <c r="I74" s="91">
        <f t="shared" si="59"/>
        <v>0</v>
      </c>
      <c r="J74" s="91">
        <f t="shared" si="59"/>
        <v>0</v>
      </c>
      <c r="K74" s="91">
        <f t="shared" si="59"/>
        <v>0</v>
      </c>
      <c r="L74" s="91">
        <f t="shared" si="59"/>
        <v>0</v>
      </c>
      <c r="M74" s="91">
        <f t="shared" si="59"/>
        <v>0</v>
      </c>
      <c r="N74" s="271">
        <f t="shared" si="57"/>
        <v>0</v>
      </c>
    </row>
    <row r="75" spans="1:14" x14ac:dyDescent="0.35">
      <c r="A75" s="238" t="s">
        <v>149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269" t="e">
        <f>+N69/N70</f>
        <v>#DIV/0!</v>
      </c>
    </row>
    <row r="76" spans="1:14" x14ac:dyDescent="0.35">
      <c r="A76" s="235" t="s">
        <v>92</v>
      </c>
      <c r="B76" s="80">
        <f>+B81</f>
        <v>0</v>
      </c>
      <c r="C76" s="80">
        <f t="shared" ref="C76:M76" si="60">+C81</f>
        <v>0</v>
      </c>
      <c r="D76" s="80">
        <f t="shared" si="60"/>
        <v>0</v>
      </c>
      <c r="E76" s="80">
        <f t="shared" si="60"/>
        <v>0</v>
      </c>
      <c r="F76" s="80">
        <f t="shared" si="60"/>
        <v>0</v>
      </c>
      <c r="G76" s="80">
        <f t="shared" si="60"/>
        <v>0</v>
      </c>
      <c r="H76" s="80">
        <f t="shared" si="60"/>
        <v>0</v>
      </c>
      <c r="I76" s="80">
        <f t="shared" si="60"/>
        <v>0</v>
      </c>
      <c r="J76" s="80">
        <f t="shared" si="60"/>
        <v>0</v>
      </c>
      <c r="K76" s="80">
        <f t="shared" si="60"/>
        <v>0</v>
      </c>
      <c r="L76" s="80">
        <f t="shared" si="60"/>
        <v>0</v>
      </c>
      <c r="M76" s="80">
        <f t="shared" si="60"/>
        <v>0</v>
      </c>
      <c r="N76" s="273">
        <f>SUM(B76:M76)</f>
        <v>0</v>
      </c>
    </row>
    <row r="77" spans="1:14" x14ac:dyDescent="0.35">
      <c r="A77" s="238" t="s">
        <v>93</v>
      </c>
      <c r="B77" s="239">
        <f>+'Plan de culture 105'!$I$25</f>
        <v>0</v>
      </c>
      <c r="C77" s="239">
        <f>+B77</f>
        <v>0</v>
      </c>
      <c r="D77" s="239">
        <f t="shared" ref="D77" si="61">+C77</f>
        <v>0</v>
      </c>
      <c r="E77" s="239">
        <f>+'Plan de culture 104 '!C73</f>
        <v>0</v>
      </c>
      <c r="F77" s="239">
        <f>+E77+'Plan de culture 104 '!D73+'Plan de culture 104 '!E73</f>
        <v>0</v>
      </c>
      <c r="G77" s="239">
        <f>+F77</f>
        <v>0</v>
      </c>
      <c r="H77" s="239">
        <f t="shared" ref="H77:M77" si="62">+G77</f>
        <v>0</v>
      </c>
      <c r="I77" s="239">
        <f t="shared" si="62"/>
        <v>0</v>
      </c>
      <c r="J77" s="239">
        <f t="shared" si="62"/>
        <v>0</v>
      </c>
      <c r="K77" s="239">
        <f t="shared" si="62"/>
        <v>0</v>
      </c>
      <c r="L77" s="239">
        <f t="shared" si="62"/>
        <v>0</v>
      </c>
      <c r="M77" s="239">
        <f t="shared" si="62"/>
        <v>0</v>
      </c>
      <c r="N77" s="240">
        <f>+'Plan de culture 105'!$I$25</f>
        <v>0</v>
      </c>
    </row>
    <row r="78" spans="1:14" x14ac:dyDescent="0.35">
      <c r="A78" s="270" t="s">
        <v>151</v>
      </c>
      <c r="B78" s="90">
        <f>25200*B77</f>
        <v>0</v>
      </c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271">
        <f t="shared" ref="N78:N81" si="63">SUM(B78:M78)</f>
        <v>0</v>
      </c>
    </row>
    <row r="79" spans="1:14" x14ac:dyDescent="0.35">
      <c r="A79" s="270" t="s">
        <v>152</v>
      </c>
      <c r="B79" s="90">
        <f>5040*B77</f>
        <v>0</v>
      </c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271">
        <f t="shared" si="63"/>
        <v>0</v>
      </c>
    </row>
    <row r="80" spans="1:14" x14ac:dyDescent="0.35">
      <c r="A80" s="270" t="s">
        <v>153</v>
      </c>
      <c r="B80" s="90">
        <f>1000*B77</f>
        <v>0</v>
      </c>
      <c r="C80" s="90">
        <f t="shared" ref="C80:M80" si="64">+B80</f>
        <v>0</v>
      </c>
      <c r="D80" s="90">
        <f t="shared" si="64"/>
        <v>0</v>
      </c>
      <c r="E80" s="90">
        <f t="shared" si="64"/>
        <v>0</v>
      </c>
      <c r="F80" s="90">
        <f t="shared" si="64"/>
        <v>0</v>
      </c>
      <c r="G80" s="90">
        <f t="shared" si="64"/>
        <v>0</v>
      </c>
      <c r="H80" s="90">
        <f t="shared" si="64"/>
        <v>0</v>
      </c>
      <c r="I80" s="90">
        <f t="shared" si="64"/>
        <v>0</v>
      </c>
      <c r="J80" s="90">
        <f t="shared" si="64"/>
        <v>0</v>
      </c>
      <c r="K80" s="90">
        <f t="shared" si="64"/>
        <v>0</v>
      </c>
      <c r="L80" s="90">
        <f t="shared" si="64"/>
        <v>0</v>
      </c>
      <c r="M80" s="90">
        <f t="shared" si="64"/>
        <v>0</v>
      </c>
      <c r="N80" s="271">
        <f t="shared" si="63"/>
        <v>0</v>
      </c>
    </row>
    <row r="81" spans="1:14" x14ac:dyDescent="0.35">
      <c r="A81" s="272" t="s">
        <v>150</v>
      </c>
      <c r="B81" s="91">
        <f t="shared" ref="B81:M81" si="65">SUM(B78:B80)</f>
        <v>0</v>
      </c>
      <c r="C81" s="91">
        <f t="shared" si="65"/>
        <v>0</v>
      </c>
      <c r="D81" s="91">
        <f t="shared" si="65"/>
        <v>0</v>
      </c>
      <c r="E81" s="91">
        <f t="shared" si="65"/>
        <v>0</v>
      </c>
      <c r="F81" s="91">
        <f t="shared" si="65"/>
        <v>0</v>
      </c>
      <c r="G81" s="91">
        <f t="shared" si="65"/>
        <v>0</v>
      </c>
      <c r="H81" s="91">
        <f t="shared" si="65"/>
        <v>0</v>
      </c>
      <c r="I81" s="91">
        <f t="shared" si="65"/>
        <v>0</v>
      </c>
      <c r="J81" s="91">
        <f t="shared" si="65"/>
        <v>0</v>
      </c>
      <c r="K81" s="91">
        <f t="shared" si="65"/>
        <v>0</v>
      </c>
      <c r="L81" s="91">
        <f t="shared" si="65"/>
        <v>0</v>
      </c>
      <c r="M81" s="91">
        <f t="shared" si="65"/>
        <v>0</v>
      </c>
      <c r="N81" s="271">
        <f t="shared" si="63"/>
        <v>0</v>
      </c>
    </row>
    <row r="82" spans="1:14" x14ac:dyDescent="0.35">
      <c r="A82" s="238" t="s">
        <v>149</v>
      </c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269" t="e">
        <f>+N76/N77</f>
        <v>#DIV/0!</v>
      </c>
    </row>
    <row r="83" spans="1:14" x14ac:dyDescent="0.35">
      <c r="A83" s="235" t="s">
        <v>377</v>
      </c>
      <c r="B83" s="80">
        <f>+B88</f>
        <v>0</v>
      </c>
      <c r="C83" s="80">
        <f t="shared" ref="C83:M83" si="66">+C88</f>
        <v>0</v>
      </c>
      <c r="D83" s="80">
        <f t="shared" si="66"/>
        <v>0</v>
      </c>
      <c r="E83" s="80">
        <f t="shared" si="66"/>
        <v>0</v>
      </c>
      <c r="F83" s="80">
        <f t="shared" si="66"/>
        <v>0</v>
      </c>
      <c r="G83" s="80">
        <f t="shared" si="66"/>
        <v>0</v>
      </c>
      <c r="H83" s="80">
        <f t="shared" si="66"/>
        <v>0</v>
      </c>
      <c r="I83" s="80">
        <f t="shared" si="66"/>
        <v>0</v>
      </c>
      <c r="J83" s="80">
        <f t="shared" si="66"/>
        <v>0</v>
      </c>
      <c r="K83" s="80">
        <f t="shared" si="66"/>
        <v>0</v>
      </c>
      <c r="L83" s="80">
        <f t="shared" si="66"/>
        <v>0</v>
      </c>
      <c r="M83" s="80">
        <f t="shared" si="66"/>
        <v>0</v>
      </c>
      <c r="N83" s="273">
        <f>SUM(B83:M83)</f>
        <v>0</v>
      </c>
    </row>
    <row r="84" spans="1:14" x14ac:dyDescent="0.35">
      <c r="A84" s="238" t="s">
        <v>93</v>
      </c>
      <c r="B84" s="239">
        <f>+'Plan de culture 105'!$I$31</f>
        <v>0</v>
      </c>
      <c r="C84" s="239">
        <f>+B84</f>
        <v>0</v>
      </c>
      <c r="D84" s="239">
        <f t="shared" ref="D84" si="67">+C84</f>
        <v>0</v>
      </c>
      <c r="E84" s="239">
        <f>+'Plan de culture 104 '!C80</f>
        <v>0</v>
      </c>
      <c r="F84" s="239">
        <f>+E84+'Plan de culture 104 '!D80+'Plan de culture 104 '!E80</f>
        <v>0</v>
      </c>
      <c r="G84" s="239">
        <f>+F84</f>
        <v>0</v>
      </c>
      <c r="H84" s="239">
        <f t="shared" ref="H84:M84" si="68">+G84</f>
        <v>0</v>
      </c>
      <c r="I84" s="239">
        <f t="shared" si="68"/>
        <v>0</v>
      </c>
      <c r="J84" s="239">
        <f t="shared" si="68"/>
        <v>0</v>
      </c>
      <c r="K84" s="239">
        <f t="shared" si="68"/>
        <v>0</v>
      </c>
      <c r="L84" s="239">
        <f t="shared" si="68"/>
        <v>0</v>
      </c>
      <c r="M84" s="239">
        <f t="shared" si="68"/>
        <v>0</v>
      </c>
      <c r="N84" s="240">
        <f>+'Plan de culture 105'!$I$31</f>
        <v>0</v>
      </c>
    </row>
    <row r="85" spans="1:14" x14ac:dyDescent="0.35">
      <c r="A85" s="270" t="s">
        <v>151</v>
      </c>
      <c r="B85" s="90">
        <f>25200*B84</f>
        <v>0</v>
      </c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271">
        <f t="shared" ref="N85:N88" si="69">SUM(B85:M85)</f>
        <v>0</v>
      </c>
    </row>
    <row r="86" spans="1:14" x14ac:dyDescent="0.35">
      <c r="A86" s="270" t="s">
        <v>152</v>
      </c>
      <c r="B86" s="90">
        <f>5040*B84</f>
        <v>0</v>
      </c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271">
        <f t="shared" si="69"/>
        <v>0</v>
      </c>
    </row>
    <row r="87" spans="1:14" x14ac:dyDescent="0.35">
      <c r="A87" s="270" t="s">
        <v>153</v>
      </c>
      <c r="B87" s="90">
        <f>1000*B84</f>
        <v>0</v>
      </c>
      <c r="C87" s="90">
        <f t="shared" ref="C87:M87" si="70">+B87</f>
        <v>0</v>
      </c>
      <c r="D87" s="90">
        <f t="shared" si="70"/>
        <v>0</v>
      </c>
      <c r="E87" s="90">
        <f t="shared" si="70"/>
        <v>0</v>
      </c>
      <c r="F87" s="90">
        <f t="shared" si="70"/>
        <v>0</v>
      </c>
      <c r="G87" s="90">
        <f t="shared" si="70"/>
        <v>0</v>
      </c>
      <c r="H87" s="90">
        <f t="shared" si="70"/>
        <v>0</v>
      </c>
      <c r="I87" s="90">
        <f t="shared" si="70"/>
        <v>0</v>
      </c>
      <c r="J87" s="90">
        <f t="shared" si="70"/>
        <v>0</v>
      </c>
      <c r="K87" s="90">
        <f t="shared" si="70"/>
        <v>0</v>
      </c>
      <c r="L87" s="90">
        <f t="shared" si="70"/>
        <v>0</v>
      </c>
      <c r="M87" s="90">
        <f t="shared" si="70"/>
        <v>0</v>
      </c>
      <c r="N87" s="271">
        <f t="shared" si="69"/>
        <v>0</v>
      </c>
    </row>
    <row r="88" spans="1:14" x14ac:dyDescent="0.35">
      <c r="A88" s="272" t="s">
        <v>150</v>
      </c>
      <c r="B88" s="91">
        <f t="shared" ref="B88:M88" si="71">SUM(B85:B87)</f>
        <v>0</v>
      </c>
      <c r="C88" s="91">
        <f t="shared" si="71"/>
        <v>0</v>
      </c>
      <c r="D88" s="91">
        <f t="shared" si="71"/>
        <v>0</v>
      </c>
      <c r="E88" s="91">
        <f t="shared" si="71"/>
        <v>0</v>
      </c>
      <c r="F88" s="91">
        <f t="shared" si="71"/>
        <v>0</v>
      </c>
      <c r="G88" s="91">
        <f t="shared" si="71"/>
        <v>0</v>
      </c>
      <c r="H88" s="91">
        <f t="shared" si="71"/>
        <v>0</v>
      </c>
      <c r="I88" s="91">
        <f t="shared" si="71"/>
        <v>0</v>
      </c>
      <c r="J88" s="91">
        <f t="shared" si="71"/>
        <v>0</v>
      </c>
      <c r="K88" s="91">
        <f t="shared" si="71"/>
        <v>0</v>
      </c>
      <c r="L88" s="91">
        <f t="shared" si="71"/>
        <v>0</v>
      </c>
      <c r="M88" s="91">
        <f t="shared" si="71"/>
        <v>0</v>
      </c>
      <c r="N88" s="271">
        <f t="shared" si="69"/>
        <v>0</v>
      </c>
    </row>
    <row r="89" spans="1:14" x14ac:dyDescent="0.35">
      <c r="A89" s="238" t="s">
        <v>149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269" t="e">
        <f>+N83/N84</f>
        <v>#DIV/0!</v>
      </c>
    </row>
    <row r="90" spans="1:14" x14ac:dyDescent="0.35">
      <c r="A90" s="235" t="s">
        <v>378</v>
      </c>
      <c r="B90" s="80">
        <f>+B95</f>
        <v>0</v>
      </c>
      <c r="C90" s="80">
        <f t="shared" ref="C90:M90" si="72">+C95</f>
        <v>0</v>
      </c>
      <c r="D90" s="80">
        <f t="shared" si="72"/>
        <v>0</v>
      </c>
      <c r="E90" s="80">
        <f t="shared" si="72"/>
        <v>0</v>
      </c>
      <c r="F90" s="80">
        <f t="shared" si="72"/>
        <v>0</v>
      </c>
      <c r="G90" s="80">
        <f t="shared" si="72"/>
        <v>0</v>
      </c>
      <c r="H90" s="80">
        <f t="shared" si="72"/>
        <v>0</v>
      </c>
      <c r="I90" s="80">
        <f t="shared" si="72"/>
        <v>0</v>
      </c>
      <c r="J90" s="80">
        <f t="shared" si="72"/>
        <v>0</v>
      </c>
      <c r="K90" s="80">
        <f t="shared" si="72"/>
        <v>0</v>
      </c>
      <c r="L90" s="80">
        <f t="shared" si="72"/>
        <v>0</v>
      </c>
      <c r="M90" s="80">
        <f t="shared" si="72"/>
        <v>0</v>
      </c>
      <c r="N90" s="273">
        <f>SUM(B90:M90)</f>
        <v>0</v>
      </c>
    </row>
    <row r="91" spans="1:14" x14ac:dyDescent="0.35">
      <c r="A91" s="238" t="s">
        <v>93</v>
      </c>
      <c r="B91" s="239">
        <f>+'Plan de culture 105'!$I$37</f>
        <v>0</v>
      </c>
      <c r="C91" s="239">
        <f>+B91</f>
        <v>0</v>
      </c>
      <c r="D91" s="239">
        <f t="shared" ref="D91" si="73">+C91</f>
        <v>0</v>
      </c>
      <c r="E91" s="239">
        <f>+'Plan de culture 104 '!C87</f>
        <v>0</v>
      </c>
      <c r="F91" s="239">
        <f>+E91+'Plan de culture 104 '!D87+'Plan de culture 104 '!E87</f>
        <v>0</v>
      </c>
      <c r="G91" s="239">
        <f>+F91</f>
        <v>0</v>
      </c>
      <c r="H91" s="239">
        <f t="shared" ref="H91:M91" si="74">+G91</f>
        <v>0</v>
      </c>
      <c r="I91" s="239">
        <f t="shared" si="74"/>
        <v>0</v>
      </c>
      <c r="J91" s="239">
        <f t="shared" si="74"/>
        <v>0</v>
      </c>
      <c r="K91" s="239">
        <f t="shared" si="74"/>
        <v>0</v>
      </c>
      <c r="L91" s="239">
        <f t="shared" si="74"/>
        <v>0</v>
      </c>
      <c r="M91" s="239">
        <f t="shared" si="74"/>
        <v>0</v>
      </c>
      <c r="N91" s="240">
        <f>+'Plan de culture 105'!$I$37</f>
        <v>0</v>
      </c>
    </row>
    <row r="92" spans="1:14" x14ac:dyDescent="0.35">
      <c r="A92" s="270" t="s">
        <v>151</v>
      </c>
      <c r="B92" s="90">
        <f>25200*B91</f>
        <v>0</v>
      </c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271">
        <f t="shared" ref="N92:N95" si="75">SUM(B92:M92)</f>
        <v>0</v>
      </c>
    </row>
    <row r="93" spans="1:14" x14ac:dyDescent="0.35">
      <c r="A93" s="270" t="s">
        <v>152</v>
      </c>
      <c r="B93" s="90">
        <f>5040*B91</f>
        <v>0</v>
      </c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271">
        <f t="shared" si="75"/>
        <v>0</v>
      </c>
    </row>
    <row r="94" spans="1:14" x14ac:dyDescent="0.35">
      <c r="A94" s="270" t="s">
        <v>153</v>
      </c>
      <c r="B94" s="90">
        <f>1000*B91</f>
        <v>0</v>
      </c>
      <c r="C94" s="90">
        <f t="shared" ref="C94:M94" si="76">+B94</f>
        <v>0</v>
      </c>
      <c r="D94" s="90">
        <f t="shared" si="76"/>
        <v>0</v>
      </c>
      <c r="E94" s="90">
        <f t="shared" si="76"/>
        <v>0</v>
      </c>
      <c r="F94" s="90">
        <f t="shared" si="76"/>
        <v>0</v>
      </c>
      <c r="G94" s="90">
        <f t="shared" si="76"/>
        <v>0</v>
      </c>
      <c r="H94" s="90">
        <f t="shared" si="76"/>
        <v>0</v>
      </c>
      <c r="I94" s="90">
        <f t="shared" si="76"/>
        <v>0</v>
      </c>
      <c r="J94" s="90">
        <f t="shared" si="76"/>
        <v>0</v>
      </c>
      <c r="K94" s="90">
        <f t="shared" si="76"/>
        <v>0</v>
      </c>
      <c r="L94" s="90">
        <f t="shared" si="76"/>
        <v>0</v>
      </c>
      <c r="M94" s="90">
        <f t="shared" si="76"/>
        <v>0</v>
      </c>
      <c r="N94" s="271">
        <f t="shared" si="75"/>
        <v>0</v>
      </c>
    </row>
    <row r="95" spans="1:14" x14ac:dyDescent="0.35">
      <c r="A95" s="272" t="s">
        <v>150</v>
      </c>
      <c r="B95" s="91">
        <f t="shared" ref="B95:M95" si="77">SUM(B92:B94)</f>
        <v>0</v>
      </c>
      <c r="C95" s="91">
        <f t="shared" si="77"/>
        <v>0</v>
      </c>
      <c r="D95" s="91">
        <f t="shared" si="77"/>
        <v>0</v>
      </c>
      <c r="E95" s="91">
        <f t="shared" si="77"/>
        <v>0</v>
      </c>
      <c r="F95" s="91">
        <f t="shared" si="77"/>
        <v>0</v>
      </c>
      <c r="G95" s="91">
        <f t="shared" si="77"/>
        <v>0</v>
      </c>
      <c r="H95" s="91">
        <f t="shared" si="77"/>
        <v>0</v>
      </c>
      <c r="I95" s="91">
        <f t="shared" si="77"/>
        <v>0</v>
      </c>
      <c r="J95" s="91">
        <f t="shared" si="77"/>
        <v>0</v>
      </c>
      <c r="K95" s="91">
        <f t="shared" si="77"/>
        <v>0</v>
      </c>
      <c r="L95" s="91">
        <f t="shared" si="77"/>
        <v>0</v>
      </c>
      <c r="M95" s="91">
        <f t="shared" si="77"/>
        <v>0</v>
      </c>
      <c r="N95" s="271">
        <f t="shared" si="75"/>
        <v>0</v>
      </c>
    </row>
    <row r="96" spans="1:14" ht="12" thickBot="1" x14ac:dyDescent="0.4">
      <c r="A96" s="241" t="s">
        <v>149</v>
      </c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74" t="e">
        <f>+N90/N91</f>
        <v>#DIV/0!</v>
      </c>
    </row>
    <row r="97" spans="1:14" x14ac:dyDescent="0.35">
      <c r="A97" s="233" t="s">
        <v>429</v>
      </c>
      <c r="B97" s="242">
        <f>+B100+B107</f>
        <v>0</v>
      </c>
      <c r="C97" s="242">
        <f t="shared" ref="C97:M98" si="78">+C100+C107</f>
        <v>0</v>
      </c>
      <c r="D97" s="242">
        <f t="shared" si="78"/>
        <v>0</v>
      </c>
      <c r="E97" s="242">
        <f t="shared" si="78"/>
        <v>0</v>
      </c>
      <c r="F97" s="242">
        <f t="shared" si="78"/>
        <v>0</v>
      </c>
      <c r="G97" s="242">
        <f t="shared" si="78"/>
        <v>0</v>
      </c>
      <c r="H97" s="242">
        <f t="shared" si="78"/>
        <v>0</v>
      </c>
      <c r="I97" s="242">
        <f t="shared" si="78"/>
        <v>0</v>
      </c>
      <c r="J97" s="242">
        <f t="shared" si="78"/>
        <v>0</v>
      </c>
      <c r="K97" s="242">
        <f t="shared" si="78"/>
        <v>0</v>
      </c>
      <c r="L97" s="242">
        <f t="shared" si="78"/>
        <v>0</v>
      </c>
      <c r="M97" s="242">
        <f t="shared" si="78"/>
        <v>0</v>
      </c>
      <c r="N97" s="243">
        <f>SUM(B97:M97)</f>
        <v>0</v>
      </c>
    </row>
    <row r="98" spans="1:14" x14ac:dyDescent="0.35">
      <c r="A98" s="234" t="s">
        <v>93</v>
      </c>
      <c r="B98" s="81">
        <f>+B101+B108</f>
        <v>0</v>
      </c>
      <c r="C98" s="81">
        <f t="shared" si="78"/>
        <v>0</v>
      </c>
      <c r="D98" s="81">
        <f t="shared" si="78"/>
        <v>0</v>
      </c>
      <c r="E98" s="81">
        <f t="shared" si="78"/>
        <v>0</v>
      </c>
      <c r="F98" s="81">
        <f t="shared" si="78"/>
        <v>0</v>
      </c>
      <c r="G98" s="81">
        <f t="shared" si="78"/>
        <v>0</v>
      </c>
      <c r="H98" s="81">
        <f t="shared" si="78"/>
        <v>0</v>
      </c>
      <c r="I98" s="81">
        <f t="shared" si="78"/>
        <v>0</v>
      </c>
      <c r="J98" s="81">
        <f t="shared" si="78"/>
        <v>0</v>
      </c>
      <c r="K98" s="81">
        <f t="shared" si="78"/>
        <v>0</v>
      </c>
      <c r="L98" s="81">
        <f t="shared" si="78"/>
        <v>0</v>
      </c>
      <c r="M98" s="81">
        <f t="shared" si="78"/>
        <v>0</v>
      </c>
      <c r="N98" s="248">
        <f>+M98</f>
        <v>0</v>
      </c>
    </row>
    <row r="99" spans="1:14" x14ac:dyDescent="0.35">
      <c r="A99" s="234" t="s">
        <v>149</v>
      </c>
      <c r="B99" s="83" t="e">
        <f>+B97/B98</f>
        <v>#DIV/0!</v>
      </c>
      <c r="C99" s="83" t="e">
        <f>+C97/C98</f>
        <v>#DIV/0!</v>
      </c>
      <c r="D99" s="83" t="e">
        <f>+D97/D98</f>
        <v>#DIV/0!</v>
      </c>
      <c r="E99" s="83" t="e">
        <f t="shared" ref="E99:M99" si="79">+E97/E98</f>
        <v>#DIV/0!</v>
      </c>
      <c r="F99" s="83" t="e">
        <f t="shared" si="79"/>
        <v>#DIV/0!</v>
      </c>
      <c r="G99" s="83" t="e">
        <f t="shared" si="79"/>
        <v>#DIV/0!</v>
      </c>
      <c r="H99" s="83" t="e">
        <f t="shared" si="79"/>
        <v>#DIV/0!</v>
      </c>
      <c r="I99" s="83" t="e">
        <f t="shared" si="79"/>
        <v>#DIV/0!</v>
      </c>
      <c r="J99" s="83" t="e">
        <f t="shared" si="79"/>
        <v>#DIV/0!</v>
      </c>
      <c r="K99" s="83" t="e">
        <f t="shared" si="79"/>
        <v>#DIV/0!</v>
      </c>
      <c r="L99" s="83" t="e">
        <f t="shared" si="79"/>
        <v>#DIV/0!</v>
      </c>
      <c r="M99" s="83" t="e">
        <f t="shared" si="79"/>
        <v>#DIV/0!</v>
      </c>
      <c r="N99" s="249" t="e">
        <f>+N97/N98</f>
        <v>#DIV/0!</v>
      </c>
    </row>
    <row r="100" spans="1:14" x14ac:dyDescent="0.35">
      <c r="A100" s="235" t="s">
        <v>90</v>
      </c>
      <c r="B100" s="80">
        <f>+B105</f>
        <v>0</v>
      </c>
      <c r="C100" s="80">
        <f t="shared" ref="C100:M100" si="80">+C105</f>
        <v>0</v>
      </c>
      <c r="D100" s="80">
        <f t="shared" si="80"/>
        <v>0</v>
      </c>
      <c r="E100" s="80">
        <f t="shared" si="80"/>
        <v>0</v>
      </c>
      <c r="F100" s="80">
        <f t="shared" si="80"/>
        <v>0</v>
      </c>
      <c r="G100" s="80">
        <f t="shared" si="80"/>
        <v>0</v>
      </c>
      <c r="H100" s="80">
        <f t="shared" si="80"/>
        <v>0</v>
      </c>
      <c r="I100" s="80">
        <f t="shared" si="80"/>
        <v>0</v>
      </c>
      <c r="J100" s="80">
        <f t="shared" si="80"/>
        <v>0</v>
      </c>
      <c r="K100" s="80">
        <f t="shared" si="80"/>
        <v>0</v>
      </c>
      <c r="L100" s="80">
        <f t="shared" si="80"/>
        <v>0</v>
      </c>
      <c r="M100" s="80">
        <f t="shared" si="80"/>
        <v>0</v>
      </c>
      <c r="N100" s="244">
        <f>SUM(B100:M100)</f>
        <v>0</v>
      </c>
    </row>
    <row r="101" spans="1:14" x14ac:dyDescent="0.35">
      <c r="A101" s="238" t="s">
        <v>93</v>
      </c>
      <c r="B101" s="239">
        <f>+'Plan de culture 106'!$J$7</f>
        <v>0</v>
      </c>
      <c r="C101" s="239">
        <f>+B101</f>
        <v>0</v>
      </c>
      <c r="D101" s="239">
        <f t="shared" ref="D101" si="81">+C101</f>
        <v>0</v>
      </c>
      <c r="E101" s="239">
        <f>+D101</f>
        <v>0</v>
      </c>
      <c r="F101" s="239">
        <f>+E101</f>
        <v>0</v>
      </c>
      <c r="G101" s="239">
        <f>+F101</f>
        <v>0</v>
      </c>
      <c r="H101" s="239">
        <f t="shared" ref="H101:M101" si="82">+G101</f>
        <v>0</v>
      </c>
      <c r="I101" s="239">
        <f t="shared" si="82"/>
        <v>0</v>
      </c>
      <c r="J101" s="239">
        <f t="shared" si="82"/>
        <v>0</v>
      </c>
      <c r="K101" s="239">
        <f t="shared" si="82"/>
        <v>0</v>
      </c>
      <c r="L101" s="239">
        <f t="shared" si="82"/>
        <v>0</v>
      </c>
      <c r="M101" s="239">
        <f t="shared" si="82"/>
        <v>0</v>
      </c>
      <c r="N101" s="240">
        <f>+'Plan de culture 106'!$J$7</f>
        <v>0</v>
      </c>
    </row>
    <row r="102" spans="1:14" x14ac:dyDescent="0.35">
      <c r="A102" s="270" t="s">
        <v>151</v>
      </c>
      <c r="B102" s="90">
        <f>25200*B101</f>
        <v>0</v>
      </c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271">
        <f t="shared" ref="N102:N105" si="83">SUM(B102:M102)</f>
        <v>0</v>
      </c>
    </row>
    <row r="103" spans="1:14" x14ac:dyDescent="0.35">
      <c r="A103" s="270" t="s">
        <v>152</v>
      </c>
      <c r="B103" s="90">
        <f>5040*B101</f>
        <v>0</v>
      </c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271">
        <f t="shared" si="83"/>
        <v>0</v>
      </c>
    </row>
    <row r="104" spans="1:14" x14ac:dyDescent="0.35">
      <c r="A104" s="270" t="s">
        <v>153</v>
      </c>
      <c r="B104" s="90">
        <f>1000*B101</f>
        <v>0</v>
      </c>
      <c r="C104" s="90">
        <f t="shared" ref="C104:M104" si="84">+B104</f>
        <v>0</v>
      </c>
      <c r="D104" s="90">
        <f t="shared" si="84"/>
        <v>0</v>
      </c>
      <c r="E104" s="90">
        <f t="shared" si="84"/>
        <v>0</v>
      </c>
      <c r="F104" s="90">
        <f t="shared" si="84"/>
        <v>0</v>
      </c>
      <c r="G104" s="90">
        <f t="shared" si="84"/>
        <v>0</v>
      </c>
      <c r="H104" s="90">
        <f t="shared" si="84"/>
        <v>0</v>
      </c>
      <c r="I104" s="90">
        <f t="shared" si="84"/>
        <v>0</v>
      </c>
      <c r="J104" s="90">
        <f t="shared" si="84"/>
        <v>0</v>
      </c>
      <c r="K104" s="90">
        <f t="shared" si="84"/>
        <v>0</v>
      </c>
      <c r="L104" s="90">
        <f t="shared" si="84"/>
        <v>0</v>
      </c>
      <c r="M104" s="90">
        <f t="shared" si="84"/>
        <v>0</v>
      </c>
      <c r="N104" s="271">
        <f t="shared" si="83"/>
        <v>0</v>
      </c>
    </row>
    <row r="105" spans="1:14" x14ac:dyDescent="0.35">
      <c r="A105" s="272" t="s">
        <v>150</v>
      </c>
      <c r="B105" s="91">
        <f t="shared" ref="B105:M105" si="85">SUM(B102:B104)</f>
        <v>0</v>
      </c>
      <c r="C105" s="91">
        <f t="shared" si="85"/>
        <v>0</v>
      </c>
      <c r="D105" s="91">
        <f t="shared" si="85"/>
        <v>0</v>
      </c>
      <c r="E105" s="91">
        <f t="shared" si="85"/>
        <v>0</v>
      </c>
      <c r="F105" s="91">
        <f t="shared" si="85"/>
        <v>0</v>
      </c>
      <c r="G105" s="91">
        <f t="shared" si="85"/>
        <v>0</v>
      </c>
      <c r="H105" s="91">
        <f t="shared" si="85"/>
        <v>0</v>
      </c>
      <c r="I105" s="91">
        <f t="shared" si="85"/>
        <v>0</v>
      </c>
      <c r="J105" s="91">
        <f t="shared" si="85"/>
        <v>0</v>
      </c>
      <c r="K105" s="91">
        <f t="shared" si="85"/>
        <v>0</v>
      </c>
      <c r="L105" s="91">
        <f t="shared" si="85"/>
        <v>0</v>
      </c>
      <c r="M105" s="91">
        <f t="shared" si="85"/>
        <v>0</v>
      </c>
      <c r="N105" s="271">
        <f t="shared" si="83"/>
        <v>0</v>
      </c>
    </row>
    <row r="106" spans="1:14" x14ac:dyDescent="0.35">
      <c r="A106" s="238" t="s">
        <v>149</v>
      </c>
      <c r="B106" s="62" t="e">
        <f>+B105/B101</f>
        <v>#DIV/0!</v>
      </c>
      <c r="C106" s="62" t="e">
        <f t="shared" ref="C106:N106" si="86">+C100/C101</f>
        <v>#DIV/0!</v>
      </c>
      <c r="D106" s="62" t="e">
        <f t="shared" si="86"/>
        <v>#DIV/0!</v>
      </c>
      <c r="E106" s="62" t="e">
        <f t="shared" si="86"/>
        <v>#DIV/0!</v>
      </c>
      <c r="F106" s="62" t="e">
        <f t="shared" si="86"/>
        <v>#DIV/0!</v>
      </c>
      <c r="G106" s="62" t="e">
        <f t="shared" si="86"/>
        <v>#DIV/0!</v>
      </c>
      <c r="H106" s="62" t="e">
        <f t="shared" si="86"/>
        <v>#DIV/0!</v>
      </c>
      <c r="I106" s="62" t="e">
        <f t="shared" si="86"/>
        <v>#DIV/0!</v>
      </c>
      <c r="J106" s="62" t="e">
        <f t="shared" si="86"/>
        <v>#DIV/0!</v>
      </c>
      <c r="K106" s="62" t="e">
        <f t="shared" si="86"/>
        <v>#DIV/0!</v>
      </c>
      <c r="L106" s="62" t="e">
        <f t="shared" si="86"/>
        <v>#DIV/0!</v>
      </c>
      <c r="M106" s="62" t="e">
        <f t="shared" si="86"/>
        <v>#DIV/0!</v>
      </c>
      <c r="N106" s="269" t="e">
        <f t="shared" si="86"/>
        <v>#DIV/0!</v>
      </c>
    </row>
    <row r="107" spans="1:14" x14ac:dyDescent="0.35">
      <c r="A107" s="235" t="s">
        <v>91</v>
      </c>
      <c r="B107" s="80">
        <f>+B112</f>
        <v>0</v>
      </c>
      <c r="C107" s="80">
        <f t="shared" ref="C107:M107" si="87">+C112</f>
        <v>0</v>
      </c>
      <c r="D107" s="80">
        <f t="shared" si="87"/>
        <v>0</v>
      </c>
      <c r="E107" s="80">
        <f t="shared" si="87"/>
        <v>0</v>
      </c>
      <c r="F107" s="80">
        <f t="shared" si="87"/>
        <v>0</v>
      </c>
      <c r="G107" s="80">
        <f t="shared" si="87"/>
        <v>0</v>
      </c>
      <c r="H107" s="80">
        <f t="shared" si="87"/>
        <v>0</v>
      </c>
      <c r="I107" s="80">
        <f t="shared" si="87"/>
        <v>0</v>
      </c>
      <c r="J107" s="80">
        <f t="shared" si="87"/>
        <v>0</v>
      </c>
      <c r="K107" s="80">
        <f t="shared" si="87"/>
        <v>0</v>
      </c>
      <c r="L107" s="80">
        <f t="shared" si="87"/>
        <v>0</v>
      </c>
      <c r="M107" s="80">
        <f t="shared" si="87"/>
        <v>0</v>
      </c>
      <c r="N107" s="273">
        <f>SUM(B107:M107)</f>
        <v>0</v>
      </c>
    </row>
    <row r="108" spans="1:14" x14ac:dyDescent="0.35">
      <c r="A108" s="238" t="s">
        <v>93</v>
      </c>
      <c r="B108" s="239">
        <f>+'Plan de culture 106'!$J$13</f>
        <v>0</v>
      </c>
      <c r="C108" s="239">
        <f>+B108</f>
        <v>0</v>
      </c>
      <c r="D108" s="239">
        <f t="shared" ref="D108:M108" si="88">+C108</f>
        <v>0</v>
      </c>
      <c r="E108" s="239">
        <f t="shared" si="88"/>
        <v>0</v>
      </c>
      <c r="F108" s="239">
        <f t="shared" si="88"/>
        <v>0</v>
      </c>
      <c r="G108" s="239">
        <f t="shared" si="88"/>
        <v>0</v>
      </c>
      <c r="H108" s="239">
        <f t="shared" si="88"/>
        <v>0</v>
      </c>
      <c r="I108" s="239">
        <f t="shared" si="88"/>
        <v>0</v>
      </c>
      <c r="J108" s="239">
        <f t="shared" si="88"/>
        <v>0</v>
      </c>
      <c r="K108" s="239">
        <f t="shared" si="88"/>
        <v>0</v>
      </c>
      <c r="L108" s="239">
        <f t="shared" si="88"/>
        <v>0</v>
      </c>
      <c r="M108" s="239">
        <f t="shared" si="88"/>
        <v>0</v>
      </c>
      <c r="N108" s="240">
        <f>+'Plan de culture 106'!$J$13</f>
        <v>0</v>
      </c>
    </row>
    <row r="109" spans="1:14" x14ac:dyDescent="0.35">
      <c r="A109" s="270" t="s">
        <v>151</v>
      </c>
      <c r="B109" s="90">
        <f>25200*B108</f>
        <v>0</v>
      </c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271">
        <f t="shared" ref="N109:N112" si="89">SUM(B109:M109)</f>
        <v>0</v>
      </c>
    </row>
    <row r="110" spans="1:14" x14ac:dyDescent="0.35">
      <c r="A110" s="270" t="s">
        <v>152</v>
      </c>
      <c r="B110" s="90">
        <f>5040*B108</f>
        <v>0</v>
      </c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271">
        <f t="shared" si="89"/>
        <v>0</v>
      </c>
    </row>
    <row r="111" spans="1:14" x14ac:dyDescent="0.35">
      <c r="A111" s="270" t="s">
        <v>153</v>
      </c>
      <c r="B111" s="90">
        <f>1000*B108</f>
        <v>0</v>
      </c>
      <c r="C111" s="90">
        <f t="shared" ref="C111:M111" si="90">+B111</f>
        <v>0</v>
      </c>
      <c r="D111" s="90">
        <f t="shared" si="90"/>
        <v>0</v>
      </c>
      <c r="E111" s="90">
        <f t="shared" si="90"/>
        <v>0</v>
      </c>
      <c r="F111" s="90">
        <f t="shared" si="90"/>
        <v>0</v>
      </c>
      <c r="G111" s="90">
        <f t="shared" si="90"/>
        <v>0</v>
      </c>
      <c r="H111" s="90">
        <f t="shared" si="90"/>
        <v>0</v>
      </c>
      <c r="I111" s="90">
        <f t="shared" si="90"/>
        <v>0</v>
      </c>
      <c r="J111" s="90">
        <f t="shared" si="90"/>
        <v>0</v>
      </c>
      <c r="K111" s="90">
        <f t="shared" si="90"/>
        <v>0</v>
      </c>
      <c r="L111" s="90">
        <f t="shared" si="90"/>
        <v>0</v>
      </c>
      <c r="M111" s="90">
        <f t="shared" si="90"/>
        <v>0</v>
      </c>
      <c r="N111" s="271">
        <f t="shared" si="89"/>
        <v>0</v>
      </c>
    </row>
    <row r="112" spans="1:14" x14ac:dyDescent="0.35">
      <c r="A112" s="272" t="s">
        <v>150</v>
      </c>
      <c r="B112" s="91">
        <f t="shared" ref="B112:M112" si="91">SUM(B109:B111)</f>
        <v>0</v>
      </c>
      <c r="C112" s="91">
        <f t="shared" si="91"/>
        <v>0</v>
      </c>
      <c r="D112" s="91">
        <f t="shared" si="91"/>
        <v>0</v>
      </c>
      <c r="E112" s="91">
        <f t="shared" si="91"/>
        <v>0</v>
      </c>
      <c r="F112" s="91">
        <f t="shared" si="91"/>
        <v>0</v>
      </c>
      <c r="G112" s="91">
        <f t="shared" si="91"/>
        <v>0</v>
      </c>
      <c r="H112" s="91">
        <f t="shared" si="91"/>
        <v>0</v>
      </c>
      <c r="I112" s="91">
        <f t="shared" si="91"/>
        <v>0</v>
      </c>
      <c r="J112" s="91">
        <f t="shared" si="91"/>
        <v>0</v>
      </c>
      <c r="K112" s="91">
        <f t="shared" si="91"/>
        <v>0</v>
      </c>
      <c r="L112" s="91">
        <f t="shared" si="91"/>
        <v>0</v>
      </c>
      <c r="M112" s="91">
        <f t="shared" si="91"/>
        <v>0</v>
      </c>
      <c r="N112" s="271">
        <f t="shared" si="89"/>
        <v>0</v>
      </c>
    </row>
    <row r="113" spans="1:14" x14ac:dyDescent="0.35">
      <c r="A113" s="238" t="s">
        <v>149</v>
      </c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269" t="e">
        <f>+N107/N108</f>
        <v>#DIV/0!</v>
      </c>
    </row>
    <row r="114" spans="1:14" x14ac:dyDescent="0.35">
      <c r="A114" s="235" t="s">
        <v>376</v>
      </c>
      <c r="B114" s="80">
        <f>+B119</f>
        <v>174163</v>
      </c>
      <c r="C114" s="80">
        <f t="shared" ref="C114:M114" si="92">+C119</f>
        <v>5575</v>
      </c>
      <c r="D114" s="80">
        <f t="shared" si="92"/>
        <v>5575</v>
      </c>
      <c r="E114" s="80">
        <f t="shared" si="92"/>
        <v>5575</v>
      </c>
      <c r="F114" s="80">
        <f t="shared" si="92"/>
        <v>5575</v>
      </c>
      <c r="G114" s="80">
        <f t="shared" si="92"/>
        <v>5575</v>
      </c>
      <c r="H114" s="80">
        <f t="shared" si="92"/>
        <v>5575</v>
      </c>
      <c r="I114" s="80">
        <f t="shared" si="92"/>
        <v>5575</v>
      </c>
      <c r="J114" s="80">
        <f t="shared" si="92"/>
        <v>5575</v>
      </c>
      <c r="K114" s="80">
        <f t="shared" si="92"/>
        <v>5575</v>
      </c>
      <c r="L114" s="80">
        <f t="shared" si="92"/>
        <v>5575</v>
      </c>
      <c r="M114" s="80">
        <f t="shared" si="92"/>
        <v>5575</v>
      </c>
      <c r="N114" s="273">
        <f>SUM(B114:M114)</f>
        <v>235488</v>
      </c>
    </row>
    <row r="115" spans="1:14" x14ac:dyDescent="0.35">
      <c r="A115" s="238" t="s">
        <v>93</v>
      </c>
      <c r="B115" s="239">
        <f>+'Plan de culture 106'!$J$19</f>
        <v>5.5750000000000002</v>
      </c>
      <c r="C115" s="239">
        <f>+B115</f>
        <v>5.5750000000000002</v>
      </c>
      <c r="D115" s="239">
        <f t="shared" ref="D115:M115" si="93">+C115</f>
        <v>5.5750000000000002</v>
      </c>
      <c r="E115" s="239">
        <f t="shared" si="93"/>
        <v>5.5750000000000002</v>
      </c>
      <c r="F115" s="239">
        <f t="shared" si="93"/>
        <v>5.5750000000000002</v>
      </c>
      <c r="G115" s="239">
        <f t="shared" si="93"/>
        <v>5.5750000000000002</v>
      </c>
      <c r="H115" s="239">
        <f t="shared" si="93"/>
        <v>5.5750000000000002</v>
      </c>
      <c r="I115" s="239">
        <f t="shared" si="93"/>
        <v>5.5750000000000002</v>
      </c>
      <c r="J115" s="239">
        <f t="shared" si="93"/>
        <v>5.5750000000000002</v>
      </c>
      <c r="K115" s="239">
        <f t="shared" si="93"/>
        <v>5.5750000000000002</v>
      </c>
      <c r="L115" s="239">
        <f t="shared" si="93"/>
        <v>5.5750000000000002</v>
      </c>
      <c r="M115" s="239">
        <f t="shared" si="93"/>
        <v>5.5750000000000002</v>
      </c>
      <c r="N115" s="240">
        <f>+'Plan de culture 106'!$J$19</f>
        <v>5.5750000000000002</v>
      </c>
    </row>
    <row r="116" spans="1:14" x14ac:dyDescent="0.35">
      <c r="A116" s="270" t="s">
        <v>151</v>
      </c>
      <c r="B116" s="90">
        <f>25200*B115</f>
        <v>140490</v>
      </c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271">
        <f t="shared" ref="N116:N119" si="94">SUM(B116:M116)</f>
        <v>140490</v>
      </c>
    </row>
    <row r="117" spans="1:14" x14ac:dyDescent="0.35">
      <c r="A117" s="270" t="s">
        <v>152</v>
      </c>
      <c r="B117" s="90">
        <f>5040*B115</f>
        <v>28098</v>
      </c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271">
        <f t="shared" si="94"/>
        <v>28098</v>
      </c>
    </row>
    <row r="118" spans="1:14" x14ac:dyDescent="0.35">
      <c r="A118" s="270" t="s">
        <v>153</v>
      </c>
      <c r="B118" s="90">
        <f>1000*B115</f>
        <v>5575</v>
      </c>
      <c r="C118" s="90">
        <f t="shared" ref="C118:M118" si="95">+B118</f>
        <v>5575</v>
      </c>
      <c r="D118" s="90">
        <f t="shared" si="95"/>
        <v>5575</v>
      </c>
      <c r="E118" s="90">
        <f t="shared" si="95"/>
        <v>5575</v>
      </c>
      <c r="F118" s="90">
        <f t="shared" si="95"/>
        <v>5575</v>
      </c>
      <c r="G118" s="90">
        <f t="shared" si="95"/>
        <v>5575</v>
      </c>
      <c r="H118" s="90">
        <f t="shared" si="95"/>
        <v>5575</v>
      </c>
      <c r="I118" s="90">
        <f t="shared" si="95"/>
        <v>5575</v>
      </c>
      <c r="J118" s="90">
        <f t="shared" si="95"/>
        <v>5575</v>
      </c>
      <c r="K118" s="90">
        <f t="shared" si="95"/>
        <v>5575</v>
      </c>
      <c r="L118" s="90">
        <f t="shared" si="95"/>
        <v>5575</v>
      </c>
      <c r="M118" s="90">
        <f t="shared" si="95"/>
        <v>5575</v>
      </c>
      <c r="N118" s="271">
        <f t="shared" si="94"/>
        <v>66900</v>
      </c>
    </row>
    <row r="119" spans="1:14" x14ac:dyDescent="0.35">
      <c r="A119" s="272" t="s">
        <v>150</v>
      </c>
      <c r="B119" s="91">
        <f t="shared" ref="B119:M119" si="96">SUM(B116:B118)</f>
        <v>174163</v>
      </c>
      <c r="C119" s="91">
        <f t="shared" si="96"/>
        <v>5575</v>
      </c>
      <c r="D119" s="91">
        <f t="shared" si="96"/>
        <v>5575</v>
      </c>
      <c r="E119" s="91">
        <f t="shared" si="96"/>
        <v>5575</v>
      </c>
      <c r="F119" s="91">
        <f t="shared" si="96"/>
        <v>5575</v>
      </c>
      <c r="G119" s="91">
        <f t="shared" si="96"/>
        <v>5575</v>
      </c>
      <c r="H119" s="91">
        <f t="shared" si="96"/>
        <v>5575</v>
      </c>
      <c r="I119" s="91">
        <f t="shared" si="96"/>
        <v>5575</v>
      </c>
      <c r="J119" s="91">
        <f t="shared" si="96"/>
        <v>5575</v>
      </c>
      <c r="K119" s="91">
        <f t="shared" si="96"/>
        <v>5575</v>
      </c>
      <c r="L119" s="91">
        <f t="shared" si="96"/>
        <v>5575</v>
      </c>
      <c r="M119" s="91">
        <f t="shared" si="96"/>
        <v>5575</v>
      </c>
      <c r="N119" s="271">
        <f t="shared" si="94"/>
        <v>235488</v>
      </c>
    </row>
    <row r="120" spans="1:14" x14ac:dyDescent="0.35">
      <c r="A120" s="238" t="s">
        <v>149</v>
      </c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269">
        <f>+N114/N115</f>
        <v>42240</v>
      </c>
    </row>
    <row r="121" spans="1:14" x14ac:dyDescent="0.35">
      <c r="A121" s="235" t="s">
        <v>92</v>
      </c>
      <c r="B121" s="80">
        <f>+B126</f>
        <v>0</v>
      </c>
      <c r="C121" s="80">
        <f t="shared" ref="C121:M121" si="97">+C126</f>
        <v>0</v>
      </c>
      <c r="D121" s="80">
        <f t="shared" si="97"/>
        <v>0</v>
      </c>
      <c r="E121" s="80">
        <f t="shared" si="97"/>
        <v>0</v>
      </c>
      <c r="F121" s="80">
        <f t="shared" si="97"/>
        <v>0</v>
      </c>
      <c r="G121" s="80">
        <f t="shared" si="97"/>
        <v>0</v>
      </c>
      <c r="H121" s="80">
        <f t="shared" si="97"/>
        <v>0</v>
      </c>
      <c r="I121" s="80">
        <f t="shared" si="97"/>
        <v>0</v>
      </c>
      <c r="J121" s="80">
        <f t="shared" si="97"/>
        <v>0</v>
      </c>
      <c r="K121" s="80">
        <f t="shared" si="97"/>
        <v>0</v>
      </c>
      <c r="L121" s="80">
        <f t="shared" si="97"/>
        <v>0</v>
      </c>
      <c r="M121" s="80">
        <f t="shared" si="97"/>
        <v>0</v>
      </c>
      <c r="N121" s="273">
        <f>SUM(B121:M121)</f>
        <v>0</v>
      </c>
    </row>
    <row r="122" spans="1:14" x14ac:dyDescent="0.35">
      <c r="A122" s="238" t="s">
        <v>93</v>
      </c>
      <c r="B122" s="239">
        <f>+'Plan de culture 106'!$J$25</f>
        <v>0</v>
      </c>
      <c r="C122" s="239">
        <f>+B122</f>
        <v>0</v>
      </c>
      <c r="D122" s="239">
        <f t="shared" ref="D122" si="98">+C122</f>
        <v>0</v>
      </c>
      <c r="E122" s="239">
        <f>+'Plan de culture 104 '!C118</f>
        <v>0</v>
      </c>
      <c r="F122" s="239">
        <f>+E122+'Plan de culture 104 '!D118+'Plan de culture 104 '!E118</f>
        <v>0</v>
      </c>
      <c r="G122" s="239">
        <f>+F122</f>
        <v>0</v>
      </c>
      <c r="H122" s="239">
        <f t="shared" ref="H122:M122" si="99">+G122</f>
        <v>0</v>
      </c>
      <c r="I122" s="239">
        <f t="shared" si="99"/>
        <v>0</v>
      </c>
      <c r="J122" s="239">
        <f t="shared" si="99"/>
        <v>0</v>
      </c>
      <c r="K122" s="239">
        <f t="shared" si="99"/>
        <v>0</v>
      </c>
      <c r="L122" s="239">
        <f t="shared" si="99"/>
        <v>0</v>
      </c>
      <c r="M122" s="239">
        <f t="shared" si="99"/>
        <v>0</v>
      </c>
      <c r="N122" s="240">
        <f>+'Plan de culture 106'!$J$25</f>
        <v>0</v>
      </c>
    </row>
    <row r="123" spans="1:14" x14ac:dyDescent="0.35">
      <c r="A123" s="270" t="s">
        <v>151</v>
      </c>
      <c r="B123" s="90">
        <f>25200*B122</f>
        <v>0</v>
      </c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271">
        <f t="shared" ref="N123:N126" si="100">SUM(B123:M123)</f>
        <v>0</v>
      </c>
    </row>
    <row r="124" spans="1:14" x14ac:dyDescent="0.35">
      <c r="A124" s="270" t="s">
        <v>152</v>
      </c>
      <c r="B124" s="90">
        <f>5040*B122</f>
        <v>0</v>
      </c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271">
        <f t="shared" si="100"/>
        <v>0</v>
      </c>
    </row>
    <row r="125" spans="1:14" x14ac:dyDescent="0.35">
      <c r="A125" s="270" t="s">
        <v>153</v>
      </c>
      <c r="B125" s="90">
        <f>1000*B122</f>
        <v>0</v>
      </c>
      <c r="C125" s="90">
        <f t="shared" ref="C125:M125" si="101">+B125</f>
        <v>0</v>
      </c>
      <c r="D125" s="90">
        <f t="shared" si="101"/>
        <v>0</v>
      </c>
      <c r="E125" s="90">
        <f t="shared" si="101"/>
        <v>0</v>
      </c>
      <c r="F125" s="90">
        <f t="shared" si="101"/>
        <v>0</v>
      </c>
      <c r="G125" s="90">
        <f t="shared" si="101"/>
        <v>0</v>
      </c>
      <c r="H125" s="90">
        <f t="shared" si="101"/>
        <v>0</v>
      </c>
      <c r="I125" s="90">
        <f t="shared" si="101"/>
        <v>0</v>
      </c>
      <c r="J125" s="90">
        <f t="shared" si="101"/>
        <v>0</v>
      </c>
      <c r="K125" s="90">
        <f t="shared" si="101"/>
        <v>0</v>
      </c>
      <c r="L125" s="90">
        <f t="shared" si="101"/>
        <v>0</v>
      </c>
      <c r="M125" s="90">
        <f t="shared" si="101"/>
        <v>0</v>
      </c>
      <c r="N125" s="271">
        <f t="shared" si="100"/>
        <v>0</v>
      </c>
    </row>
    <row r="126" spans="1:14" x14ac:dyDescent="0.35">
      <c r="A126" s="272" t="s">
        <v>150</v>
      </c>
      <c r="B126" s="91">
        <f t="shared" ref="B126:M126" si="102">SUM(B123:B125)</f>
        <v>0</v>
      </c>
      <c r="C126" s="91">
        <f t="shared" si="102"/>
        <v>0</v>
      </c>
      <c r="D126" s="91">
        <f t="shared" si="102"/>
        <v>0</v>
      </c>
      <c r="E126" s="91">
        <f t="shared" si="102"/>
        <v>0</v>
      </c>
      <c r="F126" s="91">
        <f t="shared" si="102"/>
        <v>0</v>
      </c>
      <c r="G126" s="91">
        <f t="shared" si="102"/>
        <v>0</v>
      </c>
      <c r="H126" s="91">
        <f t="shared" si="102"/>
        <v>0</v>
      </c>
      <c r="I126" s="91">
        <f t="shared" si="102"/>
        <v>0</v>
      </c>
      <c r="J126" s="91">
        <f t="shared" si="102"/>
        <v>0</v>
      </c>
      <c r="K126" s="91">
        <f t="shared" si="102"/>
        <v>0</v>
      </c>
      <c r="L126" s="91">
        <f t="shared" si="102"/>
        <v>0</v>
      </c>
      <c r="M126" s="91">
        <f t="shared" si="102"/>
        <v>0</v>
      </c>
      <c r="N126" s="271">
        <f t="shared" si="100"/>
        <v>0</v>
      </c>
    </row>
    <row r="127" spans="1:14" x14ac:dyDescent="0.35">
      <c r="A127" s="238" t="s">
        <v>149</v>
      </c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269" t="e">
        <f>+N121/N122</f>
        <v>#DIV/0!</v>
      </c>
    </row>
    <row r="128" spans="1:14" x14ac:dyDescent="0.35">
      <c r="A128" s="235" t="s">
        <v>377</v>
      </c>
      <c r="B128" s="80">
        <f>+B133</f>
        <v>0</v>
      </c>
      <c r="C128" s="80">
        <f t="shared" ref="C128:M128" si="103">+C133</f>
        <v>0</v>
      </c>
      <c r="D128" s="80">
        <f t="shared" si="103"/>
        <v>0</v>
      </c>
      <c r="E128" s="80">
        <f t="shared" si="103"/>
        <v>0</v>
      </c>
      <c r="F128" s="80">
        <f t="shared" si="103"/>
        <v>0</v>
      </c>
      <c r="G128" s="80">
        <f t="shared" si="103"/>
        <v>0</v>
      </c>
      <c r="H128" s="80">
        <f t="shared" si="103"/>
        <v>0</v>
      </c>
      <c r="I128" s="80">
        <f t="shared" si="103"/>
        <v>0</v>
      </c>
      <c r="J128" s="80">
        <f t="shared" si="103"/>
        <v>0</v>
      </c>
      <c r="K128" s="80">
        <f t="shared" si="103"/>
        <v>0</v>
      </c>
      <c r="L128" s="80">
        <f t="shared" si="103"/>
        <v>0</v>
      </c>
      <c r="M128" s="80">
        <f t="shared" si="103"/>
        <v>0</v>
      </c>
      <c r="N128" s="273">
        <f>SUM(B128:M128)</f>
        <v>0</v>
      </c>
    </row>
    <row r="129" spans="1:14" x14ac:dyDescent="0.35">
      <c r="A129" s="238" t="s">
        <v>93</v>
      </c>
      <c r="B129" s="239">
        <f>+'Plan de culture 106'!$J$31</f>
        <v>0</v>
      </c>
      <c r="C129" s="239">
        <f>+B129</f>
        <v>0</v>
      </c>
      <c r="D129" s="239">
        <f t="shared" ref="D129" si="104">+C129</f>
        <v>0</v>
      </c>
      <c r="E129" s="239">
        <f>+'Plan de culture 104 '!C125</f>
        <v>0</v>
      </c>
      <c r="F129" s="239">
        <f>+E129+'Plan de culture 104 '!D125+'Plan de culture 104 '!E125</f>
        <v>0</v>
      </c>
      <c r="G129" s="239">
        <f>+F129</f>
        <v>0</v>
      </c>
      <c r="H129" s="239">
        <f t="shared" ref="H129:M129" si="105">+G129</f>
        <v>0</v>
      </c>
      <c r="I129" s="239">
        <f t="shared" si="105"/>
        <v>0</v>
      </c>
      <c r="J129" s="239">
        <f t="shared" si="105"/>
        <v>0</v>
      </c>
      <c r="K129" s="239">
        <f t="shared" si="105"/>
        <v>0</v>
      </c>
      <c r="L129" s="239">
        <f t="shared" si="105"/>
        <v>0</v>
      </c>
      <c r="M129" s="239">
        <f t="shared" si="105"/>
        <v>0</v>
      </c>
      <c r="N129" s="240">
        <f>+'Plan de culture 106'!$J$31</f>
        <v>0</v>
      </c>
    </row>
    <row r="130" spans="1:14" x14ac:dyDescent="0.35">
      <c r="A130" s="270" t="s">
        <v>151</v>
      </c>
      <c r="B130" s="90">
        <f>25200*B129</f>
        <v>0</v>
      </c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271">
        <f t="shared" ref="N130:N133" si="106">SUM(B130:M130)</f>
        <v>0</v>
      </c>
    </row>
    <row r="131" spans="1:14" x14ac:dyDescent="0.35">
      <c r="A131" s="270" t="s">
        <v>152</v>
      </c>
      <c r="B131" s="90">
        <f>5040*B129</f>
        <v>0</v>
      </c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271">
        <f t="shared" si="106"/>
        <v>0</v>
      </c>
    </row>
    <row r="132" spans="1:14" x14ac:dyDescent="0.35">
      <c r="A132" s="270" t="s">
        <v>153</v>
      </c>
      <c r="B132" s="90">
        <f>1000*B129</f>
        <v>0</v>
      </c>
      <c r="C132" s="90">
        <f t="shared" ref="C132:M132" si="107">+B132</f>
        <v>0</v>
      </c>
      <c r="D132" s="90">
        <f t="shared" si="107"/>
        <v>0</v>
      </c>
      <c r="E132" s="90">
        <f t="shared" si="107"/>
        <v>0</v>
      </c>
      <c r="F132" s="90">
        <f t="shared" si="107"/>
        <v>0</v>
      </c>
      <c r="G132" s="90">
        <f t="shared" si="107"/>
        <v>0</v>
      </c>
      <c r="H132" s="90">
        <f t="shared" si="107"/>
        <v>0</v>
      </c>
      <c r="I132" s="90">
        <f t="shared" si="107"/>
        <v>0</v>
      </c>
      <c r="J132" s="90">
        <f t="shared" si="107"/>
        <v>0</v>
      </c>
      <c r="K132" s="90">
        <f t="shared" si="107"/>
        <v>0</v>
      </c>
      <c r="L132" s="90">
        <f t="shared" si="107"/>
        <v>0</v>
      </c>
      <c r="M132" s="90">
        <f t="shared" si="107"/>
        <v>0</v>
      </c>
      <c r="N132" s="271">
        <f t="shared" si="106"/>
        <v>0</v>
      </c>
    </row>
    <row r="133" spans="1:14" x14ac:dyDescent="0.35">
      <c r="A133" s="272" t="s">
        <v>150</v>
      </c>
      <c r="B133" s="91">
        <f t="shared" ref="B133:M133" si="108">SUM(B130:B132)</f>
        <v>0</v>
      </c>
      <c r="C133" s="91">
        <f t="shared" si="108"/>
        <v>0</v>
      </c>
      <c r="D133" s="91">
        <f t="shared" si="108"/>
        <v>0</v>
      </c>
      <c r="E133" s="91">
        <f t="shared" si="108"/>
        <v>0</v>
      </c>
      <c r="F133" s="91">
        <f t="shared" si="108"/>
        <v>0</v>
      </c>
      <c r="G133" s="91">
        <f t="shared" si="108"/>
        <v>0</v>
      </c>
      <c r="H133" s="91">
        <f t="shared" si="108"/>
        <v>0</v>
      </c>
      <c r="I133" s="91">
        <f t="shared" si="108"/>
        <v>0</v>
      </c>
      <c r="J133" s="91">
        <f t="shared" si="108"/>
        <v>0</v>
      </c>
      <c r="K133" s="91">
        <f t="shared" si="108"/>
        <v>0</v>
      </c>
      <c r="L133" s="91">
        <f t="shared" si="108"/>
        <v>0</v>
      </c>
      <c r="M133" s="91">
        <f t="shared" si="108"/>
        <v>0</v>
      </c>
      <c r="N133" s="271">
        <f t="shared" si="106"/>
        <v>0</v>
      </c>
    </row>
    <row r="134" spans="1:14" x14ac:dyDescent="0.35">
      <c r="A134" s="238" t="s">
        <v>149</v>
      </c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269" t="e">
        <f>+N128/N129</f>
        <v>#DIV/0!</v>
      </c>
    </row>
    <row r="135" spans="1:14" x14ac:dyDescent="0.35">
      <c r="A135" s="235" t="s">
        <v>378</v>
      </c>
      <c r="B135" s="80">
        <f>+B140</f>
        <v>0</v>
      </c>
      <c r="C135" s="80">
        <f t="shared" ref="C135:M135" si="109">+C140</f>
        <v>0</v>
      </c>
      <c r="D135" s="80">
        <f t="shared" si="109"/>
        <v>0</v>
      </c>
      <c r="E135" s="80">
        <f t="shared" si="109"/>
        <v>0</v>
      </c>
      <c r="F135" s="80">
        <f t="shared" si="109"/>
        <v>0</v>
      </c>
      <c r="G135" s="80">
        <f t="shared" si="109"/>
        <v>0</v>
      </c>
      <c r="H135" s="80">
        <f t="shared" si="109"/>
        <v>0</v>
      </c>
      <c r="I135" s="80">
        <f t="shared" si="109"/>
        <v>0</v>
      </c>
      <c r="J135" s="80">
        <f t="shared" si="109"/>
        <v>0</v>
      </c>
      <c r="K135" s="80">
        <f t="shared" si="109"/>
        <v>0</v>
      </c>
      <c r="L135" s="80">
        <f t="shared" si="109"/>
        <v>0</v>
      </c>
      <c r="M135" s="80">
        <f t="shared" si="109"/>
        <v>0</v>
      </c>
      <c r="N135" s="273">
        <f>SUM(B135:M135)</f>
        <v>0</v>
      </c>
    </row>
    <row r="136" spans="1:14" x14ac:dyDescent="0.35">
      <c r="A136" s="238" t="s">
        <v>93</v>
      </c>
      <c r="B136" s="239">
        <f>+'Plan de culture 106'!$J$37</f>
        <v>0</v>
      </c>
      <c r="C136" s="239">
        <f>+B136</f>
        <v>0</v>
      </c>
      <c r="D136" s="239">
        <f t="shared" ref="D136" si="110">+C136</f>
        <v>0</v>
      </c>
      <c r="E136" s="239">
        <f>+'Plan de culture 104 '!C132</f>
        <v>0</v>
      </c>
      <c r="F136" s="239">
        <f>+E136+'Plan de culture 104 '!D132+'Plan de culture 104 '!E132</f>
        <v>0</v>
      </c>
      <c r="G136" s="239">
        <f>+F136</f>
        <v>0</v>
      </c>
      <c r="H136" s="239">
        <f t="shared" ref="H136:M136" si="111">+G136</f>
        <v>0</v>
      </c>
      <c r="I136" s="239">
        <f t="shared" si="111"/>
        <v>0</v>
      </c>
      <c r="J136" s="239">
        <f t="shared" si="111"/>
        <v>0</v>
      </c>
      <c r="K136" s="239">
        <f t="shared" si="111"/>
        <v>0</v>
      </c>
      <c r="L136" s="239">
        <f t="shared" si="111"/>
        <v>0</v>
      </c>
      <c r="M136" s="239">
        <f t="shared" si="111"/>
        <v>0</v>
      </c>
      <c r="N136" s="240">
        <f>+'Plan de culture 106'!$J$37</f>
        <v>0</v>
      </c>
    </row>
    <row r="137" spans="1:14" x14ac:dyDescent="0.35">
      <c r="A137" s="270" t="s">
        <v>151</v>
      </c>
      <c r="B137" s="90">
        <f>25200*B136</f>
        <v>0</v>
      </c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271">
        <f t="shared" ref="N137:N140" si="112">SUM(B137:M137)</f>
        <v>0</v>
      </c>
    </row>
    <row r="138" spans="1:14" x14ac:dyDescent="0.35">
      <c r="A138" s="270" t="s">
        <v>152</v>
      </c>
      <c r="B138" s="90">
        <f>5040*B136</f>
        <v>0</v>
      </c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271">
        <f t="shared" si="112"/>
        <v>0</v>
      </c>
    </row>
    <row r="139" spans="1:14" x14ac:dyDescent="0.35">
      <c r="A139" s="270" t="s">
        <v>153</v>
      </c>
      <c r="B139" s="90">
        <f>1000*B136</f>
        <v>0</v>
      </c>
      <c r="C139" s="90">
        <f t="shared" ref="C139:M139" si="113">+B139</f>
        <v>0</v>
      </c>
      <c r="D139" s="90">
        <f t="shared" si="113"/>
        <v>0</v>
      </c>
      <c r="E139" s="90">
        <f t="shared" si="113"/>
        <v>0</v>
      </c>
      <c r="F139" s="90">
        <f t="shared" si="113"/>
        <v>0</v>
      </c>
      <c r="G139" s="90">
        <f t="shared" si="113"/>
        <v>0</v>
      </c>
      <c r="H139" s="90">
        <f t="shared" si="113"/>
        <v>0</v>
      </c>
      <c r="I139" s="90">
        <f t="shared" si="113"/>
        <v>0</v>
      </c>
      <c r="J139" s="90">
        <f t="shared" si="113"/>
        <v>0</v>
      </c>
      <c r="K139" s="90">
        <f t="shared" si="113"/>
        <v>0</v>
      </c>
      <c r="L139" s="90">
        <f t="shared" si="113"/>
        <v>0</v>
      </c>
      <c r="M139" s="90">
        <f t="shared" si="113"/>
        <v>0</v>
      </c>
      <c r="N139" s="271">
        <f t="shared" si="112"/>
        <v>0</v>
      </c>
    </row>
    <row r="140" spans="1:14" x14ac:dyDescent="0.35">
      <c r="A140" s="272" t="s">
        <v>150</v>
      </c>
      <c r="B140" s="91">
        <f t="shared" ref="B140:M140" si="114">SUM(B137:B139)</f>
        <v>0</v>
      </c>
      <c r="C140" s="91">
        <f t="shared" si="114"/>
        <v>0</v>
      </c>
      <c r="D140" s="91">
        <f t="shared" si="114"/>
        <v>0</v>
      </c>
      <c r="E140" s="91">
        <f t="shared" si="114"/>
        <v>0</v>
      </c>
      <c r="F140" s="91">
        <f t="shared" si="114"/>
        <v>0</v>
      </c>
      <c r="G140" s="91">
        <f t="shared" si="114"/>
        <v>0</v>
      </c>
      <c r="H140" s="91">
        <f t="shared" si="114"/>
        <v>0</v>
      </c>
      <c r="I140" s="91">
        <f t="shared" si="114"/>
        <v>0</v>
      </c>
      <c r="J140" s="91">
        <f t="shared" si="114"/>
        <v>0</v>
      </c>
      <c r="K140" s="91">
        <f t="shared" si="114"/>
        <v>0</v>
      </c>
      <c r="L140" s="91">
        <f t="shared" si="114"/>
        <v>0</v>
      </c>
      <c r="M140" s="91">
        <f t="shared" si="114"/>
        <v>0</v>
      </c>
      <c r="N140" s="271">
        <f t="shared" si="112"/>
        <v>0</v>
      </c>
    </row>
    <row r="141" spans="1:14" ht="12" thickBot="1" x14ac:dyDescent="0.4">
      <c r="A141" s="241" t="s">
        <v>149</v>
      </c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74" t="e">
        <f>+N135/N136</f>
        <v>#DIV/0!</v>
      </c>
    </row>
    <row r="142" spans="1:14" x14ac:dyDescent="0.35">
      <c r="A142" s="233" t="s">
        <v>430</v>
      </c>
      <c r="B142" s="242">
        <f>+B145+B152</f>
        <v>0</v>
      </c>
      <c r="C142" s="242">
        <f t="shared" ref="C142:M143" si="115">+C145+C152</f>
        <v>0</v>
      </c>
      <c r="D142" s="242">
        <f t="shared" si="115"/>
        <v>0</v>
      </c>
      <c r="E142" s="242">
        <f t="shared" si="115"/>
        <v>0</v>
      </c>
      <c r="F142" s="242">
        <f t="shared" si="115"/>
        <v>0</v>
      </c>
      <c r="G142" s="242">
        <f t="shared" si="115"/>
        <v>0</v>
      </c>
      <c r="H142" s="242">
        <f t="shared" si="115"/>
        <v>0</v>
      </c>
      <c r="I142" s="242">
        <f t="shared" si="115"/>
        <v>0</v>
      </c>
      <c r="J142" s="242">
        <f t="shared" si="115"/>
        <v>0</v>
      </c>
      <c r="K142" s="242">
        <f t="shared" si="115"/>
        <v>0</v>
      </c>
      <c r="L142" s="242">
        <f t="shared" si="115"/>
        <v>0</v>
      </c>
      <c r="M142" s="242">
        <f t="shared" si="115"/>
        <v>0</v>
      </c>
      <c r="N142" s="243">
        <f>SUM(B142:M142)</f>
        <v>0</v>
      </c>
    </row>
    <row r="143" spans="1:14" x14ac:dyDescent="0.35">
      <c r="A143" s="234" t="s">
        <v>93</v>
      </c>
      <c r="B143" s="81">
        <f>+B146+B153</f>
        <v>0</v>
      </c>
      <c r="C143" s="81">
        <f t="shared" si="115"/>
        <v>0</v>
      </c>
      <c r="D143" s="81">
        <f t="shared" si="115"/>
        <v>0</v>
      </c>
      <c r="E143" s="81">
        <f t="shared" si="115"/>
        <v>0</v>
      </c>
      <c r="F143" s="81">
        <f t="shared" si="115"/>
        <v>0</v>
      </c>
      <c r="G143" s="81">
        <f t="shared" si="115"/>
        <v>0</v>
      </c>
      <c r="H143" s="81">
        <f t="shared" si="115"/>
        <v>0</v>
      </c>
      <c r="I143" s="81">
        <f t="shared" si="115"/>
        <v>0</v>
      </c>
      <c r="J143" s="81">
        <f t="shared" si="115"/>
        <v>0</v>
      </c>
      <c r="K143" s="81">
        <f t="shared" si="115"/>
        <v>0</v>
      </c>
      <c r="L143" s="81">
        <f t="shared" si="115"/>
        <v>0</v>
      </c>
      <c r="M143" s="81">
        <f t="shared" si="115"/>
        <v>0</v>
      </c>
      <c r="N143" s="248">
        <f>+M143</f>
        <v>0</v>
      </c>
    </row>
    <row r="144" spans="1:14" x14ac:dyDescent="0.35">
      <c r="A144" s="234" t="s">
        <v>149</v>
      </c>
      <c r="B144" s="83" t="e">
        <f>+B142/B143</f>
        <v>#DIV/0!</v>
      </c>
      <c r="C144" s="83" t="e">
        <f>+C142/C143</f>
        <v>#DIV/0!</v>
      </c>
      <c r="D144" s="83" t="e">
        <f>+D142/D143</f>
        <v>#DIV/0!</v>
      </c>
      <c r="E144" s="83" t="e">
        <f t="shared" ref="E144:M144" si="116">+E142/E143</f>
        <v>#DIV/0!</v>
      </c>
      <c r="F144" s="83" t="e">
        <f t="shared" si="116"/>
        <v>#DIV/0!</v>
      </c>
      <c r="G144" s="83" t="e">
        <f t="shared" si="116"/>
        <v>#DIV/0!</v>
      </c>
      <c r="H144" s="83" t="e">
        <f t="shared" si="116"/>
        <v>#DIV/0!</v>
      </c>
      <c r="I144" s="83" t="e">
        <f t="shared" si="116"/>
        <v>#DIV/0!</v>
      </c>
      <c r="J144" s="83" t="e">
        <f t="shared" si="116"/>
        <v>#DIV/0!</v>
      </c>
      <c r="K144" s="83" t="e">
        <f t="shared" si="116"/>
        <v>#DIV/0!</v>
      </c>
      <c r="L144" s="83" t="e">
        <f t="shared" si="116"/>
        <v>#DIV/0!</v>
      </c>
      <c r="M144" s="83" t="e">
        <f t="shared" si="116"/>
        <v>#DIV/0!</v>
      </c>
      <c r="N144" s="249" t="e">
        <f>+N142/N143</f>
        <v>#DIV/0!</v>
      </c>
    </row>
    <row r="145" spans="1:14" x14ac:dyDescent="0.35">
      <c r="A145" s="235" t="s">
        <v>90</v>
      </c>
      <c r="B145" s="80">
        <f>+B150</f>
        <v>0</v>
      </c>
      <c r="C145" s="80">
        <f t="shared" ref="C145:M145" si="117">+C150</f>
        <v>0</v>
      </c>
      <c r="D145" s="80">
        <f t="shared" si="117"/>
        <v>0</v>
      </c>
      <c r="E145" s="80">
        <f t="shared" si="117"/>
        <v>0</v>
      </c>
      <c r="F145" s="80">
        <f t="shared" si="117"/>
        <v>0</v>
      </c>
      <c r="G145" s="80">
        <f t="shared" si="117"/>
        <v>0</v>
      </c>
      <c r="H145" s="80">
        <f t="shared" si="117"/>
        <v>0</v>
      </c>
      <c r="I145" s="80">
        <f t="shared" si="117"/>
        <v>0</v>
      </c>
      <c r="J145" s="80">
        <f t="shared" si="117"/>
        <v>0</v>
      </c>
      <c r="K145" s="80">
        <f t="shared" si="117"/>
        <v>0</v>
      </c>
      <c r="L145" s="80">
        <f t="shared" si="117"/>
        <v>0</v>
      </c>
      <c r="M145" s="80">
        <f t="shared" si="117"/>
        <v>0</v>
      </c>
      <c r="N145" s="244">
        <f>SUM(B145:M145)</f>
        <v>0</v>
      </c>
    </row>
    <row r="146" spans="1:14" x14ac:dyDescent="0.35">
      <c r="A146" s="238" t="s">
        <v>93</v>
      </c>
      <c r="B146" s="239">
        <f>+'Plan de culture 107'!$Z$7</f>
        <v>0</v>
      </c>
      <c r="C146" s="239">
        <f>+B146</f>
        <v>0</v>
      </c>
      <c r="D146" s="239">
        <f t="shared" ref="D146" si="118">+C146</f>
        <v>0</v>
      </c>
      <c r="E146" s="239">
        <f>+D146</f>
        <v>0</v>
      </c>
      <c r="F146" s="239">
        <f>+E146</f>
        <v>0</v>
      </c>
      <c r="G146" s="239">
        <f>+F146</f>
        <v>0</v>
      </c>
      <c r="H146" s="239">
        <f t="shared" ref="H146:M146" si="119">+G146</f>
        <v>0</v>
      </c>
      <c r="I146" s="239">
        <f t="shared" si="119"/>
        <v>0</v>
      </c>
      <c r="J146" s="239">
        <f t="shared" si="119"/>
        <v>0</v>
      </c>
      <c r="K146" s="239">
        <f t="shared" si="119"/>
        <v>0</v>
      </c>
      <c r="L146" s="239">
        <f t="shared" si="119"/>
        <v>0</v>
      </c>
      <c r="M146" s="239">
        <f t="shared" si="119"/>
        <v>0</v>
      </c>
      <c r="N146" s="240">
        <f>+'Plan de culture 107'!$Z$7</f>
        <v>0</v>
      </c>
    </row>
    <row r="147" spans="1:14" x14ac:dyDescent="0.35">
      <c r="A147" s="270" t="s">
        <v>151</v>
      </c>
      <c r="B147" s="90">
        <f>25200*B146</f>
        <v>0</v>
      </c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271">
        <f t="shared" ref="N147:N150" si="120">SUM(B147:M147)</f>
        <v>0</v>
      </c>
    </row>
    <row r="148" spans="1:14" x14ac:dyDescent="0.35">
      <c r="A148" s="270" t="s">
        <v>152</v>
      </c>
      <c r="B148" s="90">
        <f>5040*B146</f>
        <v>0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271">
        <f t="shared" si="120"/>
        <v>0</v>
      </c>
    </row>
    <row r="149" spans="1:14" x14ac:dyDescent="0.35">
      <c r="A149" s="270" t="s">
        <v>153</v>
      </c>
      <c r="B149" s="90">
        <f>1000*B146</f>
        <v>0</v>
      </c>
      <c r="C149" s="90">
        <f t="shared" ref="C149:M149" si="121">+B149</f>
        <v>0</v>
      </c>
      <c r="D149" s="90">
        <f t="shared" si="121"/>
        <v>0</v>
      </c>
      <c r="E149" s="90">
        <f t="shared" si="121"/>
        <v>0</v>
      </c>
      <c r="F149" s="90">
        <f t="shared" si="121"/>
        <v>0</v>
      </c>
      <c r="G149" s="90">
        <f t="shared" si="121"/>
        <v>0</v>
      </c>
      <c r="H149" s="90">
        <f t="shared" si="121"/>
        <v>0</v>
      </c>
      <c r="I149" s="90">
        <f t="shared" si="121"/>
        <v>0</v>
      </c>
      <c r="J149" s="90">
        <f t="shared" si="121"/>
        <v>0</v>
      </c>
      <c r="K149" s="90">
        <f t="shared" si="121"/>
        <v>0</v>
      </c>
      <c r="L149" s="90">
        <f t="shared" si="121"/>
        <v>0</v>
      </c>
      <c r="M149" s="90">
        <f t="shared" si="121"/>
        <v>0</v>
      </c>
      <c r="N149" s="271">
        <f t="shared" si="120"/>
        <v>0</v>
      </c>
    </row>
    <row r="150" spans="1:14" x14ac:dyDescent="0.35">
      <c r="A150" s="272" t="s">
        <v>150</v>
      </c>
      <c r="B150" s="91">
        <f t="shared" ref="B150:M150" si="122">SUM(B147:B149)</f>
        <v>0</v>
      </c>
      <c r="C150" s="91">
        <f t="shared" si="122"/>
        <v>0</v>
      </c>
      <c r="D150" s="91">
        <f t="shared" si="122"/>
        <v>0</v>
      </c>
      <c r="E150" s="91">
        <f t="shared" si="122"/>
        <v>0</v>
      </c>
      <c r="F150" s="91">
        <f t="shared" si="122"/>
        <v>0</v>
      </c>
      <c r="G150" s="91">
        <f t="shared" si="122"/>
        <v>0</v>
      </c>
      <c r="H150" s="91">
        <f t="shared" si="122"/>
        <v>0</v>
      </c>
      <c r="I150" s="91">
        <f t="shared" si="122"/>
        <v>0</v>
      </c>
      <c r="J150" s="91">
        <f t="shared" si="122"/>
        <v>0</v>
      </c>
      <c r="K150" s="91">
        <f t="shared" si="122"/>
        <v>0</v>
      </c>
      <c r="L150" s="91">
        <f t="shared" si="122"/>
        <v>0</v>
      </c>
      <c r="M150" s="91">
        <f t="shared" si="122"/>
        <v>0</v>
      </c>
      <c r="N150" s="271">
        <f t="shared" si="120"/>
        <v>0</v>
      </c>
    </row>
    <row r="151" spans="1:14" x14ac:dyDescent="0.35">
      <c r="A151" s="238" t="s">
        <v>149</v>
      </c>
      <c r="B151" s="62" t="e">
        <f>+B150/B146</f>
        <v>#DIV/0!</v>
      </c>
      <c r="C151" s="62" t="e">
        <f t="shared" ref="C151:N151" si="123">+C145/C146</f>
        <v>#DIV/0!</v>
      </c>
      <c r="D151" s="62" t="e">
        <f t="shared" si="123"/>
        <v>#DIV/0!</v>
      </c>
      <c r="E151" s="62" t="e">
        <f t="shared" si="123"/>
        <v>#DIV/0!</v>
      </c>
      <c r="F151" s="62" t="e">
        <f t="shared" si="123"/>
        <v>#DIV/0!</v>
      </c>
      <c r="G151" s="62" t="e">
        <f t="shared" si="123"/>
        <v>#DIV/0!</v>
      </c>
      <c r="H151" s="62" t="e">
        <f t="shared" si="123"/>
        <v>#DIV/0!</v>
      </c>
      <c r="I151" s="62" t="e">
        <f t="shared" si="123"/>
        <v>#DIV/0!</v>
      </c>
      <c r="J151" s="62" t="e">
        <f t="shared" si="123"/>
        <v>#DIV/0!</v>
      </c>
      <c r="K151" s="62" t="e">
        <f t="shared" si="123"/>
        <v>#DIV/0!</v>
      </c>
      <c r="L151" s="62" t="e">
        <f t="shared" si="123"/>
        <v>#DIV/0!</v>
      </c>
      <c r="M151" s="62" t="e">
        <f t="shared" si="123"/>
        <v>#DIV/0!</v>
      </c>
      <c r="N151" s="269" t="e">
        <f t="shared" si="123"/>
        <v>#DIV/0!</v>
      </c>
    </row>
    <row r="152" spans="1:14" x14ac:dyDescent="0.35">
      <c r="A152" s="235" t="s">
        <v>91</v>
      </c>
      <c r="B152" s="80">
        <f>+B157</f>
        <v>0</v>
      </c>
      <c r="C152" s="80">
        <f t="shared" ref="C152:M152" si="124">+C157</f>
        <v>0</v>
      </c>
      <c r="D152" s="80">
        <f t="shared" si="124"/>
        <v>0</v>
      </c>
      <c r="E152" s="80">
        <f t="shared" si="124"/>
        <v>0</v>
      </c>
      <c r="F152" s="80">
        <f t="shared" si="124"/>
        <v>0</v>
      </c>
      <c r="G152" s="80">
        <f t="shared" si="124"/>
        <v>0</v>
      </c>
      <c r="H152" s="80">
        <f t="shared" si="124"/>
        <v>0</v>
      </c>
      <c r="I152" s="80">
        <f t="shared" si="124"/>
        <v>0</v>
      </c>
      <c r="J152" s="80">
        <f t="shared" si="124"/>
        <v>0</v>
      </c>
      <c r="K152" s="80">
        <f t="shared" si="124"/>
        <v>0</v>
      </c>
      <c r="L152" s="80">
        <f t="shared" si="124"/>
        <v>0</v>
      </c>
      <c r="M152" s="80">
        <f t="shared" si="124"/>
        <v>0</v>
      </c>
      <c r="N152" s="273">
        <f>SUM(B152:M152)</f>
        <v>0</v>
      </c>
    </row>
    <row r="153" spans="1:14" x14ac:dyDescent="0.35">
      <c r="A153" s="238" t="s">
        <v>93</v>
      </c>
      <c r="B153" s="239">
        <f>+'Plan de culture 107'!$Z$13</f>
        <v>0</v>
      </c>
      <c r="C153" s="239">
        <f>+B153</f>
        <v>0</v>
      </c>
      <c r="D153" s="239">
        <f t="shared" ref="D153:M153" si="125">+C153</f>
        <v>0</v>
      </c>
      <c r="E153" s="239">
        <f t="shared" si="125"/>
        <v>0</v>
      </c>
      <c r="F153" s="239">
        <f t="shared" si="125"/>
        <v>0</v>
      </c>
      <c r="G153" s="239">
        <f t="shared" si="125"/>
        <v>0</v>
      </c>
      <c r="H153" s="239">
        <f t="shared" si="125"/>
        <v>0</v>
      </c>
      <c r="I153" s="239">
        <f t="shared" si="125"/>
        <v>0</v>
      </c>
      <c r="J153" s="239">
        <f t="shared" si="125"/>
        <v>0</v>
      </c>
      <c r="K153" s="239">
        <f t="shared" si="125"/>
        <v>0</v>
      </c>
      <c r="L153" s="239">
        <f t="shared" si="125"/>
        <v>0</v>
      </c>
      <c r="M153" s="239">
        <f t="shared" si="125"/>
        <v>0</v>
      </c>
      <c r="N153" s="240">
        <f>+'Plan de culture 107'!$Z$13</f>
        <v>0</v>
      </c>
    </row>
    <row r="154" spans="1:14" x14ac:dyDescent="0.35">
      <c r="A154" s="270" t="s">
        <v>151</v>
      </c>
      <c r="B154" s="90">
        <f>25200*B153</f>
        <v>0</v>
      </c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271">
        <f t="shared" ref="N154:N157" si="126">SUM(B154:M154)</f>
        <v>0</v>
      </c>
    </row>
    <row r="155" spans="1:14" x14ac:dyDescent="0.35">
      <c r="A155" s="270" t="s">
        <v>152</v>
      </c>
      <c r="B155" s="90">
        <f>5040*B153</f>
        <v>0</v>
      </c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271">
        <f t="shared" si="126"/>
        <v>0</v>
      </c>
    </row>
    <row r="156" spans="1:14" x14ac:dyDescent="0.35">
      <c r="A156" s="270" t="s">
        <v>153</v>
      </c>
      <c r="B156" s="90">
        <f>1000*B153</f>
        <v>0</v>
      </c>
      <c r="C156" s="90">
        <f t="shared" ref="C156:M156" si="127">+B156</f>
        <v>0</v>
      </c>
      <c r="D156" s="90">
        <f t="shared" si="127"/>
        <v>0</v>
      </c>
      <c r="E156" s="90">
        <f t="shared" si="127"/>
        <v>0</v>
      </c>
      <c r="F156" s="90">
        <f t="shared" si="127"/>
        <v>0</v>
      </c>
      <c r="G156" s="90">
        <f t="shared" si="127"/>
        <v>0</v>
      </c>
      <c r="H156" s="90">
        <f t="shared" si="127"/>
        <v>0</v>
      </c>
      <c r="I156" s="90">
        <f t="shared" si="127"/>
        <v>0</v>
      </c>
      <c r="J156" s="90">
        <f t="shared" si="127"/>
        <v>0</v>
      </c>
      <c r="K156" s="90">
        <f t="shared" si="127"/>
        <v>0</v>
      </c>
      <c r="L156" s="90">
        <f t="shared" si="127"/>
        <v>0</v>
      </c>
      <c r="M156" s="90">
        <f t="shared" si="127"/>
        <v>0</v>
      </c>
      <c r="N156" s="271">
        <f t="shared" si="126"/>
        <v>0</v>
      </c>
    </row>
    <row r="157" spans="1:14" x14ac:dyDescent="0.35">
      <c r="A157" s="272" t="s">
        <v>150</v>
      </c>
      <c r="B157" s="91">
        <f t="shared" ref="B157:M157" si="128">SUM(B154:B156)</f>
        <v>0</v>
      </c>
      <c r="C157" s="91">
        <f t="shared" si="128"/>
        <v>0</v>
      </c>
      <c r="D157" s="91">
        <f t="shared" si="128"/>
        <v>0</v>
      </c>
      <c r="E157" s="91">
        <f t="shared" si="128"/>
        <v>0</v>
      </c>
      <c r="F157" s="91">
        <f t="shared" si="128"/>
        <v>0</v>
      </c>
      <c r="G157" s="91">
        <f t="shared" si="128"/>
        <v>0</v>
      </c>
      <c r="H157" s="91">
        <f t="shared" si="128"/>
        <v>0</v>
      </c>
      <c r="I157" s="91">
        <f t="shared" si="128"/>
        <v>0</v>
      </c>
      <c r="J157" s="91">
        <f t="shared" si="128"/>
        <v>0</v>
      </c>
      <c r="K157" s="91">
        <f t="shared" si="128"/>
        <v>0</v>
      </c>
      <c r="L157" s="91">
        <f t="shared" si="128"/>
        <v>0</v>
      </c>
      <c r="M157" s="91">
        <f t="shared" si="128"/>
        <v>0</v>
      </c>
      <c r="N157" s="271">
        <f t="shared" si="126"/>
        <v>0</v>
      </c>
    </row>
    <row r="158" spans="1:14" x14ac:dyDescent="0.35">
      <c r="A158" s="238" t="s">
        <v>149</v>
      </c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269" t="e">
        <f>+N152/N153</f>
        <v>#DIV/0!</v>
      </c>
    </row>
    <row r="159" spans="1:14" x14ac:dyDescent="0.35">
      <c r="A159" s="235" t="s">
        <v>376</v>
      </c>
      <c r="B159" s="80">
        <f>+B164</f>
        <v>0</v>
      </c>
      <c r="C159" s="80">
        <f t="shared" ref="C159:M159" si="129">+C164</f>
        <v>0</v>
      </c>
      <c r="D159" s="80">
        <f t="shared" si="129"/>
        <v>0</v>
      </c>
      <c r="E159" s="80">
        <f t="shared" si="129"/>
        <v>0</v>
      </c>
      <c r="F159" s="80">
        <f t="shared" si="129"/>
        <v>0</v>
      </c>
      <c r="G159" s="80">
        <f t="shared" si="129"/>
        <v>0</v>
      </c>
      <c r="H159" s="80">
        <f t="shared" si="129"/>
        <v>0</v>
      </c>
      <c r="I159" s="80">
        <f t="shared" si="129"/>
        <v>0</v>
      </c>
      <c r="J159" s="80">
        <f t="shared" si="129"/>
        <v>0</v>
      </c>
      <c r="K159" s="80">
        <f t="shared" si="129"/>
        <v>0</v>
      </c>
      <c r="L159" s="80">
        <f t="shared" si="129"/>
        <v>0</v>
      </c>
      <c r="M159" s="80">
        <f t="shared" si="129"/>
        <v>0</v>
      </c>
      <c r="N159" s="273">
        <f>SUM(B159:M159)</f>
        <v>0</v>
      </c>
    </row>
    <row r="160" spans="1:14" x14ac:dyDescent="0.35">
      <c r="A160" s="238" t="s">
        <v>93</v>
      </c>
      <c r="B160" s="239">
        <f>+'Plan de culture 107'!$Z$19</f>
        <v>0</v>
      </c>
      <c r="C160" s="239">
        <f>+B160</f>
        <v>0</v>
      </c>
      <c r="D160" s="239">
        <f t="shared" ref="D160" si="130">+C160</f>
        <v>0</v>
      </c>
      <c r="E160" s="239">
        <f>+'Plan de culture 104 '!C156</f>
        <v>0</v>
      </c>
      <c r="F160" s="239">
        <f>+E160+'Plan de culture 104 '!D156+'Plan de culture 104 '!E156</f>
        <v>0</v>
      </c>
      <c r="G160" s="239">
        <f>+F160</f>
        <v>0</v>
      </c>
      <c r="H160" s="239">
        <f t="shared" ref="H160:M160" si="131">+G160</f>
        <v>0</v>
      </c>
      <c r="I160" s="239">
        <f t="shared" si="131"/>
        <v>0</v>
      </c>
      <c r="J160" s="239">
        <f t="shared" si="131"/>
        <v>0</v>
      </c>
      <c r="K160" s="239">
        <f t="shared" si="131"/>
        <v>0</v>
      </c>
      <c r="L160" s="239">
        <f t="shared" si="131"/>
        <v>0</v>
      </c>
      <c r="M160" s="239">
        <f t="shared" si="131"/>
        <v>0</v>
      </c>
      <c r="N160" s="240">
        <f>+'Plan de culture 107'!$Z$19</f>
        <v>0</v>
      </c>
    </row>
    <row r="161" spans="1:14" x14ac:dyDescent="0.35">
      <c r="A161" s="270" t="s">
        <v>151</v>
      </c>
      <c r="B161" s="90">
        <f>25200*B160</f>
        <v>0</v>
      </c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271">
        <f t="shared" ref="N161:N164" si="132">SUM(B161:M161)</f>
        <v>0</v>
      </c>
    </row>
    <row r="162" spans="1:14" x14ac:dyDescent="0.35">
      <c r="A162" s="270" t="s">
        <v>152</v>
      </c>
      <c r="B162" s="90">
        <f>5040*B160</f>
        <v>0</v>
      </c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271">
        <f t="shared" si="132"/>
        <v>0</v>
      </c>
    </row>
    <row r="163" spans="1:14" x14ac:dyDescent="0.35">
      <c r="A163" s="270" t="s">
        <v>153</v>
      </c>
      <c r="B163" s="90">
        <f>1000*B160</f>
        <v>0</v>
      </c>
      <c r="C163" s="90">
        <f t="shared" ref="C163:M163" si="133">+B163</f>
        <v>0</v>
      </c>
      <c r="D163" s="90">
        <f t="shared" si="133"/>
        <v>0</v>
      </c>
      <c r="E163" s="90">
        <f t="shared" si="133"/>
        <v>0</v>
      </c>
      <c r="F163" s="90">
        <f t="shared" si="133"/>
        <v>0</v>
      </c>
      <c r="G163" s="90">
        <f t="shared" si="133"/>
        <v>0</v>
      </c>
      <c r="H163" s="90">
        <f t="shared" si="133"/>
        <v>0</v>
      </c>
      <c r="I163" s="90">
        <f t="shared" si="133"/>
        <v>0</v>
      </c>
      <c r="J163" s="90">
        <f t="shared" si="133"/>
        <v>0</v>
      </c>
      <c r="K163" s="90">
        <f t="shared" si="133"/>
        <v>0</v>
      </c>
      <c r="L163" s="90">
        <f t="shared" si="133"/>
        <v>0</v>
      </c>
      <c r="M163" s="90">
        <f t="shared" si="133"/>
        <v>0</v>
      </c>
      <c r="N163" s="271">
        <f t="shared" si="132"/>
        <v>0</v>
      </c>
    </row>
    <row r="164" spans="1:14" x14ac:dyDescent="0.35">
      <c r="A164" s="272" t="s">
        <v>150</v>
      </c>
      <c r="B164" s="91">
        <f t="shared" ref="B164:M164" si="134">SUM(B161:B163)</f>
        <v>0</v>
      </c>
      <c r="C164" s="91">
        <f t="shared" si="134"/>
        <v>0</v>
      </c>
      <c r="D164" s="91">
        <f t="shared" si="134"/>
        <v>0</v>
      </c>
      <c r="E164" s="91">
        <f t="shared" si="134"/>
        <v>0</v>
      </c>
      <c r="F164" s="91">
        <f t="shared" si="134"/>
        <v>0</v>
      </c>
      <c r="G164" s="91">
        <f t="shared" si="134"/>
        <v>0</v>
      </c>
      <c r="H164" s="91">
        <f t="shared" si="134"/>
        <v>0</v>
      </c>
      <c r="I164" s="91">
        <f t="shared" si="134"/>
        <v>0</v>
      </c>
      <c r="J164" s="91">
        <f t="shared" si="134"/>
        <v>0</v>
      </c>
      <c r="K164" s="91">
        <f t="shared" si="134"/>
        <v>0</v>
      </c>
      <c r="L164" s="91">
        <f t="shared" si="134"/>
        <v>0</v>
      </c>
      <c r="M164" s="91">
        <f t="shared" si="134"/>
        <v>0</v>
      </c>
      <c r="N164" s="271">
        <f t="shared" si="132"/>
        <v>0</v>
      </c>
    </row>
    <row r="165" spans="1:14" x14ac:dyDescent="0.35">
      <c r="A165" s="238" t="s">
        <v>149</v>
      </c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269" t="e">
        <f>+N159/N160</f>
        <v>#DIV/0!</v>
      </c>
    </row>
    <row r="166" spans="1:14" x14ac:dyDescent="0.35">
      <c r="A166" s="235" t="s">
        <v>92</v>
      </c>
      <c r="B166" s="80">
        <f>+B171</f>
        <v>517271.92</v>
      </c>
      <c r="C166" s="80">
        <f t="shared" ref="C166:M166" si="135">+C171</f>
        <v>16558</v>
      </c>
      <c r="D166" s="80">
        <f t="shared" si="135"/>
        <v>16558</v>
      </c>
      <c r="E166" s="80">
        <f t="shared" si="135"/>
        <v>16558</v>
      </c>
      <c r="F166" s="80">
        <f t="shared" si="135"/>
        <v>16558</v>
      </c>
      <c r="G166" s="80">
        <f t="shared" si="135"/>
        <v>16558</v>
      </c>
      <c r="H166" s="80">
        <f t="shared" si="135"/>
        <v>16558</v>
      </c>
      <c r="I166" s="80">
        <f t="shared" si="135"/>
        <v>16558</v>
      </c>
      <c r="J166" s="80">
        <f t="shared" si="135"/>
        <v>16558</v>
      </c>
      <c r="K166" s="80">
        <f t="shared" si="135"/>
        <v>16558</v>
      </c>
      <c r="L166" s="80">
        <f t="shared" si="135"/>
        <v>16558</v>
      </c>
      <c r="M166" s="80">
        <f t="shared" si="135"/>
        <v>16558</v>
      </c>
      <c r="N166" s="273">
        <f>SUM(B166:M166)</f>
        <v>699409.91999999993</v>
      </c>
    </row>
    <row r="167" spans="1:14" x14ac:dyDescent="0.35">
      <c r="A167" s="238" t="s">
        <v>93</v>
      </c>
      <c r="B167" s="239">
        <f>+'Plan de culture 107'!$Z$25</f>
        <v>16.558</v>
      </c>
      <c r="C167" s="239">
        <f>+B167</f>
        <v>16.558</v>
      </c>
      <c r="D167" s="239">
        <f t="shared" ref="D167:M167" si="136">+C167</f>
        <v>16.558</v>
      </c>
      <c r="E167" s="239">
        <f t="shared" si="136"/>
        <v>16.558</v>
      </c>
      <c r="F167" s="239">
        <f t="shared" si="136"/>
        <v>16.558</v>
      </c>
      <c r="G167" s="239">
        <f t="shared" si="136"/>
        <v>16.558</v>
      </c>
      <c r="H167" s="239">
        <f t="shared" si="136"/>
        <v>16.558</v>
      </c>
      <c r="I167" s="239">
        <f t="shared" si="136"/>
        <v>16.558</v>
      </c>
      <c r="J167" s="239">
        <f t="shared" si="136"/>
        <v>16.558</v>
      </c>
      <c r="K167" s="239">
        <f t="shared" si="136"/>
        <v>16.558</v>
      </c>
      <c r="L167" s="239">
        <f t="shared" si="136"/>
        <v>16.558</v>
      </c>
      <c r="M167" s="239">
        <f t="shared" si="136"/>
        <v>16.558</v>
      </c>
      <c r="N167" s="240">
        <f>+'Plan de culture 107'!$Z$25</f>
        <v>16.558</v>
      </c>
    </row>
    <row r="168" spans="1:14" x14ac:dyDescent="0.35">
      <c r="A168" s="270" t="s">
        <v>151</v>
      </c>
      <c r="B168" s="90">
        <f>25200*B167</f>
        <v>417261.6</v>
      </c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271">
        <f t="shared" ref="N168:N171" si="137">SUM(B168:M168)</f>
        <v>417261.6</v>
      </c>
    </row>
    <row r="169" spans="1:14" x14ac:dyDescent="0.35">
      <c r="A169" s="270" t="s">
        <v>152</v>
      </c>
      <c r="B169" s="90">
        <f>5040*B167</f>
        <v>83452.319999999992</v>
      </c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271">
        <f t="shared" si="137"/>
        <v>83452.319999999992</v>
      </c>
    </row>
    <row r="170" spans="1:14" x14ac:dyDescent="0.35">
      <c r="A170" s="270" t="s">
        <v>153</v>
      </c>
      <c r="B170" s="90">
        <f>1000*B167</f>
        <v>16558</v>
      </c>
      <c r="C170" s="90">
        <f t="shared" ref="C170:M170" si="138">+B170</f>
        <v>16558</v>
      </c>
      <c r="D170" s="90">
        <f t="shared" si="138"/>
        <v>16558</v>
      </c>
      <c r="E170" s="90">
        <f t="shared" si="138"/>
        <v>16558</v>
      </c>
      <c r="F170" s="90">
        <f t="shared" si="138"/>
        <v>16558</v>
      </c>
      <c r="G170" s="90">
        <f t="shared" si="138"/>
        <v>16558</v>
      </c>
      <c r="H170" s="90">
        <f t="shared" si="138"/>
        <v>16558</v>
      </c>
      <c r="I170" s="90">
        <f t="shared" si="138"/>
        <v>16558</v>
      </c>
      <c r="J170" s="90">
        <f t="shared" si="138"/>
        <v>16558</v>
      </c>
      <c r="K170" s="90">
        <f t="shared" si="138"/>
        <v>16558</v>
      </c>
      <c r="L170" s="90">
        <f t="shared" si="138"/>
        <v>16558</v>
      </c>
      <c r="M170" s="90">
        <f t="shared" si="138"/>
        <v>16558</v>
      </c>
      <c r="N170" s="271">
        <f t="shared" si="137"/>
        <v>198696</v>
      </c>
    </row>
    <row r="171" spans="1:14" x14ac:dyDescent="0.35">
      <c r="A171" s="272" t="s">
        <v>150</v>
      </c>
      <c r="B171" s="91">
        <f t="shared" ref="B171:M171" si="139">SUM(B168:B170)</f>
        <v>517271.92</v>
      </c>
      <c r="C171" s="91">
        <f t="shared" si="139"/>
        <v>16558</v>
      </c>
      <c r="D171" s="91">
        <f t="shared" si="139"/>
        <v>16558</v>
      </c>
      <c r="E171" s="91">
        <f t="shared" si="139"/>
        <v>16558</v>
      </c>
      <c r="F171" s="91">
        <f t="shared" si="139"/>
        <v>16558</v>
      </c>
      <c r="G171" s="91">
        <f t="shared" si="139"/>
        <v>16558</v>
      </c>
      <c r="H171" s="91">
        <f t="shared" si="139"/>
        <v>16558</v>
      </c>
      <c r="I171" s="91">
        <f t="shared" si="139"/>
        <v>16558</v>
      </c>
      <c r="J171" s="91">
        <f t="shared" si="139"/>
        <v>16558</v>
      </c>
      <c r="K171" s="91">
        <f t="shared" si="139"/>
        <v>16558</v>
      </c>
      <c r="L171" s="91">
        <f t="shared" si="139"/>
        <v>16558</v>
      </c>
      <c r="M171" s="91">
        <f t="shared" si="139"/>
        <v>16558</v>
      </c>
      <c r="N171" s="271">
        <f t="shared" si="137"/>
        <v>699409.91999999993</v>
      </c>
    </row>
    <row r="172" spans="1:14" x14ac:dyDescent="0.35">
      <c r="A172" s="238" t="s">
        <v>149</v>
      </c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269">
        <f>+N166/N167</f>
        <v>42239.999999999993</v>
      </c>
    </row>
    <row r="173" spans="1:14" x14ac:dyDescent="0.35">
      <c r="A173" s="235" t="s">
        <v>377</v>
      </c>
      <c r="B173" s="80">
        <f>+B178</f>
        <v>0</v>
      </c>
      <c r="C173" s="80">
        <f t="shared" ref="C173:M173" si="140">+C178</f>
        <v>0</v>
      </c>
      <c r="D173" s="80">
        <f t="shared" si="140"/>
        <v>0</v>
      </c>
      <c r="E173" s="80">
        <f t="shared" si="140"/>
        <v>0</v>
      </c>
      <c r="F173" s="80">
        <f t="shared" si="140"/>
        <v>0</v>
      </c>
      <c r="G173" s="80">
        <f t="shared" si="140"/>
        <v>0</v>
      </c>
      <c r="H173" s="80">
        <f t="shared" si="140"/>
        <v>0</v>
      </c>
      <c r="I173" s="80">
        <f t="shared" si="140"/>
        <v>0</v>
      </c>
      <c r="J173" s="80">
        <f t="shared" si="140"/>
        <v>0</v>
      </c>
      <c r="K173" s="80">
        <f t="shared" si="140"/>
        <v>0</v>
      </c>
      <c r="L173" s="80">
        <f t="shared" si="140"/>
        <v>0</v>
      </c>
      <c r="M173" s="80">
        <f t="shared" si="140"/>
        <v>0</v>
      </c>
      <c r="N173" s="273">
        <f>SUM(B173:M173)</f>
        <v>0</v>
      </c>
    </row>
    <row r="174" spans="1:14" x14ac:dyDescent="0.35">
      <c r="A174" s="238" t="s">
        <v>93</v>
      </c>
      <c r="B174" s="239">
        <f>+'Plan de culture 107'!$Z$31</f>
        <v>0</v>
      </c>
      <c r="C174" s="239">
        <f>+B174</f>
        <v>0</v>
      </c>
      <c r="D174" s="239">
        <f t="shared" ref="D174" si="141">+C174</f>
        <v>0</v>
      </c>
      <c r="E174" s="239">
        <f>+'Plan de culture 104 '!C170</f>
        <v>0</v>
      </c>
      <c r="F174" s="239">
        <f>+E174+'Plan de culture 104 '!D170+'Plan de culture 104 '!E170</f>
        <v>0</v>
      </c>
      <c r="G174" s="239">
        <f>+F174</f>
        <v>0</v>
      </c>
      <c r="H174" s="239">
        <f t="shared" ref="H174:M174" si="142">+G174</f>
        <v>0</v>
      </c>
      <c r="I174" s="239">
        <f t="shared" si="142"/>
        <v>0</v>
      </c>
      <c r="J174" s="239">
        <f t="shared" si="142"/>
        <v>0</v>
      </c>
      <c r="K174" s="239">
        <f t="shared" si="142"/>
        <v>0</v>
      </c>
      <c r="L174" s="239">
        <f t="shared" si="142"/>
        <v>0</v>
      </c>
      <c r="M174" s="239">
        <f t="shared" si="142"/>
        <v>0</v>
      </c>
      <c r="N174" s="240">
        <f>+'Plan de culture 107'!$Z$31</f>
        <v>0</v>
      </c>
    </row>
    <row r="175" spans="1:14" x14ac:dyDescent="0.35">
      <c r="A175" s="270" t="s">
        <v>151</v>
      </c>
      <c r="B175" s="90">
        <f>25200*B174</f>
        <v>0</v>
      </c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271">
        <f t="shared" ref="N175:N178" si="143">SUM(B175:M175)</f>
        <v>0</v>
      </c>
    </row>
    <row r="176" spans="1:14" x14ac:dyDescent="0.35">
      <c r="A176" s="270" t="s">
        <v>152</v>
      </c>
      <c r="B176" s="90">
        <f>5040*B174</f>
        <v>0</v>
      </c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271">
        <f t="shared" si="143"/>
        <v>0</v>
      </c>
    </row>
    <row r="177" spans="1:14" x14ac:dyDescent="0.35">
      <c r="A177" s="270" t="s">
        <v>153</v>
      </c>
      <c r="B177" s="90">
        <f>1000*B174</f>
        <v>0</v>
      </c>
      <c r="C177" s="90">
        <f t="shared" ref="C177:M177" si="144">+B177</f>
        <v>0</v>
      </c>
      <c r="D177" s="90">
        <f t="shared" si="144"/>
        <v>0</v>
      </c>
      <c r="E177" s="90">
        <f t="shared" si="144"/>
        <v>0</v>
      </c>
      <c r="F177" s="90">
        <f t="shared" si="144"/>
        <v>0</v>
      </c>
      <c r="G177" s="90">
        <f t="shared" si="144"/>
        <v>0</v>
      </c>
      <c r="H177" s="90">
        <f t="shared" si="144"/>
        <v>0</v>
      </c>
      <c r="I177" s="90">
        <f t="shared" si="144"/>
        <v>0</v>
      </c>
      <c r="J177" s="90">
        <f t="shared" si="144"/>
        <v>0</v>
      </c>
      <c r="K177" s="90">
        <f t="shared" si="144"/>
        <v>0</v>
      </c>
      <c r="L177" s="90">
        <f t="shared" si="144"/>
        <v>0</v>
      </c>
      <c r="M177" s="90">
        <f t="shared" si="144"/>
        <v>0</v>
      </c>
      <c r="N177" s="271">
        <f t="shared" si="143"/>
        <v>0</v>
      </c>
    </row>
    <row r="178" spans="1:14" x14ac:dyDescent="0.35">
      <c r="A178" s="272" t="s">
        <v>150</v>
      </c>
      <c r="B178" s="91">
        <f t="shared" ref="B178:M178" si="145">SUM(B175:B177)</f>
        <v>0</v>
      </c>
      <c r="C178" s="91">
        <f t="shared" si="145"/>
        <v>0</v>
      </c>
      <c r="D178" s="91">
        <f t="shared" si="145"/>
        <v>0</v>
      </c>
      <c r="E178" s="91">
        <f t="shared" si="145"/>
        <v>0</v>
      </c>
      <c r="F178" s="91">
        <f t="shared" si="145"/>
        <v>0</v>
      </c>
      <c r="G178" s="91">
        <f t="shared" si="145"/>
        <v>0</v>
      </c>
      <c r="H178" s="91">
        <f t="shared" si="145"/>
        <v>0</v>
      </c>
      <c r="I178" s="91">
        <f t="shared" si="145"/>
        <v>0</v>
      </c>
      <c r="J178" s="91">
        <f t="shared" si="145"/>
        <v>0</v>
      </c>
      <c r="K178" s="91">
        <f t="shared" si="145"/>
        <v>0</v>
      </c>
      <c r="L178" s="91">
        <f t="shared" si="145"/>
        <v>0</v>
      </c>
      <c r="M178" s="91">
        <f t="shared" si="145"/>
        <v>0</v>
      </c>
      <c r="N178" s="271">
        <f t="shared" si="143"/>
        <v>0</v>
      </c>
    </row>
    <row r="179" spans="1:14" x14ac:dyDescent="0.35">
      <c r="A179" s="238" t="s">
        <v>149</v>
      </c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269" t="e">
        <f>+N173/N174</f>
        <v>#DIV/0!</v>
      </c>
    </row>
    <row r="180" spans="1:14" x14ac:dyDescent="0.35">
      <c r="A180" s="235" t="s">
        <v>378</v>
      </c>
      <c r="B180" s="80">
        <f>+B185</f>
        <v>0</v>
      </c>
      <c r="C180" s="80">
        <f t="shared" ref="C180:M180" si="146">+C185</f>
        <v>0</v>
      </c>
      <c r="D180" s="80">
        <f t="shared" si="146"/>
        <v>0</v>
      </c>
      <c r="E180" s="80">
        <f t="shared" si="146"/>
        <v>0</v>
      </c>
      <c r="F180" s="80">
        <f t="shared" si="146"/>
        <v>0</v>
      </c>
      <c r="G180" s="80">
        <f t="shared" si="146"/>
        <v>0</v>
      </c>
      <c r="H180" s="80">
        <f t="shared" si="146"/>
        <v>0</v>
      </c>
      <c r="I180" s="80">
        <f t="shared" si="146"/>
        <v>0</v>
      </c>
      <c r="J180" s="80">
        <f t="shared" si="146"/>
        <v>0</v>
      </c>
      <c r="K180" s="80">
        <f t="shared" si="146"/>
        <v>0</v>
      </c>
      <c r="L180" s="80">
        <f t="shared" si="146"/>
        <v>0</v>
      </c>
      <c r="M180" s="80">
        <f t="shared" si="146"/>
        <v>0</v>
      </c>
      <c r="N180" s="273">
        <f>SUM(B180:M180)</f>
        <v>0</v>
      </c>
    </row>
    <row r="181" spans="1:14" x14ac:dyDescent="0.35">
      <c r="A181" s="238" t="s">
        <v>93</v>
      </c>
      <c r="B181" s="239">
        <f>+'Plan de culture 107'!$Z$37</f>
        <v>0</v>
      </c>
      <c r="C181" s="239">
        <f>+B181</f>
        <v>0</v>
      </c>
      <c r="D181" s="239">
        <f t="shared" ref="D181" si="147">+C181</f>
        <v>0</v>
      </c>
      <c r="E181" s="239">
        <f>+'Plan de culture 104 '!C177</f>
        <v>0</v>
      </c>
      <c r="F181" s="239">
        <f>+E181+'Plan de culture 104 '!D177+'Plan de culture 104 '!E177</f>
        <v>0</v>
      </c>
      <c r="G181" s="239">
        <f>+F181</f>
        <v>0</v>
      </c>
      <c r="H181" s="239">
        <f t="shared" ref="H181:M181" si="148">+G181</f>
        <v>0</v>
      </c>
      <c r="I181" s="239">
        <f t="shared" si="148"/>
        <v>0</v>
      </c>
      <c r="J181" s="239">
        <f t="shared" si="148"/>
        <v>0</v>
      </c>
      <c r="K181" s="239">
        <f t="shared" si="148"/>
        <v>0</v>
      </c>
      <c r="L181" s="239">
        <f t="shared" si="148"/>
        <v>0</v>
      </c>
      <c r="M181" s="239">
        <f t="shared" si="148"/>
        <v>0</v>
      </c>
      <c r="N181" s="240">
        <f>+'Plan de culture 107'!$Z$37</f>
        <v>0</v>
      </c>
    </row>
    <row r="182" spans="1:14" x14ac:dyDescent="0.35">
      <c r="A182" s="270" t="s">
        <v>151</v>
      </c>
      <c r="B182" s="90">
        <f>25200*B181</f>
        <v>0</v>
      </c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271">
        <f t="shared" ref="N182:N185" si="149">SUM(B182:M182)</f>
        <v>0</v>
      </c>
    </row>
    <row r="183" spans="1:14" x14ac:dyDescent="0.35">
      <c r="A183" s="270" t="s">
        <v>152</v>
      </c>
      <c r="B183" s="90">
        <f>5040*B181</f>
        <v>0</v>
      </c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271">
        <f t="shared" si="149"/>
        <v>0</v>
      </c>
    </row>
    <row r="184" spans="1:14" x14ac:dyDescent="0.35">
      <c r="A184" s="270" t="s">
        <v>153</v>
      </c>
      <c r="B184" s="90">
        <f>1000*B181</f>
        <v>0</v>
      </c>
      <c r="C184" s="90">
        <f t="shared" ref="C184:M184" si="150">+B184</f>
        <v>0</v>
      </c>
      <c r="D184" s="90">
        <f t="shared" si="150"/>
        <v>0</v>
      </c>
      <c r="E184" s="90">
        <f t="shared" si="150"/>
        <v>0</v>
      </c>
      <c r="F184" s="90">
        <f t="shared" si="150"/>
        <v>0</v>
      </c>
      <c r="G184" s="90">
        <f t="shared" si="150"/>
        <v>0</v>
      </c>
      <c r="H184" s="90">
        <f t="shared" si="150"/>
        <v>0</v>
      </c>
      <c r="I184" s="90">
        <f t="shared" si="150"/>
        <v>0</v>
      </c>
      <c r="J184" s="90">
        <f t="shared" si="150"/>
        <v>0</v>
      </c>
      <c r="K184" s="90">
        <f t="shared" si="150"/>
        <v>0</v>
      </c>
      <c r="L184" s="90">
        <f t="shared" si="150"/>
        <v>0</v>
      </c>
      <c r="M184" s="90">
        <f t="shared" si="150"/>
        <v>0</v>
      </c>
      <c r="N184" s="271">
        <f t="shared" si="149"/>
        <v>0</v>
      </c>
    </row>
    <row r="185" spans="1:14" x14ac:dyDescent="0.35">
      <c r="A185" s="272" t="s">
        <v>150</v>
      </c>
      <c r="B185" s="91">
        <f t="shared" ref="B185:M185" si="151">SUM(B182:B184)</f>
        <v>0</v>
      </c>
      <c r="C185" s="91">
        <f t="shared" si="151"/>
        <v>0</v>
      </c>
      <c r="D185" s="91">
        <f t="shared" si="151"/>
        <v>0</v>
      </c>
      <c r="E185" s="91">
        <f t="shared" si="151"/>
        <v>0</v>
      </c>
      <c r="F185" s="91">
        <f t="shared" si="151"/>
        <v>0</v>
      </c>
      <c r="G185" s="91">
        <f t="shared" si="151"/>
        <v>0</v>
      </c>
      <c r="H185" s="91">
        <f t="shared" si="151"/>
        <v>0</v>
      </c>
      <c r="I185" s="91">
        <f t="shared" si="151"/>
        <v>0</v>
      </c>
      <c r="J185" s="91">
        <f t="shared" si="151"/>
        <v>0</v>
      </c>
      <c r="K185" s="91">
        <f t="shared" si="151"/>
        <v>0</v>
      </c>
      <c r="L185" s="91">
        <f t="shared" si="151"/>
        <v>0</v>
      </c>
      <c r="M185" s="91">
        <f t="shared" si="151"/>
        <v>0</v>
      </c>
      <c r="N185" s="271">
        <f t="shared" si="149"/>
        <v>0</v>
      </c>
    </row>
    <row r="186" spans="1:14" ht="12" thickBot="1" x14ac:dyDescent="0.4">
      <c r="A186" s="241" t="s">
        <v>149</v>
      </c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74" t="e">
        <f>+N180/N181</f>
        <v>#DIV/0!</v>
      </c>
    </row>
    <row r="187" spans="1:14" x14ac:dyDescent="0.35">
      <c r="A187" s="233" t="s">
        <v>431</v>
      </c>
      <c r="B187" s="242">
        <f>+B190+B197</f>
        <v>815051.6</v>
      </c>
      <c r="C187" s="242">
        <f t="shared" ref="C187:M188" si="152">+C190+C197</f>
        <v>26090</v>
      </c>
      <c r="D187" s="242">
        <f t="shared" si="152"/>
        <v>26090</v>
      </c>
      <c r="E187" s="242">
        <f t="shared" si="152"/>
        <v>26090</v>
      </c>
      <c r="F187" s="242">
        <f t="shared" si="152"/>
        <v>26090</v>
      </c>
      <c r="G187" s="242">
        <f t="shared" si="152"/>
        <v>26090</v>
      </c>
      <c r="H187" s="242">
        <f t="shared" si="152"/>
        <v>26090</v>
      </c>
      <c r="I187" s="242">
        <f t="shared" si="152"/>
        <v>26090</v>
      </c>
      <c r="J187" s="242">
        <f t="shared" si="152"/>
        <v>26090</v>
      </c>
      <c r="K187" s="242">
        <f t="shared" si="152"/>
        <v>26090</v>
      </c>
      <c r="L187" s="242">
        <f t="shared" si="152"/>
        <v>26090</v>
      </c>
      <c r="M187" s="242">
        <f t="shared" si="152"/>
        <v>26090</v>
      </c>
      <c r="N187" s="243">
        <f>SUM(B187:M187)</f>
        <v>1102041.6000000001</v>
      </c>
    </row>
    <row r="188" spans="1:14" x14ac:dyDescent="0.35">
      <c r="A188" s="234" t="s">
        <v>93</v>
      </c>
      <c r="B188" s="81">
        <f>+B191+B198</f>
        <v>26.09</v>
      </c>
      <c r="C188" s="81">
        <f t="shared" si="152"/>
        <v>26.09</v>
      </c>
      <c r="D188" s="81">
        <f t="shared" si="152"/>
        <v>26.09</v>
      </c>
      <c r="E188" s="81">
        <f t="shared" si="152"/>
        <v>26.09</v>
      </c>
      <c r="F188" s="81">
        <f t="shared" si="152"/>
        <v>26.09</v>
      </c>
      <c r="G188" s="81">
        <f t="shared" si="152"/>
        <v>26.09</v>
      </c>
      <c r="H188" s="81">
        <f t="shared" si="152"/>
        <v>26.09</v>
      </c>
      <c r="I188" s="81">
        <f t="shared" si="152"/>
        <v>26.09</v>
      </c>
      <c r="J188" s="81">
        <f t="shared" si="152"/>
        <v>26.09</v>
      </c>
      <c r="K188" s="81">
        <f t="shared" si="152"/>
        <v>26.09</v>
      </c>
      <c r="L188" s="81">
        <f t="shared" si="152"/>
        <v>26.09</v>
      </c>
      <c r="M188" s="81">
        <f t="shared" si="152"/>
        <v>26.09</v>
      </c>
      <c r="N188" s="248">
        <f>+M188</f>
        <v>26.09</v>
      </c>
    </row>
    <row r="189" spans="1:14" x14ac:dyDescent="0.35">
      <c r="A189" s="234" t="s">
        <v>149</v>
      </c>
      <c r="B189" s="83">
        <f>+B187/B188</f>
        <v>31240</v>
      </c>
      <c r="C189" s="83">
        <f>+C187/C188</f>
        <v>1000</v>
      </c>
      <c r="D189" s="83">
        <f>+D187/D188</f>
        <v>1000</v>
      </c>
      <c r="E189" s="83">
        <f t="shared" ref="E189:M189" si="153">+E187/E188</f>
        <v>1000</v>
      </c>
      <c r="F189" s="83">
        <f t="shared" si="153"/>
        <v>1000</v>
      </c>
      <c r="G189" s="83">
        <f t="shared" si="153"/>
        <v>1000</v>
      </c>
      <c r="H189" s="83">
        <f t="shared" si="153"/>
        <v>1000</v>
      </c>
      <c r="I189" s="83">
        <f t="shared" si="153"/>
        <v>1000</v>
      </c>
      <c r="J189" s="83">
        <f t="shared" si="153"/>
        <v>1000</v>
      </c>
      <c r="K189" s="83">
        <f t="shared" si="153"/>
        <v>1000</v>
      </c>
      <c r="L189" s="83">
        <f t="shared" si="153"/>
        <v>1000</v>
      </c>
      <c r="M189" s="83">
        <f t="shared" si="153"/>
        <v>1000</v>
      </c>
      <c r="N189" s="249">
        <f>+N187/N188</f>
        <v>42240.000000000007</v>
      </c>
    </row>
    <row r="190" spans="1:14" x14ac:dyDescent="0.35">
      <c r="A190" s="235" t="s">
        <v>90</v>
      </c>
      <c r="B190" s="80">
        <f>+B195</f>
        <v>0</v>
      </c>
      <c r="C190" s="80">
        <f t="shared" ref="C190:M190" si="154">+C195</f>
        <v>0</v>
      </c>
      <c r="D190" s="80">
        <f t="shared" si="154"/>
        <v>0</v>
      </c>
      <c r="E190" s="80">
        <f t="shared" si="154"/>
        <v>0</v>
      </c>
      <c r="F190" s="80">
        <f t="shared" si="154"/>
        <v>0</v>
      </c>
      <c r="G190" s="80">
        <f t="shared" si="154"/>
        <v>0</v>
      </c>
      <c r="H190" s="80">
        <f t="shared" si="154"/>
        <v>0</v>
      </c>
      <c r="I190" s="80">
        <f t="shared" si="154"/>
        <v>0</v>
      </c>
      <c r="J190" s="80">
        <f t="shared" si="154"/>
        <v>0</v>
      </c>
      <c r="K190" s="80">
        <f t="shared" si="154"/>
        <v>0</v>
      </c>
      <c r="L190" s="80">
        <f t="shared" si="154"/>
        <v>0</v>
      </c>
      <c r="M190" s="80">
        <f t="shared" si="154"/>
        <v>0</v>
      </c>
      <c r="N190" s="244">
        <f>SUM(B190:M190)</f>
        <v>0</v>
      </c>
    </row>
    <row r="191" spans="1:14" x14ac:dyDescent="0.35">
      <c r="A191" s="238" t="s">
        <v>93</v>
      </c>
      <c r="B191" s="239">
        <f>+'Plan de culture 114'!$AE$7</f>
        <v>0</v>
      </c>
      <c r="C191" s="239">
        <f>+B191</f>
        <v>0</v>
      </c>
      <c r="D191" s="239">
        <f t="shared" ref="D191" si="155">+C191</f>
        <v>0</v>
      </c>
      <c r="E191" s="239">
        <f>+D191</f>
        <v>0</v>
      </c>
      <c r="F191" s="239">
        <f>+E191</f>
        <v>0</v>
      </c>
      <c r="G191" s="239">
        <f>+F191</f>
        <v>0</v>
      </c>
      <c r="H191" s="239">
        <f t="shared" ref="H191:M191" si="156">+G191</f>
        <v>0</v>
      </c>
      <c r="I191" s="239">
        <f t="shared" si="156"/>
        <v>0</v>
      </c>
      <c r="J191" s="239">
        <f t="shared" si="156"/>
        <v>0</v>
      </c>
      <c r="K191" s="239">
        <f t="shared" si="156"/>
        <v>0</v>
      </c>
      <c r="L191" s="239">
        <f t="shared" si="156"/>
        <v>0</v>
      </c>
      <c r="M191" s="239">
        <f t="shared" si="156"/>
        <v>0</v>
      </c>
      <c r="N191" s="240">
        <f>+'Plan de culture 114'!$AE$7</f>
        <v>0</v>
      </c>
    </row>
    <row r="192" spans="1:14" x14ac:dyDescent="0.35">
      <c r="A192" s="270" t="s">
        <v>151</v>
      </c>
      <c r="B192" s="90">
        <f>25200*B191</f>
        <v>0</v>
      </c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271">
        <f t="shared" ref="N192:N195" si="157">SUM(B192:M192)</f>
        <v>0</v>
      </c>
    </row>
    <row r="193" spans="1:14" x14ac:dyDescent="0.35">
      <c r="A193" s="270" t="s">
        <v>152</v>
      </c>
      <c r="B193" s="90">
        <f>5040*B191</f>
        <v>0</v>
      </c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271">
        <f t="shared" si="157"/>
        <v>0</v>
      </c>
    </row>
    <row r="194" spans="1:14" x14ac:dyDescent="0.35">
      <c r="A194" s="270" t="s">
        <v>153</v>
      </c>
      <c r="B194" s="90">
        <f>1000*B191</f>
        <v>0</v>
      </c>
      <c r="C194" s="90">
        <f t="shared" ref="C194:M194" si="158">+B194</f>
        <v>0</v>
      </c>
      <c r="D194" s="90">
        <f t="shared" si="158"/>
        <v>0</v>
      </c>
      <c r="E194" s="90">
        <f t="shared" si="158"/>
        <v>0</v>
      </c>
      <c r="F194" s="90">
        <f t="shared" si="158"/>
        <v>0</v>
      </c>
      <c r="G194" s="90">
        <f t="shared" si="158"/>
        <v>0</v>
      </c>
      <c r="H194" s="90">
        <f t="shared" si="158"/>
        <v>0</v>
      </c>
      <c r="I194" s="90">
        <f t="shared" si="158"/>
        <v>0</v>
      </c>
      <c r="J194" s="90">
        <f t="shared" si="158"/>
        <v>0</v>
      </c>
      <c r="K194" s="90">
        <f t="shared" si="158"/>
        <v>0</v>
      </c>
      <c r="L194" s="90">
        <f t="shared" si="158"/>
        <v>0</v>
      </c>
      <c r="M194" s="90">
        <f t="shared" si="158"/>
        <v>0</v>
      </c>
      <c r="N194" s="271">
        <f t="shared" si="157"/>
        <v>0</v>
      </c>
    </row>
    <row r="195" spans="1:14" x14ac:dyDescent="0.35">
      <c r="A195" s="272" t="s">
        <v>150</v>
      </c>
      <c r="B195" s="91">
        <f t="shared" ref="B195:M195" si="159">SUM(B192:B194)</f>
        <v>0</v>
      </c>
      <c r="C195" s="91">
        <f t="shared" si="159"/>
        <v>0</v>
      </c>
      <c r="D195" s="91">
        <f t="shared" si="159"/>
        <v>0</v>
      </c>
      <c r="E195" s="91">
        <f t="shared" si="159"/>
        <v>0</v>
      </c>
      <c r="F195" s="91">
        <f t="shared" si="159"/>
        <v>0</v>
      </c>
      <c r="G195" s="91">
        <f t="shared" si="159"/>
        <v>0</v>
      </c>
      <c r="H195" s="91">
        <f t="shared" si="159"/>
        <v>0</v>
      </c>
      <c r="I195" s="91">
        <f t="shared" si="159"/>
        <v>0</v>
      </c>
      <c r="J195" s="91">
        <f t="shared" si="159"/>
        <v>0</v>
      </c>
      <c r="K195" s="91">
        <f t="shared" si="159"/>
        <v>0</v>
      </c>
      <c r="L195" s="91">
        <f t="shared" si="159"/>
        <v>0</v>
      </c>
      <c r="M195" s="91">
        <f t="shared" si="159"/>
        <v>0</v>
      </c>
      <c r="N195" s="271">
        <f t="shared" si="157"/>
        <v>0</v>
      </c>
    </row>
    <row r="196" spans="1:14" x14ac:dyDescent="0.35">
      <c r="A196" s="238" t="s">
        <v>149</v>
      </c>
      <c r="B196" s="62" t="e">
        <f>+B195/B191</f>
        <v>#DIV/0!</v>
      </c>
      <c r="C196" s="62" t="e">
        <f t="shared" ref="C196:N196" si="160">+C190/C191</f>
        <v>#DIV/0!</v>
      </c>
      <c r="D196" s="62" t="e">
        <f t="shared" si="160"/>
        <v>#DIV/0!</v>
      </c>
      <c r="E196" s="62" t="e">
        <f t="shared" si="160"/>
        <v>#DIV/0!</v>
      </c>
      <c r="F196" s="62" t="e">
        <f t="shared" si="160"/>
        <v>#DIV/0!</v>
      </c>
      <c r="G196" s="62" t="e">
        <f t="shared" si="160"/>
        <v>#DIV/0!</v>
      </c>
      <c r="H196" s="62" t="e">
        <f t="shared" si="160"/>
        <v>#DIV/0!</v>
      </c>
      <c r="I196" s="62" t="e">
        <f t="shared" si="160"/>
        <v>#DIV/0!</v>
      </c>
      <c r="J196" s="62" t="e">
        <f t="shared" si="160"/>
        <v>#DIV/0!</v>
      </c>
      <c r="K196" s="62" t="e">
        <f t="shared" si="160"/>
        <v>#DIV/0!</v>
      </c>
      <c r="L196" s="62" t="e">
        <f t="shared" si="160"/>
        <v>#DIV/0!</v>
      </c>
      <c r="M196" s="62" t="e">
        <f t="shared" si="160"/>
        <v>#DIV/0!</v>
      </c>
      <c r="N196" s="269" t="e">
        <f t="shared" si="160"/>
        <v>#DIV/0!</v>
      </c>
    </row>
    <row r="197" spans="1:14" x14ac:dyDescent="0.35">
      <c r="A197" s="235" t="s">
        <v>91</v>
      </c>
      <c r="B197" s="80">
        <f>+B202</f>
        <v>815051.6</v>
      </c>
      <c r="C197" s="80">
        <f t="shared" ref="C197:M197" si="161">+C202</f>
        <v>26090</v>
      </c>
      <c r="D197" s="80">
        <f t="shared" si="161"/>
        <v>26090</v>
      </c>
      <c r="E197" s="80">
        <f t="shared" si="161"/>
        <v>26090</v>
      </c>
      <c r="F197" s="80">
        <f t="shared" si="161"/>
        <v>26090</v>
      </c>
      <c r="G197" s="80">
        <f t="shared" si="161"/>
        <v>26090</v>
      </c>
      <c r="H197" s="80">
        <f t="shared" si="161"/>
        <v>26090</v>
      </c>
      <c r="I197" s="80">
        <f t="shared" si="161"/>
        <v>26090</v>
      </c>
      <c r="J197" s="80">
        <f t="shared" si="161"/>
        <v>26090</v>
      </c>
      <c r="K197" s="80">
        <f t="shared" si="161"/>
        <v>26090</v>
      </c>
      <c r="L197" s="80">
        <f t="shared" si="161"/>
        <v>26090</v>
      </c>
      <c r="M197" s="80">
        <f t="shared" si="161"/>
        <v>26090</v>
      </c>
      <c r="N197" s="273">
        <f>SUM(B197:M197)</f>
        <v>1102041.6000000001</v>
      </c>
    </row>
    <row r="198" spans="1:14" x14ac:dyDescent="0.35">
      <c r="A198" s="238" t="s">
        <v>93</v>
      </c>
      <c r="B198" s="239">
        <f>+'Plan de culture 114'!$AE$13</f>
        <v>26.09</v>
      </c>
      <c r="C198" s="239">
        <f>+B198</f>
        <v>26.09</v>
      </c>
      <c r="D198" s="239">
        <f t="shared" ref="D198:M198" si="162">+C198</f>
        <v>26.09</v>
      </c>
      <c r="E198" s="239">
        <f t="shared" si="162"/>
        <v>26.09</v>
      </c>
      <c r="F198" s="239">
        <f t="shared" si="162"/>
        <v>26.09</v>
      </c>
      <c r="G198" s="239">
        <f t="shared" si="162"/>
        <v>26.09</v>
      </c>
      <c r="H198" s="239">
        <f t="shared" si="162"/>
        <v>26.09</v>
      </c>
      <c r="I198" s="239">
        <f t="shared" si="162"/>
        <v>26.09</v>
      </c>
      <c r="J198" s="239">
        <f t="shared" si="162"/>
        <v>26.09</v>
      </c>
      <c r="K198" s="239">
        <f t="shared" si="162"/>
        <v>26.09</v>
      </c>
      <c r="L198" s="239">
        <f t="shared" si="162"/>
        <v>26.09</v>
      </c>
      <c r="M198" s="239">
        <f t="shared" si="162"/>
        <v>26.09</v>
      </c>
      <c r="N198" s="240">
        <f>+'Plan de culture 114'!$AE$13</f>
        <v>26.09</v>
      </c>
    </row>
    <row r="199" spans="1:14" x14ac:dyDescent="0.35">
      <c r="A199" s="270" t="s">
        <v>151</v>
      </c>
      <c r="B199" s="90">
        <f>25200*B198</f>
        <v>657468</v>
      </c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271">
        <f t="shared" ref="N199:N202" si="163">SUM(B199:M199)</f>
        <v>657468</v>
      </c>
    </row>
    <row r="200" spans="1:14" x14ac:dyDescent="0.35">
      <c r="A200" s="270" t="s">
        <v>152</v>
      </c>
      <c r="B200" s="90">
        <f>5040*B198</f>
        <v>131493.6</v>
      </c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271">
        <f t="shared" si="163"/>
        <v>131493.6</v>
      </c>
    </row>
    <row r="201" spans="1:14" x14ac:dyDescent="0.35">
      <c r="A201" s="270" t="s">
        <v>153</v>
      </c>
      <c r="B201" s="90">
        <f>1000*B198</f>
        <v>26090</v>
      </c>
      <c r="C201" s="90">
        <f t="shared" ref="C201:M201" si="164">+B201</f>
        <v>26090</v>
      </c>
      <c r="D201" s="90">
        <f t="shared" si="164"/>
        <v>26090</v>
      </c>
      <c r="E201" s="90">
        <f t="shared" si="164"/>
        <v>26090</v>
      </c>
      <c r="F201" s="90">
        <f t="shared" si="164"/>
        <v>26090</v>
      </c>
      <c r="G201" s="90">
        <f t="shared" si="164"/>
        <v>26090</v>
      </c>
      <c r="H201" s="90">
        <f t="shared" si="164"/>
        <v>26090</v>
      </c>
      <c r="I201" s="90">
        <f t="shared" si="164"/>
        <v>26090</v>
      </c>
      <c r="J201" s="90">
        <f t="shared" si="164"/>
        <v>26090</v>
      </c>
      <c r="K201" s="90">
        <f t="shared" si="164"/>
        <v>26090</v>
      </c>
      <c r="L201" s="90">
        <f t="shared" si="164"/>
        <v>26090</v>
      </c>
      <c r="M201" s="90">
        <f t="shared" si="164"/>
        <v>26090</v>
      </c>
      <c r="N201" s="271">
        <f t="shared" si="163"/>
        <v>313080</v>
      </c>
    </row>
    <row r="202" spans="1:14" x14ac:dyDescent="0.35">
      <c r="A202" s="272" t="s">
        <v>150</v>
      </c>
      <c r="B202" s="91">
        <f t="shared" ref="B202:M202" si="165">SUM(B199:B201)</f>
        <v>815051.6</v>
      </c>
      <c r="C202" s="91">
        <f t="shared" si="165"/>
        <v>26090</v>
      </c>
      <c r="D202" s="91">
        <f t="shared" si="165"/>
        <v>26090</v>
      </c>
      <c r="E202" s="91">
        <f t="shared" si="165"/>
        <v>26090</v>
      </c>
      <c r="F202" s="91">
        <f t="shared" si="165"/>
        <v>26090</v>
      </c>
      <c r="G202" s="91">
        <f t="shared" si="165"/>
        <v>26090</v>
      </c>
      <c r="H202" s="91">
        <f t="shared" si="165"/>
        <v>26090</v>
      </c>
      <c r="I202" s="91">
        <f t="shared" si="165"/>
        <v>26090</v>
      </c>
      <c r="J202" s="91">
        <f t="shared" si="165"/>
        <v>26090</v>
      </c>
      <c r="K202" s="91">
        <f t="shared" si="165"/>
        <v>26090</v>
      </c>
      <c r="L202" s="91">
        <f t="shared" si="165"/>
        <v>26090</v>
      </c>
      <c r="M202" s="91">
        <f t="shared" si="165"/>
        <v>26090</v>
      </c>
      <c r="N202" s="271">
        <f t="shared" si="163"/>
        <v>1102041.6000000001</v>
      </c>
    </row>
    <row r="203" spans="1:14" x14ac:dyDescent="0.35">
      <c r="A203" s="238" t="s">
        <v>149</v>
      </c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269">
        <f>+N197/N198</f>
        <v>42240.000000000007</v>
      </c>
    </row>
    <row r="204" spans="1:14" x14ac:dyDescent="0.35">
      <c r="A204" s="235" t="s">
        <v>376</v>
      </c>
      <c r="B204" s="80">
        <f>+B209</f>
        <v>0</v>
      </c>
      <c r="C204" s="80">
        <f t="shared" ref="C204:M204" si="166">+C209</f>
        <v>0</v>
      </c>
      <c r="D204" s="80">
        <f t="shared" si="166"/>
        <v>0</v>
      </c>
      <c r="E204" s="80">
        <f t="shared" si="166"/>
        <v>0</v>
      </c>
      <c r="F204" s="80">
        <f t="shared" si="166"/>
        <v>0</v>
      </c>
      <c r="G204" s="80">
        <f t="shared" si="166"/>
        <v>0</v>
      </c>
      <c r="H204" s="80">
        <f t="shared" si="166"/>
        <v>0</v>
      </c>
      <c r="I204" s="80">
        <f t="shared" si="166"/>
        <v>0</v>
      </c>
      <c r="J204" s="80">
        <f t="shared" si="166"/>
        <v>0</v>
      </c>
      <c r="K204" s="80">
        <f t="shared" si="166"/>
        <v>0</v>
      </c>
      <c r="L204" s="80">
        <f t="shared" si="166"/>
        <v>0</v>
      </c>
      <c r="M204" s="80">
        <f t="shared" si="166"/>
        <v>0</v>
      </c>
      <c r="N204" s="273">
        <f>SUM(B204:M204)</f>
        <v>0</v>
      </c>
    </row>
    <row r="205" spans="1:14" x14ac:dyDescent="0.35">
      <c r="A205" s="238" t="s">
        <v>93</v>
      </c>
      <c r="B205" s="239">
        <f>+'Plan de culture 114'!$AE$19</f>
        <v>0</v>
      </c>
      <c r="C205" s="239">
        <f>+B205</f>
        <v>0</v>
      </c>
      <c r="D205" s="239">
        <f t="shared" ref="D205" si="167">+C205</f>
        <v>0</v>
      </c>
      <c r="E205" s="239">
        <f>+'Plan de culture 104 '!C201</f>
        <v>0</v>
      </c>
      <c r="F205" s="239">
        <f>+E205+'Plan de culture 104 '!D201+'Plan de culture 104 '!E201</f>
        <v>0</v>
      </c>
      <c r="G205" s="239">
        <f>+F205</f>
        <v>0</v>
      </c>
      <c r="H205" s="239">
        <f t="shared" ref="H205:M205" si="168">+G205</f>
        <v>0</v>
      </c>
      <c r="I205" s="239">
        <f t="shared" si="168"/>
        <v>0</v>
      </c>
      <c r="J205" s="239">
        <f t="shared" si="168"/>
        <v>0</v>
      </c>
      <c r="K205" s="239">
        <f t="shared" si="168"/>
        <v>0</v>
      </c>
      <c r="L205" s="239">
        <f t="shared" si="168"/>
        <v>0</v>
      </c>
      <c r="M205" s="239">
        <f t="shared" si="168"/>
        <v>0</v>
      </c>
      <c r="N205" s="240">
        <f>+'Plan de culture 114'!$AE$19</f>
        <v>0</v>
      </c>
    </row>
    <row r="206" spans="1:14" x14ac:dyDescent="0.35">
      <c r="A206" s="270" t="s">
        <v>151</v>
      </c>
      <c r="B206" s="90">
        <f>25200*B205</f>
        <v>0</v>
      </c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271">
        <f t="shared" ref="N206:N209" si="169">SUM(B206:M206)</f>
        <v>0</v>
      </c>
    </row>
    <row r="207" spans="1:14" x14ac:dyDescent="0.35">
      <c r="A207" s="270" t="s">
        <v>152</v>
      </c>
      <c r="B207" s="90">
        <f>5040*B205</f>
        <v>0</v>
      </c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271">
        <f t="shared" si="169"/>
        <v>0</v>
      </c>
    </row>
    <row r="208" spans="1:14" x14ac:dyDescent="0.35">
      <c r="A208" s="270" t="s">
        <v>153</v>
      </c>
      <c r="B208" s="90">
        <f>1000*B205</f>
        <v>0</v>
      </c>
      <c r="C208" s="90">
        <f t="shared" ref="C208:M208" si="170">+B208</f>
        <v>0</v>
      </c>
      <c r="D208" s="90">
        <f t="shared" si="170"/>
        <v>0</v>
      </c>
      <c r="E208" s="90">
        <f t="shared" si="170"/>
        <v>0</v>
      </c>
      <c r="F208" s="90">
        <f t="shared" si="170"/>
        <v>0</v>
      </c>
      <c r="G208" s="90">
        <f t="shared" si="170"/>
        <v>0</v>
      </c>
      <c r="H208" s="90">
        <f t="shared" si="170"/>
        <v>0</v>
      </c>
      <c r="I208" s="90">
        <f t="shared" si="170"/>
        <v>0</v>
      </c>
      <c r="J208" s="90">
        <f t="shared" si="170"/>
        <v>0</v>
      </c>
      <c r="K208" s="90">
        <f t="shared" si="170"/>
        <v>0</v>
      </c>
      <c r="L208" s="90">
        <f t="shared" si="170"/>
        <v>0</v>
      </c>
      <c r="M208" s="90">
        <f t="shared" si="170"/>
        <v>0</v>
      </c>
      <c r="N208" s="271">
        <f t="shared" si="169"/>
        <v>0</v>
      </c>
    </row>
    <row r="209" spans="1:14" x14ac:dyDescent="0.35">
      <c r="A209" s="272" t="s">
        <v>150</v>
      </c>
      <c r="B209" s="91">
        <f t="shared" ref="B209:M209" si="171">SUM(B206:B208)</f>
        <v>0</v>
      </c>
      <c r="C209" s="91">
        <f t="shared" si="171"/>
        <v>0</v>
      </c>
      <c r="D209" s="91">
        <f t="shared" si="171"/>
        <v>0</v>
      </c>
      <c r="E209" s="91">
        <f t="shared" si="171"/>
        <v>0</v>
      </c>
      <c r="F209" s="91">
        <f t="shared" si="171"/>
        <v>0</v>
      </c>
      <c r="G209" s="91">
        <f t="shared" si="171"/>
        <v>0</v>
      </c>
      <c r="H209" s="91">
        <f t="shared" si="171"/>
        <v>0</v>
      </c>
      <c r="I209" s="91">
        <f t="shared" si="171"/>
        <v>0</v>
      </c>
      <c r="J209" s="91">
        <f t="shared" si="171"/>
        <v>0</v>
      </c>
      <c r="K209" s="91">
        <f t="shared" si="171"/>
        <v>0</v>
      </c>
      <c r="L209" s="91">
        <f t="shared" si="171"/>
        <v>0</v>
      </c>
      <c r="M209" s="91">
        <f t="shared" si="171"/>
        <v>0</v>
      </c>
      <c r="N209" s="271">
        <f t="shared" si="169"/>
        <v>0</v>
      </c>
    </row>
    <row r="210" spans="1:14" x14ac:dyDescent="0.35">
      <c r="A210" s="238" t="s">
        <v>149</v>
      </c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269" t="e">
        <f>+N204/N205</f>
        <v>#DIV/0!</v>
      </c>
    </row>
    <row r="211" spans="1:14" x14ac:dyDescent="0.35">
      <c r="A211" s="235" t="s">
        <v>92</v>
      </c>
      <c r="B211" s="80">
        <f>+B216</f>
        <v>0</v>
      </c>
      <c r="C211" s="80">
        <f t="shared" ref="C211:M211" si="172">+C216</f>
        <v>0</v>
      </c>
      <c r="D211" s="80">
        <f t="shared" si="172"/>
        <v>0</v>
      </c>
      <c r="E211" s="80">
        <f t="shared" si="172"/>
        <v>0</v>
      </c>
      <c r="F211" s="80">
        <f t="shared" si="172"/>
        <v>0</v>
      </c>
      <c r="G211" s="80">
        <f t="shared" si="172"/>
        <v>0</v>
      </c>
      <c r="H211" s="80">
        <f t="shared" si="172"/>
        <v>0</v>
      </c>
      <c r="I211" s="80">
        <f t="shared" si="172"/>
        <v>0</v>
      </c>
      <c r="J211" s="80">
        <f t="shared" si="172"/>
        <v>0</v>
      </c>
      <c r="K211" s="80">
        <f t="shared" si="172"/>
        <v>0</v>
      </c>
      <c r="L211" s="80">
        <f t="shared" si="172"/>
        <v>0</v>
      </c>
      <c r="M211" s="80">
        <f t="shared" si="172"/>
        <v>0</v>
      </c>
      <c r="N211" s="273">
        <f>SUM(B211:M211)</f>
        <v>0</v>
      </c>
    </row>
    <row r="212" spans="1:14" x14ac:dyDescent="0.35">
      <c r="A212" s="238" t="s">
        <v>93</v>
      </c>
      <c r="B212" s="239">
        <f>+'Plan de culture 114'!$AE$25</f>
        <v>0</v>
      </c>
      <c r="C212" s="239">
        <f>+B212</f>
        <v>0</v>
      </c>
      <c r="D212" s="239">
        <f t="shared" ref="D212" si="173">+C212</f>
        <v>0</v>
      </c>
      <c r="E212" s="239">
        <f>+'Plan de culture 104 '!C208</f>
        <v>0</v>
      </c>
      <c r="F212" s="239">
        <f>+E212+'Plan de culture 104 '!D208+'Plan de culture 104 '!E208</f>
        <v>0</v>
      </c>
      <c r="G212" s="239">
        <f>+F212</f>
        <v>0</v>
      </c>
      <c r="H212" s="239">
        <f t="shared" ref="H212:M212" si="174">+G212</f>
        <v>0</v>
      </c>
      <c r="I212" s="239">
        <f t="shared" si="174"/>
        <v>0</v>
      </c>
      <c r="J212" s="239">
        <f t="shared" si="174"/>
        <v>0</v>
      </c>
      <c r="K212" s="239">
        <f t="shared" si="174"/>
        <v>0</v>
      </c>
      <c r="L212" s="239">
        <f t="shared" si="174"/>
        <v>0</v>
      </c>
      <c r="M212" s="239">
        <f t="shared" si="174"/>
        <v>0</v>
      </c>
      <c r="N212" s="240">
        <f>+'Plan de culture 114'!$AE$25</f>
        <v>0</v>
      </c>
    </row>
    <row r="213" spans="1:14" x14ac:dyDescent="0.35">
      <c r="A213" s="270" t="s">
        <v>151</v>
      </c>
      <c r="B213" s="90">
        <f>25200*B212</f>
        <v>0</v>
      </c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271">
        <f t="shared" ref="N213:N216" si="175">SUM(B213:M213)</f>
        <v>0</v>
      </c>
    </row>
    <row r="214" spans="1:14" x14ac:dyDescent="0.35">
      <c r="A214" s="270" t="s">
        <v>152</v>
      </c>
      <c r="B214" s="90">
        <f>5040*B212</f>
        <v>0</v>
      </c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271">
        <f t="shared" si="175"/>
        <v>0</v>
      </c>
    </row>
    <row r="215" spans="1:14" x14ac:dyDescent="0.35">
      <c r="A215" s="270" t="s">
        <v>153</v>
      </c>
      <c r="B215" s="90">
        <f>1000*B212</f>
        <v>0</v>
      </c>
      <c r="C215" s="90">
        <f t="shared" ref="C215:M215" si="176">+B215</f>
        <v>0</v>
      </c>
      <c r="D215" s="90">
        <f t="shared" si="176"/>
        <v>0</v>
      </c>
      <c r="E215" s="90">
        <f t="shared" si="176"/>
        <v>0</v>
      </c>
      <c r="F215" s="90">
        <f t="shared" si="176"/>
        <v>0</v>
      </c>
      <c r="G215" s="90">
        <f t="shared" si="176"/>
        <v>0</v>
      </c>
      <c r="H215" s="90">
        <f t="shared" si="176"/>
        <v>0</v>
      </c>
      <c r="I215" s="90">
        <f t="shared" si="176"/>
        <v>0</v>
      </c>
      <c r="J215" s="90">
        <f t="shared" si="176"/>
        <v>0</v>
      </c>
      <c r="K215" s="90">
        <f t="shared" si="176"/>
        <v>0</v>
      </c>
      <c r="L215" s="90">
        <f t="shared" si="176"/>
        <v>0</v>
      </c>
      <c r="M215" s="90">
        <f t="shared" si="176"/>
        <v>0</v>
      </c>
      <c r="N215" s="271">
        <f t="shared" si="175"/>
        <v>0</v>
      </c>
    </row>
    <row r="216" spans="1:14" x14ac:dyDescent="0.35">
      <c r="A216" s="272" t="s">
        <v>150</v>
      </c>
      <c r="B216" s="91">
        <f t="shared" ref="B216:M216" si="177">SUM(B213:B215)</f>
        <v>0</v>
      </c>
      <c r="C216" s="91">
        <f t="shared" si="177"/>
        <v>0</v>
      </c>
      <c r="D216" s="91">
        <f t="shared" si="177"/>
        <v>0</v>
      </c>
      <c r="E216" s="91">
        <f t="shared" si="177"/>
        <v>0</v>
      </c>
      <c r="F216" s="91">
        <f t="shared" si="177"/>
        <v>0</v>
      </c>
      <c r="G216" s="91">
        <f t="shared" si="177"/>
        <v>0</v>
      </c>
      <c r="H216" s="91">
        <f t="shared" si="177"/>
        <v>0</v>
      </c>
      <c r="I216" s="91">
        <f t="shared" si="177"/>
        <v>0</v>
      </c>
      <c r="J216" s="91">
        <f t="shared" si="177"/>
        <v>0</v>
      </c>
      <c r="K216" s="91">
        <f t="shared" si="177"/>
        <v>0</v>
      </c>
      <c r="L216" s="91">
        <f t="shared" si="177"/>
        <v>0</v>
      </c>
      <c r="M216" s="91">
        <f t="shared" si="177"/>
        <v>0</v>
      </c>
      <c r="N216" s="271">
        <f t="shared" si="175"/>
        <v>0</v>
      </c>
    </row>
    <row r="217" spans="1:14" x14ac:dyDescent="0.35">
      <c r="A217" s="238" t="s">
        <v>149</v>
      </c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269" t="e">
        <f>+N211/N212</f>
        <v>#DIV/0!</v>
      </c>
    </row>
    <row r="218" spans="1:14" x14ac:dyDescent="0.35">
      <c r="A218" s="235" t="s">
        <v>377</v>
      </c>
      <c r="B218" s="80">
        <f>+B223</f>
        <v>0</v>
      </c>
      <c r="C218" s="80">
        <f t="shared" ref="C218:M218" si="178">+C223</f>
        <v>0</v>
      </c>
      <c r="D218" s="80">
        <f t="shared" si="178"/>
        <v>0</v>
      </c>
      <c r="E218" s="80">
        <f t="shared" si="178"/>
        <v>0</v>
      </c>
      <c r="F218" s="80">
        <f t="shared" si="178"/>
        <v>0</v>
      </c>
      <c r="G218" s="80">
        <f t="shared" si="178"/>
        <v>0</v>
      </c>
      <c r="H218" s="80">
        <f t="shared" si="178"/>
        <v>0</v>
      </c>
      <c r="I218" s="80">
        <f t="shared" si="178"/>
        <v>0</v>
      </c>
      <c r="J218" s="80">
        <f t="shared" si="178"/>
        <v>0</v>
      </c>
      <c r="K218" s="80">
        <f t="shared" si="178"/>
        <v>0</v>
      </c>
      <c r="L218" s="80">
        <f t="shared" si="178"/>
        <v>0</v>
      </c>
      <c r="M218" s="80">
        <f t="shared" si="178"/>
        <v>0</v>
      </c>
      <c r="N218" s="273">
        <f>SUM(B218:M218)</f>
        <v>0</v>
      </c>
    </row>
    <row r="219" spans="1:14" x14ac:dyDescent="0.35">
      <c r="A219" s="238" t="s">
        <v>93</v>
      </c>
      <c r="B219" s="239">
        <f>+'Plan de culture 114'!$AE$31</f>
        <v>0</v>
      </c>
      <c r="C219" s="239">
        <f>+B219</f>
        <v>0</v>
      </c>
      <c r="D219" s="239">
        <f t="shared" ref="D219" si="179">+C219</f>
        <v>0</v>
      </c>
      <c r="E219" s="239">
        <f>+'Plan de culture 104 '!C215</f>
        <v>0</v>
      </c>
      <c r="F219" s="239">
        <f>+E219+'Plan de culture 104 '!D215+'Plan de culture 104 '!E215</f>
        <v>0</v>
      </c>
      <c r="G219" s="239">
        <f>+F219</f>
        <v>0</v>
      </c>
      <c r="H219" s="239">
        <f t="shared" ref="H219:M219" si="180">+G219</f>
        <v>0</v>
      </c>
      <c r="I219" s="239">
        <f t="shared" si="180"/>
        <v>0</v>
      </c>
      <c r="J219" s="239">
        <f t="shared" si="180"/>
        <v>0</v>
      </c>
      <c r="K219" s="239">
        <f t="shared" si="180"/>
        <v>0</v>
      </c>
      <c r="L219" s="239">
        <f t="shared" si="180"/>
        <v>0</v>
      </c>
      <c r="M219" s="239">
        <f t="shared" si="180"/>
        <v>0</v>
      </c>
      <c r="N219" s="240">
        <f>+'Plan de culture 114'!$AE$31</f>
        <v>0</v>
      </c>
    </row>
    <row r="220" spans="1:14" x14ac:dyDescent="0.35">
      <c r="A220" s="270" t="s">
        <v>151</v>
      </c>
      <c r="B220" s="90">
        <f>25200*B219</f>
        <v>0</v>
      </c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271">
        <f t="shared" ref="N220:N223" si="181">SUM(B220:M220)</f>
        <v>0</v>
      </c>
    </row>
    <row r="221" spans="1:14" x14ac:dyDescent="0.35">
      <c r="A221" s="270" t="s">
        <v>152</v>
      </c>
      <c r="B221" s="90">
        <f>5040*B219</f>
        <v>0</v>
      </c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271">
        <f t="shared" si="181"/>
        <v>0</v>
      </c>
    </row>
    <row r="222" spans="1:14" x14ac:dyDescent="0.35">
      <c r="A222" s="270" t="s">
        <v>153</v>
      </c>
      <c r="B222" s="90">
        <f>1000*B219</f>
        <v>0</v>
      </c>
      <c r="C222" s="90">
        <f t="shared" ref="C222:M222" si="182">+B222</f>
        <v>0</v>
      </c>
      <c r="D222" s="90">
        <f t="shared" si="182"/>
        <v>0</v>
      </c>
      <c r="E222" s="90">
        <f t="shared" si="182"/>
        <v>0</v>
      </c>
      <c r="F222" s="90">
        <f t="shared" si="182"/>
        <v>0</v>
      </c>
      <c r="G222" s="90">
        <f t="shared" si="182"/>
        <v>0</v>
      </c>
      <c r="H222" s="90">
        <f t="shared" si="182"/>
        <v>0</v>
      </c>
      <c r="I222" s="90">
        <f t="shared" si="182"/>
        <v>0</v>
      </c>
      <c r="J222" s="90">
        <f t="shared" si="182"/>
        <v>0</v>
      </c>
      <c r="K222" s="90">
        <f t="shared" si="182"/>
        <v>0</v>
      </c>
      <c r="L222" s="90">
        <f t="shared" si="182"/>
        <v>0</v>
      </c>
      <c r="M222" s="90">
        <f t="shared" si="182"/>
        <v>0</v>
      </c>
      <c r="N222" s="271">
        <f t="shared" si="181"/>
        <v>0</v>
      </c>
    </row>
    <row r="223" spans="1:14" x14ac:dyDescent="0.35">
      <c r="A223" s="272" t="s">
        <v>150</v>
      </c>
      <c r="B223" s="91">
        <f t="shared" ref="B223:M223" si="183">SUM(B220:B222)</f>
        <v>0</v>
      </c>
      <c r="C223" s="91">
        <f t="shared" si="183"/>
        <v>0</v>
      </c>
      <c r="D223" s="91">
        <f t="shared" si="183"/>
        <v>0</v>
      </c>
      <c r="E223" s="91">
        <f t="shared" si="183"/>
        <v>0</v>
      </c>
      <c r="F223" s="91">
        <f t="shared" si="183"/>
        <v>0</v>
      </c>
      <c r="G223" s="91">
        <f t="shared" si="183"/>
        <v>0</v>
      </c>
      <c r="H223" s="91">
        <f t="shared" si="183"/>
        <v>0</v>
      </c>
      <c r="I223" s="91">
        <f t="shared" si="183"/>
        <v>0</v>
      </c>
      <c r="J223" s="91">
        <f t="shared" si="183"/>
        <v>0</v>
      </c>
      <c r="K223" s="91">
        <f t="shared" si="183"/>
        <v>0</v>
      </c>
      <c r="L223" s="91">
        <f t="shared" si="183"/>
        <v>0</v>
      </c>
      <c r="M223" s="91">
        <f t="shared" si="183"/>
        <v>0</v>
      </c>
      <c r="N223" s="271">
        <f t="shared" si="181"/>
        <v>0</v>
      </c>
    </row>
    <row r="224" spans="1:14" x14ac:dyDescent="0.35">
      <c r="A224" s="238" t="s">
        <v>149</v>
      </c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269" t="e">
        <f>+N218/N219</f>
        <v>#DIV/0!</v>
      </c>
    </row>
    <row r="225" spans="1:14" x14ac:dyDescent="0.35">
      <c r="A225" s="235" t="s">
        <v>378</v>
      </c>
      <c r="B225" s="80">
        <f>+B230</f>
        <v>0</v>
      </c>
      <c r="C225" s="80">
        <f t="shared" ref="C225:M225" si="184">+C230</f>
        <v>0</v>
      </c>
      <c r="D225" s="80">
        <f t="shared" si="184"/>
        <v>0</v>
      </c>
      <c r="E225" s="80">
        <f t="shared" si="184"/>
        <v>0</v>
      </c>
      <c r="F225" s="80">
        <f t="shared" si="184"/>
        <v>0</v>
      </c>
      <c r="G225" s="80">
        <f t="shared" si="184"/>
        <v>0</v>
      </c>
      <c r="H225" s="80">
        <f t="shared" si="184"/>
        <v>0</v>
      </c>
      <c r="I225" s="80">
        <f t="shared" si="184"/>
        <v>0</v>
      </c>
      <c r="J225" s="80">
        <f t="shared" si="184"/>
        <v>0</v>
      </c>
      <c r="K225" s="80">
        <f t="shared" si="184"/>
        <v>0</v>
      </c>
      <c r="L225" s="80">
        <f t="shared" si="184"/>
        <v>0</v>
      </c>
      <c r="M225" s="80">
        <f t="shared" si="184"/>
        <v>0</v>
      </c>
      <c r="N225" s="273">
        <f>SUM(B225:M225)</f>
        <v>0</v>
      </c>
    </row>
    <row r="226" spans="1:14" x14ac:dyDescent="0.35">
      <c r="A226" s="238" t="s">
        <v>93</v>
      </c>
      <c r="B226" s="239">
        <f>+'Plan de culture 114'!$AE$37</f>
        <v>0</v>
      </c>
      <c r="C226" s="239">
        <f>+B226</f>
        <v>0</v>
      </c>
      <c r="D226" s="239">
        <f t="shared" ref="D226" si="185">+C226</f>
        <v>0</v>
      </c>
      <c r="E226" s="239">
        <f>+'Plan de culture 104 '!C222</f>
        <v>0</v>
      </c>
      <c r="F226" s="239">
        <f>+E226+'Plan de culture 104 '!D222+'Plan de culture 104 '!E222</f>
        <v>0</v>
      </c>
      <c r="G226" s="239">
        <f>+F226</f>
        <v>0</v>
      </c>
      <c r="H226" s="239">
        <f t="shared" ref="H226:M226" si="186">+G226</f>
        <v>0</v>
      </c>
      <c r="I226" s="239">
        <f t="shared" si="186"/>
        <v>0</v>
      </c>
      <c r="J226" s="239">
        <f t="shared" si="186"/>
        <v>0</v>
      </c>
      <c r="K226" s="239">
        <f t="shared" si="186"/>
        <v>0</v>
      </c>
      <c r="L226" s="239">
        <f t="shared" si="186"/>
        <v>0</v>
      </c>
      <c r="M226" s="239">
        <f t="shared" si="186"/>
        <v>0</v>
      </c>
      <c r="N226" s="240">
        <f>+'Plan de culture 114'!$AE$37</f>
        <v>0</v>
      </c>
    </row>
    <row r="227" spans="1:14" x14ac:dyDescent="0.35">
      <c r="A227" s="270" t="s">
        <v>151</v>
      </c>
      <c r="B227" s="90">
        <f>25200*B226</f>
        <v>0</v>
      </c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271">
        <f t="shared" ref="N227:N230" si="187">SUM(B227:M227)</f>
        <v>0</v>
      </c>
    </row>
    <row r="228" spans="1:14" x14ac:dyDescent="0.35">
      <c r="A228" s="270" t="s">
        <v>152</v>
      </c>
      <c r="B228" s="90">
        <f>5040*B226</f>
        <v>0</v>
      </c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271">
        <f t="shared" si="187"/>
        <v>0</v>
      </c>
    </row>
    <row r="229" spans="1:14" x14ac:dyDescent="0.35">
      <c r="A229" s="270" t="s">
        <v>153</v>
      </c>
      <c r="B229" s="90">
        <f>1000*B226</f>
        <v>0</v>
      </c>
      <c r="C229" s="90">
        <f t="shared" ref="C229:M229" si="188">+B229</f>
        <v>0</v>
      </c>
      <c r="D229" s="90">
        <f t="shared" si="188"/>
        <v>0</v>
      </c>
      <c r="E229" s="90">
        <f t="shared" si="188"/>
        <v>0</v>
      </c>
      <c r="F229" s="90">
        <f t="shared" si="188"/>
        <v>0</v>
      </c>
      <c r="G229" s="90">
        <f t="shared" si="188"/>
        <v>0</v>
      </c>
      <c r="H229" s="90">
        <f t="shared" si="188"/>
        <v>0</v>
      </c>
      <c r="I229" s="90">
        <f t="shared" si="188"/>
        <v>0</v>
      </c>
      <c r="J229" s="90">
        <f t="shared" si="188"/>
        <v>0</v>
      </c>
      <c r="K229" s="90">
        <f t="shared" si="188"/>
        <v>0</v>
      </c>
      <c r="L229" s="90">
        <f t="shared" si="188"/>
        <v>0</v>
      </c>
      <c r="M229" s="90">
        <f t="shared" si="188"/>
        <v>0</v>
      </c>
      <c r="N229" s="271">
        <f t="shared" si="187"/>
        <v>0</v>
      </c>
    </row>
    <row r="230" spans="1:14" x14ac:dyDescent="0.35">
      <c r="A230" s="272" t="s">
        <v>150</v>
      </c>
      <c r="B230" s="91">
        <f t="shared" ref="B230:M230" si="189">SUM(B227:B229)</f>
        <v>0</v>
      </c>
      <c r="C230" s="91">
        <f t="shared" si="189"/>
        <v>0</v>
      </c>
      <c r="D230" s="91">
        <f t="shared" si="189"/>
        <v>0</v>
      </c>
      <c r="E230" s="91">
        <f t="shared" si="189"/>
        <v>0</v>
      </c>
      <c r="F230" s="91">
        <f t="shared" si="189"/>
        <v>0</v>
      </c>
      <c r="G230" s="91">
        <f t="shared" si="189"/>
        <v>0</v>
      </c>
      <c r="H230" s="91">
        <f t="shared" si="189"/>
        <v>0</v>
      </c>
      <c r="I230" s="91">
        <f t="shared" si="189"/>
        <v>0</v>
      </c>
      <c r="J230" s="91">
        <f t="shared" si="189"/>
        <v>0</v>
      </c>
      <c r="K230" s="91">
        <f t="shared" si="189"/>
        <v>0</v>
      </c>
      <c r="L230" s="91">
        <f t="shared" si="189"/>
        <v>0</v>
      </c>
      <c r="M230" s="91">
        <f t="shared" si="189"/>
        <v>0</v>
      </c>
      <c r="N230" s="271">
        <f t="shared" si="187"/>
        <v>0</v>
      </c>
    </row>
    <row r="231" spans="1:14" ht="12" thickBot="1" x14ac:dyDescent="0.4">
      <c r="A231" s="241" t="s">
        <v>149</v>
      </c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74" t="e">
        <f>+N225/N226</f>
        <v>#DIV/0!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N231"/>
  <sheetViews>
    <sheetView topLeftCell="A199" zoomScaleNormal="100" workbookViewId="0">
      <selection activeCell="B226" sqref="B226:N226"/>
    </sheetView>
  </sheetViews>
  <sheetFormatPr baseColWidth="10" defaultColWidth="11.46484375" defaultRowHeight="11.65" x14ac:dyDescent="0.35"/>
  <cols>
    <col min="1" max="1" width="30" style="32" customWidth="1"/>
    <col min="2" max="2" width="7.53125" style="32" bestFit="1" customWidth="1"/>
    <col min="3" max="8" width="7.796875" style="32" bestFit="1" customWidth="1"/>
    <col min="9" max="9" width="7" style="32" bestFit="1" customWidth="1"/>
    <col min="10" max="13" width="7.796875" style="32" bestFit="1" customWidth="1"/>
    <col min="14" max="14" width="8.73046875" style="32" bestFit="1" customWidth="1"/>
    <col min="15" max="16384" width="11.46484375" style="32"/>
  </cols>
  <sheetData>
    <row r="1" spans="1:14" ht="35.25" thickBot="1" x14ac:dyDescent="0.4">
      <c r="A1" s="68" t="s">
        <v>315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255" t="s">
        <v>433</v>
      </c>
      <c r="B4" s="256">
        <f>B7+B52+B97+B142+B187</f>
        <v>0</v>
      </c>
      <c r="C4" s="256">
        <f t="shared" ref="C4:N4" si="1">C7+C52+C97+C142+C187</f>
        <v>0</v>
      </c>
      <c r="D4" s="256">
        <f t="shared" si="1"/>
        <v>0</v>
      </c>
      <c r="E4" s="256">
        <f t="shared" si="1"/>
        <v>0</v>
      </c>
      <c r="F4" s="256">
        <f t="shared" si="1"/>
        <v>0</v>
      </c>
      <c r="G4" s="256">
        <f t="shared" si="1"/>
        <v>0</v>
      </c>
      <c r="H4" s="256">
        <f t="shared" si="1"/>
        <v>0</v>
      </c>
      <c r="I4" s="256">
        <f t="shared" si="1"/>
        <v>0</v>
      </c>
      <c r="J4" s="256">
        <f t="shared" si="1"/>
        <v>0</v>
      </c>
      <c r="K4" s="256">
        <f t="shared" si="1"/>
        <v>0</v>
      </c>
      <c r="L4" s="256">
        <f t="shared" si="1"/>
        <v>0</v>
      </c>
      <c r="M4" s="256">
        <f t="shared" si="1"/>
        <v>0</v>
      </c>
      <c r="N4" s="256">
        <f t="shared" si="1"/>
        <v>0</v>
      </c>
    </row>
    <row r="5" spans="1:14" s="57" customFormat="1" x14ac:dyDescent="0.35">
      <c r="A5" s="255" t="s">
        <v>93</v>
      </c>
      <c r="B5" s="263">
        <f>B8+B53+B98+B143+B188</f>
        <v>46.835000000000008</v>
      </c>
      <c r="C5" s="263">
        <f t="shared" ref="C5:N5" si="2">C8+C53+C98+C143+C188</f>
        <v>46.835000000000008</v>
      </c>
      <c r="D5" s="263">
        <f t="shared" si="2"/>
        <v>46.835000000000008</v>
      </c>
      <c r="E5" s="263">
        <f t="shared" si="2"/>
        <v>46.835000000000008</v>
      </c>
      <c r="F5" s="263">
        <f t="shared" si="2"/>
        <v>46.835000000000008</v>
      </c>
      <c r="G5" s="263">
        <f t="shared" si="2"/>
        <v>46.835000000000008</v>
      </c>
      <c r="H5" s="263">
        <f t="shared" si="2"/>
        <v>46.835000000000008</v>
      </c>
      <c r="I5" s="263">
        <f t="shared" si="2"/>
        <v>46.835000000000008</v>
      </c>
      <c r="J5" s="263">
        <f t="shared" si="2"/>
        <v>46.835000000000008</v>
      </c>
      <c r="K5" s="263">
        <f t="shared" si="2"/>
        <v>46.835000000000008</v>
      </c>
      <c r="L5" s="263">
        <f t="shared" si="2"/>
        <v>46.835000000000008</v>
      </c>
      <c r="M5" s="263">
        <f t="shared" si="2"/>
        <v>46.835000000000008</v>
      </c>
      <c r="N5" s="263">
        <f t="shared" si="2"/>
        <v>46.835000000000008</v>
      </c>
    </row>
    <row r="6" spans="1:14" s="57" customFormat="1" x14ac:dyDescent="0.35">
      <c r="A6" s="255" t="s">
        <v>104</v>
      </c>
      <c r="B6" s="258">
        <f>+B4/B5</f>
        <v>0</v>
      </c>
      <c r="C6" s="258">
        <f t="shared" ref="C6:M6" si="3">+C4/C5</f>
        <v>0</v>
      </c>
      <c r="D6" s="258">
        <f t="shared" si="3"/>
        <v>0</v>
      </c>
      <c r="E6" s="258">
        <f t="shared" si="3"/>
        <v>0</v>
      </c>
      <c r="F6" s="258">
        <f t="shared" si="3"/>
        <v>0</v>
      </c>
      <c r="G6" s="258">
        <f t="shared" si="3"/>
        <v>0</v>
      </c>
      <c r="H6" s="258">
        <f t="shared" si="3"/>
        <v>0</v>
      </c>
      <c r="I6" s="258">
        <f t="shared" si="3"/>
        <v>0</v>
      </c>
      <c r="J6" s="258">
        <f t="shared" si="3"/>
        <v>0</v>
      </c>
      <c r="K6" s="258">
        <f t="shared" si="3"/>
        <v>0</v>
      </c>
      <c r="L6" s="258">
        <f t="shared" si="3"/>
        <v>0</v>
      </c>
      <c r="M6" s="258">
        <f t="shared" si="3"/>
        <v>0</v>
      </c>
      <c r="N6" s="258">
        <f>+N4/N5</f>
        <v>0</v>
      </c>
    </row>
    <row r="7" spans="1:14" s="57" customFormat="1" x14ac:dyDescent="0.35">
      <c r="A7" s="72" t="s">
        <v>434</v>
      </c>
      <c r="B7" s="77">
        <f>+B10+B17</f>
        <v>0</v>
      </c>
      <c r="C7" s="77">
        <f t="shared" ref="C7:M8" si="4">+C10+C17</f>
        <v>0</v>
      </c>
      <c r="D7" s="77">
        <f t="shared" si="4"/>
        <v>0</v>
      </c>
      <c r="E7" s="77">
        <f t="shared" si="4"/>
        <v>0</v>
      </c>
      <c r="F7" s="77">
        <f t="shared" si="4"/>
        <v>0</v>
      </c>
      <c r="G7" s="77">
        <f t="shared" si="4"/>
        <v>0</v>
      </c>
      <c r="H7" s="77">
        <f t="shared" si="4"/>
        <v>0</v>
      </c>
      <c r="I7" s="77">
        <f t="shared" si="4"/>
        <v>0</v>
      </c>
      <c r="J7" s="77">
        <f t="shared" si="4"/>
        <v>0</v>
      </c>
      <c r="K7" s="77">
        <f t="shared" si="4"/>
        <v>0</v>
      </c>
      <c r="L7" s="77">
        <f t="shared" si="4"/>
        <v>0</v>
      </c>
      <c r="M7" s="77">
        <f t="shared" si="4"/>
        <v>0</v>
      </c>
      <c r="N7" s="78">
        <f>SUM(B7:M7)</f>
        <v>0</v>
      </c>
    </row>
    <row r="8" spans="1:14" s="57" customFormat="1" x14ac:dyDescent="0.35">
      <c r="A8" s="72" t="s">
        <v>93</v>
      </c>
      <c r="B8" s="81">
        <f>+B11+B18</f>
        <v>15.350000000000003</v>
      </c>
      <c r="C8" s="81">
        <f t="shared" si="4"/>
        <v>15.350000000000003</v>
      </c>
      <c r="D8" s="81">
        <f t="shared" si="4"/>
        <v>15.350000000000003</v>
      </c>
      <c r="E8" s="81">
        <f t="shared" si="4"/>
        <v>15.350000000000003</v>
      </c>
      <c r="F8" s="81">
        <f t="shared" si="4"/>
        <v>15.350000000000003</v>
      </c>
      <c r="G8" s="81">
        <f t="shared" si="4"/>
        <v>15.350000000000003</v>
      </c>
      <c r="H8" s="81">
        <f t="shared" si="4"/>
        <v>15.350000000000003</v>
      </c>
      <c r="I8" s="81">
        <f t="shared" si="4"/>
        <v>15.350000000000003</v>
      </c>
      <c r="J8" s="81">
        <f t="shared" si="4"/>
        <v>15.350000000000003</v>
      </c>
      <c r="K8" s="81">
        <f t="shared" si="4"/>
        <v>15.350000000000003</v>
      </c>
      <c r="L8" s="81">
        <f t="shared" si="4"/>
        <v>15.350000000000003</v>
      </c>
      <c r="M8" s="81">
        <f t="shared" si="4"/>
        <v>15.350000000000003</v>
      </c>
      <c r="N8" s="82">
        <f>+M8</f>
        <v>15.350000000000003</v>
      </c>
    </row>
    <row r="9" spans="1:14" s="57" customFormat="1" x14ac:dyDescent="0.35">
      <c r="A9" s="72" t="s">
        <v>104</v>
      </c>
      <c r="B9" s="83">
        <f>+B7/B8</f>
        <v>0</v>
      </c>
      <c r="C9" s="83">
        <f>+C7/C8</f>
        <v>0</v>
      </c>
      <c r="D9" s="83">
        <f>+D7/D8</f>
        <v>0</v>
      </c>
      <c r="E9" s="83">
        <f t="shared" ref="E9:N9" si="5">+E7/E8</f>
        <v>0</v>
      </c>
      <c r="F9" s="83">
        <f t="shared" si="5"/>
        <v>0</v>
      </c>
      <c r="G9" s="83">
        <f t="shared" si="5"/>
        <v>0</v>
      </c>
      <c r="H9" s="83">
        <f t="shared" si="5"/>
        <v>0</v>
      </c>
      <c r="I9" s="83">
        <f t="shared" si="5"/>
        <v>0</v>
      </c>
      <c r="J9" s="83">
        <f t="shared" si="5"/>
        <v>0</v>
      </c>
      <c r="K9" s="83">
        <f t="shared" si="5"/>
        <v>0</v>
      </c>
      <c r="L9" s="83">
        <f t="shared" si="5"/>
        <v>0</v>
      </c>
      <c r="M9" s="83">
        <f t="shared" si="5"/>
        <v>0</v>
      </c>
      <c r="N9" s="83">
        <f t="shared" si="5"/>
        <v>0</v>
      </c>
    </row>
    <row r="10" spans="1:14" x14ac:dyDescent="0.35">
      <c r="A10" s="65" t="s">
        <v>90</v>
      </c>
      <c r="B10" s="80">
        <f>+B13+B15</f>
        <v>0</v>
      </c>
      <c r="C10" s="80">
        <f t="shared" ref="C10:M10" si="6">+C13+C15</f>
        <v>0</v>
      </c>
      <c r="D10" s="80">
        <f t="shared" si="6"/>
        <v>0</v>
      </c>
      <c r="E10" s="80">
        <f t="shared" si="6"/>
        <v>0</v>
      </c>
      <c r="F10" s="80">
        <f t="shared" si="6"/>
        <v>0</v>
      </c>
      <c r="G10" s="80">
        <f t="shared" si="6"/>
        <v>0</v>
      </c>
      <c r="H10" s="80">
        <f t="shared" si="6"/>
        <v>0</v>
      </c>
      <c r="I10" s="80">
        <f t="shared" si="6"/>
        <v>0</v>
      </c>
      <c r="J10" s="80">
        <f t="shared" si="6"/>
        <v>0</v>
      </c>
      <c r="K10" s="80">
        <f t="shared" si="6"/>
        <v>0</v>
      </c>
      <c r="L10" s="80">
        <f t="shared" si="6"/>
        <v>0</v>
      </c>
      <c r="M10" s="80">
        <f t="shared" si="6"/>
        <v>0</v>
      </c>
      <c r="N10" s="80">
        <f>SUM(B10:M10)</f>
        <v>0</v>
      </c>
    </row>
    <row r="11" spans="1:14" x14ac:dyDescent="0.35">
      <c r="A11" s="32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7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7"/>
        <v>15.350000000000003</v>
      </c>
      <c r="I11" s="239">
        <f t="shared" si="7"/>
        <v>15.350000000000003</v>
      </c>
      <c r="J11" s="239">
        <f t="shared" si="7"/>
        <v>15.350000000000003</v>
      </c>
      <c r="K11" s="239">
        <f t="shared" si="7"/>
        <v>15.350000000000003</v>
      </c>
      <c r="L11" s="239">
        <f t="shared" si="7"/>
        <v>15.350000000000003</v>
      </c>
      <c r="M11" s="239">
        <f t="shared" si="7"/>
        <v>15.350000000000003</v>
      </c>
      <c r="N11" s="240">
        <f>+'Plan de culture 104 '!X7</f>
        <v>15.350000000000003</v>
      </c>
    </row>
    <row r="12" spans="1:14" x14ac:dyDescent="0.35">
      <c r="A12" s="89" t="s">
        <v>105</v>
      </c>
      <c r="B12" s="90">
        <v>0</v>
      </c>
      <c r="C12" s="90">
        <f>+B12</f>
        <v>0</v>
      </c>
      <c r="D12" s="90">
        <f>+C12</f>
        <v>0</v>
      </c>
      <c r="E12" s="90">
        <f t="shared" ref="E12:M12" si="8">+D12</f>
        <v>0</v>
      </c>
      <c r="F12" s="90">
        <f t="shared" si="8"/>
        <v>0</v>
      </c>
      <c r="G12" s="90">
        <f t="shared" si="8"/>
        <v>0</v>
      </c>
      <c r="H12" s="90">
        <f t="shared" si="8"/>
        <v>0</v>
      </c>
      <c r="I12" s="90">
        <f t="shared" si="8"/>
        <v>0</v>
      </c>
      <c r="J12" s="90">
        <f t="shared" si="8"/>
        <v>0</v>
      </c>
      <c r="K12" s="90">
        <f t="shared" si="8"/>
        <v>0</v>
      </c>
      <c r="L12" s="90">
        <f t="shared" si="8"/>
        <v>0</v>
      </c>
      <c r="M12" s="90">
        <f t="shared" si="8"/>
        <v>0</v>
      </c>
      <c r="N12" s="91">
        <f>+N13/N11</f>
        <v>0</v>
      </c>
    </row>
    <row r="13" spans="1:14" x14ac:dyDescent="0.35">
      <c r="A13" s="89" t="s">
        <v>106</v>
      </c>
      <c r="B13" s="90">
        <f>+B12*B11</f>
        <v>0</v>
      </c>
      <c r="C13" s="90">
        <f t="shared" ref="C13:M13" si="9">+C12*C11</f>
        <v>0</v>
      </c>
      <c r="D13" s="90">
        <f t="shared" si="9"/>
        <v>0</v>
      </c>
      <c r="E13" s="90">
        <f t="shared" si="9"/>
        <v>0</v>
      </c>
      <c r="F13" s="90">
        <f t="shared" si="9"/>
        <v>0</v>
      </c>
      <c r="G13" s="90">
        <f t="shared" si="9"/>
        <v>0</v>
      </c>
      <c r="H13" s="90">
        <f t="shared" si="9"/>
        <v>0</v>
      </c>
      <c r="I13" s="90">
        <f t="shared" si="9"/>
        <v>0</v>
      </c>
      <c r="J13" s="90">
        <f t="shared" si="9"/>
        <v>0</v>
      </c>
      <c r="K13" s="90">
        <f t="shared" si="9"/>
        <v>0</v>
      </c>
      <c r="L13" s="90">
        <f t="shared" si="9"/>
        <v>0</v>
      </c>
      <c r="M13" s="90">
        <f t="shared" si="9"/>
        <v>0</v>
      </c>
      <c r="N13" s="91">
        <f>SUM(B13:M13)</f>
        <v>0</v>
      </c>
    </row>
    <row r="14" spans="1:14" x14ac:dyDescent="0.35">
      <c r="A14" s="89" t="s">
        <v>107</v>
      </c>
      <c r="B14" s="90">
        <v>0</v>
      </c>
      <c r="C14" s="90">
        <v>0</v>
      </c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1">
        <f>+N15/N11</f>
        <v>0</v>
      </c>
    </row>
    <row r="15" spans="1:14" x14ac:dyDescent="0.35">
      <c r="A15" s="89" t="s">
        <v>108</v>
      </c>
      <c r="B15" s="90">
        <f>+B14*B11</f>
        <v>0</v>
      </c>
      <c r="C15" s="90">
        <f t="shared" ref="C15:M15" si="10">+C14*C11</f>
        <v>0</v>
      </c>
      <c r="D15" s="90">
        <f t="shared" si="10"/>
        <v>0</v>
      </c>
      <c r="E15" s="90">
        <f t="shared" si="10"/>
        <v>0</v>
      </c>
      <c r="F15" s="90">
        <f t="shared" si="10"/>
        <v>0</v>
      </c>
      <c r="G15" s="90">
        <f t="shared" si="10"/>
        <v>0</v>
      </c>
      <c r="H15" s="90">
        <f t="shared" si="10"/>
        <v>0</v>
      </c>
      <c r="I15" s="90">
        <f t="shared" si="10"/>
        <v>0</v>
      </c>
      <c r="J15" s="90">
        <f t="shared" si="10"/>
        <v>0</v>
      </c>
      <c r="K15" s="90">
        <f t="shared" si="10"/>
        <v>0</v>
      </c>
      <c r="L15" s="90">
        <f t="shared" si="10"/>
        <v>0</v>
      </c>
      <c r="M15" s="90">
        <f t="shared" si="10"/>
        <v>0</v>
      </c>
      <c r="N15" s="91">
        <f>SUM(B15:M15)</f>
        <v>0</v>
      </c>
    </row>
    <row r="16" spans="1:14" x14ac:dyDescent="0.35">
      <c r="A16" s="32" t="s">
        <v>104</v>
      </c>
      <c r="B16" s="62">
        <f>+B10/B11</f>
        <v>0</v>
      </c>
      <c r="C16" s="62">
        <f t="shared" ref="C16:N16" si="11">+C10/C11</f>
        <v>0</v>
      </c>
      <c r="D16" s="62">
        <f t="shared" si="11"/>
        <v>0</v>
      </c>
      <c r="E16" s="62">
        <f t="shared" si="11"/>
        <v>0</v>
      </c>
      <c r="F16" s="62">
        <f t="shared" si="11"/>
        <v>0</v>
      </c>
      <c r="G16" s="62">
        <f t="shared" si="11"/>
        <v>0</v>
      </c>
      <c r="H16" s="62">
        <f t="shared" si="11"/>
        <v>0</v>
      </c>
      <c r="I16" s="62">
        <f t="shared" si="11"/>
        <v>0</v>
      </c>
      <c r="J16" s="62">
        <f t="shared" si="11"/>
        <v>0</v>
      </c>
      <c r="K16" s="62">
        <f t="shared" si="11"/>
        <v>0</v>
      </c>
      <c r="L16" s="62">
        <f t="shared" si="11"/>
        <v>0</v>
      </c>
      <c r="M16" s="62">
        <f t="shared" si="11"/>
        <v>0</v>
      </c>
      <c r="N16" s="84">
        <f t="shared" si="11"/>
        <v>0</v>
      </c>
    </row>
    <row r="17" spans="1:14" x14ac:dyDescent="0.35">
      <c r="A17" s="65" t="s">
        <v>91</v>
      </c>
      <c r="B17" s="80">
        <f>+B20+B22</f>
        <v>0</v>
      </c>
      <c r="C17" s="80">
        <f t="shared" ref="C17:M17" si="12">+C20+C22</f>
        <v>0</v>
      </c>
      <c r="D17" s="80">
        <f t="shared" si="12"/>
        <v>0</v>
      </c>
      <c r="E17" s="80">
        <f t="shared" si="12"/>
        <v>0</v>
      </c>
      <c r="F17" s="80">
        <f t="shared" si="12"/>
        <v>0</v>
      </c>
      <c r="G17" s="80">
        <f t="shared" si="12"/>
        <v>0</v>
      </c>
      <c r="H17" s="80">
        <f t="shared" si="12"/>
        <v>0</v>
      </c>
      <c r="I17" s="80">
        <f t="shared" si="12"/>
        <v>0</v>
      </c>
      <c r="J17" s="80">
        <f t="shared" si="12"/>
        <v>0</v>
      </c>
      <c r="K17" s="80">
        <f t="shared" si="12"/>
        <v>0</v>
      </c>
      <c r="L17" s="80">
        <f t="shared" si="12"/>
        <v>0</v>
      </c>
      <c r="M17" s="80">
        <f t="shared" si="12"/>
        <v>0</v>
      </c>
      <c r="N17" s="92">
        <f>SUM(B17:M17)</f>
        <v>0</v>
      </c>
    </row>
    <row r="18" spans="1:14" x14ac:dyDescent="0.35">
      <c r="A18" s="32" t="s">
        <v>93</v>
      </c>
      <c r="B18" s="239">
        <f>+'Plan de culture 104 '!$X$13</f>
        <v>0</v>
      </c>
      <c r="C18" s="239">
        <f>+B18</f>
        <v>0</v>
      </c>
      <c r="D18" s="239">
        <f t="shared" ref="D18:M18" si="13">+C18</f>
        <v>0</v>
      </c>
      <c r="E18" s="239">
        <f t="shared" si="13"/>
        <v>0</v>
      </c>
      <c r="F18" s="239">
        <f t="shared" si="13"/>
        <v>0</v>
      </c>
      <c r="G18" s="239">
        <f t="shared" si="13"/>
        <v>0</v>
      </c>
      <c r="H18" s="239">
        <f t="shared" si="13"/>
        <v>0</v>
      </c>
      <c r="I18" s="239">
        <f t="shared" si="13"/>
        <v>0</v>
      </c>
      <c r="J18" s="239">
        <f t="shared" si="13"/>
        <v>0</v>
      </c>
      <c r="K18" s="239">
        <f t="shared" si="13"/>
        <v>0</v>
      </c>
      <c r="L18" s="239">
        <f t="shared" si="13"/>
        <v>0</v>
      </c>
      <c r="M18" s="239">
        <f t="shared" si="13"/>
        <v>0</v>
      </c>
      <c r="N18" s="240">
        <f>+'Plan de culture 104 '!$X$13</f>
        <v>0</v>
      </c>
    </row>
    <row r="19" spans="1:14" x14ac:dyDescent="0.35">
      <c r="A19" s="89" t="s">
        <v>105</v>
      </c>
      <c r="B19" s="90">
        <v>0</v>
      </c>
      <c r="C19" s="90">
        <f>+B19</f>
        <v>0</v>
      </c>
      <c r="D19" s="90">
        <f>+C19</f>
        <v>0</v>
      </c>
      <c r="E19" s="90">
        <f t="shared" ref="E19:M19" si="14">+D19</f>
        <v>0</v>
      </c>
      <c r="F19" s="90">
        <f t="shared" si="14"/>
        <v>0</v>
      </c>
      <c r="G19" s="90">
        <f t="shared" si="14"/>
        <v>0</v>
      </c>
      <c r="H19" s="90">
        <f t="shared" si="14"/>
        <v>0</v>
      </c>
      <c r="I19" s="90">
        <f t="shared" si="14"/>
        <v>0</v>
      </c>
      <c r="J19" s="90">
        <f t="shared" si="14"/>
        <v>0</v>
      </c>
      <c r="K19" s="90">
        <f t="shared" si="14"/>
        <v>0</v>
      </c>
      <c r="L19" s="90">
        <f t="shared" si="14"/>
        <v>0</v>
      </c>
      <c r="M19" s="90">
        <f t="shared" si="14"/>
        <v>0</v>
      </c>
      <c r="N19" s="91" t="e">
        <f>+N20/N18</f>
        <v>#DIV/0!</v>
      </c>
    </row>
    <row r="20" spans="1:14" x14ac:dyDescent="0.35">
      <c r="A20" s="89" t="s">
        <v>106</v>
      </c>
      <c r="B20" s="90">
        <f>+B19*B18</f>
        <v>0</v>
      </c>
      <c r="C20" s="90">
        <f t="shared" ref="C20:M20" si="15">+C19*C18</f>
        <v>0</v>
      </c>
      <c r="D20" s="90">
        <f t="shared" si="15"/>
        <v>0</v>
      </c>
      <c r="E20" s="90">
        <f t="shared" si="15"/>
        <v>0</v>
      </c>
      <c r="F20" s="90">
        <f t="shared" si="15"/>
        <v>0</v>
      </c>
      <c r="G20" s="90">
        <f t="shared" si="15"/>
        <v>0</v>
      </c>
      <c r="H20" s="90">
        <f t="shared" si="15"/>
        <v>0</v>
      </c>
      <c r="I20" s="90">
        <f t="shared" si="15"/>
        <v>0</v>
      </c>
      <c r="J20" s="90">
        <f t="shared" si="15"/>
        <v>0</v>
      </c>
      <c r="K20" s="90">
        <f t="shared" si="15"/>
        <v>0</v>
      </c>
      <c r="L20" s="90">
        <f t="shared" si="15"/>
        <v>0</v>
      </c>
      <c r="M20" s="90">
        <f t="shared" si="15"/>
        <v>0</v>
      </c>
      <c r="N20" s="91">
        <f>SUM(B20:M20)</f>
        <v>0</v>
      </c>
    </row>
    <row r="21" spans="1:14" x14ac:dyDescent="0.35">
      <c r="A21" s="89" t="s">
        <v>107</v>
      </c>
      <c r="B21" s="90">
        <v>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1" t="e">
        <f>+N22/N18</f>
        <v>#DIV/0!</v>
      </c>
    </row>
    <row r="22" spans="1:14" x14ac:dyDescent="0.35">
      <c r="A22" s="89" t="s">
        <v>108</v>
      </c>
      <c r="B22" s="90">
        <f>+B21*B18</f>
        <v>0</v>
      </c>
      <c r="C22" s="90">
        <f t="shared" ref="C22:M22" si="16">+C21*C18</f>
        <v>0</v>
      </c>
      <c r="D22" s="90">
        <f t="shared" si="16"/>
        <v>0</v>
      </c>
      <c r="E22" s="90">
        <f t="shared" si="16"/>
        <v>0</v>
      </c>
      <c r="F22" s="90">
        <f t="shared" si="16"/>
        <v>0</v>
      </c>
      <c r="G22" s="90">
        <f t="shared" si="16"/>
        <v>0</v>
      </c>
      <c r="H22" s="90">
        <f t="shared" si="16"/>
        <v>0</v>
      </c>
      <c r="I22" s="90">
        <f t="shared" si="16"/>
        <v>0</v>
      </c>
      <c r="J22" s="90">
        <f t="shared" si="16"/>
        <v>0</v>
      </c>
      <c r="K22" s="90">
        <f t="shared" si="16"/>
        <v>0</v>
      </c>
      <c r="L22" s="90">
        <f t="shared" si="16"/>
        <v>0</v>
      </c>
      <c r="M22" s="90">
        <f t="shared" si="16"/>
        <v>0</v>
      </c>
      <c r="N22" s="91">
        <f>SUM(B22:M22)</f>
        <v>0</v>
      </c>
    </row>
    <row r="23" spans="1:14" x14ac:dyDescent="0.35">
      <c r="A23" s="32" t="s">
        <v>104</v>
      </c>
      <c r="B23" s="62" t="e">
        <f>+B17/B18</f>
        <v>#DIV/0!</v>
      </c>
      <c r="C23" s="62" t="e">
        <f t="shared" ref="C23:N23" si="17">+C17/C18</f>
        <v>#DIV/0!</v>
      </c>
      <c r="D23" s="62" t="e">
        <f t="shared" si="17"/>
        <v>#DIV/0!</v>
      </c>
      <c r="E23" s="62" t="e">
        <f t="shared" si="17"/>
        <v>#DIV/0!</v>
      </c>
      <c r="F23" s="62" t="e">
        <f t="shared" si="17"/>
        <v>#DIV/0!</v>
      </c>
      <c r="G23" s="62" t="e">
        <f t="shared" si="17"/>
        <v>#DIV/0!</v>
      </c>
      <c r="H23" s="62" t="e">
        <f t="shared" si="17"/>
        <v>#DIV/0!</v>
      </c>
      <c r="I23" s="62" t="e">
        <f t="shared" si="17"/>
        <v>#DIV/0!</v>
      </c>
      <c r="J23" s="62" t="e">
        <f t="shared" si="17"/>
        <v>#DIV/0!</v>
      </c>
      <c r="K23" s="62" t="e">
        <f t="shared" si="17"/>
        <v>#DIV/0!</v>
      </c>
      <c r="L23" s="62" t="e">
        <f t="shared" si="17"/>
        <v>#DIV/0!</v>
      </c>
      <c r="M23" s="62" t="e">
        <f t="shared" si="17"/>
        <v>#DIV/0!</v>
      </c>
      <c r="N23" s="84" t="e">
        <f t="shared" si="17"/>
        <v>#DIV/0!</v>
      </c>
    </row>
    <row r="24" spans="1:14" x14ac:dyDescent="0.35">
      <c r="A24" s="65" t="s">
        <v>376</v>
      </c>
      <c r="B24" s="80">
        <f>+B27+B29</f>
        <v>0</v>
      </c>
      <c r="C24" s="80">
        <f t="shared" ref="C24:M24" si="18">+C27+C29</f>
        <v>0</v>
      </c>
      <c r="D24" s="80">
        <f t="shared" si="18"/>
        <v>0</v>
      </c>
      <c r="E24" s="80">
        <f t="shared" si="18"/>
        <v>0</v>
      </c>
      <c r="F24" s="80">
        <f t="shared" si="18"/>
        <v>0</v>
      </c>
      <c r="G24" s="80">
        <f t="shared" si="18"/>
        <v>0</v>
      </c>
      <c r="H24" s="80">
        <f t="shared" si="18"/>
        <v>0</v>
      </c>
      <c r="I24" s="80">
        <f t="shared" si="18"/>
        <v>0</v>
      </c>
      <c r="J24" s="80">
        <f t="shared" si="18"/>
        <v>0</v>
      </c>
      <c r="K24" s="80">
        <f t="shared" si="18"/>
        <v>0</v>
      </c>
      <c r="L24" s="80">
        <f t="shared" si="18"/>
        <v>0</v>
      </c>
      <c r="M24" s="80">
        <f t="shared" si="18"/>
        <v>0</v>
      </c>
      <c r="N24" s="92">
        <f>SUM(B24:M24)</f>
        <v>0</v>
      </c>
    </row>
    <row r="25" spans="1:14" x14ac:dyDescent="0.35">
      <c r="A25" s="32" t="s">
        <v>93</v>
      </c>
      <c r="B25" s="239">
        <f>+'Plan de culture 104 '!$X$19</f>
        <v>0</v>
      </c>
      <c r="C25" s="239">
        <f>+B25</f>
        <v>0</v>
      </c>
      <c r="D25" s="239">
        <f t="shared" ref="D25" si="19">+C25</f>
        <v>0</v>
      </c>
      <c r="E25" s="239">
        <f>+'Plan de culture 104 '!C21</f>
        <v>0</v>
      </c>
      <c r="F25" s="239">
        <f>+E25+'Plan de culture 104 '!D21+'Plan de culture 104 '!E21</f>
        <v>0</v>
      </c>
      <c r="G25" s="239">
        <f>+F25</f>
        <v>0</v>
      </c>
      <c r="H25" s="239">
        <f t="shared" ref="H25:M25" si="20">+G25</f>
        <v>0</v>
      </c>
      <c r="I25" s="239">
        <f t="shared" si="20"/>
        <v>0</v>
      </c>
      <c r="J25" s="239">
        <f t="shared" si="20"/>
        <v>0</v>
      </c>
      <c r="K25" s="239">
        <f t="shared" si="20"/>
        <v>0</v>
      </c>
      <c r="L25" s="239">
        <f t="shared" si="20"/>
        <v>0</v>
      </c>
      <c r="M25" s="239">
        <f t="shared" si="20"/>
        <v>0</v>
      </c>
      <c r="N25" s="240">
        <f>+'Plan de culture 104 '!$X$19</f>
        <v>0</v>
      </c>
    </row>
    <row r="26" spans="1:14" x14ac:dyDescent="0.35">
      <c r="A26" s="89" t="s">
        <v>105</v>
      </c>
      <c r="B26" s="90">
        <v>0</v>
      </c>
      <c r="C26" s="90">
        <f>+B26</f>
        <v>0</v>
      </c>
      <c r="D26" s="90">
        <f>+C26</f>
        <v>0</v>
      </c>
      <c r="E26" s="90">
        <f t="shared" ref="E26:M26" si="21">+D26</f>
        <v>0</v>
      </c>
      <c r="F26" s="90">
        <f t="shared" si="21"/>
        <v>0</v>
      </c>
      <c r="G26" s="90">
        <f t="shared" si="21"/>
        <v>0</v>
      </c>
      <c r="H26" s="90">
        <f t="shared" si="21"/>
        <v>0</v>
      </c>
      <c r="I26" s="90">
        <f t="shared" si="21"/>
        <v>0</v>
      </c>
      <c r="J26" s="90">
        <f t="shared" si="21"/>
        <v>0</v>
      </c>
      <c r="K26" s="90">
        <f t="shared" si="21"/>
        <v>0</v>
      </c>
      <c r="L26" s="90">
        <f t="shared" si="21"/>
        <v>0</v>
      </c>
      <c r="M26" s="90">
        <f t="shared" si="21"/>
        <v>0</v>
      </c>
      <c r="N26" s="91" t="e">
        <f>+N27/N25</f>
        <v>#DIV/0!</v>
      </c>
    </row>
    <row r="27" spans="1:14" x14ac:dyDescent="0.35">
      <c r="A27" s="89" t="s">
        <v>106</v>
      </c>
      <c r="B27" s="90">
        <f>+B26*B25</f>
        <v>0</v>
      </c>
      <c r="C27" s="90">
        <f t="shared" ref="C27:M27" si="22">+C26*C25</f>
        <v>0</v>
      </c>
      <c r="D27" s="90">
        <f t="shared" si="22"/>
        <v>0</v>
      </c>
      <c r="E27" s="90">
        <f t="shared" si="22"/>
        <v>0</v>
      </c>
      <c r="F27" s="90">
        <f t="shared" si="22"/>
        <v>0</v>
      </c>
      <c r="G27" s="90">
        <f t="shared" si="22"/>
        <v>0</v>
      </c>
      <c r="H27" s="90">
        <f t="shared" si="22"/>
        <v>0</v>
      </c>
      <c r="I27" s="90">
        <f t="shared" si="22"/>
        <v>0</v>
      </c>
      <c r="J27" s="90">
        <f t="shared" si="22"/>
        <v>0</v>
      </c>
      <c r="K27" s="90">
        <f t="shared" si="22"/>
        <v>0</v>
      </c>
      <c r="L27" s="90">
        <f t="shared" si="22"/>
        <v>0</v>
      </c>
      <c r="M27" s="90">
        <f t="shared" si="22"/>
        <v>0</v>
      </c>
      <c r="N27" s="91">
        <f>SUM(B27:M27)</f>
        <v>0</v>
      </c>
    </row>
    <row r="28" spans="1:14" x14ac:dyDescent="0.35">
      <c r="A28" s="89" t="s">
        <v>107</v>
      </c>
      <c r="B28" s="90">
        <v>0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1" t="e">
        <f>+N29/N25</f>
        <v>#DIV/0!</v>
      </c>
    </row>
    <row r="29" spans="1:14" x14ac:dyDescent="0.35">
      <c r="A29" s="89" t="s">
        <v>108</v>
      </c>
      <c r="B29" s="90">
        <f>+B28*B25</f>
        <v>0</v>
      </c>
      <c r="C29" s="90">
        <f t="shared" ref="C29:M29" si="23">+C28*C25</f>
        <v>0</v>
      </c>
      <c r="D29" s="90">
        <f t="shared" si="23"/>
        <v>0</v>
      </c>
      <c r="E29" s="90">
        <f t="shared" si="23"/>
        <v>0</v>
      </c>
      <c r="F29" s="90">
        <f t="shared" si="23"/>
        <v>0</v>
      </c>
      <c r="G29" s="90">
        <f t="shared" si="23"/>
        <v>0</v>
      </c>
      <c r="H29" s="90">
        <f t="shared" si="23"/>
        <v>0</v>
      </c>
      <c r="I29" s="90">
        <f t="shared" si="23"/>
        <v>0</v>
      </c>
      <c r="J29" s="90">
        <f t="shared" si="23"/>
        <v>0</v>
      </c>
      <c r="K29" s="90">
        <f t="shared" si="23"/>
        <v>0</v>
      </c>
      <c r="L29" s="90">
        <f t="shared" si="23"/>
        <v>0</v>
      </c>
      <c r="M29" s="90">
        <f t="shared" si="23"/>
        <v>0</v>
      </c>
      <c r="N29" s="91">
        <f>SUM(B29:M29)</f>
        <v>0</v>
      </c>
    </row>
    <row r="30" spans="1:14" x14ac:dyDescent="0.35">
      <c r="A30" s="32" t="s">
        <v>104</v>
      </c>
      <c r="B30" s="62" t="e">
        <f>+B24/B25</f>
        <v>#DIV/0!</v>
      </c>
      <c r="C30" s="62" t="e">
        <f t="shared" ref="C30:N30" si="24">+C24/C25</f>
        <v>#DIV/0!</v>
      </c>
      <c r="D30" s="62" t="e">
        <f t="shared" si="24"/>
        <v>#DIV/0!</v>
      </c>
      <c r="E30" s="62" t="e">
        <f t="shared" si="24"/>
        <v>#DIV/0!</v>
      </c>
      <c r="F30" s="62" t="e">
        <f t="shared" si="24"/>
        <v>#DIV/0!</v>
      </c>
      <c r="G30" s="62" t="e">
        <f t="shared" si="24"/>
        <v>#DIV/0!</v>
      </c>
      <c r="H30" s="62" t="e">
        <f t="shared" si="24"/>
        <v>#DIV/0!</v>
      </c>
      <c r="I30" s="62" t="e">
        <f t="shared" si="24"/>
        <v>#DIV/0!</v>
      </c>
      <c r="J30" s="62" t="e">
        <f t="shared" si="24"/>
        <v>#DIV/0!</v>
      </c>
      <c r="K30" s="62" t="e">
        <f t="shared" si="24"/>
        <v>#DIV/0!</v>
      </c>
      <c r="L30" s="62" t="e">
        <f t="shared" si="24"/>
        <v>#DIV/0!</v>
      </c>
      <c r="M30" s="62" t="e">
        <f t="shared" si="24"/>
        <v>#DIV/0!</v>
      </c>
      <c r="N30" s="84" t="e">
        <f t="shared" si="24"/>
        <v>#DIV/0!</v>
      </c>
    </row>
    <row r="31" spans="1:14" x14ac:dyDescent="0.35">
      <c r="A31" s="65" t="s">
        <v>92</v>
      </c>
      <c r="B31" s="80">
        <f>+B34+B36</f>
        <v>0</v>
      </c>
      <c r="C31" s="80">
        <f t="shared" ref="C31:M31" si="25">+C34+C36</f>
        <v>0</v>
      </c>
      <c r="D31" s="80">
        <f t="shared" si="25"/>
        <v>0</v>
      </c>
      <c r="E31" s="80">
        <f t="shared" si="25"/>
        <v>0</v>
      </c>
      <c r="F31" s="80">
        <f t="shared" si="25"/>
        <v>0</v>
      </c>
      <c r="G31" s="80">
        <f t="shared" si="25"/>
        <v>0</v>
      </c>
      <c r="H31" s="80">
        <f t="shared" si="25"/>
        <v>0</v>
      </c>
      <c r="I31" s="80">
        <f t="shared" si="25"/>
        <v>0</v>
      </c>
      <c r="J31" s="80">
        <f t="shared" si="25"/>
        <v>0</v>
      </c>
      <c r="K31" s="80">
        <f t="shared" si="25"/>
        <v>0</v>
      </c>
      <c r="L31" s="80">
        <f t="shared" si="25"/>
        <v>0</v>
      </c>
      <c r="M31" s="80">
        <f t="shared" si="25"/>
        <v>0</v>
      </c>
      <c r="N31" s="92">
        <f>SUM(B31:M31)</f>
        <v>0</v>
      </c>
    </row>
    <row r="32" spans="1:14" x14ac:dyDescent="0.35">
      <c r="A32" s="32" t="s">
        <v>93</v>
      </c>
      <c r="B32" s="239">
        <f>+'Plan de culture 104 '!$X$25</f>
        <v>0</v>
      </c>
      <c r="C32" s="239">
        <f>+B32</f>
        <v>0</v>
      </c>
      <c r="D32" s="239">
        <f t="shared" ref="D32" si="26">+C32</f>
        <v>0</v>
      </c>
      <c r="E32" s="239">
        <f>+'Plan de culture 104 '!C28</f>
        <v>0</v>
      </c>
      <c r="F32" s="239">
        <f>+E32+'Plan de culture 104 '!D28+'Plan de culture 104 '!E28</f>
        <v>0</v>
      </c>
      <c r="G32" s="239">
        <f>+F32</f>
        <v>0</v>
      </c>
      <c r="H32" s="239">
        <f t="shared" ref="H32:M32" si="27">+G32</f>
        <v>0</v>
      </c>
      <c r="I32" s="239">
        <f t="shared" si="27"/>
        <v>0</v>
      </c>
      <c r="J32" s="239">
        <f t="shared" si="27"/>
        <v>0</v>
      </c>
      <c r="K32" s="239">
        <f t="shared" si="27"/>
        <v>0</v>
      </c>
      <c r="L32" s="239">
        <f t="shared" si="27"/>
        <v>0</v>
      </c>
      <c r="M32" s="239">
        <f t="shared" si="27"/>
        <v>0</v>
      </c>
      <c r="N32" s="240">
        <f>+'Plan de culture 104 '!$X$25</f>
        <v>0</v>
      </c>
    </row>
    <row r="33" spans="1:14" x14ac:dyDescent="0.35">
      <c r="A33" s="89" t="s">
        <v>105</v>
      </c>
      <c r="B33" s="90">
        <v>0</v>
      </c>
      <c r="C33" s="90">
        <f>+B33</f>
        <v>0</v>
      </c>
      <c r="D33" s="90">
        <f>+C33</f>
        <v>0</v>
      </c>
      <c r="E33" s="90">
        <f t="shared" ref="E33:M33" si="28">+D33</f>
        <v>0</v>
      </c>
      <c r="F33" s="90">
        <f t="shared" si="28"/>
        <v>0</v>
      </c>
      <c r="G33" s="90">
        <f t="shared" si="28"/>
        <v>0</v>
      </c>
      <c r="H33" s="90">
        <f t="shared" si="28"/>
        <v>0</v>
      </c>
      <c r="I33" s="90">
        <f t="shared" si="28"/>
        <v>0</v>
      </c>
      <c r="J33" s="90">
        <f t="shared" si="28"/>
        <v>0</v>
      </c>
      <c r="K33" s="90">
        <f t="shared" si="28"/>
        <v>0</v>
      </c>
      <c r="L33" s="90">
        <f t="shared" si="28"/>
        <v>0</v>
      </c>
      <c r="M33" s="90">
        <f t="shared" si="28"/>
        <v>0</v>
      </c>
      <c r="N33" s="91" t="e">
        <f>+N34/N32</f>
        <v>#DIV/0!</v>
      </c>
    </row>
    <row r="34" spans="1:14" x14ac:dyDescent="0.35">
      <c r="A34" s="89" t="s">
        <v>106</v>
      </c>
      <c r="B34" s="90">
        <f>+B33*B32</f>
        <v>0</v>
      </c>
      <c r="C34" s="90">
        <f t="shared" ref="C34:M34" si="29">+C33*C32</f>
        <v>0</v>
      </c>
      <c r="D34" s="90">
        <f t="shared" si="29"/>
        <v>0</v>
      </c>
      <c r="E34" s="90">
        <f t="shared" si="29"/>
        <v>0</v>
      </c>
      <c r="F34" s="90">
        <f t="shared" si="29"/>
        <v>0</v>
      </c>
      <c r="G34" s="90">
        <f t="shared" si="29"/>
        <v>0</v>
      </c>
      <c r="H34" s="90">
        <f t="shared" si="29"/>
        <v>0</v>
      </c>
      <c r="I34" s="90">
        <f t="shared" si="29"/>
        <v>0</v>
      </c>
      <c r="J34" s="90">
        <f t="shared" si="29"/>
        <v>0</v>
      </c>
      <c r="K34" s="90">
        <f t="shared" si="29"/>
        <v>0</v>
      </c>
      <c r="L34" s="90">
        <f t="shared" si="29"/>
        <v>0</v>
      </c>
      <c r="M34" s="90">
        <f t="shared" si="29"/>
        <v>0</v>
      </c>
      <c r="N34" s="91">
        <f>SUM(B34:M34)</f>
        <v>0</v>
      </c>
    </row>
    <row r="35" spans="1:14" x14ac:dyDescent="0.35">
      <c r="A35" s="89" t="s">
        <v>107</v>
      </c>
      <c r="B35" s="90">
        <v>0</v>
      </c>
      <c r="C35" s="90">
        <v>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1" t="e">
        <f>+N36/N32</f>
        <v>#DIV/0!</v>
      </c>
    </row>
    <row r="36" spans="1:14" x14ac:dyDescent="0.35">
      <c r="A36" s="89" t="s">
        <v>108</v>
      </c>
      <c r="B36" s="90">
        <f>+B35*B32</f>
        <v>0</v>
      </c>
      <c r="C36" s="90">
        <f t="shared" ref="C36:M36" si="30">+C35*C32</f>
        <v>0</v>
      </c>
      <c r="D36" s="90">
        <f t="shared" si="30"/>
        <v>0</v>
      </c>
      <c r="E36" s="90">
        <f t="shared" si="30"/>
        <v>0</v>
      </c>
      <c r="F36" s="90">
        <f t="shared" si="30"/>
        <v>0</v>
      </c>
      <c r="G36" s="90">
        <f t="shared" si="30"/>
        <v>0</v>
      </c>
      <c r="H36" s="90">
        <f t="shared" si="30"/>
        <v>0</v>
      </c>
      <c r="I36" s="90">
        <f t="shared" si="30"/>
        <v>0</v>
      </c>
      <c r="J36" s="90">
        <f t="shared" si="30"/>
        <v>0</v>
      </c>
      <c r="K36" s="90">
        <f t="shared" si="30"/>
        <v>0</v>
      </c>
      <c r="L36" s="90">
        <f t="shared" si="30"/>
        <v>0</v>
      </c>
      <c r="M36" s="90">
        <f t="shared" si="30"/>
        <v>0</v>
      </c>
      <c r="N36" s="91">
        <f>SUM(B36:M36)</f>
        <v>0</v>
      </c>
    </row>
    <row r="37" spans="1:14" x14ac:dyDescent="0.35">
      <c r="A37" s="32" t="s">
        <v>104</v>
      </c>
      <c r="B37" s="62" t="e">
        <f>+B31/B32</f>
        <v>#DIV/0!</v>
      </c>
      <c r="C37" s="62" t="e">
        <f t="shared" ref="C37:N37" si="31">+C31/C32</f>
        <v>#DIV/0!</v>
      </c>
      <c r="D37" s="62" t="e">
        <f t="shared" si="31"/>
        <v>#DIV/0!</v>
      </c>
      <c r="E37" s="62" t="e">
        <f t="shared" si="31"/>
        <v>#DIV/0!</v>
      </c>
      <c r="F37" s="62" t="e">
        <f t="shared" si="31"/>
        <v>#DIV/0!</v>
      </c>
      <c r="G37" s="62" t="e">
        <f t="shared" si="31"/>
        <v>#DIV/0!</v>
      </c>
      <c r="H37" s="62" t="e">
        <f t="shared" si="31"/>
        <v>#DIV/0!</v>
      </c>
      <c r="I37" s="62" t="e">
        <f t="shared" si="31"/>
        <v>#DIV/0!</v>
      </c>
      <c r="J37" s="62" t="e">
        <f t="shared" si="31"/>
        <v>#DIV/0!</v>
      </c>
      <c r="K37" s="62" t="e">
        <f t="shared" si="31"/>
        <v>#DIV/0!</v>
      </c>
      <c r="L37" s="62" t="e">
        <f t="shared" si="31"/>
        <v>#DIV/0!</v>
      </c>
      <c r="M37" s="62" t="e">
        <f t="shared" si="31"/>
        <v>#DIV/0!</v>
      </c>
      <c r="N37" s="84" t="e">
        <f t="shared" si="31"/>
        <v>#DIV/0!</v>
      </c>
    </row>
    <row r="38" spans="1:14" x14ac:dyDescent="0.35">
      <c r="A38" s="65" t="s">
        <v>377</v>
      </c>
      <c r="B38" s="80">
        <f>+B41+B43</f>
        <v>0</v>
      </c>
      <c r="C38" s="80">
        <f t="shared" ref="C38:M38" si="32">+C41+C43</f>
        <v>0</v>
      </c>
      <c r="D38" s="80">
        <f t="shared" si="32"/>
        <v>0</v>
      </c>
      <c r="E38" s="80">
        <f t="shared" si="32"/>
        <v>0</v>
      </c>
      <c r="F38" s="80">
        <f t="shared" si="32"/>
        <v>0</v>
      </c>
      <c r="G38" s="80">
        <f t="shared" si="32"/>
        <v>0</v>
      </c>
      <c r="H38" s="80">
        <f t="shared" si="32"/>
        <v>0</v>
      </c>
      <c r="I38" s="80">
        <f t="shared" si="32"/>
        <v>0</v>
      </c>
      <c r="J38" s="80">
        <f t="shared" si="32"/>
        <v>0</v>
      </c>
      <c r="K38" s="80">
        <f t="shared" si="32"/>
        <v>0</v>
      </c>
      <c r="L38" s="80">
        <f t="shared" si="32"/>
        <v>0</v>
      </c>
      <c r="M38" s="80">
        <f t="shared" si="32"/>
        <v>0</v>
      </c>
      <c r="N38" s="92">
        <f>SUM(B38:M38)</f>
        <v>0</v>
      </c>
    </row>
    <row r="39" spans="1:14" x14ac:dyDescent="0.35">
      <c r="A39" s="32" t="s">
        <v>93</v>
      </c>
      <c r="B39" s="239">
        <f>+'Plan de culture 104 '!$X$31</f>
        <v>0</v>
      </c>
      <c r="C39" s="239">
        <f>+B39</f>
        <v>0</v>
      </c>
      <c r="D39" s="239">
        <f t="shared" ref="D39" si="33">+C39</f>
        <v>0</v>
      </c>
      <c r="E39" s="239">
        <f>+'Plan de culture 104 '!C35</f>
        <v>0</v>
      </c>
      <c r="F39" s="239">
        <f>+E39+'Plan de culture 104 '!D35+'Plan de culture 104 '!E35</f>
        <v>0</v>
      </c>
      <c r="G39" s="239">
        <f>+F39</f>
        <v>0</v>
      </c>
      <c r="H39" s="239">
        <f t="shared" ref="H39:M39" si="34">+G39</f>
        <v>0</v>
      </c>
      <c r="I39" s="239">
        <f t="shared" si="34"/>
        <v>0</v>
      </c>
      <c r="J39" s="239">
        <f t="shared" si="34"/>
        <v>0</v>
      </c>
      <c r="K39" s="239">
        <f t="shared" si="34"/>
        <v>0</v>
      </c>
      <c r="L39" s="239">
        <f t="shared" si="34"/>
        <v>0</v>
      </c>
      <c r="M39" s="239">
        <f t="shared" si="34"/>
        <v>0</v>
      </c>
      <c r="N39" s="240">
        <f>+'Plan de culture 104 '!$X$31</f>
        <v>0</v>
      </c>
    </row>
    <row r="40" spans="1:14" x14ac:dyDescent="0.35">
      <c r="A40" s="89" t="s">
        <v>105</v>
      </c>
      <c r="B40" s="90">
        <v>0</v>
      </c>
      <c r="C40" s="90">
        <f>+B40</f>
        <v>0</v>
      </c>
      <c r="D40" s="90">
        <f>+C40</f>
        <v>0</v>
      </c>
      <c r="E40" s="90">
        <f t="shared" ref="E40:M40" si="35">+D40</f>
        <v>0</v>
      </c>
      <c r="F40" s="90">
        <f t="shared" si="35"/>
        <v>0</v>
      </c>
      <c r="G40" s="90">
        <f t="shared" si="35"/>
        <v>0</v>
      </c>
      <c r="H40" s="90">
        <f t="shared" si="35"/>
        <v>0</v>
      </c>
      <c r="I40" s="90">
        <f t="shared" si="35"/>
        <v>0</v>
      </c>
      <c r="J40" s="90">
        <f t="shared" si="35"/>
        <v>0</v>
      </c>
      <c r="K40" s="90">
        <f t="shared" si="35"/>
        <v>0</v>
      </c>
      <c r="L40" s="90">
        <f t="shared" si="35"/>
        <v>0</v>
      </c>
      <c r="M40" s="90">
        <f t="shared" si="35"/>
        <v>0</v>
      </c>
      <c r="N40" s="91" t="e">
        <f>+N41/N39</f>
        <v>#DIV/0!</v>
      </c>
    </row>
    <row r="41" spans="1:14" x14ac:dyDescent="0.35">
      <c r="A41" s="89" t="s">
        <v>106</v>
      </c>
      <c r="B41" s="90">
        <f>+B40*B39</f>
        <v>0</v>
      </c>
      <c r="C41" s="90">
        <f t="shared" ref="C41:M41" si="36">+C40*C39</f>
        <v>0</v>
      </c>
      <c r="D41" s="90">
        <f t="shared" si="36"/>
        <v>0</v>
      </c>
      <c r="E41" s="90">
        <f t="shared" si="36"/>
        <v>0</v>
      </c>
      <c r="F41" s="90">
        <f t="shared" si="36"/>
        <v>0</v>
      </c>
      <c r="G41" s="90">
        <f t="shared" si="36"/>
        <v>0</v>
      </c>
      <c r="H41" s="90">
        <f t="shared" si="36"/>
        <v>0</v>
      </c>
      <c r="I41" s="90">
        <f t="shared" si="36"/>
        <v>0</v>
      </c>
      <c r="J41" s="90">
        <f t="shared" si="36"/>
        <v>0</v>
      </c>
      <c r="K41" s="90">
        <f t="shared" si="36"/>
        <v>0</v>
      </c>
      <c r="L41" s="90">
        <f t="shared" si="36"/>
        <v>0</v>
      </c>
      <c r="M41" s="90">
        <f t="shared" si="36"/>
        <v>0</v>
      </c>
      <c r="N41" s="91">
        <f>SUM(B41:M41)</f>
        <v>0</v>
      </c>
    </row>
    <row r="42" spans="1:14" x14ac:dyDescent="0.35">
      <c r="A42" s="89" t="s">
        <v>107</v>
      </c>
      <c r="B42" s="90">
        <v>0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1" t="e">
        <f>+N43/N39</f>
        <v>#DIV/0!</v>
      </c>
    </row>
    <row r="43" spans="1:14" x14ac:dyDescent="0.35">
      <c r="A43" s="89" t="s">
        <v>108</v>
      </c>
      <c r="B43" s="90">
        <f>+B42*B39</f>
        <v>0</v>
      </c>
      <c r="C43" s="90">
        <f t="shared" ref="C43:M43" si="37">+C42*C39</f>
        <v>0</v>
      </c>
      <c r="D43" s="90">
        <f t="shared" si="37"/>
        <v>0</v>
      </c>
      <c r="E43" s="90">
        <f t="shared" si="37"/>
        <v>0</v>
      </c>
      <c r="F43" s="90">
        <f t="shared" si="37"/>
        <v>0</v>
      </c>
      <c r="G43" s="90">
        <f t="shared" si="37"/>
        <v>0</v>
      </c>
      <c r="H43" s="90">
        <f t="shared" si="37"/>
        <v>0</v>
      </c>
      <c r="I43" s="90">
        <f t="shared" si="37"/>
        <v>0</v>
      </c>
      <c r="J43" s="90">
        <f t="shared" si="37"/>
        <v>0</v>
      </c>
      <c r="K43" s="90">
        <f t="shared" si="37"/>
        <v>0</v>
      </c>
      <c r="L43" s="90">
        <f t="shared" si="37"/>
        <v>0</v>
      </c>
      <c r="M43" s="90">
        <f t="shared" si="37"/>
        <v>0</v>
      </c>
      <c r="N43" s="91">
        <f>SUM(B43:M43)</f>
        <v>0</v>
      </c>
    </row>
    <row r="44" spans="1:14" x14ac:dyDescent="0.35">
      <c r="A44" s="32" t="s">
        <v>104</v>
      </c>
      <c r="B44" s="62" t="e">
        <f>+B38/B39</f>
        <v>#DIV/0!</v>
      </c>
      <c r="C44" s="62" t="e">
        <f t="shared" ref="C44:N44" si="38">+C38/C39</f>
        <v>#DIV/0!</v>
      </c>
      <c r="D44" s="62" t="e">
        <f t="shared" si="38"/>
        <v>#DIV/0!</v>
      </c>
      <c r="E44" s="62" t="e">
        <f t="shared" si="38"/>
        <v>#DIV/0!</v>
      </c>
      <c r="F44" s="62" t="e">
        <f t="shared" si="38"/>
        <v>#DIV/0!</v>
      </c>
      <c r="G44" s="62" t="e">
        <f t="shared" si="38"/>
        <v>#DIV/0!</v>
      </c>
      <c r="H44" s="62" t="e">
        <f t="shared" si="38"/>
        <v>#DIV/0!</v>
      </c>
      <c r="I44" s="62" t="e">
        <f t="shared" si="38"/>
        <v>#DIV/0!</v>
      </c>
      <c r="J44" s="62" t="e">
        <f t="shared" si="38"/>
        <v>#DIV/0!</v>
      </c>
      <c r="K44" s="62" t="e">
        <f t="shared" si="38"/>
        <v>#DIV/0!</v>
      </c>
      <c r="L44" s="62" t="e">
        <f t="shared" si="38"/>
        <v>#DIV/0!</v>
      </c>
      <c r="M44" s="62" t="e">
        <f t="shared" si="38"/>
        <v>#DIV/0!</v>
      </c>
      <c r="N44" s="84" t="e">
        <f t="shared" si="38"/>
        <v>#DIV/0!</v>
      </c>
    </row>
    <row r="45" spans="1:14" x14ac:dyDescent="0.35">
      <c r="A45" s="65" t="s">
        <v>378</v>
      </c>
      <c r="B45" s="80">
        <f>+B48+B50</f>
        <v>0</v>
      </c>
      <c r="C45" s="80">
        <f t="shared" ref="C45:M45" si="39">+C48+C50</f>
        <v>0</v>
      </c>
      <c r="D45" s="80">
        <f t="shared" si="39"/>
        <v>0</v>
      </c>
      <c r="E45" s="80">
        <f t="shared" si="39"/>
        <v>0</v>
      </c>
      <c r="F45" s="80">
        <f t="shared" si="39"/>
        <v>0</v>
      </c>
      <c r="G45" s="80">
        <f t="shared" si="39"/>
        <v>0</v>
      </c>
      <c r="H45" s="80">
        <f t="shared" si="39"/>
        <v>0</v>
      </c>
      <c r="I45" s="80">
        <f t="shared" si="39"/>
        <v>0</v>
      </c>
      <c r="J45" s="80">
        <f t="shared" si="39"/>
        <v>0</v>
      </c>
      <c r="K45" s="80">
        <f t="shared" si="39"/>
        <v>0</v>
      </c>
      <c r="L45" s="80">
        <f t="shared" si="39"/>
        <v>0</v>
      </c>
      <c r="M45" s="80">
        <f t="shared" si="39"/>
        <v>0</v>
      </c>
      <c r="N45" s="92">
        <f>SUM(B45:M45)</f>
        <v>0</v>
      </c>
    </row>
    <row r="46" spans="1:14" x14ac:dyDescent="0.35">
      <c r="A46" s="32" t="s">
        <v>93</v>
      </c>
      <c r="B46" s="239">
        <f>+'Plan de culture 104 '!$X$37</f>
        <v>0</v>
      </c>
      <c r="C46" s="239">
        <f>+B46</f>
        <v>0</v>
      </c>
      <c r="D46" s="239">
        <f t="shared" ref="D46" si="40">+C46</f>
        <v>0</v>
      </c>
      <c r="E46" s="239">
        <f>+'Plan de culture 104 '!C42</f>
        <v>0</v>
      </c>
      <c r="F46" s="239">
        <f>+E46+'Plan de culture 104 '!D42+'Plan de culture 104 '!E42</f>
        <v>0</v>
      </c>
      <c r="G46" s="239">
        <f>+F46</f>
        <v>0</v>
      </c>
      <c r="H46" s="239">
        <f t="shared" ref="H46:M46" si="41">+G46</f>
        <v>0</v>
      </c>
      <c r="I46" s="239">
        <f t="shared" si="41"/>
        <v>0</v>
      </c>
      <c r="J46" s="239">
        <f t="shared" si="41"/>
        <v>0</v>
      </c>
      <c r="K46" s="239">
        <f t="shared" si="41"/>
        <v>0</v>
      </c>
      <c r="L46" s="239">
        <f t="shared" si="41"/>
        <v>0</v>
      </c>
      <c r="M46" s="239">
        <f t="shared" si="41"/>
        <v>0</v>
      </c>
      <c r="N46" s="240">
        <f>+'Plan de culture 104 '!$X$37</f>
        <v>0</v>
      </c>
    </row>
    <row r="47" spans="1:14" x14ac:dyDescent="0.35">
      <c r="A47" s="89" t="s">
        <v>105</v>
      </c>
      <c r="B47" s="90">
        <v>0</v>
      </c>
      <c r="C47" s="90">
        <f>+B47</f>
        <v>0</v>
      </c>
      <c r="D47" s="90">
        <f>+C47</f>
        <v>0</v>
      </c>
      <c r="E47" s="90">
        <f t="shared" ref="E47:M47" si="42">+D47</f>
        <v>0</v>
      </c>
      <c r="F47" s="90">
        <f t="shared" si="42"/>
        <v>0</v>
      </c>
      <c r="G47" s="90">
        <f t="shared" si="42"/>
        <v>0</v>
      </c>
      <c r="H47" s="90">
        <f t="shared" si="42"/>
        <v>0</v>
      </c>
      <c r="I47" s="90">
        <f t="shared" si="42"/>
        <v>0</v>
      </c>
      <c r="J47" s="90">
        <f t="shared" si="42"/>
        <v>0</v>
      </c>
      <c r="K47" s="90">
        <f t="shared" si="42"/>
        <v>0</v>
      </c>
      <c r="L47" s="90">
        <f t="shared" si="42"/>
        <v>0</v>
      </c>
      <c r="M47" s="90">
        <f t="shared" si="42"/>
        <v>0</v>
      </c>
      <c r="N47" s="91" t="e">
        <f>+N48/N46</f>
        <v>#DIV/0!</v>
      </c>
    </row>
    <row r="48" spans="1:14" x14ac:dyDescent="0.35">
      <c r="A48" s="89" t="s">
        <v>106</v>
      </c>
      <c r="B48" s="90">
        <f>+B47*B46</f>
        <v>0</v>
      </c>
      <c r="C48" s="90">
        <f t="shared" ref="C48:M48" si="43">+C47*C46</f>
        <v>0</v>
      </c>
      <c r="D48" s="90">
        <f t="shared" si="43"/>
        <v>0</v>
      </c>
      <c r="E48" s="90">
        <f t="shared" si="43"/>
        <v>0</v>
      </c>
      <c r="F48" s="90">
        <f t="shared" si="43"/>
        <v>0</v>
      </c>
      <c r="G48" s="90">
        <f t="shared" si="43"/>
        <v>0</v>
      </c>
      <c r="H48" s="90">
        <f t="shared" si="43"/>
        <v>0</v>
      </c>
      <c r="I48" s="90">
        <f t="shared" si="43"/>
        <v>0</v>
      </c>
      <c r="J48" s="90">
        <f t="shared" si="43"/>
        <v>0</v>
      </c>
      <c r="K48" s="90">
        <f t="shared" si="43"/>
        <v>0</v>
      </c>
      <c r="L48" s="90">
        <f t="shared" si="43"/>
        <v>0</v>
      </c>
      <c r="M48" s="90">
        <f t="shared" si="43"/>
        <v>0</v>
      </c>
      <c r="N48" s="91">
        <f>SUM(B48:M48)</f>
        <v>0</v>
      </c>
    </row>
    <row r="49" spans="1:14" x14ac:dyDescent="0.35">
      <c r="A49" s="89" t="s">
        <v>107</v>
      </c>
      <c r="B49" s="90">
        <v>0</v>
      </c>
      <c r="C49" s="90">
        <v>0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1" t="e">
        <f>+N50/N46</f>
        <v>#DIV/0!</v>
      </c>
    </row>
    <row r="50" spans="1:14" x14ac:dyDescent="0.35">
      <c r="A50" s="89" t="s">
        <v>108</v>
      </c>
      <c r="B50" s="90">
        <f>+B49*B46</f>
        <v>0</v>
      </c>
      <c r="C50" s="90">
        <f t="shared" ref="C50:M50" si="44">+C49*C46</f>
        <v>0</v>
      </c>
      <c r="D50" s="90">
        <f t="shared" si="44"/>
        <v>0</v>
      </c>
      <c r="E50" s="90">
        <f t="shared" si="44"/>
        <v>0</v>
      </c>
      <c r="F50" s="90">
        <f t="shared" si="44"/>
        <v>0</v>
      </c>
      <c r="G50" s="90">
        <f t="shared" si="44"/>
        <v>0</v>
      </c>
      <c r="H50" s="90">
        <f t="shared" si="44"/>
        <v>0</v>
      </c>
      <c r="I50" s="90">
        <f t="shared" si="44"/>
        <v>0</v>
      </c>
      <c r="J50" s="90">
        <f t="shared" si="44"/>
        <v>0</v>
      </c>
      <c r="K50" s="90">
        <f t="shared" si="44"/>
        <v>0</v>
      </c>
      <c r="L50" s="90">
        <f t="shared" si="44"/>
        <v>0</v>
      </c>
      <c r="M50" s="90">
        <f t="shared" si="44"/>
        <v>0</v>
      </c>
      <c r="N50" s="91">
        <f>SUM(B50:M50)</f>
        <v>0</v>
      </c>
    </row>
    <row r="51" spans="1:14" x14ac:dyDescent="0.35">
      <c r="A51" s="32" t="s">
        <v>104</v>
      </c>
      <c r="B51" s="62" t="e">
        <f>+B45/B46</f>
        <v>#DIV/0!</v>
      </c>
      <c r="C51" s="62" t="e">
        <f t="shared" ref="C51:N51" si="45">+C45/C46</f>
        <v>#DIV/0!</v>
      </c>
      <c r="D51" s="62" t="e">
        <f t="shared" si="45"/>
        <v>#DIV/0!</v>
      </c>
      <c r="E51" s="62" t="e">
        <f t="shared" si="45"/>
        <v>#DIV/0!</v>
      </c>
      <c r="F51" s="62" t="e">
        <f t="shared" si="45"/>
        <v>#DIV/0!</v>
      </c>
      <c r="G51" s="62" t="e">
        <f t="shared" si="45"/>
        <v>#DIV/0!</v>
      </c>
      <c r="H51" s="62" t="e">
        <f t="shared" si="45"/>
        <v>#DIV/0!</v>
      </c>
      <c r="I51" s="62" t="e">
        <f t="shared" si="45"/>
        <v>#DIV/0!</v>
      </c>
      <c r="J51" s="62" t="e">
        <f t="shared" si="45"/>
        <v>#DIV/0!</v>
      </c>
      <c r="K51" s="62" t="e">
        <f t="shared" si="45"/>
        <v>#DIV/0!</v>
      </c>
      <c r="L51" s="62" t="e">
        <f t="shared" si="45"/>
        <v>#DIV/0!</v>
      </c>
      <c r="M51" s="62" t="e">
        <f t="shared" si="45"/>
        <v>#DIV/0!</v>
      </c>
      <c r="N51" s="84" t="e">
        <f t="shared" si="45"/>
        <v>#DIV/0!</v>
      </c>
    </row>
    <row r="52" spans="1:14" s="57" customFormat="1" x14ac:dyDescent="0.35">
      <c r="A52" s="72" t="s">
        <v>435</v>
      </c>
      <c r="B52" s="77">
        <f>+B55+B62</f>
        <v>0</v>
      </c>
      <c r="C52" s="77">
        <f t="shared" ref="C52:M53" si="46">+C55+C62</f>
        <v>0</v>
      </c>
      <c r="D52" s="77">
        <f t="shared" si="46"/>
        <v>0</v>
      </c>
      <c r="E52" s="77">
        <f t="shared" si="46"/>
        <v>0</v>
      </c>
      <c r="F52" s="77">
        <f t="shared" si="46"/>
        <v>0</v>
      </c>
      <c r="G52" s="77">
        <f t="shared" si="46"/>
        <v>0</v>
      </c>
      <c r="H52" s="77">
        <f t="shared" si="46"/>
        <v>0</v>
      </c>
      <c r="I52" s="77">
        <f t="shared" si="46"/>
        <v>0</v>
      </c>
      <c r="J52" s="77">
        <f t="shared" si="46"/>
        <v>0</v>
      </c>
      <c r="K52" s="77">
        <f t="shared" si="46"/>
        <v>0</v>
      </c>
      <c r="L52" s="77">
        <f t="shared" si="46"/>
        <v>0</v>
      </c>
      <c r="M52" s="77">
        <f t="shared" si="46"/>
        <v>0</v>
      </c>
      <c r="N52" s="78">
        <f>SUM(B52:M52)</f>
        <v>0</v>
      </c>
    </row>
    <row r="53" spans="1:14" s="57" customFormat="1" x14ac:dyDescent="0.35">
      <c r="A53" s="72" t="s">
        <v>93</v>
      </c>
      <c r="B53" s="81">
        <f>+B56+B63</f>
        <v>5.3950000000000005</v>
      </c>
      <c r="C53" s="81">
        <f t="shared" si="46"/>
        <v>5.3950000000000005</v>
      </c>
      <c r="D53" s="81">
        <f t="shared" si="46"/>
        <v>5.3950000000000005</v>
      </c>
      <c r="E53" s="81">
        <f t="shared" si="46"/>
        <v>5.3950000000000005</v>
      </c>
      <c r="F53" s="81">
        <f t="shared" si="46"/>
        <v>5.3950000000000005</v>
      </c>
      <c r="G53" s="81">
        <f t="shared" si="46"/>
        <v>5.3950000000000005</v>
      </c>
      <c r="H53" s="81">
        <f t="shared" si="46"/>
        <v>5.3950000000000005</v>
      </c>
      <c r="I53" s="81">
        <f t="shared" si="46"/>
        <v>5.3950000000000005</v>
      </c>
      <c r="J53" s="81">
        <f t="shared" si="46"/>
        <v>5.3950000000000005</v>
      </c>
      <c r="K53" s="81">
        <f t="shared" si="46"/>
        <v>5.3950000000000005</v>
      </c>
      <c r="L53" s="81">
        <f t="shared" si="46"/>
        <v>5.3950000000000005</v>
      </c>
      <c r="M53" s="81">
        <f t="shared" si="46"/>
        <v>5.3950000000000005</v>
      </c>
      <c r="N53" s="82">
        <f>+M53</f>
        <v>5.3950000000000005</v>
      </c>
    </row>
    <row r="54" spans="1:14" s="57" customFormat="1" x14ac:dyDescent="0.35">
      <c r="A54" s="72" t="s">
        <v>104</v>
      </c>
      <c r="B54" s="83">
        <f>+B52/B53</f>
        <v>0</v>
      </c>
      <c r="C54" s="83">
        <f>+C52/C53</f>
        <v>0</v>
      </c>
      <c r="D54" s="83">
        <f>+D52/D53</f>
        <v>0</v>
      </c>
      <c r="E54" s="83">
        <f t="shared" ref="E54:N54" si="47">+E52/E53</f>
        <v>0</v>
      </c>
      <c r="F54" s="83">
        <f t="shared" si="47"/>
        <v>0</v>
      </c>
      <c r="G54" s="83">
        <f t="shared" si="47"/>
        <v>0</v>
      </c>
      <c r="H54" s="83">
        <f t="shared" si="47"/>
        <v>0</v>
      </c>
      <c r="I54" s="83">
        <f t="shared" si="47"/>
        <v>0</v>
      </c>
      <c r="J54" s="83">
        <f t="shared" si="47"/>
        <v>0</v>
      </c>
      <c r="K54" s="83">
        <f t="shared" si="47"/>
        <v>0</v>
      </c>
      <c r="L54" s="83">
        <f t="shared" si="47"/>
        <v>0</v>
      </c>
      <c r="M54" s="83">
        <f t="shared" si="47"/>
        <v>0</v>
      </c>
      <c r="N54" s="83">
        <f t="shared" si="47"/>
        <v>0</v>
      </c>
    </row>
    <row r="55" spans="1:14" x14ac:dyDescent="0.35">
      <c r="A55" s="65" t="s">
        <v>90</v>
      </c>
      <c r="B55" s="80">
        <f>+B58+B60</f>
        <v>0</v>
      </c>
      <c r="C55" s="80">
        <f t="shared" ref="C55:M55" si="48">+C58+C60</f>
        <v>0</v>
      </c>
      <c r="D55" s="80">
        <f t="shared" si="48"/>
        <v>0</v>
      </c>
      <c r="E55" s="80">
        <f t="shared" si="48"/>
        <v>0</v>
      </c>
      <c r="F55" s="80">
        <f t="shared" si="48"/>
        <v>0</v>
      </c>
      <c r="G55" s="80">
        <f t="shared" si="48"/>
        <v>0</v>
      </c>
      <c r="H55" s="80">
        <f t="shared" si="48"/>
        <v>0</v>
      </c>
      <c r="I55" s="80">
        <f t="shared" si="48"/>
        <v>0</v>
      </c>
      <c r="J55" s="80">
        <f t="shared" si="48"/>
        <v>0</v>
      </c>
      <c r="K55" s="80">
        <f t="shared" si="48"/>
        <v>0</v>
      </c>
      <c r="L55" s="80">
        <f t="shared" si="48"/>
        <v>0</v>
      </c>
      <c r="M55" s="80">
        <f t="shared" si="48"/>
        <v>0</v>
      </c>
      <c r="N55" s="80">
        <f>SUM(B55:M55)</f>
        <v>0</v>
      </c>
    </row>
    <row r="56" spans="1:14" x14ac:dyDescent="0.35">
      <c r="A56" s="32" t="s">
        <v>93</v>
      </c>
      <c r="B56" s="239">
        <f>+'Plan de culture 105'!$I$7</f>
        <v>0</v>
      </c>
      <c r="C56" s="239">
        <f>+B56</f>
        <v>0</v>
      </c>
      <c r="D56" s="239">
        <f t="shared" ref="D56" si="49">+C56</f>
        <v>0</v>
      </c>
      <c r="E56" s="239">
        <f>+D56</f>
        <v>0</v>
      </c>
      <c r="F56" s="239">
        <f>+E56</f>
        <v>0</v>
      </c>
      <c r="G56" s="239">
        <f>+F56</f>
        <v>0</v>
      </c>
      <c r="H56" s="239">
        <f t="shared" ref="H56:M56" si="50">+G56</f>
        <v>0</v>
      </c>
      <c r="I56" s="239">
        <f t="shared" si="50"/>
        <v>0</v>
      </c>
      <c r="J56" s="239">
        <f t="shared" si="50"/>
        <v>0</v>
      </c>
      <c r="K56" s="239">
        <f t="shared" si="50"/>
        <v>0</v>
      </c>
      <c r="L56" s="239">
        <f t="shared" si="50"/>
        <v>0</v>
      </c>
      <c r="M56" s="239">
        <f t="shared" si="50"/>
        <v>0</v>
      </c>
      <c r="N56" s="240">
        <f>+'Plan de culture 105'!$I$7</f>
        <v>0</v>
      </c>
    </row>
    <row r="57" spans="1:14" x14ac:dyDescent="0.35">
      <c r="A57" s="89" t="s">
        <v>105</v>
      </c>
      <c r="B57" s="90">
        <v>0</v>
      </c>
      <c r="C57" s="90">
        <f>+B57</f>
        <v>0</v>
      </c>
      <c r="D57" s="90">
        <f>+C57</f>
        <v>0</v>
      </c>
      <c r="E57" s="90">
        <f t="shared" ref="E57:M57" si="51">+D57</f>
        <v>0</v>
      </c>
      <c r="F57" s="90">
        <f t="shared" si="51"/>
        <v>0</v>
      </c>
      <c r="G57" s="90">
        <f t="shared" si="51"/>
        <v>0</v>
      </c>
      <c r="H57" s="90">
        <f t="shared" si="51"/>
        <v>0</v>
      </c>
      <c r="I57" s="90">
        <f t="shared" si="51"/>
        <v>0</v>
      </c>
      <c r="J57" s="90">
        <f t="shared" si="51"/>
        <v>0</v>
      </c>
      <c r="K57" s="90">
        <f t="shared" si="51"/>
        <v>0</v>
      </c>
      <c r="L57" s="90">
        <f t="shared" si="51"/>
        <v>0</v>
      </c>
      <c r="M57" s="90">
        <f t="shared" si="51"/>
        <v>0</v>
      </c>
      <c r="N57" s="91" t="e">
        <f>+N58/N56</f>
        <v>#DIV/0!</v>
      </c>
    </row>
    <row r="58" spans="1:14" x14ac:dyDescent="0.35">
      <c r="A58" s="89" t="s">
        <v>106</v>
      </c>
      <c r="B58" s="90">
        <f>+B57*B56</f>
        <v>0</v>
      </c>
      <c r="C58" s="90">
        <f t="shared" ref="C58:M58" si="52">+C57*C56</f>
        <v>0</v>
      </c>
      <c r="D58" s="90">
        <f t="shared" si="52"/>
        <v>0</v>
      </c>
      <c r="E58" s="90">
        <f t="shared" si="52"/>
        <v>0</v>
      </c>
      <c r="F58" s="90">
        <f t="shared" si="52"/>
        <v>0</v>
      </c>
      <c r="G58" s="90">
        <f t="shared" si="52"/>
        <v>0</v>
      </c>
      <c r="H58" s="90">
        <f t="shared" si="52"/>
        <v>0</v>
      </c>
      <c r="I58" s="90">
        <f t="shared" si="52"/>
        <v>0</v>
      </c>
      <c r="J58" s="90">
        <f t="shared" si="52"/>
        <v>0</v>
      </c>
      <c r="K58" s="90">
        <f t="shared" si="52"/>
        <v>0</v>
      </c>
      <c r="L58" s="90">
        <f t="shared" si="52"/>
        <v>0</v>
      </c>
      <c r="M58" s="90">
        <f t="shared" si="52"/>
        <v>0</v>
      </c>
      <c r="N58" s="91">
        <f>SUM(B58:M58)</f>
        <v>0</v>
      </c>
    </row>
    <row r="59" spans="1:14" x14ac:dyDescent="0.35">
      <c r="A59" s="89" t="s">
        <v>107</v>
      </c>
      <c r="B59" s="90">
        <v>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1" t="e">
        <f>+N60/N56</f>
        <v>#DIV/0!</v>
      </c>
    </row>
    <row r="60" spans="1:14" x14ac:dyDescent="0.35">
      <c r="A60" s="89" t="s">
        <v>108</v>
      </c>
      <c r="B60" s="90">
        <f>+B59*B56</f>
        <v>0</v>
      </c>
      <c r="C60" s="90">
        <f t="shared" ref="C60:M60" si="53">+C59*C56</f>
        <v>0</v>
      </c>
      <c r="D60" s="90">
        <f t="shared" si="53"/>
        <v>0</v>
      </c>
      <c r="E60" s="90">
        <f t="shared" si="53"/>
        <v>0</v>
      </c>
      <c r="F60" s="90">
        <f t="shared" si="53"/>
        <v>0</v>
      </c>
      <c r="G60" s="90">
        <f t="shared" si="53"/>
        <v>0</v>
      </c>
      <c r="H60" s="90">
        <f t="shared" si="53"/>
        <v>0</v>
      </c>
      <c r="I60" s="90">
        <f t="shared" si="53"/>
        <v>0</v>
      </c>
      <c r="J60" s="90">
        <f t="shared" si="53"/>
        <v>0</v>
      </c>
      <c r="K60" s="90">
        <f t="shared" si="53"/>
        <v>0</v>
      </c>
      <c r="L60" s="90">
        <f t="shared" si="53"/>
        <v>0</v>
      </c>
      <c r="M60" s="90">
        <f t="shared" si="53"/>
        <v>0</v>
      </c>
      <c r="N60" s="91">
        <f>SUM(B60:M60)</f>
        <v>0</v>
      </c>
    </row>
    <row r="61" spans="1:14" x14ac:dyDescent="0.35">
      <c r="A61" s="32" t="s">
        <v>104</v>
      </c>
      <c r="B61" s="62" t="e">
        <f>+B55/B56</f>
        <v>#DIV/0!</v>
      </c>
      <c r="C61" s="62" t="e">
        <f t="shared" ref="C61:N61" si="54">+C55/C56</f>
        <v>#DIV/0!</v>
      </c>
      <c r="D61" s="62" t="e">
        <f t="shared" si="54"/>
        <v>#DIV/0!</v>
      </c>
      <c r="E61" s="62" t="e">
        <f t="shared" si="54"/>
        <v>#DIV/0!</v>
      </c>
      <c r="F61" s="62" t="e">
        <f t="shared" si="54"/>
        <v>#DIV/0!</v>
      </c>
      <c r="G61" s="62" t="e">
        <f t="shared" si="54"/>
        <v>#DIV/0!</v>
      </c>
      <c r="H61" s="62" t="e">
        <f t="shared" si="54"/>
        <v>#DIV/0!</v>
      </c>
      <c r="I61" s="62" t="e">
        <f t="shared" si="54"/>
        <v>#DIV/0!</v>
      </c>
      <c r="J61" s="62" t="e">
        <f t="shared" si="54"/>
        <v>#DIV/0!</v>
      </c>
      <c r="K61" s="62" t="e">
        <f t="shared" si="54"/>
        <v>#DIV/0!</v>
      </c>
      <c r="L61" s="62" t="e">
        <f t="shared" si="54"/>
        <v>#DIV/0!</v>
      </c>
      <c r="M61" s="62" t="e">
        <f t="shared" si="54"/>
        <v>#DIV/0!</v>
      </c>
      <c r="N61" s="84" t="e">
        <f t="shared" si="54"/>
        <v>#DIV/0!</v>
      </c>
    </row>
    <row r="62" spans="1:14" x14ac:dyDescent="0.35">
      <c r="A62" s="65" t="s">
        <v>91</v>
      </c>
      <c r="B62" s="80">
        <f>+B65+B67</f>
        <v>0</v>
      </c>
      <c r="C62" s="80">
        <f t="shared" ref="C62:M62" si="55">+C65+C67</f>
        <v>0</v>
      </c>
      <c r="D62" s="80">
        <f t="shared" si="55"/>
        <v>0</v>
      </c>
      <c r="E62" s="80">
        <f t="shared" si="55"/>
        <v>0</v>
      </c>
      <c r="F62" s="80">
        <f t="shared" si="55"/>
        <v>0</v>
      </c>
      <c r="G62" s="80">
        <f t="shared" si="55"/>
        <v>0</v>
      </c>
      <c r="H62" s="80">
        <f t="shared" si="55"/>
        <v>0</v>
      </c>
      <c r="I62" s="80">
        <f t="shared" si="55"/>
        <v>0</v>
      </c>
      <c r="J62" s="80">
        <f t="shared" si="55"/>
        <v>0</v>
      </c>
      <c r="K62" s="80">
        <f t="shared" si="55"/>
        <v>0</v>
      </c>
      <c r="L62" s="80">
        <f t="shared" si="55"/>
        <v>0</v>
      </c>
      <c r="M62" s="80">
        <f t="shared" si="55"/>
        <v>0</v>
      </c>
      <c r="N62" s="92">
        <f>SUM(B62:M62)</f>
        <v>0</v>
      </c>
    </row>
    <row r="63" spans="1:14" x14ac:dyDescent="0.35">
      <c r="A63" s="32" t="s">
        <v>93</v>
      </c>
      <c r="B63" s="239">
        <f>+'Plan de culture 105'!$I$13</f>
        <v>5.3950000000000005</v>
      </c>
      <c r="C63" s="239">
        <f>+B63</f>
        <v>5.3950000000000005</v>
      </c>
      <c r="D63" s="239">
        <f t="shared" ref="D63:M63" si="56">+C63</f>
        <v>5.3950000000000005</v>
      </c>
      <c r="E63" s="239">
        <f t="shared" si="56"/>
        <v>5.3950000000000005</v>
      </c>
      <c r="F63" s="239">
        <f t="shared" si="56"/>
        <v>5.3950000000000005</v>
      </c>
      <c r="G63" s="239">
        <f t="shared" si="56"/>
        <v>5.3950000000000005</v>
      </c>
      <c r="H63" s="239">
        <f t="shared" si="56"/>
        <v>5.3950000000000005</v>
      </c>
      <c r="I63" s="239">
        <f t="shared" si="56"/>
        <v>5.3950000000000005</v>
      </c>
      <c r="J63" s="239">
        <f t="shared" si="56"/>
        <v>5.3950000000000005</v>
      </c>
      <c r="K63" s="239">
        <f t="shared" si="56"/>
        <v>5.3950000000000005</v>
      </c>
      <c r="L63" s="239">
        <f t="shared" si="56"/>
        <v>5.3950000000000005</v>
      </c>
      <c r="M63" s="239">
        <f t="shared" si="56"/>
        <v>5.3950000000000005</v>
      </c>
      <c r="N63" s="240">
        <f>+'Plan de culture 105'!$I$13</f>
        <v>5.3950000000000005</v>
      </c>
    </row>
    <row r="64" spans="1:14" x14ac:dyDescent="0.35">
      <c r="A64" s="89" t="s">
        <v>105</v>
      </c>
      <c r="B64" s="90">
        <v>0</v>
      </c>
      <c r="C64" s="90">
        <f>+B64</f>
        <v>0</v>
      </c>
      <c r="D64" s="90">
        <f>+C64</f>
        <v>0</v>
      </c>
      <c r="E64" s="90">
        <f t="shared" ref="E64:M64" si="57">+D64</f>
        <v>0</v>
      </c>
      <c r="F64" s="90">
        <f t="shared" si="57"/>
        <v>0</v>
      </c>
      <c r="G64" s="90">
        <f t="shared" si="57"/>
        <v>0</v>
      </c>
      <c r="H64" s="90">
        <f t="shared" si="57"/>
        <v>0</v>
      </c>
      <c r="I64" s="90">
        <f t="shared" si="57"/>
        <v>0</v>
      </c>
      <c r="J64" s="90">
        <f t="shared" si="57"/>
        <v>0</v>
      </c>
      <c r="K64" s="90">
        <f t="shared" si="57"/>
        <v>0</v>
      </c>
      <c r="L64" s="90">
        <f t="shared" si="57"/>
        <v>0</v>
      </c>
      <c r="M64" s="90">
        <f t="shared" si="57"/>
        <v>0</v>
      </c>
      <c r="N64" s="91">
        <f>+N65/N63</f>
        <v>0</v>
      </c>
    </row>
    <row r="65" spans="1:14" x14ac:dyDescent="0.35">
      <c r="A65" s="89" t="s">
        <v>106</v>
      </c>
      <c r="B65" s="90">
        <f>+B64*B63</f>
        <v>0</v>
      </c>
      <c r="C65" s="90">
        <f t="shared" ref="C65:M65" si="58">+C64*C63</f>
        <v>0</v>
      </c>
      <c r="D65" s="90">
        <f t="shared" si="58"/>
        <v>0</v>
      </c>
      <c r="E65" s="90">
        <f t="shared" si="58"/>
        <v>0</v>
      </c>
      <c r="F65" s="90">
        <f t="shared" si="58"/>
        <v>0</v>
      </c>
      <c r="G65" s="90">
        <f t="shared" si="58"/>
        <v>0</v>
      </c>
      <c r="H65" s="90">
        <f t="shared" si="58"/>
        <v>0</v>
      </c>
      <c r="I65" s="90">
        <f t="shared" si="58"/>
        <v>0</v>
      </c>
      <c r="J65" s="90">
        <f t="shared" si="58"/>
        <v>0</v>
      </c>
      <c r="K65" s="90">
        <f t="shared" si="58"/>
        <v>0</v>
      </c>
      <c r="L65" s="90">
        <f t="shared" si="58"/>
        <v>0</v>
      </c>
      <c r="M65" s="90">
        <f t="shared" si="58"/>
        <v>0</v>
      </c>
      <c r="N65" s="91">
        <f>SUM(B65:M65)</f>
        <v>0</v>
      </c>
    </row>
    <row r="66" spans="1:14" x14ac:dyDescent="0.35">
      <c r="A66" s="89" t="s">
        <v>107</v>
      </c>
      <c r="B66" s="90">
        <v>0</v>
      </c>
      <c r="C66" s="90">
        <v>0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1">
        <f>+N67/N63</f>
        <v>0</v>
      </c>
    </row>
    <row r="67" spans="1:14" x14ac:dyDescent="0.35">
      <c r="A67" s="89" t="s">
        <v>108</v>
      </c>
      <c r="B67" s="90">
        <f>+B66*B63</f>
        <v>0</v>
      </c>
      <c r="C67" s="90">
        <f t="shared" ref="C67:M67" si="59">+C66*C63</f>
        <v>0</v>
      </c>
      <c r="D67" s="90">
        <f t="shared" si="59"/>
        <v>0</v>
      </c>
      <c r="E67" s="90">
        <f t="shared" si="59"/>
        <v>0</v>
      </c>
      <c r="F67" s="90">
        <f t="shared" si="59"/>
        <v>0</v>
      </c>
      <c r="G67" s="90">
        <f t="shared" si="59"/>
        <v>0</v>
      </c>
      <c r="H67" s="90">
        <f t="shared" si="59"/>
        <v>0</v>
      </c>
      <c r="I67" s="90">
        <f t="shared" si="59"/>
        <v>0</v>
      </c>
      <c r="J67" s="90">
        <f t="shared" si="59"/>
        <v>0</v>
      </c>
      <c r="K67" s="90">
        <f t="shared" si="59"/>
        <v>0</v>
      </c>
      <c r="L67" s="90">
        <f t="shared" si="59"/>
        <v>0</v>
      </c>
      <c r="M67" s="90">
        <f t="shared" si="59"/>
        <v>0</v>
      </c>
      <c r="N67" s="91">
        <f>SUM(B67:M67)</f>
        <v>0</v>
      </c>
    </row>
    <row r="68" spans="1:14" x14ac:dyDescent="0.35">
      <c r="A68" s="32" t="s">
        <v>104</v>
      </c>
      <c r="B68" s="62">
        <f>+B62/B63</f>
        <v>0</v>
      </c>
      <c r="C68" s="62">
        <f t="shared" ref="C68:N68" si="60">+C62/C63</f>
        <v>0</v>
      </c>
      <c r="D68" s="62">
        <f t="shared" si="60"/>
        <v>0</v>
      </c>
      <c r="E68" s="62">
        <f t="shared" si="60"/>
        <v>0</v>
      </c>
      <c r="F68" s="62">
        <f t="shared" si="60"/>
        <v>0</v>
      </c>
      <c r="G68" s="62">
        <f t="shared" si="60"/>
        <v>0</v>
      </c>
      <c r="H68" s="62">
        <f t="shared" si="60"/>
        <v>0</v>
      </c>
      <c r="I68" s="62">
        <f t="shared" si="60"/>
        <v>0</v>
      </c>
      <c r="J68" s="62">
        <f t="shared" si="60"/>
        <v>0</v>
      </c>
      <c r="K68" s="62">
        <f t="shared" si="60"/>
        <v>0</v>
      </c>
      <c r="L68" s="62">
        <f t="shared" si="60"/>
        <v>0</v>
      </c>
      <c r="M68" s="62">
        <f t="shared" si="60"/>
        <v>0</v>
      </c>
      <c r="N68" s="84">
        <f t="shared" si="60"/>
        <v>0</v>
      </c>
    </row>
    <row r="69" spans="1:14" x14ac:dyDescent="0.35">
      <c r="A69" s="65" t="s">
        <v>376</v>
      </c>
      <c r="B69" s="80">
        <f>+B72+B74</f>
        <v>0</v>
      </c>
      <c r="C69" s="80">
        <f t="shared" ref="C69:M69" si="61">+C72+C74</f>
        <v>0</v>
      </c>
      <c r="D69" s="80">
        <f t="shared" si="61"/>
        <v>0</v>
      </c>
      <c r="E69" s="80">
        <f t="shared" si="61"/>
        <v>0</v>
      </c>
      <c r="F69" s="80">
        <f t="shared" si="61"/>
        <v>0</v>
      </c>
      <c r="G69" s="80">
        <f t="shared" si="61"/>
        <v>0</v>
      </c>
      <c r="H69" s="80">
        <f t="shared" si="61"/>
        <v>0</v>
      </c>
      <c r="I69" s="80">
        <f t="shared" si="61"/>
        <v>0</v>
      </c>
      <c r="J69" s="80">
        <f t="shared" si="61"/>
        <v>0</v>
      </c>
      <c r="K69" s="80">
        <f t="shared" si="61"/>
        <v>0</v>
      </c>
      <c r="L69" s="80">
        <f t="shared" si="61"/>
        <v>0</v>
      </c>
      <c r="M69" s="80">
        <f t="shared" si="61"/>
        <v>0</v>
      </c>
      <c r="N69" s="92">
        <f>SUM(B69:M69)</f>
        <v>0</v>
      </c>
    </row>
    <row r="70" spans="1:14" x14ac:dyDescent="0.35">
      <c r="A70" s="32" t="s">
        <v>93</v>
      </c>
      <c r="B70" s="239">
        <f>+'Plan de culture 105'!$I$19</f>
        <v>0</v>
      </c>
      <c r="C70" s="239">
        <f>+B70</f>
        <v>0</v>
      </c>
      <c r="D70" s="239">
        <f t="shared" ref="D70" si="62">+C70</f>
        <v>0</v>
      </c>
      <c r="E70" s="239">
        <f>+'Plan de culture 104 '!C66</f>
        <v>0</v>
      </c>
      <c r="F70" s="239">
        <f>+E70+'Plan de culture 104 '!D66+'Plan de culture 104 '!E66</f>
        <v>0</v>
      </c>
      <c r="G70" s="239">
        <f>+F70</f>
        <v>0</v>
      </c>
      <c r="H70" s="239">
        <f t="shared" ref="H70:M70" si="63">+G70</f>
        <v>0</v>
      </c>
      <c r="I70" s="239">
        <f t="shared" si="63"/>
        <v>0</v>
      </c>
      <c r="J70" s="239">
        <f t="shared" si="63"/>
        <v>0</v>
      </c>
      <c r="K70" s="239">
        <f t="shared" si="63"/>
        <v>0</v>
      </c>
      <c r="L70" s="239">
        <f t="shared" si="63"/>
        <v>0</v>
      </c>
      <c r="M70" s="239">
        <f t="shared" si="63"/>
        <v>0</v>
      </c>
      <c r="N70" s="240">
        <f>+'Plan de culture 105'!$I$19</f>
        <v>0</v>
      </c>
    </row>
    <row r="71" spans="1:14" x14ac:dyDescent="0.35">
      <c r="A71" s="89" t="s">
        <v>105</v>
      </c>
      <c r="B71" s="90">
        <v>0</v>
      </c>
      <c r="C71" s="90">
        <f>+B71</f>
        <v>0</v>
      </c>
      <c r="D71" s="90">
        <f>+C71</f>
        <v>0</v>
      </c>
      <c r="E71" s="90">
        <f t="shared" ref="E71:M71" si="64">+D71</f>
        <v>0</v>
      </c>
      <c r="F71" s="90">
        <f t="shared" si="64"/>
        <v>0</v>
      </c>
      <c r="G71" s="90">
        <f t="shared" si="64"/>
        <v>0</v>
      </c>
      <c r="H71" s="90">
        <f t="shared" si="64"/>
        <v>0</v>
      </c>
      <c r="I71" s="90">
        <f t="shared" si="64"/>
        <v>0</v>
      </c>
      <c r="J71" s="90">
        <f t="shared" si="64"/>
        <v>0</v>
      </c>
      <c r="K71" s="90">
        <f t="shared" si="64"/>
        <v>0</v>
      </c>
      <c r="L71" s="90">
        <f t="shared" si="64"/>
        <v>0</v>
      </c>
      <c r="M71" s="90">
        <f t="shared" si="64"/>
        <v>0</v>
      </c>
      <c r="N71" s="91" t="e">
        <f>+N72/N70</f>
        <v>#DIV/0!</v>
      </c>
    </row>
    <row r="72" spans="1:14" x14ac:dyDescent="0.35">
      <c r="A72" s="89" t="s">
        <v>106</v>
      </c>
      <c r="B72" s="90">
        <f>+B71*B70</f>
        <v>0</v>
      </c>
      <c r="C72" s="90">
        <f t="shared" ref="C72:M72" si="65">+C71*C70</f>
        <v>0</v>
      </c>
      <c r="D72" s="90">
        <f t="shared" si="65"/>
        <v>0</v>
      </c>
      <c r="E72" s="90">
        <f t="shared" si="65"/>
        <v>0</v>
      </c>
      <c r="F72" s="90">
        <f t="shared" si="65"/>
        <v>0</v>
      </c>
      <c r="G72" s="90">
        <f t="shared" si="65"/>
        <v>0</v>
      </c>
      <c r="H72" s="90">
        <f t="shared" si="65"/>
        <v>0</v>
      </c>
      <c r="I72" s="90">
        <f t="shared" si="65"/>
        <v>0</v>
      </c>
      <c r="J72" s="90">
        <f t="shared" si="65"/>
        <v>0</v>
      </c>
      <c r="K72" s="90">
        <f t="shared" si="65"/>
        <v>0</v>
      </c>
      <c r="L72" s="90">
        <f t="shared" si="65"/>
        <v>0</v>
      </c>
      <c r="M72" s="90">
        <f t="shared" si="65"/>
        <v>0</v>
      </c>
      <c r="N72" s="91">
        <f>SUM(B72:M72)</f>
        <v>0</v>
      </c>
    </row>
    <row r="73" spans="1:14" x14ac:dyDescent="0.35">
      <c r="A73" s="89" t="s">
        <v>107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1" t="e">
        <f>+N74/N70</f>
        <v>#DIV/0!</v>
      </c>
    </row>
    <row r="74" spans="1:14" x14ac:dyDescent="0.35">
      <c r="A74" s="89" t="s">
        <v>108</v>
      </c>
      <c r="B74" s="90">
        <f>+B73*B70</f>
        <v>0</v>
      </c>
      <c r="C74" s="90">
        <f t="shared" ref="C74:M74" si="66">+C73*C70</f>
        <v>0</v>
      </c>
      <c r="D74" s="90">
        <f t="shared" si="66"/>
        <v>0</v>
      </c>
      <c r="E74" s="90">
        <f t="shared" si="66"/>
        <v>0</v>
      </c>
      <c r="F74" s="90">
        <f t="shared" si="66"/>
        <v>0</v>
      </c>
      <c r="G74" s="90">
        <f t="shared" si="66"/>
        <v>0</v>
      </c>
      <c r="H74" s="90">
        <f t="shared" si="66"/>
        <v>0</v>
      </c>
      <c r="I74" s="90">
        <f t="shared" si="66"/>
        <v>0</v>
      </c>
      <c r="J74" s="90">
        <f t="shared" si="66"/>
        <v>0</v>
      </c>
      <c r="K74" s="90">
        <f t="shared" si="66"/>
        <v>0</v>
      </c>
      <c r="L74" s="90">
        <f t="shared" si="66"/>
        <v>0</v>
      </c>
      <c r="M74" s="90">
        <f t="shared" si="66"/>
        <v>0</v>
      </c>
      <c r="N74" s="91">
        <f>SUM(B74:M74)</f>
        <v>0</v>
      </c>
    </row>
    <row r="75" spans="1:14" x14ac:dyDescent="0.35">
      <c r="A75" s="32" t="s">
        <v>104</v>
      </c>
      <c r="B75" s="62" t="e">
        <f>+B69/B70</f>
        <v>#DIV/0!</v>
      </c>
      <c r="C75" s="62" t="e">
        <f t="shared" ref="C75:N75" si="67">+C69/C70</f>
        <v>#DIV/0!</v>
      </c>
      <c r="D75" s="62" t="e">
        <f t="shared" si="67"/>
        <v>#DIV/0!</v>
      </c>
      <c r="E75" s="62" t="e">
        <f t="shared" si="67"/>
        <v>#DIV/0!</v>
      </c>
      <c r="F75" s="62" t="e">
        <f t="shared" si="67"/>
        <v>#DIV/0!</v>
      </c>
      <c r="G75" s="62" t="e">
        <f t="shared" si="67"/>
        <v>#DIV/0!</v>
      </c>
      <c r="H75" s="62" t="e">
        <f t="shared" si="67"/>
        <v>#DIV/0!</v>
      </c>
      <c r="I75" s="62" t="e">
        <f t="shared" si="67"/>
        <v>#DIV/0!</v>
      </c>
      <c r="J75" s="62" t="e">
        <f t="shared" si="67"/>
        <v>#DIV/0!</v>
      </c>
      <c r="K75" s="62" t="e">
        <f t="shared" si="67"/>
        <v>#DIV/0!</v>
      </c>
      <c r="L75" s="62" t="e">
        <f t="shared" si="67"/>
        <v>#DIV/0!</v>
      </c>
      <c r="M75" s="62" t="e">
        <f t="shared" si="67"/>
        <v>#DIV/0!</v>
      </c>
      <c r="N75" s="84" t="e">
        <f t="shared" si="67"/>
        <v>#DIV/0!</v>
      </c>
    </row>
    <row r="76" spans="1:14" x14ac:dyDescent="0.35">
      <c r="A76" s="65" t="s">
        <v>92</v>
      </c>
      <c r="B76" s="80">
        <f>+B79+B81</f>
        <v>0</v>
      </c>
      <c r="C76" s="80">
        <f t="shared" ref="C76:M76" si="68">+C79+C81</f>
        <v>0</v>
      </c>
      <c r="D76" s="80">
        <f t="shared" si="68"/>
        <v>0</v>
      </c>
      <c r="E76" s="80">
        <f t="shared" si="68"/>
        <v>0</v>
      </c>
      <c r="F76" s="80">
        <f t="shared" si="68"/>
        <v>0</v>
      </c>
      <c r="G76" s="80">
        <f t="shared" si="68"/>
        <v>0</v>
      </c>
      <c r="H76" s="80">
        <f t="shared" si="68"/>
        <v>0</v>
      </c>
      <c r="I76" s="80">
        <f t="shared" si="68"/>
        <v>0</v>
      </c>
      <c r="J76" s="80">
        <f t="shared" si="68"/>
        <v>0</v>
      </c>
      <c r="K76" s="80">
        <f t="shared" si="68"/>
        <v>0</v>
      </c>
      <c r="L76" s="80">
        <f t="shared" si="68"/>
        <v>0</v>
      </c>
      <c r="M76" s="80">
        <f t="shared" si="68"/>
        <v>0</v>
      </c>
      <c r="N76" s="92">
        <f>SUM(B76:M76)</f>
        <v>0</v>
      </c>
    </row>
    <row r="77" spans="1:14" x14ac:dyDescent="0.35">
      <c r="A77" s="32" t="s">
        <v>93</v>
      </c>
      <c r="B77" s="239">
        <f>+'Plan de culture 105'!$I$25</f>
        <v>0</v>
      </c>
      <c r="C77" s="239">
        <f>+B77</f>
        <v>0</v>
      </c>
      <c r="D77" s="239">
        <f t="shared" ref="D77" si="69">+C77</f>
        <v>0</v>
      </c>
      <c r="E77" s="239">
        <f>+'Plan de culture 104 '!C73</f>
        <v>0</v>
      </c>
      <c r="F77" s="239">
        <f>+E77+'Plan de culture 104 '!D73+'Plan de culture 104 '!E73</f>
        <v>0</v>
      </c>
      <c r="G77" s="239">
        <f>+F77</f>
        <v>0</v>
      </c>
      <c r="H77" s="239">
        <f t="shared" ref="H77:M77" si="70">+G77</f>
        <v>0</v>
      </c>
      <c r="I77" s="239">
        <f t="shared" si="70"/>
        <v>0</v>
      </c>
      <c r="J77" s="239">
        <f t="shared" si="70"/>
        <v>0</v>
      </c>
      <c r="K77" s="239">
        <f t="shared" si="70"/>
        <v>0</v>
      </c>
      <c r="L77" s="239">
        <f t="shared" si="70"/>
        <v>0</v>
      </c>
      <c r="M77" s="239">
        <f t="shared" si="70"/>
        <v>0</v>
      </c>
      <c r="N77" s="240">
        <f>+'Plan de culture 105'!$I$25</f>
        <v>0</v>
      </c>
    </row>
    <row r="78" spans="1:14" x14ac:dyDescent="0.35">
      <c r="A78" s="89" t="s">
        <v>105</v>
      </c>
      <c r="B78" s="90">
        <v>0</v>
      </c>
      <c r="C78" s="90">
        <f>+B78</f>
        <v>0</v>
      </c>
      <c r="D78" s="90">
        <f>+C78</f>
        <v>0</v>
      </c>
      <c r="E78" s="90">
        <f t="shared" ref="E78:M78" si="71">+D78</f>
        <v>0</v>
      </c>
      <c r="F78" s="90">
        <f t="shared" si="71"/>
        <v>0</v>
      </c>
      <c r="G78" s="90">
        <f t="shared" si="71"/>
        <v>0</v>
      </c>
      <c r="H78" s="90">
        <f t="shared" si="71"/>
        <v>0</v>
      </c>
      <c r="I78" s="90">
        <f t="shared" si="71"/>
        <v>0</v>
      </c>
      <c r="J78" s="90">
        <f t="shared" si="71"/>
        <v>0</v>
      </c>
      <c r="K78" s="90">
        <f t="shared" si="71"/>
        <v>0</v>
      </c>
      <c r="L78" s="90">
        <f t="shared" si="71"/>
        <v>0</v>
      </c>
      <c r="M78" s="90">
        <f t="shared" si="71"/>
        <v>0</v>
      </c>
      <c r="N78" s="91" t="e">
        <f>+N79/N77</f>
        <v>#DIV/0!</v>
      </c>
    </row>
    <row r="79" spans="1:14" x14ac:dyDescent="0.35">
      <c r="A79" s="89" t="s">
        <v>106</v>
      </c>
      <c r="B79" s="90">
        <f>+B78*B77</f>
        <v>0</v>
      </c>
      <c r="C79" s="90">
        <f t="shared" ref="C79:M79" si="72">+C78*C77</f>
        <v>0</v>
      </c>
      <c r="D79" s="90">
        <f t="shared" si="72"/>
        <v>0</v>
      </c>
      <c r="E79" s="90">
        <f t="shared" si="72"/>
        <v>0</v>
      </c>
      <c r="F79" s="90">
        <f t="shared" si="72"/>
        <v>0</v>
      </c>
      <c r="G79" s="90">
        <f t="shared" si="72"/>
        <v>0</v>
      </c>
      <c r="H79" s="90">
        <f t="shared" si="72"/>
        <v>0</v>
      </c>
      <c r="I79" s="90">
        <f t="shared" si="72"/>
        <v>0</v>
      </c>
      <c r="J79" s="90">
        <f t="shared" si="72"/>
        <v>0</v>
      </c>
      <c r="K79" s="90">
        <f t="shared" si="72"/>
        <v>0</v>
      </c>
      <c r="L79" s="90">
        <f t="shared" si="72"/>
        <v>0</v>
      </c>
      <c r="M79" s="90">
        <f t="shared" si="72"/>
        <v>0</v>
      </c>
      <c r="N79" s="91">
        <f>SUM(B79:M79)</f>
        <v>0</v>
      </c>
    </row>
    <row r="80" spans="1:14" x14ac:dyDescent="0.35">
      <c r="A80" s="89" t="s">
        <v>107</v>
      </c>
      <c r="B80" s="90">
        <v>0</v>
      </c>
      <c r="C80" s="90">
        <v>0</v>
      </c>
      <c r="D80" s="90">
        <v>0</v>
      </c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1" t="e">
        <f>+N81/N77</f>
        <v>#DIV/0!</v>
      </c>
    </row>
    <row r="81" spans="1:14" x14ac:dyDescent="0.35">
      <c r="A81" s="89" t="s">
        <v>108</v>
      </c>
      <c r="B81" s="90">
        <f>+B80*B77</f>
        <v>0</v>
      </c>
      <c r="C81" s="90">
        <f t="shared" ref="C81:M81" si="73">+C80*C77</f>
        <v>0</v>
      </c>
      <c r="D81" s="90">
        <f t="shared" si="73"/>
        <v>0</v>
      </c>
      <c r="E81" s="90">
        <f t="shared" si="73"/>
        <v>0</v>
      </c>
      <c r="F81" s="90">
        <f t="shared" si="73"/>
        <v>0</v>
      </c>
      <c r="G81" s="90">
        <f t="shared" si="73"/>
        <v>0</v>
      </c>
      <c r="H81" s="90">
        <f t="shared" si="73"/>
        <v>0</v>
      </c>
      <c r="I81" s="90">
        <f t="shared" si="73"/>
        <v>0</v>
      </c>
      <c r="J81" s="90">
        <f t="shared" si="73"/>
        <v>0</v>
      </c>
      <c r="K81" s="90">
        <f t="shared" si="73"/>
        <v>0</v>
      </c>
      <c r="L81" s="90">
        <f t="shared" si="73"/>
        <v>0</v>
      </c>
      <c r="M81" s="90">
        <f t="shared" si="73"/>
        <v>0</v>
      </c>
      <c r="N81" s="91">
        <f>SUM(B81:M81)</f>
        <v>0</v>
      </c>
    </row>
    <row r="82" spans="1:14" x14ac:dyDescent="0.35">
      <c r="A82" s="32" t="s">
        <v>104</v>
      </c>
      <c r="B82" s="62" t="e">
        <f>+B76/B77</f>
        <v>#DIV/0!</v>
      </c>
      <c r="C82" s="62" t="e">
        <f t="shared" ref="C82:N82" si="74">+C76/C77</f>
        <v>#DIV/0!</v>
      </c>
      <c r="D82" s="62" t="e">
        <f t="shared" si="74"/>
        <v>#DIV/0!</v>
      </c>
      <c r="E82" s="62" t="e">
        <f t="shared" si="74"/>
        <v>#DIV/0!</v>
      </c>
      <c r="F82" s="62" t="e">
        <f t="shared" si="74"/>
        <v>#DIV/0!</v>
      </c>
      <c r="G82" s="62" t="e">
        <f t="shared" si="74"/>
        <v>#DIV/0!</v>
      </c>
      <c r="H82" s="62" t="e">
        <f t="shared" si="74"/>
        <v>#DIV/0!</v>
      </c>
      <c r="I82" s="62" t="e">
        <f t="shared" si="74"/>
        <v>#DIV/0!</v>
      </c>
      <c r="J82" s="62" t="e">
        <f t="shared" si="74"/>
        <v>#DIV/0!</v>
      </c>
      <c r="K82" s="62" t="e">
        <f t="shared" si="74"/>
        <v>#DIV/0!</v>
      </c>
      <c r="L82" s="62" t="e">
        <f t="shared" si="74"/>
        <v>#DIV/0!</v>
      </c>
      <c r="M82" s="62" t="e">
        <f t="shared" si="74"/>
        <v>#DIV/0!</v>
      </c>
      <c r="N82" s="84" t="e">
        <f t="shared" si="74"/>
        <v>#DIV/0!</v>
      </c>
    </row>
    <row r="83" spans="1:14" x14ac:dyDescent="0.35">
      <c r="A83" s="65" t="s">
        <v>377</v>
      </c>
      <c r="B83" s="80">
        <f>+B86+B88</f>
        <v>0</v>
      </c>
      <c r="C83" s="80">
        <f t="shared" ref="C83:M83" si="75">+C86+C88</f>
        <v>0</v>
      </c>
      <c r="D83" s="80">
        <f t="shared" si="75"/>
        <v>0</v>
      </c>
      <c r="E83" s="80">
        <f t="shared" si="75"/>
        <v>0</v>
      </c>
      <c r="F83" s="80">
        <f t="shared" si="75"/>
        <v>0</v>
      </c>
      <c r="G83" s="80">
        <f t="shared" si="75"/>
        <v>0</v>
      </c>
      <c r="H83" s="80">
        <f t="shared" si="75"/>
        <v>0</v>
      </c>
      <c r="I83" s="80">
        <f t="shared" si="75"/>
        <v>0</v>
      </c>
      <c r="J83" s="80">
        <f t="shared" si="75"/>
        <v>0</v>
      </c>
      <c r="K83" s="80">
        <f t="shared" si="75"/>
        <v>0</v>
      </c>
      <c r="L83" s="80">
        <f t="shared" si="75"/>
        <v>0</v>
      </c>
      <c r="M83" s="80">
        <f t="shared" si="75"/>
        <v>0</v>
      </c>
      <c r="N83" s="92">
        <f>SUM(B83:M83)</f>
        <v>0</v>
      </c>
    </row>
    <row r="84" spans="1:14" x14ac:dyDescent="0.35">
      <c r="A84" s="32" t="s">
        <v>93</v>
      </c>
      <c r="B84" s="239">
        <f>+'Plan de culture 105'!$I$31</f>
        <v>0</v>
      </c>
      <c r="C84" s="239">
        <f>+B84</f>
        <v>0</v>
      </c>
      <c r="D84" s="239">
        <f t="shared" ref="D84" si="76">+C84</f>
        <v>0</v>
      </c>
      <c r="E84" s="239">
        <f>+'Plan de culture 104 '!C80</f>
        <v>0</v>
      </c>
      <c r="F84" s="239">
        <f>+E84+'Plan de culture 104 '!D80+'Plan de culture 104 '!E80</f>
        <v>0</v>
      </c>
      <c r="G84" s="239">
        <f>+F84</f>
        <v>0</v>
      </c>
      <c r="H84" s="239">
        <f t="shared" ref="H84:M84" si="77">+G84</f>
        <v>0</v>
      </c>
      <c r="I84" s="239">
        <f t="shared" si="77"/>
        <v>0</v>
      </c>
      <c r="J84" s="239">
        <f t="shared" si="77"/>
        <v>0</v>
      </c>
      <c r="K84" s="239">
        <f t="shared" si="77"/>
        <v>0</v>
      </c>
      <c r="L84" s="239">
        <f t="shared" si="77"/>
        <v>0</v>
      </c>
      <c r="M84" s="239">
        <f t="shared" si="77"/>
        <v>0</v>
      </c>
      <c r="N84" s="240">
        <f>+'Plan de culture 105'!$I$31</f>
        <v>0</v>
      </c>
    </row>
    <row r="85" spans="1:14" x14ac:dyDescent="0.35">
      <c r="A85" s="89" t="s">
        <v>105</v>
      </c>
      <c r="B85" s="90">
        <v>0</v>
      </c>
      <c r="C85" s="90">
        <f>+B85</f>
        <v>0</v>
      </c>
      <c r="D85" s="90">
        <f>+C85</f>
        <v>0</v>
      </c>
      <c r="E85" s="90">
        <f t="shared" ref="E85:M85" si="78">+D85</f>
        <v>0</v>
      </c>
      <c r="F85" s="90">
        <f t="shared" si="78"/>
        <v>0</v>
      </c>
      <c r="G85" s="90">
        <f t="shared" si="78"/>
        <v>0</v>
      </c>
      <c r="H85" s="90">
        <f t="shared" si="78"/>
        <v>0</v>
      </c>
      <c r="I85" s="90">
        <f t="shared" si="78"/>
        <v>0</v>
      </c>
      <c r="J85" s="90">
        <f t="shared" si="78"/>
        <v>0</v>
      </c>
      <c r="K85" s="90">
        <f t="shared" si="78"/>
        <v>0</v>
      </c>
      <c r="L85" s="90">
        <f t="shared" si="78"/>
        <v>0</v>
      </c>
      <c r="M85" s="90">
        <f t="shared" si="78"/>
        <v>0</v>
      </c>
      <c r="N85" s="91" t="e">
        <f>+N86/N84</f>
        <v>#DIV/0!</v>
      </c>
    </row>
    <row r="86" spans="1:14" x14ac:dyDescent="0.35">
      <c r="A86" s="89" t="s">
        <v>106</v>
      </c>
      <c r="B86" s="90">
        <f>+B85*B84</f>
        <v>0</v>
      </c>
      <c r="C86" s="90">
        <f t="shared" ref="C86:M86" si="79">+C85*C84</f>
        <v>0</v>
      </c>
      <c r="D86" s="90">
        <f t="shared" si="79"/>
        <v>0</v>
      </c>
      <c r="E86" s="90">
        <f t="shared" si="79"/>
        <v>0</v>
      </c>
      <c r="F86" s="90">
        <f t="shared" si="79"/>
        <v>0</v>
      </c>
      <c r="G86" s="90">
        <f t="shared" si="79"/>
        <v>0</v>
      </c>
      <c r="H86" s="90">
        <f t="shared" si="79"/>
        <v>0</v>
      </c>
      <c r="I86" s="90">
        <f t="shared" si="79"/>
        <v>0</v>
      </c>
      <c r="J86" s="90">
        <f t="shared" si="79"/>
        <v>0</v>
      </c>
      <c r="K86" s="90">
        <f t="shared" si="79"/>
        <v>0</v>
      </c>
      <c r="L86" s="90">
        <f t="shared" si="79"/>
        <v>0</v>
      </c>
      <c r="M86" s="90">
        <f t="shared" si="79"/>
        <v>0</v>
      </c>
      <c r="N86" s="91">
        <f>SUM(B86:M86)</f>
        <v>0</v>
      </c>
    </row>
    <row r="87" spans="1:14" x14ac:dyDescent="0.35">
      <c r="A87" s="89" t="s">
        <v>107</v>
      </c>
      <c r="B87" s="90">
        <v>0</v>
      </c>
      <c r="C87" s="90">
        <v>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1" t="e">
        <f>+N88/N84</f>
        <v>#DIV/0!</v>
      </c>
    </row>
    <row r="88" spans="1:14" x14ac:dyDescent="0.35">
      <c r="A88" s="89" t="s">
        <v>108</v>
      </c>
      <c r="B88" s="90">
        <f>+B87*B84</f>
        <v>0</v>
      </c>
      <c r="C88" s="90">
        <f t="shared" ref="C88:M88" si="80">+C87*C84</f>
        <v>0</v>
      </c>
      <c r="D88" s="90">
        <f t="shared" si="80"/>
        <v>0</v>
      </c>
      <c r="E88" s="90">
        <f t="shared" si="80"/>
        <v>0</v>
      </c>
      <c r="F88" s="90">
        <f t="shared" si="80"/>
        <v>0</v>
      </c>
      <c r="G88" s="90">
        <f t="shared" si="80"/>
        <v>0</v>
      </c>
      <c r="H88" s="90">
        <f t="shared" si="80"/>
        <v>0</v>
      </c>
      <c r="I88" s="90">
        <f t="shared" si="80"/>
        <v>0</v>
      </c>
      <c r="J88" s="90">
        <f t="shared" si="80"/>
        <v>0</v>
      </c>
      <c r="K88" s="90">
        <f t="shared" si="80"/>
        <v>0</v>
      </c>
      <c r="L88" s="90">
        <f t="shared" si="80"/>
        <v>0</v>
      </c>
      <c r="M88" s="90">
        <f t="shared" si="80"/>
        <v>0</v>
      </c>
      <c r="N88" s="91">
        <f>SUM(B88:M88)</f>
        <v>0</v>
      </c>
    </row>
    <row r="89" spans="1:14" x14ac:dyDescent="0.35">
      <c r="A89" s="32" t="s">
        <v>104</v>
      </c>
      <c r="B89" s="62" t="e">
        <f>+B83/B84</f>
        <v>#DIV/0!</v>
      </c>
      <c r="C89" s="62" t="e">
        <f t="shared" ref="C89:N89" si="81">+C83/C84</f>
        <v>#DIV/0!</v>
      </c>
      <c r="D89" s="62" t="e">
        <f t="shared" si="81"/>
        <v>#DIV/0!</v>
      </c>
      <c r="E89" s="62" t="e">
        <f t="shared" si="81"/>
        <v>#DIV/0!</v>
      </c>
      <c r="F89" s="62" t="e">
        <f t="shared" si="81"/>
        <v>#DIV/0!</v>
      </c>
      <c r="G89" s="62" t="e">
        <f t="shared" si="81"/>
        <v>#DIV/0!</v>
      </c>
      <c r="H89" s="62" t="e">
        <f t="shared" si="81"/>
        <v>#DIV/0!</v>
      </c>
      <c r="I89" s="62" t="e">
        <f t="shared" si="81"/>
        <v>#DIV/0!</v>
      </c>
      <c r="J89" s="62" t="e">
        <f t="shared" si="81"/>
        <v>#DIV/0!</v>
      </c>
      <c r="K89" s="62" t="e">
        <f t="shared" si="81"/>
        <v>#DIV/0!</v>
      </c>
      <c r="L89" s="62" t="e">
        <f t="shared" si="81"/>
        <v>#DIV/0!</v>
      </c>
      <c r="M89" s="62" t="e">
        <f t="shared" si="81"/>
        <v>#DIV/0!</v>
      </c>
      <c r="N89" s="84" t="e">
        <f t="shared" si="81"/>
        <v>#DIV/0!</v>
      </c>
    </row>
    <row r="90" spans="1:14" x14ac:dyDescent="0.35">
      <c r="A90" s="65" t="s">
        <v>378</v>
      </c>
      <c r="B90" s="80">
        <f>+B93+B95</f>
        <v>0</v>
      </c>
      <c r="C90" s="80">
        <f t="shared" ref="C90:M90" si="82">+C93+C95</f>
        <v>0</v>
      </c>
      <c r="D90" s="80">
        <f t="shared" si="82"/>
        <v>0</v>
      </c>
      <c r="E90" s="80">
        <f t="shared" si="82"/>
        <v>0</v>
      </c>
      <c r="F90" s="80">
        <f t="shared" si="82"/>
        <v>0</v>
      </c>
      <c r="G90" s="80">
        <f t="shared" si="82"/>
        <v>0</v>
      </c>
      <c r="H90" s="80">
        <f t="shared" si="82"/>
        <v>0</v>
      </c>
      <c r="I90" s="80">
        <f t="shared" si="82"/>
        <v>0</v>
      </c>
      <c r="J90" s="80">
        <f t="shared" si="82"/>
        <v>0</v>
      </c>
      <c r="K90" s="80">
        <f t="shared" si="82"/>
        <v>0</v>
      </c>
      <c r="L90" s="80">
        <f t="shared" si="82"/>
        <v>0</v>
      </c>
      <c r="M90" s="80">
        <f t="shared" si="82"/>
        <v>0</v>
      </c>
      <c r="N90" s="92">
        <f>SUM(B90:M90)</f>
        <v>0</v>
      </c>
    </row>
    <row r="91" spans="1:14" x14ac:dyDescent="0.35">
      <c r="A91" s="32" t="s">
        <v>93</v>
      </c>
      <c r="B91" s="239">
        <f>+'Plan de culture 105'!$I$37</f>
        <v>0</v>
      </c>
      <c r="C91" s="239">
        <f>+B91</f>
        <v>0</v>
      </c>
      <c r="D91" s="239">
        <f t="shared" ref="D91" si="83">+C91</f>
        <v>0</v>
      </c>
      <c r="E91" s="239">
        <f>+'Plan de culture 104 '!C87</f>
        <v>0</v>
      </c>
      <c r="F91" s="239">
        <f>+E91+'Plan de culture 104 '!D87+'Plan de culture 104 '!E87</f>
        <v>0</v>
      </c>
      <c r="G91" s="239">
        <f>+F91</f>
        <v>0</v>
      </c>
      <c r="H91" s="239">
        <f t="shared" ref="H91:M91" si="84">+G91</f>
        <v>0</v>
      </c>
      <c r="I91" s="239">
        <f t="shared" si="84"/>
        <v>0</v>
      </c>
      <c r="J91" s="239">
        <f t="shared" si="84"/>
        <v>0</v>
      </c>
      <c r="K91" s="239">
        <f t="shared" si="84"/>
        <v>0</v>
      </c>
      <c r="L91" s="239">
        <f t="shared" si="84"/>
        <v>0</v>
      </c>
      <c r="M91" s="239">
        <f t="shared" si="84"/>
        <v>0</v>
      </c>
      <c r="N91" s="240">
        <f>+'Plan de culture 105'!$I$37</f>
        <v>0</v>
      </c>
    </row>
    <row r="92" spans="1:14" x14ac:dyDescent="0.35">
      <c r="A92" s="89" t="s">
        <v>105</v>
      </c>
      <c r="B92" s="90">
        <v>0</v>
      </c>
      <c r="C92" s="90">
        <f>+B92</f>
        <v>0</v>
      </c>
      <c r="D92" s="90">
        <f>+C92</f>
        <v>0</v>
      </c>
      <c r="E92" s="90">
        <f t="shared" ref="E92:M92" si="85">+D92</f>
        <v>0</v>
      </c>
      <c r="F92" s="90">
        <f t="shared" si="85"/>
        <v>0</v>
      </c>
      <c r="G92" s="90">
        <f t="shared" si="85"/>
        <v>0</v>
      </c>
      <c r="H92" s="90">
        <f t="shared" si="85"/>
        <v>0</v>
      </c>
      <c r="I92" s="90">
        <f t="shared" si="85"/>
        <v>0</v>
      </c>
      <c r="J92" s="90">
        <f t="shared" si="85"/>
        <v>0</v>
      </c>
      <c r="K92" s="90">
        <f t="shared" si="85"/>
        <v>0</v>
      </c>
      <c r="L92" s="90">
        <f t="shared" si="85"/>
        <v>0</v>
      </c>
      <c r="M92" s="90">
        <f t="shared" si="85"/>
        <v>0</v>
      </c>
      <c r="N92" s="91" t="e">
        <f>+N93/N91</f>
        <v>#DIV/0!</v>
      </c>
    </row>
    <row r="93" spans="1:14" x14ac:dyDescent="0.35">
      <c r="A93" s="89" t="s">
        <v>106</v>
      </c>
      <c r="B93" s="90">
        <f>+B92*B91</f>
        <v>0</v>
      </c>
      <c r="C93" s="90">
        <f t="shared" ref="C93:M93" si="86">+C92*C91</f>
        <v>0</v>
      </c>
      <c r="D93" s="90">
        <f t="shared" si="86"/>
        <v>0</v>
      </c>
      <c r="E93" s="90">
        <f t="shared" si="86"/>
        <v>0</v>
      </c>
      <c r="F93" s="90">
        <f t="shared" si="86"/>
        <v>0</v>
      </c>
      <c r="G93" s="90">
        <f t="shared" si="86"/>
        <v>0</v>
      </c>
      <c r="H93" s="90">
        <f t="shared" si="86"/>
        <v>0</v>
      </c>
      <c r="I93" s="90">
        <f t="shared" si="86"/>
        <v>0</v>
      </c>
      <c r="J93" s="90">
        <f t="shared" si="86"/>
        <v>0</v>
      </c>
      <c r="K93" s="90">
        <f t="shared" si="86"/>
        <v>0</v>
      </c>
      <c r="L93" s="90">
        <f t="shared" si="86"/>
        <v>0</v>
      </c>
      <c r="M93" s="90">
        <f t="shared" si="86"/>
        <v>0</v>
      </c>
      <c r="N93" s="91">
        <f>SUM(B93:M93)</f>
        <v>0</v>
      </c>
    </row>
    <row r="94" spans="1:14" x14ac:dyDescent="0.35">
      <c r="A94" s="89" t="s">
        <v>107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1" t="e">
        <f>+N95/N91</f>
        <v>#DIV/0!</v>
      </c>
    </row>
    <row r="95" spans="1:14" x14ac:dyDescent="0.35">
      <c r="A95" s="89" t="s">
        <v>108</v>
      </c>
      <c r="B95" s="90">
        <f>+B94*B91</f>
        <v>0</v>
      </c>
      <c r="C95" s="90">
        <f t="shared" ref="C95:M95" si="87">+C94*C91</f>
        <v>0</v>
      </c>
      <c r="D95" s="90">
        <f t="shared" si="87"/>
        <v>0</v>
      </c>
      <c r="E95" s="90">
        <f t="shared" si="87"/>
        <v>0</v>
      </c>
      <c r="F95" s="90">
        <f t="shared" si="87"/>
        <v>0</v>
      </c>
      <c r="G95" s="90">
        <f t="shared" si="87"/>
        <v>0</v>
      </c>
      <c r="H95" s="90">
        <f t="shared" si="87"/>
        <v>0</v>
      </c>
      <c r="I95" s="90">
        <f t="shared" si="87"/>
        <v>0</v>
      </c>
      <c r="J95" s="90">
        <f t="shared" si="87"/>
        <v>0</v>
      </c>
      <c r="K95" s="90">
        <f t="shared" si="87"/>
        <v>0</v>
      </c>
      <c r="L95" s="90">
        <f t="shared" si="87"/>
        <v>0</v>
      </c>
      <c r="M95" s="90">
        <f t="shared" si="87"/>
        <v>0</v>
      </c>
      <c r="N95" s="91">
        <f>SUM(B95:M95)</f>
        <v>0</v>
      </c>
    </row>
    <row r="96" spans="1:14" x14ac:dyDescent="0.35">
      <c r="A96" s="32" t="s">
        <v>104</v>
      </c>
      <c r="B96" s="62" t="e">
        <f>+B90/B91</f>
        <v>#DIV/0!</v>
      </c>
      <c r="C96" s="62" t="e">
        <f t="shared" ref="C96:N96" si="88">+C90/C91</f>
        <v>#DIV/0!</v>
      </c>
      <c r="D96" s="62" t="e">
        <f t="shared" si="88"/>
        <v>#DIV/0!</v>
      </c>
      <c r="E96" s="62" t="e">
        <f t="shared" si="88"/>
        <v>#DIV/0!</v>
      </c>
      <c r="F96" s="62" t="e">
        <f t="shared" si="88"/>
        <v>#DIV/0!</v>
      </c>
      <c r="G96" s="62" t="e">
        <f t="shared" si="88"/>
        <v>#DIV/0!</v>
      </c>
      <c r="H96" s="62" t="e">
        <f t="shared" si="88"/>
        <v>#DIV/0!</v>
      </c>
      <c r="I96" s="62" t="e">
        <f t="shared" si="88"/>
        <v>#DIV/0!</v>
      </c>
      <c r="J96" s="62" t="e">
        <f t="shared" si="88"/>
        <v>#DIV/0!</v>
      </c>
      <c r="K96" s="62" t="e">
        <f t="shared" si="88"/>
        <v>#DIV/0!</v>
      </c>
      <c r="L96" s="62" t="e">
        <f t="shared" si="88"/>
        <v>#DIV/0!</v>
      </c>
      <c r="M96" s="62" t="e">
        <f t="shared" si="88"/>
        <v>#DIV/0!</v>
      </c>
      <c r="N96" s="84" t="e">
        <f t="shared" si="88"/>
        <v>#DIV/0!</v>
      </c>
    </row>
    <row r="97" spans="1:14" s="57" customFormat="1" x14ac:dyDescent="0.35">
      <c r="A97" s="72" t="s">
        <v>436</v>
      </c>
      <c r="B97" s="77">
        <f>+B100+B107</f>
        <v>0</v>
      </c>
      <c r="C97" s="77">
        <f t="shared" ref="C97:M98" si="89">+C100+C107</f>
        <v>0</v>
      </c>
      <c r="D97" s="77">
        <f t="shared" si="89"/>
        <v>0</v>
      </c>
      <c r="E97" s="77">
        <f t="shared" si="89"/>
        <v>0</v>
      </c>
      <c r="F97" s="77">
        <f t="shared" si="89"/>
        <v>0</v>
      </c>
      <c r="G97" s="77">
        <f t="shared" si="89"/>
        <v>0</v>
      </c>
      <c r="H97" s="77">
        <f t="shared" si="89"/>
        <v>0</v>
      </c>
      <c r="I97" s="77">
        <f t="shared" si="89"/>
        <v>0</v>
      </c>
      <c r="J97" s="77">
        <f t="shared" si="89"/>
        <v>0</v>
      </c>
      <c r="K97" s="77">
        <f t="shared" si="89"/>
        <v>0</v>
      </c>
      <c r="L97" s="77">
        <f t="shared" si="89"/>
        <v>0</v>
      </c>
      <c r="M97" s="77">
        <f t="shared" si="89"/>
        <v>0</v>
      </c>
      <c r="N97" s="78">
        <f>SUM(B97:M97)</f>
        <v>0</v>
      </c>
    </row>
    <row r="98" spans="1:14" s="57" customFormat="1" x14ac:dyDescent="0.35">
      <c r="A98" s="72" t="s">
        <v>93</v>
      </c>
      <c r="B98" s="81">
        <f>+B101+B108</f>
        <v>0</v>
      </c>
      <c r="C98" s="81">
        <f t="shared" si="89"/>
        <v>0</v>
      </c>
      <c r="D98" s="81">
        <f t="shared" si="89"/>
        <v>0</v>
      </c>
      <c r="E98" s="81">
        <f t="shared" si="89"/>
        <v>0</v>
      </c>
      <c r="F98" s="81">
        <f t="shared" si="89"/>
        <v>0</v>
      </c>
      <c r="G98" s="81">
        <f t="shared" si="89"/>
        <v>0</v>
      </c>
      <c r="H98" s="81">
        <f t="shared" si="89"/>
        <v>0</v>
      </c>
      <c r="I98" s="81">
        <f t="shared" si="89"/>
        <v>0</v>
      </c>
      <c r="J98" s="81">
        <f t="shared" si="89"/>
        <v>0</v>
      </c>
      <c r="K98" s="81">
        <f t="shared" si="89"/>
        <v>0</v>
      </c>
      <c r="L98" s="81">
        <f t="shared" si="89"/>
        <v>0</v>
      </c>
      <c r="M98" s="81">
        <f t="shared" si="89"/>
        <v>0</v>
      </c>
      <c r="N98" s="82">
        <f>+M98</f>
        <v>0</v>
      </c>
    </row>
    <row r="99" spans="1:14" s="57" customFormat="1" x14ac:dyDescent="0.35">
      <c r="A99" s="72" t="s">
        <v>104</v>
      </c>
      <c r="B99" s="83" t="e">
        <f>+B97/B98</f>
        <v>#DIV/0!</v>
      </c>
      <c r="C99" s="83" t="e">
        <f>+C97/C98</f>
        <v>#DIV/0!</v>
      </c>
      <c r="D99" s="83" t="e">
        <f>+D97/D98</f>
        <v>#DIV/0!</v>
      </c>
      <c r="E99" s="83" t="e">
        <f t="shared" ref="E99:N99" si="90">+E97/E98</f>
        <v>#DIV/0!</v>
      </c>
      <c r="F99" s="83" t="e">
        <f t="shared" si="90"/>
        <v>#DIV/0!</v>
      </c>
      <c r="G99" s="83" t="e">
        <f t="shared" si="90"/>
        <v>#DIV/0!</v>
      </c>
      <c r="H99" s="83" t="e">
        <f t="shared" si="90"/>
        <v>#DIV/0!</v>
      </c>
      <c r="I99" s="83" t="e">
        <f t="shared" si="90"/>
        <v>#DIV/0!</v>
      </c>
      <c r="J99" s="83" t="e">
        <f t="shared" si="90"/>
        <v>#DIV/0!</v>
      </c>
      <c r="K99" s="83" t="e">
        <f t="shared" si="90"/>
        <v>#DIV/0!</v>
      </c>
      <c r="L99" s="83" t="e">
        <f t="shared" si="90"/>
        <v>#DIV/0!</v>
      </c>
      <c r="M99" s="83" t="e">
        <f t="shared" si="90"/>
        <v>#DIV/0!</v>
      </c>
      <c r="N99" s="83" t="e">
        <f t="shared" si="90"/>
        <v>#DIV/0!</v>
      </c>
    </row>
    <row r="100" spans="1:14" x14ac:dyDescent="0.35">
      <c r="A100" s="65" t="s">
        <v>90</v>
      </c>
      <c r="B100" s="80">
        <f>+B103+B105</f>
        <v>0</v>
      </c>
      <c r="C100" s="80">
        <f t="shared" ref="C100:M100" si="91">+C103+C105</f>
        <v>0</v>
      </c>
      <c r="D100" s="80">
        <f t="shared" si="91"/>
        <v>0</v>
      </c>
      <c r="E100" s="80">
        <f t="shared" si="91"/>
        <v>0</v>
      </c>
      <c r="F100" s="80">
        <f t="shared" si="91"/>
        <v>0</v>
      </c>
      <c r="G100" s="80">
        <f t="shared" si="91"/>
        <v>0</v>
      </c>
      <c r="H100" s="80">
        <f t="shared" si="91"/>
        <v>0</v>
      </c>
      <c r="I100" s="80">
        <f t="shared" si="91"/>
        <v>0</v>
      </c>
      <c r="J100" s="80">
        <f t="shared" si="91"/>
        <v>0</v>
      </c>
      <c r="K100" s="80">
        <f t="shared" si="91"/>
        <v>0</v>
      </c>
      <c r="L100" s="80">
        <f t="shared" si="91"/>
        <v>0</v>
      </c>
      <c r="M100" s="80">
        <f t="shared" si="91"/>
        <v>0</v>
      </c>
      <c r="N100" s="80">
        <f>SUM(B100:M100)</f>
        <v>0</v>
      </c>
    </row>
    <row r="101" spans="1:14" x14ac:dyDescent="0.35">
      <c r="A101" s="32" t="s">
        <v>93</v>
      </c>
      <c r="B101" s="239">
        <f>+'Plan de culture 106'!$J$7</f>
        <v>0</v>
      </c>
      <c r="C101" s="239">
        <f>+B101</f>
        <v>0</v>
      </c>
      <c r="D101" s="239">
        <f t="shared" ref="D101" si="92">+C101</f>
        <v>0</v>
      </c>
      <c r="E101" s="239">
        <f>+D101</f>
        <v>0</v>
      </c>
      <c r="F101" s="239">
        <f>+E101</f>
        <v>0</v>
      </c>
      <c r="G101" s="239">
        <f>+F101</f>
        <v>0</v>
      </c>
      <c r="H101" s="239">
        <f t="shared" ref="H101:M101" si="93">+G101</f>
        <v>0</v>
      </c>
      <c r="I101" s="239">
        <f t="shared" si="93"/>
        <v>0</v>
      </c>
      <c r="J101" s="239">
        <f t="shared" si="93"/>
        <v>0</v>
      </c>
      <c r="K101" s="239">
        <f t="shared" si="93"/>
        <v>0</v>
      </c>
      <c r="L101" s="239">
        <f t="shared" si="93"/>
        <v>0</v>
      </c>
      <c r="M101" s="239">
        <f t="shared" si="93"/>
        <v>0</v>
      </c>
      <c r="N101" s="240">
        <f>+'Plan de culture 106'!$J$7</f>
        <v>0</v>
      </c>
    </row>
    <row r="102" spans="1:14" x14ac:dyDescent="0.35">
      <c r="A102" s="89" t="s">
        <v>105</v>
      </c>
      <c r="B102" s="90">
        <v>0</v>
      </c>
      <c r="C102" s="90">
        <f>+B102</f>
        <v>0</v>
      </c>
      <c r="D102" s="90">
        <f>+C102</f>
        <v>0</v>
      </c>
      <c r="E102" s="90">
        <f t="shared" ref="E102:M102" si="94">+D102</f>
        <v>0</v>
      </c>
      <c r="F102" s="90">
        <f t="shared" si="94"/>
        <v>0</v>
      </c>
      <c r="G102" s="90">
        <f t="shared" si="94"/>
        <v>0</v>
      </c>
      <c r="H102" s="90">
        <f t="shared" si="94"/>
        <v>0</v>
      </c>
      <c r="I102" s="90">
        <f t="shared" si="94"/>
        <v>0</v>
      </c>
      <c r="J102" s="90">
        <f t="shared" si="94"/>
        <v>0</v>
      </c>
      <c r="K102" s="90">
        <f t="shared" si="94"/>
        <v>0</v>
      </c>
      <c r="L102" s="90">
        <f t="shared" si="94"/>
        <v>0</v>
      </c>
      <c r="M102" s="90">
        <f t="shared" si="94"/>
        <v>0</v>
      </c>
      <c r="N102" s="91" t="e">
        <f>+N103/N101</f>
        <v>#DIV/0!</v>
      </c>
    </row>
    <row r="103" spans="1:14" x14ac:dyDescent="0.35">
      <c r="A103" s="89" t="s">
        <v>106</v>
      </c>
      <c r="B103" s="90">
        <f>+B102*B101</f>
        <v>0</v>
      </c>
      <c r="C103" s="90">
        <f t="shared" ref="C103:M103" si="95">+C102*C101</f>
        <v>0</v>
      </c>
      <c r="D103" s="90">
        <f t="shared" si="95"/>
        <v>0</v>
      </c>
      <c r="E103" s="90">
        <f t="shared" si="95"/>
        <v>0</v>
      </c>
      <c r="F103" s="90">
        <f t="shared" si="95"/>
        <v>0</v>
      </c>
      <c r="G103" s="90">
        <f t="shared" si="95"/>
        <v>0</v>
      </c>
      <c r="H103" s="90">
        <f t="shared" si="95"/>
        <v>0</v>
      </c>
      <c r="I103" s="90">
        <f t="shared" si="95"/>
        <v>0</v>
      </c>
      <c r="J103" s="90">
        <f t="shared" si="95"/>
        <v>0</v>
      </c>
      <c r="K103" s="90">
        <f t="shared" si="95"/>
        <v>0</v>
      </c>
      <c r="L103" s="90">
        <f t="shared" si="95"/>
        <v>0</v>
      </c>
      <c r="M103" s="90">
        <f t="shared" si="95"/>
        <v>0</v>
      </c>
      <c r="N103" s="91">
        <f>SUM(B103:M103)</f>
        <v>0</v>
      </c>
    </row>
    <row r="104" spans="1:14" x14ac:dyDescent="0.35">
      <c r="A104" s="89" t="s">
        <v>107</v>
      </c>
      <c r="B104" s="90">
        <v>0</v>
      </c>
      <c r="C104" s="90">
        <v>0</v>
      </c>
      <c r="D104" s="90">
        <v>0</v>
      </c>
      <c r="E104" s="90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1" t="e">
        <f>+N105/N101</f>
        <v>#DIV/0!</v>
      </c>
    </row>
    <row r="105" spans="1:14" x14ac:dyDescent="0.35">
      <c r="A105" s="89" t="s">
        <v>108</v>
      </c>
      <c r="B105" s="90">
        <f>+B104*B101</f>
        <v>0</v>
      </c>
      <c r="C105" s="90">
        <f t="shared" ref="C105:M105" si="96">+C104*C101</f>
        <v>0</v>
      </c>
      <c r="D105" s="90">
        <f t="shared" si="96"/>
        <v>0</v>
      </c>
      <c r="E105" s="90">
        <f t="shared" si="96"/>
        <v>0</v>
      </c>
      <c r="F105" s="90">
        <f t="shared" si="96"/>
        <v>0</v>
      </c>
      <c r="G105" s="90">
        <f t="shared" si="96"/>
        <v>0</v>
      </c>
      <c r="H105" s="90">
        <f t="shared" si="96"/>
        <v>0</v>
      </c>
      <c r="I105" s="90">
        <f t="shared" si="96"/>
        <v>0</v>
      </c>
      <c r="J105" s="90">
        <f t="shared" si="96"/>
        <v>0</v>
      </c>
      <c r="K105" s="90">
        <f t="shared" si="96"/>
        <v>0</v>
      </c>
      <c r="L105" s="90">
        <f t="shared" si="96"/>
        <v>0</v>
      </c>
      <c r="M105" s="90">
        <f t="shared" si="96"/>
        <v>0</v>
      </c>
      <c r="N105" s="91">
        <f>SUM(B105:M105)</f>
        <v>0</v>
      </c>
    </row>
    <row r="106" spans="1:14" x14ac:dyDescent="0.35">
      <c r="A106" s="32" t="s">
        <v>104</v>
      </c>
      <c r="B106" s="62" t="e">
        <f>+B100/B101</f>
        <v>#DIV/0!</v>
      </c>
      <c r="C106" s="62" t="e">
        <f t="shared" ref="C106:N106" si="97">+C100/C101</f>
        <v>#DIV/0!</v>
      </c>
      <c r="D106" s="62" t="e">
        <f t="shared" si="97"/>
        <v>#DIV/0!</v>
      </c>
      <c r="E106" s="62" t="e">
        <f t="shared" si="97"/>
        <v>#DIV/0!</v>
      </c>
      <c r="F106" s="62" t="e">
        <f t="shared" si="97"/>
        <v>#DIV/0!</v>
      </c>
      <c r="G106" s="62" t="e">
        <f t="shared" si="97"/>
        <v>#DIV/0!</v>
      </c>
      <c r="H106" s="62" t="e">
        <f t="shared" si="97"/>
        <v>#DIV/0!</v>
      </c>
      <c r="I106" s="62" t="e">
        <f t="shared" si="97"/>
        <v>#DIV/0!</v>
      </c>
      <c r="J106" s="62" t="e">
        <f t="shared" si="97"/>
        <v>#DIV/0!</v>
      </c>
      <c r="K106" s="62" t="e">
        <f t="shared" si="97"/>
        <v>#DIV/0!</v>
      </c>
      <c r="L106" s="62" t="e">
        <f t="shared" si="97"/>
        <v>#DIV/0!</v>
      </c>
      <c r="M106" s="62" t="e">
        <f t="shared" si="97"/>
        <v>#DIV/0!</v>
      </c>
      <c r="N106" s="84" t="e">
        <f t="shared" si="97"/>
        <v>#DIV/0!</v>
      </c>
    </row>
    <row r="107" spans="1:14" x14ac:dyDescent="0.35">
      <c r="A107" s="65" t="s">
        <v>91</v>
      </c>
      <c r="B107" s="80">
        <f>+B110+B112</f>
        <v>0</v>
      </c>
      <c r="C107" s="80">
        <f t="shared" ref="C107:M107" si="98">+C110+C112</f>
        <v>0</v>
      </c>
      <c r="D107" s="80">
        <f t="shared" si="98"/>
        <v>0</v>
      </c>
      <c r="E107" s="80">
        <f t="shared" si="98"/>
        <v>0</v>
      </c>
      <c r="F107" s="80">
        <f t="shared" si="98"/>
        <v>0</v>
      </c>
      <c r="G107" s="80">
        <f t="shared" si="98"/>
        <v>0</v>
      </c>
      <c r="H107" s="80">
        <f t="shared" si="98"/>
        <v>0</v>
      </c>
      <c r="I107" s="80">
        <f t="shared" si="98"/>
        <v>0</v>
      </c>
      <c r="J107" s="80">
        <f t="shared" si="98"/>
        <v>0</v>
      </c>
      <c r="K107" s="80">
        <f t="shared" si="98"/>
        <v>0</v>
      </c>
      <c r="L107" s="80">
        <f t="shared" si="98"/>
        <v>0</v>
      </c>
      <c r="M107" s="80">
        <f t="shared" si="98"/>
        <v>0</v>
      </c>
      <c r="N107" s="92">
        <f>SUM(B107:M107)</f>
        <v>0</v>
      </c>
    </row>
    <row r="108" spans="1:14" x14ac:dyDescent="0.35">
      <c r="A108" s="32" t="s">
        <v>93</v>
      </c>
      <c r="B108" s="239">
        <f>+'Plan de culture 106'!$J$13</f>
        <v>0</v>
      </c>
      <c r="C108" s="239">
        <f>+B108</f>
        <v>0</v>
      </c>
      <c r="D108" s="239">
        <f t="shared" ref="D108:M108" si="99">+C108</f>
        <v>0</v>
      </c>
      <c r="E108" s="239">
        <f t="shared" si="99"/>
        <v>0</v>
      </c>
      <c r="F108" s="239">
        <f t="shared" si="99"/>
        <v>0</v>
      </c>
      <c r="G108" s="239">
        <f t="shared" si="99"/>
        <v>0</v>
      </c>
      <c r="H108" s="239">
        <f t="shared" si="99"/>
        <v>0</v>
      </c>
      <c r="I108" s="239">
        <f t="shared" si="99"/>
        <v>0</v>
      </c>
      <c r="J108" s="239">
        <f t="shared" si="99"/>
        <v>0</v>
      </c>
      <c r="K108" s="239">
        <f t="shared" si="99"/>
        <v>0</v>
      </c>
      <c r="L108" s="239">
        <f t="shared" si="99"/>
        <v>0</v>
      </c>
      <c r="M108" s="239">
        <f t="shared" si="99"/>
        <v>0</v>
      </c>
      <c r="N108" s="240">
        <f>+'Plan de culture 106'!$J$13</f>
        <v>0</v>
      </c>
    </row>
    <row r="109" spans="1:14" x14ac:dyDescent="0.35">
      <c r="A109" s="89" t="s">
        <v>105</v>
      </c>
      <c r="B109" s="90">
        <v>0</v>
      </c>
      <c r="C109" s="90">
        <f>+B109</f>
        <v>0</v>
      </c>
      <c r="D109" s="90">
        <f>+C109</f>
        <v>0</v>
      </c>
      <c r="E109" s="90">
        <f t="shared" ref="E109:M109" si="100">+D109</f>
        <v>0</v>
      </c>
      <c r="F109" s="90">
        <f t="shared" si="100"/>
        <v>0</v>
      </c>
      <c r="G109" s="90">
        <f t="shared" si="100"/>
        <v>0</v>
      </c>
      <c r="H109" s="90">
        <f t="shared" si="100"/>
        <v>0</v>
      </c>
      <c r="I109" s="90">
        <f t="shared" si="100"/>
        <v>0</v>
      </c>
      <c r="J109" s="90">
        <f t="shared" si="100"/>
        <v>0</v>
      </c>
      <c r="K109" s="90">
        <f t="shared" si="100"/>
        <v>0</v>
      </c>
      <c r="L109" s="90">
        <f t="shared" si="100"/>
        <v>0</v>
      </c>
      <c r="M109" s="90">
        <f t="shared" si="100"/>
        <v>0</v>
      </c>
      <c r="N109" s="91" t="e">
        <f>+N110/N108</f>
        <v>#DIV/0!</v>
      </c>
    </row>
    <row r="110" spans="1:14" x14ac:dyDescent="0.35">
      <c r="A110" s="89" t="s">
        <v>106</v>
      </c>
      <c r="B110" s="90">
        <f>+B109*B108</f>
        <v>0</v>
      </c>
      <c r="C110" s="90">
        <f t="shared" ref="C110:M110" si="101">+C109*C108</f>
        <v>0</v>
      </c>
      <c r="D110" s="90">
        <f t="shared" si="101"/>
        <v>0</v>
      </c>
      <c r="E110" s="90">
        <f t="shared" si="101"/>
        <v>0</v>
      </c>
      <c r="F110" s="90">
        <f t="shared" si="101"/>
        <v>0</v>
      </c>
      <c r="G110" s="90">
        <f t="shared" si="101"/>
        <v>0</v>
      </c>
      <c r="H110" s="90">
        <f t="shared" si="101"/>
        <v>0</v>
      </c>
      <c r="I110" s="90">
        <f t="shared" si="101"/>
        <v>0</v>
      </c>
      <c r="J110" s="90">
        <f t="shared" si="101"/>
        <v>0</v>
      </c>
      <c r="K110" s="90">
        <f t="shared" si="101"/>
        <v>0</v>
      </c>
      <c r="L110" s="90">
        <f t="shared" si="101"/>
        <v>0</v>
      </c>
      <c r="M110" s="90">
        <f t="shared" si="101"/>
        <v>0</v>
      </c>
      <c r="N110" s="91">
        <f>SUM(B110:M110)</f>
        <v>0</v>
      </c>
    </row>
    <row r="111" spans="1:14" x14ac:dyDescent="0.35">
      <c r="A111" s="89" t="s">
        <v>107</v>
      </c>
      <c r="B111" s="90">
        <v>0</v>
      </c>
      <c r="C111" s="90">
        <v>0</v>
      </c>
      <c r="D111" s="90">
        <v>0</v>
      </c>
      <c r="E111" s="90">
        <v>0</v>
      </c>
      <c r="F111" s="90">
        <v>0</v>
      </c>
      <c r="G111" s="90">
        <v>0</v>
      </c>
      <c r="H111" s="90">
        <v>0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1" t="e">
        <f>+N112/N108</f>
        <v>#DIV/0!</v>
      </c>
    </row>
    <row r="112" spans="1:14" x14ac:dyDescent="0.35">
      <c r="A112" s="89" t="s">
        <v>108</v>
      </c>
      <c r="B112" s="90">
        <f>+B111*B108</f>
        <v>0</v>
      </c>
      <c r="C112" s="90">
        <f t="shared" ref="C112:M112" si="102">+C111*C108</f>
        <v>0</v>
      </c>
      <c r="D112" s="90">
        <f t="shared" si="102"/>
        <v>0</v>
      </c>
      <c r="E112" s="90">
        <f t="shared" si="102"/>
        <v>0</v>
      </c>
      <c r="F112" s="90">
        <f t="shared" si="102"/>
        <v>0</v>
      </c>
      <c r="G112" s="90">
        <f t="shared" si="102"/>
        <v>0</v>
      </c>
      <c r="H112" s="90">
        <f t="shared" si="102"/>
        <v>0</v>
      </c>
      <c r="I112" s="90">
        <f t="shared" si="102"/>
        <v>0</v>
      </c>
      <c r="J112" s="90">
        <f t="shared" si="102"/>
        <v>0</v>
      </c>
      <c r="K112" s="90">
        <f t="shared" si="102"/>
        <v>0</v>
      </c>
      <c r="L112" s="90">
        <f t="shared" si="102"/>
        <v>0</v>
      </c>
      <c r="M112" s="90">
        <f t="shared" si="102"/>
        <v>0</v>
      </c>
      <c r="N112" s="91">
        <f>SUM(B112:M112)</f>
        <v>0</v>
      </c>
    </row>
    <row r="113" spans="1:14" x14ac:dyDescent="0.35">
      <c r="A113" s="32" t="s">
        <v>104</v>
      </c>
      <c r="B113" s="62" t="e">
        <f>+B107/B108</f>
        <v>#DIV/0!</v>
      </c>
      <c r="C113" s="62" t="e">
        <f t="shared" ref="C113:N113" si="103">+C107/C108</f>
        <v>#DIV/0!</v>
      </c>
      <c r="D113" s="62" t="e">
        <f t="shared" si="103"/>
        <v>#DIV/0!</v>
      </c>
      <c r="E113" s="62" t="e">
        <f t="shared" si="103"/>
        <v>#DIV/0!</v>
      </c>
      <c r="F113" s="62" t="e">
        <f t="shared" si="103"/>
        <v>#DIV/0!</v>
      </c>
      <c r="G113" s="62" t="e">
        <f t="shared" si="103"/>
        <v>#DIV/0!</v>
      </c>
      <c r="H113" s="62" t="e">
        <f t="shared" si="103"/>
        <v>#DIV/0!</v>
      </c>
      <c r="I113" s="62" t="e">
        <f t="shared" si="103"/>
        <v>#DIV/0!</v>
      </c>
      <c r="J113" s="62" t="e">
        <f t="shared" si="103"/>
        <v>#DIV/0!</v>
      </c>
      <c r="K113" s="62" t="e">
        <f t="shared" si="103"/>
        <v>#DIV/0!</v>
      </c>
      <c r="L113" s="62" t="e">
        <f t="shared" si="103"/>
        <v>#DIV/0!</v>
      </c>
      <c r="M113" s="62" t="e">
        <f t="shared" si="103"/>
        <v>#DIV/0!</v>
      </c>
      <c r="N113" s="84" t="e">
        <f t="shared" si="103"/>
        <v>#DIV/0!</v>
      </c>
    </row>
    <row r="114" spans="1:14" x14ac:dyDescent="0.35">
      <c r="A114" s="65" t="s">
        <v>376</v>
      </c>
      <c r="B114" s="80">
        <f>+B117+B119</f>
        <v>0</v>
      </c>
      <c r="C114" s="80">
        <f t="shared" ref="C114:M114" si="104">+C117+C119</f>
        <v>0</v>
      </c>
      <c r="D114" s="80">
        <f t="shared" si="104"/>
        <v>0</v>
      </c>
      <c r="E114" s="80">
        <f t="shared" si="104"/>
        <v>0</v>
      </c>
      <c r="F114" s="80">
        <f t="shared" si="104"/>
        <v>0</v>
      </c>
      <c r="G114" s="80">
        <f t="shared" si="104"/>
        <v>0</v>
      </c>
      <c r="H114" s="80">
        <f t="shared" si="104"/>
        <v>0</v>
      </c>
      <c r="I114" s="80">
        <f t="shared" si="104"/>
        <v>0</v>
      </c>
      <c r="J114" s="80">
        <f t="shared" si="104"/>
        <v>0</v>
      </c>
      <c r="K114" s="80">
        <f t="shared" si="104"/>
        <v>0</v>
      </c>
      <c r="L114" s="80">
        <f t="shared" si="104"/>
        <v>0</v>
      </c>
      <c r="M114" s="80">
        <f t="shared" si="104"/>
        <v>0</v>
      </c>
      <c r="N114" s="92">
        <f>SUM(B114:M114)</f>
        <v>0</v>
      </c>
    </row>
    <row r="115" spans="1:14" x14ac:dyDescent="0.35">
      <c r="A115" s="32" t="s">
        <v>93</v>
      </c>
      <c r="B115" s="239">
        <f>+'Plan de culture 106'!$J$19</f>
        <v>5.5750000000000002</v>
      </c>
      <c r="C115" s="239">
        <f>+B115</f>
        <v>5.5750000000000002</v>
      </c>
      <c r="D115" s="239">
        <f t="shared" ref="D115:M115" si="105">+C115</f>
        <v>5.5750000000000002</v>
      </c>
      <c r="E115" s="239">
        <f t="shared" si="105"/>
        <v>5.5750000000000002</v>
      </c>
      <c r="F115" s="239">
        <f t="shared" si="105"/>
        <v>5.5750000000000002</v>
      </c>
      <c r="G115" s="239">
        <f t="shared" si="105"/>
        <v>5.5750000000000002</v>
      </c>
      <c r="H115" s="239">
        <f t="shared" si="105"/>
        <v>5.5750000000000002</v>
      </c>
      <c r="I115" s="239">
        <f t="shared" si="105"/>
        <v>5.5750000000000002</v>
      </c>
      <c r="J115" s="239">
        <f t="shared" si="105"/>
        <v>5.5750000000000002</v>
      </c>
      <c r="K115" s="239">
        <f t="shared" si="105"/>
        <v>5.5750000000000002</v>
      </c>
      <c r="L115" s="239">
        <f t="shared" si="105"/>
        <v>5.5750000000000002</v>
      </c>
      <c r="M115" s="239">
        <f t="shared" si="105"/>
        <v>5.5750000000000002</v>
      </c>
      <c r="N115" s="240">
        <f>+'Plan de culture 106'!$J$19</f>
        <v>5.5750000000000002</v>
      </c>
    </row>
    <row r="116" spans="1:14" x14ac:dyDescent="0.35">
      <c r="A116" s="89" t="s">
        <v>105</v>
      </c>
      <c r="B116" s="90">
        <v>0</v>
      </c>
      <c r="C116" s="90">
        <f>+B116</f>
        <v>0</v>
      </c>
      <c r="D116" s="90">
        <f>+C116</f>
        <v>0</v>
      </c>
      <c r="E116" s="90">
        <f t="shared" ref="E116:M116" si="106">+D116</f>
        <v>0</v>
      </c>
      <c r="F116" s="90">
        <f t="shared" si="106"/>
        <v>0</v>
      </c>
      <c r="G116" s="90">
        <f t="shared" si="106"/>
        <v>0</v>
      </c>
      <c r="H116" s="90">
        <f t="shared" si="106"/>
        <v>0</v>
      </c>
      <c r="I116" s="90">
        <f t="shared" si="106"/>
        <v>0</v>
      </c>
      <c r="J116" s="90">
        <f t="shared" si="106"/>
        <v>0</v>
      </c>
      <c r="K116" s="90">
        <f t="shared" si="106"/>
        <v>0</v>
      </c>
      <c r="L116" s="90">
        <f t="shared" si="106"/>
        <v>0</v>
      </c>
      <c r="M116" s="90">
        <f t="shared" si="106"/>
        <v>0</v>
      </c>
      <c r="N116" s="91">
        <f>+N117/N115</f>
        <v>0</v>
      </c>
    </row>
    <row r="117" spans="1:14" x14ac:dyDescent="0.35">
      <c r="A117" s="89" t="s">
        <v>106</v>
      </c>
      <c r="B117" s="90">
        <f>+B116*B115</f>
        <v>0</v>
      </c>
      <c r="C117" s="90">
        <f t="shared" ref="C117:M117" si="107">+C116*C115</f>
        <v>0</v>
      </c>
      <c r="D117" s="90">
        <f t="shared" si="107"/>
        <v>0</v>
      </c>
      <c r="E117" s="90">
        <f t="shared" si="107"/>
        <v>0</v>
      </c>
      <c r="F117" s="90">
        <f t="shared" si="107"/>
        <v>0</v>
      </c>
      <c r="G117" s="90">
        <f t="shared" si="107"/>
        <v>0</v>
      </c>
      <c r="H117" s="90">
        <f t="shared" si="107"/>
        <v>0</v>
      </c>
      <c r="I117" s="90">
        <f t="shared" si="107"/>
        <v>0</v>
      </c>
      <c r="J117" s="90">
        <f t="shared" si="107"/>
        <v>0</v>
      </c>
      <c r="K117" s="90">
        <f t="shared" si="107"/>
        <v>0</v>
      </c>
      <c r="L117" s="90">
        <f t="shared" si="107"/>
        <v>0</v>
      </c>
      <c r="M117" s="90">
        <f t="shared" si="107"/>
        <v>0</v>
      </c>
      <c r="N117" s="91">
        <f>SUM(B117:M117)</f>
        <v>0</v>
      </c>
    </row>
    <row r="118" spans="1:14" x14ac:dyDescent="0.35">
      <c r="A118" s="89" t="s">
        <v>107</v>
      </c>
      <c r="B118" s="90">
        <v>0</v>
      </c>
      <c r="C118" s="90">
        <v>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1">
        <f>+N119/N115</f>
        <v>0</v>
      </c>
    </row>
    <row r="119" spans="1:14" x14ac:dyDescent="0.35">
      <c r="A119" s="89" t="s">
        <v>108</v>
      </c>
      <c r="B119" s="90">
        <f>+B118*B115</f>
        <v>0</v>
      </c>
      <c r="C119" s="90">
        <f t="shared" ref="C119:M119" si="108">+C118*C115</f>
        <v>0</v>
      </c>
      <c r="D119" s="90">
        <f t="shared" si="108"/>
        <v>0</v>
      </c>
      <c r="E119" s="90">
        <f t="shared" si="108"/>
        <v>0</v>
      </c>
      <c r="F119" s="90">
        <f t="shared" si="108"/>
        <v>0</v>
      </c>
      <c r="G119" s="90">
        <f t="shared" si="108"/>
        <v>0</v>
      </c>
      <c r="H119" s="90">
        <f t="shared" si="108"/>
        <v>0</v>
      </c>
      <c r="I119" s="90">
        <f t="shared" si="108"/>
        <v>0</v>
      </c>
      <c r="J119" s="90">
        <f t="shared" si="108"/>
        <v>0</v>
      </c>
      <c r="K119" s="90">
        <f t="shared" si="108"/>
        <v>0</v>
      </c>
      <c r="L119" s="90">
        <f t="shared" si="108"/>
        <v>0</v>
      </c>
      <c r="M119" s="90">
        <f t="shared" si="108"/>
        <v>0</v>
      </c>
      <c r="N119" s="91">
        <f>SUM(B119:M119)</f>
        <v>0</v>
      </c>
    </row>
    <row r="120" spans="1:14" x14ac:dyDescent="0.35">
      <c r="A120" s="32" t="s">
        <v>104</v>
      </c>
      <c r="B120" s="62">
        <f>+B114/B115</f>
        <v>0</v>
      </c>
      <c r="C120" s="62">
        <f t="shared" ref="C120:N120" si="109">+C114/C115</f>
        <v>0</v>
      </c>
      <c r="D120" s="62">
        <f t="shared" si="109"/>
        <v>0</v>
      </c>
      <c r="E120" s="62">
        <f t="shared" si="109"/>
        <v>0</v>
      </c>
      <c r="F120" s="62">
        <f t="shared" si="109"/>
        <v>0</v>
      </c>
      <c r="G120" s="62">
        <f t="shared" si="109"/>
        <v>0</v>
      </c>
      <c r="H120" s="62">
        <f t="shared" si="109"/>
        <v>0</v>
      </c>
      <c r="I120" s="62">
        <f t="shared" si="109"/>
        <v>0</v>
      </c>
      <c r="J120" s="62">
        <f t="shared" si="109"/>
        <v>0</v>
      </c>
      <c r="K120" s="62">
        <f t="shared" si="109"/>
        <v>0</v>
      </c>
      <c r="L120" s="62">
        <f t="shared" si="109"/>
        <v>0</v>
      </c>
      <c r="M120" s="62">
        <f t="shared" si="109"/>
        <v>0</v>
      </c>
      <c r="N120" s="84">
        <f t="shared" si="109"/>
        <v>0</v>
      </c>
    </row>
    <row r="121" spans="1:14" x14ac:dyDescent="0.35">
      <c r="A121" s="65" t="s">
        <v>92</v>
      </c>
      <c r="B121" s="80">
        <f>+B124+B126</f>
        <v>0</v>
      </c>
      <c r="C121" s="80">
        <f t="shared" ref="C121:M121" si="110">+C124+C126</f>
        <v>0</v>
      </c>
      <c r="D121" s="80">
        <f t="shared" si="110"/>
        <v>0</v>
      </c>
      <c r="E121" s="80">
        <f t="shared" si="110"/>
        <v>0</v>
      </c>
      <c r="F121" s="80">
        <f t="shared" si="110"/>
        <v>0</v>
      </c>
      <c r="G121" s="80">
        <f t="shared" si="110"/>
        <v>0</v>
      </c>
      <c r="H121" s="80">
        <f t="shared" si="110"/>
        <v>0</v>
      </c>
      <c r="I121" s="80">
        <f t="shared" si="110"/>
        <v>0</v>
      </c>
      <c r="J121" s="80">
        <f t="shared" si="110"/>
        <v>0</v>
      </c>
      <c r="K121" s="80">
        <f t="shared" si="110"/>
        <v>0</v>
      </c>
      <c r="L121" s="80">
        <f t="shared" si="110"/>
        <v>0</v>
      </c>
      <c r="M121" s="80">
        <f t="shared" si="110"/>
        <v>0</v>
      </c>
      <c r="N121" s="92">
        <f>SUM(B121:M121)</f>
        <v>0</v>
      </c>
    </row>
    <row r="122" spans="1:14" x14ac:dyDescent="0.35">
      <c r="A122" s="32" t="s">
        <v>93</v>
      </c>
      <c r="B122" s="239">
        <f>+'Plan de culture 106'!$J$25</f>
        <v>0</v>
      </c>
      <c r="C122" s="239">
        <f>+B122</f>
        <v>0</v>
      </c>
      <c r="D122" s="239">
        <f t="shared" ref="D122" si="111">+C122</f>
        <v>0</v>
      </c>
      <c r="E122" s="239">
        <f>+'Plan de culture 104 '!C118</f>
        <v>0</v>
      </c>
      <c r="F122" s="239">
        <f>+E122+'Plan de culture 104 '!D118+'Plan de culture 104 '!E118</f>
        <v>0</v>
      </c>
      <c r="G122" s="239">
        <f>+F122</f>
        <v>0</v>
      </c>
      <c r="H122" s="239">
        <f t="shared" ref="H122:M122" si="112">+G122</f>
        <v>0</v>
      </c>
      <c r="I122" s="239">
        <f t="shared" si="112"/>
        <v>0</v>
      </c>
      <c r="J122" s="239">
        <f t="shared" si="112"/>
        <v>0</v>
      </c>
      <c r="K122" s="239">
        <f t="shared" si="112"/>
        <v>0</v>
      </c>
      <c r="L122" s="239">
        <f t="shared" si="112"/>
        <v>0</v>
      </c>
      <c r="M122" s="239">
        <f t="shared" si="112"/>
        <v>0</v>
      </c>
      <c r="N122" s="240">
        <f>+'Plan de culture 106'!$J$25</f>
        <v>0</v>
      </c>
    </row>
    <row r="123" spans="1:14" x14ac:dyDescent="0.35">
      <c r="A123" s="89" t="s">
        <v>105</v>
      </c>
      <c r="B123" s="90">
        <v>0</v>
      </c>
      <c r="C123" s="90">
        <f>+B123</f>
        <v>0</v>
      </c>
      <c r="D123" s="90">
        <f>+C123</f>
        <v>0</v>
      </c>
      <c r="E123" s="90">
        <f t="shared" ref="E123:M123" si="113">+D123</f>
        <v>0</v>
      </c>
      <c r="F123" s="90">
        <f t="shared" si="113"/>
        <v>0</v>
      </c>
      <c r="G123" s="90">
        <f t="shared" si="113"/>
        <v>0</v>
      </c>
      <c r="H123" s="90">
        <f t="shared" si="113"/>
        <v>0</v>
      </c>
      <c r="I123" s="90">
        <f t="shared" si="113"/>
        <v>0</v>
      </c>
      <c r="J123" s="90">
        <f t="shared" si="113"/>
        <v>0</v>
      </c>
      <c r="K123" s="90">
        <f t="shared" si="113"/>
        <v>0</v>
      </c>
      <c r="L123" s="90">
        <f t="shared" si="113"/>
        <v>0</v>
      </c>
      <c r="M123" s="90">
        <f t="shared" si="113"/>
        <v>0</v>
      </c>
      <c r="N123" s="91" t="e">
        <f>+N124/N122</f>
        <v>#DIV/0!</v>
      </c>
    </row>
    <row r="124" spans="1:14" x14ac:dyDescent="0.35">
      <c r="A124" s="89" t="s">
        <v>106</v>
      </c>
      <c r="B124" s="90">
        <f>+B123*B122</f>
        <v>0</v>
      </c>
      <c r="C124" s="90">
        <f t="shared" ref="C124:M124" si="114">+C123*C122</f>
        <v>0</v>
      </c>
      <c r="D124" s="90">
        <f t="shared" si="114"/>
        <v>0</v>
      </c>
      <c r="E124" s="90">
        <f t="shared" si="114"/>
        <v>0</v>
      </c>
      <c r="F124" s="90">
        <f t="shared" si="114"/>
        <v>0</v>
      </c>
      <c r="G124" s="90">
        <f t="shared" si="114"/>
        <v>0</v>
      </c>
      <c r="H124" s="90">
        <f t="shared" si="114"/>
        <v>0</v>
      </c>
      <c r="I124" s="90">
        <f t="shared" si="114"/>
        <v>0</v>
      </c>
      <c r="J124" s="90">
        <f t="shared" si="114"/>
        <v>0</v>
      </c>
      <c r="K124" s="90">
        <f t="shared" si="114"/>
        <v>0</v>
      </c>
      <c r="L124" s="90">
        <f t="shared" si="114"/>
        <v>0</v>
      </c>
      <c r="M124" s="90">
        <f t="shared" si="114"/>
        <v>0</v>
      </c>
      <c r="N124" s="91">
        <f>SUM(B124:M124)</f>
        <v>0</v>
      </c>
    </row>
    <row r="125" spans="1:14" x14ac:dyDescent="0.35">
      <c r="A125" s="89" t="s">
        <v>107</v>
      </c>
      <c r="B125" s="90">
        <v>0</v>
      </c>
      <c r="C125" s="9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1" t="e">
        <f>+N126/N122</f>
        <v>#DIV/0!</v>
      </c>
    </row>
    <row r="126" spans="1:14" x14ac:dyDescent="0.35">
      <c r="A126" s="89" t="s">
        <v>108</v>
      </c>
      <c r="B126" s="90">
        <f>+B125*B122</f>
        <v>0</v>
      </c>
      <c r="C126" s="90">
        <f t="shared" ref="C126:M126" si="115">+C125*C122</f>
        <v>0</v>
      </c>
      <c r="D126" s="90">
        <f t="shared" si="115"/>
        <v>0</v>
      </c>
      <c r="E126" s="90">
        <f t="shared" si="115"/>
        <v>0</v>
      </c>
      <c r="F126" s="90">
        <f t="shared" si="115"/>
        <v>0</v>
      </c>
      <c r="G126" s="90">
        <f t="shared" si="115"/>
        <v>0</v>
      </c>
      <c r="H126" s="90">
        <f t="shared" si="115"/>
        <v>0</v>
      </c>
      <c r="I126" s="90">
        <f t="shared" si="115"/>
        <v>0</v>
      </c>
      <c r="J126" s="90">
        <f t="shared" si="115"/>
        <v>0</v>
      </c>
      <c r="K126" s="90">
        <f t="shared" si="115"/>
        <v>0</v>
      </c>
      <c r="L126" s="90">
        <f t="shared" si="115"/>
        <v>0</v>
      </c>
      <c r="M126" s="90">
        <f t="shared" si="115"/>
        <v>0</v>
      </c>
      <c r="N126" s="91">
        <f>SUM(B126:M126)</f>
        <v>0</v>
      </c>
    </row>
    <row r="127" spans="1:14" x14ac:dyDescent="0.35">
      <c r="A127" s="32" t="s">
        <v>104</v>
      </c>
      <c r="B127" s="62" t="e">
        <f>+B121/B122</f>
        <v>#DIV/0!</v>
      </c>
      <c r="C127" s="62" t="e">
        <f t="shared" ref="C127:N127" si="116">+C121/C122</f>
        <v>#DIV/0!</v>
      </c>
      <c r="D127" s="62" t="e">
        <f t="shared" si="116"/>
        <v>#DIV/0!</v>
      </c>
      <c r="E127" s="62" t="e">
        <f t="shared" si="116"/>
        <v>#DIV/0!</v>
      </c>
      <c r="F127" s="62" t="e">
        <f t="shared" si="116"/>
        <v>#DIV/0!</v>
      </c>
      <c r="G127" s="62" t="e">
        <f t="shared" si="116"/>
        <v>#DIV/0!</v>
      </c>
      <c r="H127" s="62" t="e">
        <f t="shared" si="116"/>
        <v>#DIV/0!</v>
      </c>
      <c r="I127" s="62" t="e">
        <f t="shared" si="116"/>
        <v>#DIV/0!</v>
      </c>
      <c r="J127" s="62" t="e">
        <f t="shared" si="116"/>
        <v>#DIV/0!</v>
      </c>
      <c r="K127" s="62" t="e">
        <f t="shared" si="116"/>
        <v>#DIV/0!</v>
      </c>
      <c r="L127" s="62" t="e">
        <f t="shared" si="116"/>
        <v>#DIV/0!</v>
      </c>
      <c r="M127" s="62" t="e">
        <f t="shared" si="116"/>
        <v>#DIV/0!</v>
      </c>
      <c r="N127" s="84" t="e">
        <f t="shared" si="116"/>
        <v>#DIV/0!</v>
      </c>
    </row>
    <row r="128" spans="1:14" x14ac:dyDescent="0.35">
      <c r="A128" s="65" t="s">
        <v>377</v>
      </c>
      <c r="B128" s="80">
        <f>+B131+B133</f>
        <v>0</v>
      </c>
      <c r="C128" s="80">
        <f t="shared" ref="C128:M128" si="117">+C131+C133</f>
        <v>0</v>
      </c>
      <c r="D128" s="80">
        <f t="shared" si="117"/>
        <v>0</v>
      </c>
      <c r="E128" s="80">
        <f t="shared" si="117"/>
        <v>0</v>
      </c>
      <c r="F128" s="80">
        <f t="shared" si="117"/>
        <v>0</v>
      </c>
      <c r="G128" s="80">
        <f t="shared" si="117"/>
        <v>0</v>
      </c>
      <c r="H128" s="80">
        <f t="shared" si="117"/>
        <v>0</v>
      </c>
      <c r="I128" s="80">
        <f t="shared" si="117"/>
        <v>0</v>
      </c>
      <c r="J128" s="80">
        <f t="shared" si="117"/>
        <v>0</v>
      </c>
      <c r="K128" s="80">
        <f t="shared" si="117"/>
        <v>0</v>
      </c>
      <c r="L128" s="80">
        <f t="shared" si="117"/>
        <v>0</v>
      </c>
      <c r="M128" s="80">
        <f t="shared" si="117"/>
        <v>0</v>
      </c>
      <c r="N128" s="92">
        <f>SUM(B128:M128)</f>
        <v>0</v>
      </c>
    </row>
    <row r="129" spans="1:14" x14ac:dyDescent="0.35">
      <c r="A129" s="32" t="s">
        <v>93</v>
      </c>
      <c r="B129" s="239">
        <f>+'Plan de culture 106'!$J$31</f>
        <v>0</v>
      </c>
      <c r="C129" s="239">
        <f>+B129</f>
        <v>0</v>
      </c>
      <c r="D129" s="239">
        <f t="shared" ref="D129" si="118">+C129</f>
        <v>0</v>
      </c>
      <c r="E129" s="239">
        <f>+'Plan de culture 104 '!C125</f>
        <v>0</v>
      </c>
      <c r="F129" s="239">
        <f>+E129+'Plan de culture 104 '!D125+'Plan de culture 104 '!E125</f>
        <v>0</v>
      </c>
      <c r="G129" s="239">
        <f>+F129</f>
        <v>0</v>
      </c>
      <c r="H129" s="239">
        <f t="shared" ref="H129:M129" si="119">+G129</f>
        <v>0</v>
      </c>
      <c r="I129" s="239">
        <f t="shared" si="119"/>
        <v>0</v>
      </c>
      <c r="J129" s="239">
        <f t="shared" si="119"/>
        <v>0</v>
      </c>
      <c r="K129" s="239">
        <f t="shared" si="119"/>
        <v>0</v>
      </c>
      <c r="L129" s="239">
        <f t="shared" si="119"/>
        <v>0</v>
      </c>
      <c r="M129" s="239">
        <f t="shared" si="119"/>
        <v>0</v>
      </c>
      <c r="N129" s="240">
        <f>+'Plan de culture 106'!$J$31</f>
        <v>0</v>
      </c>
    </row>
    <row r="130" spans="1:14" x14ac:dyDescent="0.35">
      <c r="A130" s="89" t="s">
        <v>105</v>
      </c>
      <c r="B130" s="90">
        <v>0</v>
      </c>
      <c r="C130" s="90">
        <f>+B130</f>
        <v>0</v>
      </c>
      <c r="D130" s="90">
        <f>+C130</f>
        <v>0</v>
      </c>
      <c r="E130" s="90">
        <f t="shared" ref="E130:M130" si="120">+D130</f>
        <v>0</v>
      </c>
      <c r="F130" s="90">
        <f t="shared" si="120"/>
        <v>0</v>
      </c>
      <c r="G130" s="90">
        <f t="shared" si="120"/>
        <v>0</v>
      </c>
      <c r="H130" s="90">
        <f t="shared" si="120"/>
        <v>0</v>
      </c>
      <c r="I130" s="90">
        <f t="shared" si="120"/>
        <v>0</v>
      </c>
      <c r="J130" s="90">
        <f t="shared" si="120"/>
        <v>0</v>
      </c>
      <c r="K130" s="90">
        <f t="shared" si="120"/>
        <v>0</v>
      </c>
      <c r="L130" s="90">
        <f t="shared" si="120"/>
        <v>0</v>
      </c>
      <c r="M130" s="90">
        <f t="shared" si="120"/>
        <v>0</v>
      </c>
      <c r="N130" s="91" t="e">
        <f>+N131/N129</f>
        <v>#DIV/0!</v>
      </c>
    </row>
    <row r="131" spans="1:14" x14ac:dyDescent="0.35">
      <c r="A131" s="89" t="s">
        <v>106</v>
      </c>
      <c r="B131" s="90">
        <f>+B130*B129</f>
        <v>0</v>
      </c>
      <c r="C131" s="90">
        <f t="shared" ref="C131:M131" si="121">+C130*C129</f>
        <v>0</v>
      </c>
      <c r="D131" s="90">
        <f t="shared" si="121"/>
        <v>0</v>
      </c>
      <c r="E131" s="90">
        <f t="shared" si="121"/>
        <v>0</v>
      </c>
      <c r="F131" s="90">
        <f t="shared" si="121"/>
        <v>0</v>
      </c>
      <c r="G131" s="90">
        <f t="shared" si="121"/>
        <v>0</v>
      </c>
      <c r="H131" s="90">
        <f t="shared" si="121"/>
        <v>0</v>
      </c>
      <c r="I131" s="90">
        <f t="shared" si="121"/>
        <v>0</v>
      </c>
      <c r="J131" s="90">
        <f t="shared" si="121"/>
        <v>0</v>
      </c>
      <c r="K131" s="90">
        <f t="shared" si="121"/>
        <v>0</v>
      </c>
      <c r="L131" s="90">
        <f t="shared" si="121"/>
        <v>0</v>
      </c>
      <c r="M131" s="90">
        <f t="shared" si="121"/>
        <v>0</v>
      </c>
      <c r="N131" s="91">
        <f>SUM(B131:M131)</f>
        <v>0</v>
      </c>
    </row>
    <row r="132" spans="1:14" x14ac:dyDescent="0.35">
      <c r="A132" s="89" t="s">
        <v>107</v>
      </c>
      <c r="B132" s="90">
        <v>0</v>
      </c>
      <c r="C132" s="90">
        <v>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1" t="e">
        <f>+N133/N129</f>
        <v>#DIV/0!</v>
      </c>
    </row>
    <row r="133" spans="1:14" x14ac:dyDescent="0.35">
      <c r="A133" s="89" t="s">
        <v>108</v>
      </c>
      <c r="B133" s="90">
        <f>+B132*B129</f>
        <v>0</v>
      </c>
      <c r="C133" s="90">
        <f t="shared" ref="C133:M133" si="122">+C132*C129</f>
        <v>0</v>
      </c>
      <c r="D133" s="90">
        <f t="shared" si="122"/>
        <v>0</v>
      </c>
      <c r="E133" s="90">
        <f t="shared" si="122"/>
        <v>0</v>
      </c>
      <c r="F133" s="90">
        <f t="shared" si="122"/>
        <v>0</v>
      </c>
      <c r="G133" s="90">
        <f t="shared" si="122"/>
        <v>0</v>
      </c>
      <c r="H133" s="90">
        <f t="shared" si="122"/>
        <v>0</v>
      </c>
      <c r="I133" s="90">
        <f t="shared" si="122"/>
        <v>0</v>
      </c>
      <c r="J133" s="90">
        <f t="shared" si="122"/>
        <v>0</v>
      </c>
      <c r="K133" s="90">
        <f t="shared" si="122"/>
        <v>0</v>
      </c>
      <c r="L133" s="90">
        <f t="shared" si="122"/>
        <v>0</v>
      </c>
      <c r="M133" s="90">
        <f t="shared" si="122"/>
        <v>0</v>
      </c>
      <c r="N133" s="91">
        <f>SUM(B133:M133)</f>
        <v>0</v>
      </c>
    </row>
    <row r="134" spans="1:14" x14ac:dyDescent="0.35">
      <c r="A134" s="32" t="s">
        <v>104</v>
      </c>
      <c r="B134" s="62" t="e">
        <f>+B128/B129</f>
        <v>#DIV/0!</v>
      </c>
      <c r="C134" s="62" t="e">
        <f t="shared" ref="C134:N134" si="123">+C128/C129</f>
        <v>#DIV/0!</v>
      </c>
      <c r="D134" s="62" t="e">
        <f t="shared" si="123"/>
        <v>#DIV/0!</v>
      </c>
      <c r="E134" s="62" t="e">
        <f t="shared" si="123"/>
        <v>#DIV/0!</v>
      </c>
      <c r="F134" s="62" t="e">
        <f t="shared" si="123"/>
        <v>#DIV/0!</v>
      </c>
      <c r="G134" s="62" t="e">
        <f t="shared" si="123"/>
        <v>#DIV/0!</v>
      </c>
      <c r="H134" s="62" t="e">
        <f t="shared" si="123"/>
        <v>#DIV/0!</v>
      </c>
      <c r="I134" s="62" t="e">
        <f t="shared" si="123"/>
        <v>#DIV/0!</v>
      </c>
      <c r="J134" s="62" t="e">
        <f t="shared" si="123"/>
        <v>#DIV/0!</v>
      </c>
      <c r="K134" s="62" t="e">
        <f t="shared" si="123"/>
        <v>#DIV/0!</v>
      </c>
      <c r="L134" s="62" t="e">
        <f t="shared" si="123"/>
        <v>#DIV/0!</v>
      </c>
      <c r="M134" s="62" t="e">
        <f t="shared" si="123"/>
        <v>#DIV/0!</v>
      </c>
      <c r="N134" s="84" t="e">
        <f t="shared" si="123"/>
        <v>#DIV/0!</v>
      </c>
    </row>
    <row r="135" spans="1:14" x14ac:dyDescent="0.35">
      <c r="A135" s="65" t="s">
        <v>378</v>
      </c>
      <c r="B135" s="80">
        <f>+B138+B140</f>
        <v>0</v>
      </c>
      <c r="C135" s="80">
        <f t="shared" ref="C135:M135" si="124">+C138+C140</f>
        <v>0</v>
      </c>
      <c r="D135" s="80">
        <f t="shared" si="124"/>
        <v>0</v>
      </c>
      <c r="E135" s="80">
        <f t="shared" si="124"/>
        <v>0</v>
      </c>
      <c r="F135" s="80">
        <f t="shared" si="124"/>
        <v>0</v>
      </c>
      <c r="G135" s="80">
        <f t="shared" si="124"/>
        <v>0</v>
      </c>
      <c r="H135" s="80">
        <f t="shared" si="124"/>
        <v>0</v>
      </c>
      <c r="I135" s="80">
        <f t="shared" si="124"/>
        <v>0</v>
      </c>
      <c r="J135" s="80">
        <f t="shared" si="124"/>
        <v>0</v>
      </c>
      <c r="K135" s="80">
        <f t="shared" si="124"/>
        <v>0</v>
      </c>
      <c r="L135" s="80">
        <f t="shared" si="124"/>
        <v>0</v>
      </c>
      <c r="M135" s="80">
        <f t="shared" si="124"/>
        <v>0</v>
      </c>
      <c r="N135" s="92">
        <f>SUM(B135:M135)</f>
        <v>0</v>
      </c>
    </row>
    <row r="136" spans="1:14" x14ac:dyDescent="0.35">
      <c r="A136" s="32" t="s">
        <v>93</v>
      </c>
      <c r="B136" s="239">
        <f>+'Plan de culture 106'!$J$37</f>
        <v>0</v>
      </c>
      <c r="C136" s="239">
        <f>+B136</f>
        <v>0</v>
      </c>
      <c r="D136" s="239">
        <f t="shared" ref="D136" si="125">+C136</f>
        <v>0</v>
      </c>
      <c r="E136" s="239">
        <f>+'Plan de culture 104 '!C132</f>
        <v>0</v>
      </c>
      <c r="F136" s="239">
        <f>+E136+'Plan de culture 104 '!D132+'Plan de culture 104 '!E132</f>
        <v>0</v>
      </c>
      <c r="G136" s="239">
        <f>+F136</f>
        <v>0</v>
      </c>
      <c r="H136" s="239">
        <f t="shared" ref="H136:M136" si="126">+G136</f>
        <v>0</v>
      </c>
      <c r="I136" s="239">
        <f t="shared" si="126"/>
        <v>0</v>
      </c>
      <c r="J136" s="239">
        <f t="shared" si="126"/>
        <v>0</v>
      </c>
      <c r="K136" s="239">
        <f t="shared" si="126"/>
        <v>0</v>
      </c>
      <c r="L136" s="239">
        <f t="shared" si="126"/>
        <v>0</v>
      </c>
      <c r="M136" s="239">
        <f t="shared" si="126"/>
        <v>0</v>
      </c>
      <c r="N136" s="240">
        <f>+'Plan de culture 106'!$J$37</f>
        <v>0</v>
      </c>
    </row>
    <row r="137" spans="1:14" x14ac:dyDescent="0.35">
      <c r="A137" s="89" t="s">
        <v>105</v>
      </c>
      <c r="B137" s="90">
        <v>0</v>
      </c>
      <c r="C137" s="90">
        <f>+B137</f>
        <v>0</v>
      </c>
      <c r="D137" s="90">
        <f>+C137</f>
        <v>0</v>
      </c>
      <c r="E137" s="90">
        <f t="shared" ref="E137:M137" si="127">+D137</f>
        <v>0</v>
      </c>
      <c r="F137" s="90">
        <f t="shared" si="127"/>
        <v>0</v>
      </c>
      <c r="G137" s="90">
        <f t="shared" si="127"/>
        <v>0</v>
      </c>
      <c r="H137" s="90">
        <f t="shared" si="127"/>
        <v>0</v>
      </c>
      <c r="I137" s="90">
        <f t="shared" si="127"/>
        <v>0</v>
      </c>
      <c r="J137" s="90">
        <f t="shared" si="127"/>
        <v>0</v>
      </c>
      <c r="K137" s="90">
        <f t="shared" si="127"/>
        <v>0</v>
      </c>
      <c r="L137" s="90">
        <f t="shared" si="127"/>
        <v>0</v>
      </c>
      <c r="M137" s="90">
        <f t="shared" si="127"/>
        <v>0</v>
      </c>
      <c r="N137" s="91" t="e">
        <f>+N138/N136</f>
        <v>#DIV/0!</v>
      </c>
    </row>
    <row r="138" spans="1:14" x14ac:dyDescent="0.35">
      <c r="A138" s="89" t="s">
        <v>106</v>
      </c>
      <c r="B138" s="90">
        <f>+B137*B136</f>
        <v>0</v>
      </c>
      <c r="C138" s="90">
        <f t="shared" ref="C138:M138" si="128">+C137*C136</f>
        <v>0</v>
      </c>
      <c r="D138" s="90">
        <f t="shared" si="128"/>
        <v>0</v>
      </c>
      <c r="E138" s="90">
        <f t="shared" si="128"/>
        <v>0</v>
      </c>
      <c r="F138" s="90">
        <f t="shared" si="128"/>
        <v>0</v>
      </c>
      <c r="G138" s="90">
        <f t="shared" si="128"/>
        <v>0</v>
      </c>
      <c r="H138" s="90">
        <f t="shared" si="128"/>
        <v>0</v>
      </c>
      <c r="I138" s="90">
        <f t="shared" si="128"/>
        <v>0</v>
      </c>
      <c r="J138" s="90">
        <f t="shared" si="128"/>
        <v>0</v>
      </c>
      <c r="K138" s="90">
        <f t="shared" si="128"/>
        <v>0</v>
      </c>
      <c r="L138" s="90">
        <f t="shared" si="128"/>
        <v>0</v>
      </c>
      <c r="M138" s="90">
        <f t="shared" si="128"/>
        <v>0</v>
      </c>
      <c r="N138" s="91">
        <f>SUM(B138:M138)</f>
        <v>0</v>
      </c>
    </row>
    <row r="139" spans="1:14" x14ac:dyDescent="0.35">
      <c r="A139" s="89" t="s">
        <v>107</v>
      </c>
      <c r="B139" s="90">
        <v>0</v>
      </c>
      <c r="C139" s="90">
        <v>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1" t="e">
        <f>+N140/N136</f>
        <v>#DIV/0!</v>
      </c>
    </row>
    <row r="140" spans="1:14" x14ac:dyDescent="0.35">
      <c r="A140" s="89" t="s">
        <v>108</v>
      </c>
      <c r="B140" s="90">
        <f>+B139*B136</f>
        <v>0</v>
      </c>
      <c r="C140" s="90">
        <f t="shared" ref="C140:M140" si="129">+C139*C136</f>
        <v>0</v>
      </c>
      <c r="D140" s="90">
        <f t="shared" si="129"/>
        <v>0</v>
      </c>
      <c r="E140" s="90">
        <f t="shared" si="129"/>
        <v>0</v>
      </c>
      <c r="F140" s="90">
        <f t="shared" si="129"/>
        <v>0</v>
      </c>
      <c r="G140" s="90">
        <f t="shared" si="129"/>
        <v>0</v>
      </c>
      <c r="H140" s="90">
        <f t="shared" si="129"/>
        <v>0</v>
      </c>
      <c r="I140" s="90">
        <f t="shared" si="129"/>
        <v>0</v>
      </c>
      <c r="J140" s="90">
        <f t="shared" si="129"/>
        <v>0</v>
      </c>
      <c r="K140" s="90">
        <f t="shared" si="129"/>
        <v>0</v>
      </c>
      <c r="L140" s="90">
        <f t="shared" si="129"/>
        <v>0</v>
      </c>
      <c r="M140" s="90">
        <f t="shared" si="129"/>
        <v>0</v>
      </c>
      <c r="N140" s="91">
        <f>SUM(B140:M140)</f>
        <v>0</v>
      </c>
    </row>
    <row r="141" spans="1:14" x14ac:dyDescent="0.35">
      <c r="A141" s="32" t="s">
        <v>104</v>
      </c>
      <c r="B141" s="62" t="e">
        <f>+B135/B136</f>
        <v>#DIV/0!</v>
      </c>
      <c r="C141" s="62" t="e">
        <f t="shared" ref="C141:N141" si="130">+C135/C136</f>
        <v>#DIV/0!</v>
      </c>
      <c r="D141" s="62" t="e">
        <f t="shared" si="130"/>
        <v>#DIV/0!</v>
      </c>
      <c r="E141" s="62" t="e">
        <f t="shared" si="130"/>
        <v>#DIV/0!</v>
      </c>
      <c r="F141" s="62" t="e">
        <f t="shared" si="130"/>
        <v>#DIV/0!</v>
      </c>
      <c r="G141" s="62" t="e">
        <f t="shared" si="130"/>
        <v>#DIV/0!</v>
      </c>
      <c r="H141" s="62" t="e">
        <f t="shared" si="130"/>
        <v>#DIV/0!</v>
      </c>
      <c r="I141" s="62" t="e">
        <f t="shared" si="130"/>
        <v>#DIV/0!</v>
      </c>
      <c r="J141" s="62" t="e">
        <f t="shared" si="130"/>
        <v>#DIV/0!</v>
      </c>
      <c r="K141" s="62" t="e">
        <f t="shared" si="130"/>
        <v>#DIV/0!</v>
      </c>
      <c r="L141" s="62" t="e">
        <f t="shared" si="130"/>
        <v>#DIV/0!</v>
      </c>
      <c r="M141" s="62" t="e">
        <f t="shared" si="130"/>
        <v>#DIV/0!</v>
      </c>
      <c r="N141" s="84" t="e">
        <f t="shared" si="130"/>
        <v>#DIV/0!</v>
      </c>
    </row>
    <row r="142" spans="1:14" s="57" customFormat="1" x14ac:dyDescent="0.35">
      <c r="A142" s="72" t="s">
        <v>437</v>
      </c>
      <c r="B142" s="77">
        <f>+B145+B152</f>
        <v>0</v>
      </c>
      <c r="C142" s="77">
        <f t="shared" ref="C142:M143" si="131">+C145+C152</f>
        <v>0</v>
      </c>
      <c r="D142" s="77">
        <f t="shared" si="131"/>
        <v>0</v>
      </c>
      <c r="E142" s="77">
        <f t="shared" si="131"/>
        <v>0</v>
      </c>
      <c r="F142" s="77">
        <f t="shared" si="131"/>
        <v>0</v>
      </c>
      <c r="G142" s="77">
        <f t="shared" si="131"/>
        <v>0</v>
      </c>
      <c r="H142" s="77">
        <f t="shared" si="131"/>
        <v>0</v>
      </c>
      <c r="I142" s="77">
        <f t="shared" si="131"/>
        <v>0</v>
      </c>
      <c r="J142" s="77">
        <f t="shared" si="131"/>
        <v>0</v>
      </c>
      <c r="K142" s="77">
        <f t="shared" si="131"/>
        <v>0</v>
      </c>
      <c r="L142" s="77">
        <f t="shared" si="131"/>
        <v>0</v>
      </c>
      <c r="M142" s="77">
        <f t="shared" si="131"/>
        <v>0</v>
      </c>
      <c r="N142" s="78">
        <f>SUM(B142:M142)</f>
        <v>0</v>
      </c>
    </row>
    <row r="143" spans="1:14" s="57" customFormat="1" x14ac:dyDescent="0.35">
      <c r="A143" s="72" t="s">
        <v>93</v>
      </c>
      <c r="B143" s="81">
        <f>+B146+B153</f>
        <v>0</v>
      </c>
      <c r="C143" s="81">
        <f t="shared" si="131"/>
        <v>0</v>
      </c>
      <c r="D143" s="81">
        <f t="shared" si="131"/>
        <v>0</v>
      </c>
      <c r="E143" s="81">
        <f t="shared" si="131"/>
        <v>0</v>
      </c>
      <c r="F143" s="81">
        <f t="shared" si="131"/>
        <v>0</v>
      </c>
      <c r="G143" s="81">
        <f t="shared" si="131"/>
        <v>0</v>
      </c>
      <c r="H143" s="81">
        <f t="shared" si="131"/>
        <v>0</v>
      </c>
      <c r="I143" s="81">
        <f t="shared" si="131"/>
        <v>0</v>
      </c>
      <c r="J143" s="81">
        <f t="shared" si="131"/>
        <v>0</v>
      </c>
      <c r="K143" s="81">
        <f t="shared" si="131"/>
        <v>0</v>
      </c>
      <c r="L143" s="81">
        <f t="shared" si="131"/>
        <v>0</v>
      </c>
      <c r="M143" s="81">
        <f t="shared" si="131"/>
        <v>0</v>
      </c>
      <c r="N143" s="82">
        <f>+M143</f>
        <v>0</v>
      </c>
    </row>
    <row r="144" spans="1:14" s="57" customFormat="1" x14ac:dyDescent="0.35">
      <c r="A144" s="72" t="s">
        <v>104</v>
      </c>
      <c r="B144" s="83" t="e">
        <f>+B142/B143</f>
        <v>#DIV/0!</v>
      </c>
      <c r="C144" s="83" t="e">
        <f>+C142/C143</f>
        <v>#DIV/0!</v>
      </c>
      <c r="D144" s="83" t="e">
        <f>+D142/D143</f>
        <v>#DIV/0!</v>
      </c>
      <c r="E144" s="83" t="e">
        <f t="shared" ref="E144:N144" si="132">+E142/E143</f>
        <v>#DIV/0!</v>
      </c>
      <c r="F144" s="83" t="e">
        <f t="shared" si="132"/>
        <v>#DIV/0!</v>
      </c>
      <c r="G144" s="83" t="e">
        <f t="shared" si="132"/>
        <v>#DIV/0!</v>
      </c>
      <c r="H144" s="83" t="e">
        <f t="shared" si="132"/>
        <v>#DIV/0!</v>
      </c>
      <c r="I144" s="83" t="e">
        <f t="shared" si="132"/>
        <v>#DIV/0!</v>
      </c>
      <c r="J144" s="83" t="e">
        <f t="shared" si="132"/>
        <v>#DIV/0!</v>
      </c>
      <c r="K144" s="83" t="e">
        <f t="shared" si="132"/>
        <v>#DIV/0!</v>
      </c>
      <c r="L144" s="83" t="e">
        <f t="shared" si="132"/>
        <v>#DIV/0!</v>
      </c>
      <c r="M144" s="83" t="e">
        <f t="shared" si="132"/>
        <v>#DIV/0!</v>
      </c>
      <c r="N144" s="83" t="e">
        <f t="shared" si="132"/>
        <v>#DIV/0!</v>
      </c>
    </row>
    <row r="145" spans="1:14" x14ac:dyDescent="0.35">
      <c r="A145" s="65" t="s">
        <v>90</v>
      </c>
      <c r="B145" s="80">
        <f>+B148+B150</f>
        <v>0</v>
      </c>
      <c r="C145" s="80">
        <f t="shared" ref="C145:M145" si="133">+C148+C150</f>
        <v>0</v>
      </c>
      <c r="D145" s="80">
        <f t="shared" si="133"/>
        <v>0</v>
      </c>
      <c r="E145" s="80">
        <f t="shared" si="133"/>
        <v>0</v>
      </c>
      <c r="F145" s="80">
        <f t="shared" si="133"/>
        <v>0</v>
      </c>
      <c r="G145" s="80">
        <f t="shared" si="133"/>
        <v>0</v>
      </c>
      <c r="H145" s="80">
        <f t="shared" si="133"/>
        <v>0</v>
      </c>
      <c r="I145" s="80">
        <f t="shared" si="133"/>
        <v>0</v>
      </c>
      <c r="J145" s="80">
        <f t="shared" si="133"/>
        <v>0</v>
      </c>
      <c r="K145" s="80">
        <f t="shared" si="133"/>
        <v>0</v>
      </c>
      <c r="L145" s="80">
        <f t="shared" si="133"/>
        <v>0</v>
      </c>
      <c r="M145" s="80">
        <f t="shared" si="133"/>
        <v>0</v>
      </c>
      <c r="N145" s="80">
        <f>SUM(B145:M145)</f>
        <v>0</v>
      </c>
    </row>
    <row r="146" spans="1:14" x14ac:dyDescent="0.35">
      <c r="A146" s="32" t="s">
        <v>93</v>
      </c>
      <c r="B146" s="239">
        <f>+'Plan de culture 107'!$Z$7</f>
        <v>0</v>
      </c>
      <c r="C146" s="239">
        <f>+B146</f>
        <v>0</v>
      </c>
      <c r="D146" s="239">
        <f t="shared" ref="D146" si="134">+C146</f>
        <v>0</v>
      </c>
      <c r="E146" s="239">
        <f>+D146</f>
        <v>0</v>
      </c>
      <c r="F146" s="239">
        <f>+E146</f>
        <v>0</v>
      </c>
      <c r="G146" s="239">
        <f>+F146</f>
        <v>0</v>
      </c>
      <c r="H146" s="239">
        <f t="shared" ref="H146:M146" si="135">+G146</f>
        <v>0</v>
      </c>
      <c r="I146" s="239">
        <f t="shared" si="135"/>
        <v>0</v>
      </c>
      <c r="J146" s="239">
        <f t="shared" si="135"/>
        <v>0</v>
      </c>
      <c r="K146" s="239">
        <f t="shared" si="135"/>
        <v>0</v>
      </c>
      <c r="L146" s="239">
        <f t="shared" si="135"/>
        <v>0</v>
      </c>
      <c r="M146" s="239">
        <f t="shared" si="135"/>
        <v>0</v>
      </c>
      <c r="N146" s="240">
        <f>+'Plan de culture 107'!$Z$7</f>
        <v>0</v>
      </c>
    </row>
    <row r="147" spans="1:14" x14ac:dyDescent="0.35">
      <c r="A147" s="89" t="s">
        <v>105</v>
      </c>
      <c r="B147" s="90">
        <v>0</v>
      </c>
      <c r="C147" s="90">
        <f>+B147</f>
        <v>0</v>
      </c>
      <c r="D147" s="90">
        <f>+C147</f>
        <v>0</v>
      </c>
      <c r="E147" s="90">
        <f t="shared" ref="E147:M147" si="136">+D147</f>
        <v>0</v>
      </c>
      <c r="F147" s="90">
        <f t="shared" si="136"/>
        <v>0</v>
      </c>
      <c r="G147" s="90">
        <f t="shared" si="136"/>
        <v>0</v>
      </c>
      <c r="H147" s="90">
        <f t="shared" si="136"/>
        <v>0</v>
      </c>
      <c r="I147" s="90">
        <f t="shared" si="136"/>
        <v>0</v>
      </c>
      <c r="J147" s="90">
        <f t="shared" si="136"/>
        <v>0</v>
      </c>
      <c r="K147" s="90">
        <f t="shared" si="136"/>
        <v>0</v>
      </c>
      <c r="L147" s="90">
        <f t="shared" si="136"/>
        <v>0</v>
      </c>
      <c r="M147" s="90">
        <f t="shared" si="136"/>
        <v>0</v>
      </c>
      <c r="N147" s="91" t="e">
        <f>+N148/N146</f>
        <v>#DIV/0!</v>
      </c>
    </row>
    <row r="148" spans="1:14" x14ac:dyDescent="0.35">
      <c r="A148" s="89" t="s">
        <v>106</v>
      </c>
      <c r="B148" s="90">
        <f>+B147*B146</f>
        <v>0</v>
      </c>
      <c r="C148" s="90">
        <f t="shared" ref="C148:M148" si="137">+C147*C146</f>
        <v>0</v>
      </c>
      <c r="D148" s="90">
        <f t="shared" si="137"/>
        <v>0</v>
      </c>
      <c r="E148" s="90">
        <f t="shared" si="137"/>
        <v>0</v>
      </c>
      <c r="F148" s="90">
        <f t="shared" si="137"/>
        <v>0</v>
      </c>
      <c r="G148" s="90">
        <f t="shared" si="137"/>
        <v>0</v>
      </c>
      <c r="H148" s="90">
        <f t="shared" si="137"/>
        <v>0</v>
      </c>
      <c r="I148" s="90">
        <f t="shared" si="137"/>
        <v>0</v>
      </c>
      <c r="J148" s="90">
        <f t="shared" si="137"/>
        <v>0</v>
      </c>
      <c r="K148" s="90">
        <f t="shared" si="137"/>
        <v>0</v>
      </c>
      <c r="L148" s="90">
        <f t="shared" si="137"/>
        <v>0</v>
      </c>
      <c r="M148" s="90">
        <f t="shared" si="137"/>
        <v>0</v>
      </c>
      <c r="N148" s="91">
        <f>SUM(B148:M148)</f>
        <v>0</v>
      </c>
    </row>
    <row r="149" spans="1:14" x14ac:dyDescent="0.35">
      <c r="A149" s="89" t="s">
        <v>107</v>
      </c>
      <c r="B149" s="90">
        <v>0</v>
      </c>
      <c r="C149" s="90">
        <v>0</v>
      </c>
      <c r="D149" s="90">
        <v>0</v>
      </c>
      <c r="E149" s="90">
        <v>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1" t="e">
        <f>+N150/N146</f>
        <v>#DIV/0!</v>
      </c>
    </row>
    <row r="150" spans="1:14" x14ac:dyDescent="0.35">
      <c r="A150" s="89" t="s">
        <v>108</v>
      </c>
      <c r="B150" s="90">
        <f>+B149*B146</f>
        <v>0</v>
      </c>
      <c r="C150" s="90">
        <f t="shared" ref="C150:M150" si="138">+C149*C146</f>
        <v>0</v>
      </c>
      <c r="D150" s="90">
        <f t="shared" si="138"/>
        <v>0</v>
      </c>
      <c r="E150" s="90">
        <f t="shared" si="138"/>
        <v>0</v>
      </c>
      <c r="F150" s="90">
        <f t="shared" si="138"/>
        <v>0</v>
      </c>
      <c r="G150" s="90">
        <f t="shared" si="138"/>
        <v>0</v>
      </c>
      <c r="H150" s="90">
        <f t="shared" si="138"/>
        <v>0</v>
      </c>
      <c r="I150" s="90">
        <f t="shared" si="138"/>
        <v>0</v>
      </c>
      <c r="J150" s="90">
        <f t="shared" si="138"/>
        <v>0</v>
      </c>
      <c r="K150" s="90">
        <f t="shared" si="138"/>
        <v>0</v>
      </c>
      <c r="L150" s="90">
        <f t="shared" si="138"/>
        <v>0</v>
      </c>
      <c r="M150" s="90">
        <f t="shared" si="138"/>
        <v>0</v>
      </c>
      <c r="N150" s="91">
        <f>SUM(B150:M150)</f>
        <v>0</v>
      </c>
    </row>
    <row r="151" spans="1:14" x14ac:dyDescent="0.35">
      <c r="A151" s="32" t="s">
        <v>104</v>
      </c>
      <c r="B151" s="62" t="e">
        <f>+B145/B146</f>
        <v>#DIV/0!</v>
      </c>
      <c r="C151" s="62" t="e">
        <f t="shared" ref="C151:N151" si="139">+C145/C146</f>
        <v>#DIV/0!</v>
      </c>
      <c r="D151" s="62" t="e">
        <f t="shared" si="139"/>
        <v>#DIV/0!</v>
      </c>
      <c r="E151" s="62" t="e">
        <f t="shared" si="139"/>
        <v>#DIV/0!</v>
      </c>
      <c r="F151" s="62" t="e">
        <f t="shared" si="139"/>
        <v>#DIV/0!</v>
      </c>
      <c r="G151" s="62" t="e">
        <f t="shared" si="139"/>
        <v>#DIV/0!</v>
      </c>
      <c r="H151" s="62" t="e">
        <f t="shared" si="139"/>
        <v>#DIV/0!</v>
      </c>
      <c r="I151" s="62" t="e">
        <f t="shared" si="139"/>
        <v>#DIV/0!</v>
      </c>
      <c r="J151" s="62" t="e">
        <f t="shared" si="139"/>
        <v>#DIV/0!</v>
      </c>
      <c r="K151" s="62" t="e">
        <f t="shared" si="139"/>
        <v>#DIV/0!</v>
      </c>
      <c r="L151" s="62" t="e">
        <f t="shared" si="139"/>
        <v>#DIV/0!</v>
      </c>
      <c r="M151" s="62" t="e">
        <f t="shared" si="139"/>
        <v>#DIV/0!</v>
      </c>
      <c r="N151" s="84" t="e">
        <f t="shared" si="139"/>
        <v>#DIV/0!</v>
      </c>
    </row>
    <row r="152" spans="1:14" x14ac:dyDescent="0.35">
      <c r="A152" s="65" t="s">
        <v>91</v>
      </c>
      <c r="B152" s="80">
        <f>+B155+B157</f>
        <v>0</v>
      </c>
      <c r="C152" s="80">
        <f t="shared" ref="C152:M152" si="140">+C155+C157</f>
        <v>0</v>
      </c>
      <c r="D152" s="80">
        <f t="shared" si="140"/>
        <v>0</v>
      </c>
      <c r="E152" s="80">
        <f t="shared" si="140"/>
        <v>0</v>
      </c>
      <c r="F152" s="80">
        <f t="shared" si="140"/>
        <v>0</v>
      </c>
      <c r="G152" s="80">
        <f t="shared" si="140"/>
        <v>0</v>
      </c>
      <c r="H152" s="80">
        <f t="shared" si="140"/>
        <v>0</v>
      </c>
      <c r="I152" s="80">
        <f t="shared" si="140"/>
        <v>0</v>
      </c>
      <c r="J152" s="80">
        <f t="shared" si="140"/>
        <v>0</v>
      </c>
      <c r="K152" s="80">
        <f t="shared" si="140"/>
        <v>0</v>
      </c>
      <c r="L152" s="80">
        <f t="shared" si="140"/>
        <v>0</v>
      </c>
      <c r="M152" s="80">
        <f t="shared" si="140"/>
        <v>0</v>
      </c>
      <c r="N152" s="92">
        <f>SUM(B152:M152)</f>
        <v>0</v>
      </c>
    </row>
    <row r="153" spans="1:14" x14ac:dyDescent="0.35">
      <c r="A153" s="32" t="s">
        <v>93</v>
      </c>
      <c r="B153" s="239">
        <f>+'Plan de culture 107'!$Z$13</f>
        <v>0</v>
      </c>
      <c r="C153" s="239">
        <f>+B153</f>
        <v>0</v>
      </c>
      <c r="D153" s="239">
        <f t="shared" ref="D153:M153" si="141">+C153</f>
        <v>0</v>
      </c>
      <c r="E153" s="239">
        <f t="shared" si="141"/>
        <v>0</v>
      </c>
      <c r="F153" s="239">
        <f t="shared" si="141"/>
        <v>0</v>
      </c>
      <c r="G153" s="239">
        <f t="shared" si="141"/>
        <v>0</v>
      </c>
      <c r="H153" s="239">
        <f t="shared" si="141"/>
        <v>0</v>
      </c>
      <c r="I153" s="239">
        <f t="shared" si="141"/>
        <v>0</v>
      </c>
      <c r="J153" s="239">
        <f t="shared" si="141"/>
        <v>0</v>
      </c>
      <c r="K153" s="239">
        <f t="shared" si="141"/>
        <v>0</v>
      </c>
      <c r="L153" s="239">
        <f t="shared" si="141"/>
        <v>0</v>
      </c>
      <c r="M153" s="239">
        <f t="shared" si="141"/>
        <v>0</v>
      </c>
      <c r="N153" s="240">
        <f>+'Plan de culture 107'!$Z$13</f>
        <v>0</v>
      </c>
    </row>
    <row r="154" spans="1:14" x14ac:dyDescent="0.35">
      <c r="A154" s="89" t="s">
        <v>105</v>
      </c>
      <c r="B154" s="90">
        <v>0</v>
      </c>
      <c r="C154" s="90">
        <f>+B154</f>
        <v>0</v>
      </c>
      <c r="D154" s="90">
        <f>+C154</f>
        <v>0</v>
      </c>
      <c r="E154" s="90">
        <f t="shared" ref="E154:M154" si="142">+D154</f>
        <v>0</v>
      </c>
      <c r="F154" s="90">
        <f t="shared" si="142"/>
        <v>0</v>
      </c>
      <c r="G154" s="90">
        <f t="shared" si="142"/>
        <v>0</v>
      </c>
      <c r="H154" s="90">
        <f t="shared" si="142"/>
        <v>0</v>
      </c>
      <c r="I154" s="90">
        <f t="shared" si="142"/>
        <v>0</v>
      </c>
      <c r="J154" s="90">
        <f t="shared" si="142"/>
        <v>0</v>
      </c>
      <c r="K154" s="90">
        <f t="shared" si="142"/>
        <v>0</v>
      </c>
      <c r="L154" s="90">
        <f t="shared" si="142"/>
        <v>0</v>
      </c>
      <c r="M154" s="90">
        <f t="shared" si="142"/>
        <v>0</v>
      </c>
      <c r="N154" s="91" t="e">
        <f>+N155/N153</f>
        <v>#DIV/0!</v>
      </c>
    </row>
    <row r="155" spans="1:14" x14ac:dyDescent="0.35">
      <c r="A155" s="89" t="s">
        <v>106</v>
      </c>
      <c r="B155" s="90">
        <f>+B154*B153</f>
        <v>0</v>
      </c>
      <c r="C155" s="90">
        <f t="shared" ref="C155:M155" si="143">+C154*C153</f>
        <v>0</v>
      </c>
      <c r="D155" s="90">
        <f t="shared" si="143"/>
        <v>0</v>
      </c>
      <c r="E155" s="90">
        <f t="shared" si="143"/>
        <v>0</v>
      </c>
      <c r="F155" s="90">
        <f t="shared" si="143"/>
        <v>0</v>
      </c>
      <c r="G155" s="90">
        <f t="shared" si="143"/>
        <v>0</v>
      </c>
      <c r="H155" s="90">
        <f t="shared" si="143"/>
        <v>0</v>
      </c>
      <c r="I155" s="90">
        <f t="shared" si="143"/>
        <v>0</v>
      </c>
      <c r="J155" s="90">
        <f t="shared" si="143"/>
        <v>0</v>
      </c>
      <c r="K155" s="90">
        <f t="shared" si="143"/>
        <v>0</v>
      </c>
      <c r="L155" s="90">
        <f t="shared" si="143"/>
        <v>0</v>
      </c>
      <c r="M155" s="90">
        <f t="shared" si="143"/>
        <v>0</v>
      </c>
      <c r="N155" s="91">
        <f>SUM(B155:M155)</f>
        <v>0</v>
      </c>
    </row>
    <row r="156" spans="1:14" x14ac:dyDescent="0.35">
      <c r="A156" s="89" t="s">
        <v>107</v>
      </c>
      <c r="B156" s="90">
        <v>0</v>
      </c>
      <c r="C156" s="90">
        <v>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1" t="e">
        <f>+N157/N153</f>
        <v>#DIV/0!</v>
      </c>
    </row>
    <row r="157" spans="1:14" x14ac:dyDescent="0.35">
      <c r="A157" s="89" t="s">
        <v>108</v>
      </c>
      <c r="B157" s="90">
        <f>+B156*B153</f>
        <v>0</v>
      </c>
      <c r="C157" s="90">
        <f t="shared" ref="C157:M157" si="144">+C156*C153</f>
        <v>0</v>
      </c>
      <c r="D157" s="90">
        <f t="shared" si="144"/>
        <v>0</v>
      </c>
      <c r="E157" s="90">
        <f t="shared" si="144"/>
        <v>0</v>
      </c>
      <c r="F157" s="90">
        <f t="shared" si="144"/>
        <v>0</v>
      </c>
      <c r="G157" s="90">
        <f t="shared" si="144"/>
        <v>0</v>
      </c>
      <c r="H157" s="90">
        <f t="shared" si="144"/>
        <v>0</v>
      </c>
      <c r="I157" s="90">
        <f t="shared" si="144"/>
        <v>0</v>
      </c>
      <c r="J157" s="90">
        <f t="shared" si="144"/>
        <v>0</v>
      </c>
      <c r="K157" s="90">
        <f t="shared" si="144"/>
        <v>0</v>
      </c>
      <c r="L157" s="90">
        <f t="shared" si="144"/>
        <v>0</v>
      </c>
      <c r="M157" s="90">
        <f t="shared" si="144"/>
        <v>0</v>
      </c>
      <c r="N157" s="91">
        <f>SUM(B157:M157)</f>
        <v>0</v>
      </c>
    </row>
    <row r="158" spans="1:14" x14ac:dyDescent="0.35">
      <c r="A158" s="32" t="s">
        <v>104</v>
      </c>
      <c r="B158" s="62" t="e">
        <f>+B152/B153</f>
        <v>#DIV/0!</v>
      </c>
      <c r="C158" s="62" t="e">
        <f t="shared" ref="C158:N158" si="145">+C152/C153</f>
        <v>#DIV/0!</v>
      </c>
      <c r="D158" s="62" t="e">
        <f t="shared" si="145"/>
        <v>#DIV/0!</v>
      </c>
      <c r="E158" s="62" t="e">
        <f t="shared" si="145"/>
        <v>#DIV/0!</v>
      </c>
      <c r="F158" s="62" t="e">
        <f t="shared" si="145"/>
        <v>#DIV/0!</v>
      </c>
      <c r="G158" s="62" t="e">
        <f t="shared" si="145"/>
        <v>#DIV/0!</v>
      </c>
      <c r="H158" s="62" t="e">
        <f t="shared" si="145"/>
        <v>#DIV/0!</v>
      </c>
      <c r="I158" s="62" t="e">
        <f t="shared" si="145"/>
        <v>#DIV/0!</v>
      </c>
      <c r="J158" s="62" t="e">
        <f t="shared" si="145"/>
        <v>#DIV/0!</v>
      </c>
      <c r="K158" s="62" t="e">
        <f t="shared" si="145"/>
        <v>#DIV/0!</v>
      </c>
      <c r="L158" s="62" t="e">
        <f t="shared" si="145"/>
        <v>#DIV/0!</v>
      </c>
      <c r="M158" s="62" t="e">
        <f t="shared" si="145"/>
        <v>#DIV/0!</v>
      </c>
      <c r="N158" s="84" t="e">
        <f t="shared" si="145"/>
        <v>#DIV/0!</v>
      </c>
    </row>
    <row r="159" spans="1:14" x14ac:dyDescent="0.35">
      <c r="A159" s="65" t="s">
        <v>376</v>
      </c>
      <c r="B159" s="80">
        <f>+B162+B164</f>
        <v>0</v>
      </c>
      <c r="C159" s="80">
        <f t="shared" ref="C159:M159" si="146">+C162+C164</f>
        <v>0</v>
      </c>
      <c r="D159" s="80">
        <f t="shared" si="146"/>
        <v>0</v>
      </c>
      <c r="E159" s="80">
        <f t="shared" si="146"/>
        <v>0</v>
      </c>
      <c r="F159" s="80">
        <f t="shared" si="146"/>
        <v>0</v>
      </c>
      <c r="G159" s="80">
        <f t="shared" si="146"/>
        <v>0</v>
      </c>
      <c r="H159" s="80">
        <f t="shared" si="146"/>
        <v>0</v>
      </c>
      <c r="I159" s="80">
        <f t="shared" si="146"/>
        <v>0</v>
      </c>
      <c r="J159" s="80">
        <f t="shared" si="146"/>
        <v>0</v>
      </c>
      <c r="K159" s="80">
        <f t="shared" si="146"/>
        <v>0</v>
      </c>
      <c r="L159" s="80">
        <f t="shared" si="146"/>
        <v>0</v>
      </c>
      <c r="M159" s="80">
        <f t="shared" si="146"/>
        <v>0</v>
      </c>
      <c r="N159" s="92">
        <f>SUM(B159:M159)</f>
        <v>0</v>
      </c>
    </row>
    <row r="160" spans="1:14" x14ac:dyDescent="0.35">
      <c r="A160" s="32" t="s">
        <v>93</v>
      </c>
      <c r="B160" s="239">
        <f>+'Plan de culture 107'!$Z$19</f>
        <v>0</v>
      </c>
      <c r="C160" s="239">
        <f>+B160</f>
        <v>0</v>
      </c>
      <c r="D160" s="239">
        <f t="shared" ref="D160" si="147">+C160</f>
        <v>0</v>
      </c>
      <c r="E160" s="239">
        <f>+'Plan de culture 104 '!C156</f>
        <v>0</v>
      </c>
      <c r="F160" s="239">
        <f>+E160+'Plan de culture 104 '!D156+'Plan de culture 104 '!E156</f>
        <v>0</v>
      </c>
      <c r="G160" s="239">
        <f>+F160</f>
        <v>0</v>
      </c>
      <c r="H160" s="239">
        <f t="shared" ref="H160:M160" si="148">+G160</f>
        <v>0</v>
      </c>
      <c r="I160" s="239">
        <f t="shared" si="148"/>
        <v>0</v>
      </c>
      <c r="J160" s="239">
        <f t="shared" si="148"/>
        <v>0</v>
      </c>
      <c r="K160" s="239">
        <f t="shared" si="148"/>
        <v>0</v>
      </c>
      <c r="L160" s="239">
        <f t="shared" si="148"/>
        <v>0</v>
      </c>
      <c r="M160" s="239">
        <f t="shared" si="148"/>
        <v>0</v>
      </c>
      <c r="N160" s="240">
        <f>+'Plan de culture 107'!$Z$19</f>
        <v>0</v>
      </c>
    </row>
    <row r="161" spans="1:14" x14ac:dyDescent="0.35">
      <c r="A161" s="89" t="s">
        <v>105</v>
      </c>
      <c r="B161" s="90">
        <v>0</v>
      </c>
      <c r="C161" s="90">
        <f>+B161</f>
        <v>0</v>
      </c>
      <c r="D161" s="90">
        <f>+C161</f>
        <v>0</v>
      </c>
      <c r="E161" s="90">
        <f t="shared" ref="E161:M161" si="149">+D161</f>
        <v>0</v>
      </c>
      <c r="F161" s="90">
        <f t="shared" si="149"/>
        <v>0</v>
      </c>
      <c r="G161" s="90">
        <f t="shared" si="149"/>
        <v>0</v>
      </c>
      <c r="H161" s="90">
        <f t="shared" si="149"/>
        <v>0</v>
      </c>
      <c r="I161" s="90">
        <f t="shared" si="149"/>
        <v>0</v>
      </c>
      <c r="J161" s="90">
        <f t="shared" si="149"/>
        <v>0</v>
      </c>
      <c r="K161" s="90">
        <f t="shared" si="149"/>
        <v>0</v>
      </c>
      <c r="L161" s="90">
        <f t="shared" si="149"/>
        <v>0</v>
      </c>
      <c r="M161" s="90">
        <f t="shared" si="149"/>
        <v>0</v>
      </c>
      <c r="N161" s="91" t="e">
        <f>+N162/N160</f>
        <v>#DIV/0!</v>
      </c>
    </row>
    <row r="162" spans="1:14" x14ac:dyDescent="0.35">
      <c r="A162" s="89" t="s">
        <v>106</v>
      </c>
      <c r="B162" s="90">
        <f>+B161*B160</f>
        <v>0</v>
      </c>
      <c r="C162" s="90">
        <f t="shared" ref="C162:M162" si="150">+C161*C160</f>
        <v>0</v>
      </c>
      <c r="D162" s="90">
        <f t="shared" si="150"/>
        <v>0</v>
      </c>
      <c r="E162" s="90">
        <f t="shared" si="150"/>
        <v>0</v>
      </c>
      <c r="F162" s="90">
        <f t="shared" si="150"/>
        <v>0</v>
      </c>
      <c r="G162" s="90">
        <f t="shared" si="150"/>
        <v>0</v>
      </c>
      <c r="H162" s="90">
        <f t="shared" si="150"/>
        <v>0</v>
      </c>
      <c r="I162" s="90">
        <f t="shared" si="150"/>
        <v>0</v>
      </c>
      <c r="J162" s="90">
        <f t="shared" si="150"/>
        <v>0</v>
      </c>
      <c r="K162" s="90">
        <f t="shared" si="150"/>
        <v>0</v>
      </c>
      <c r="L162" s="90">
        <f t="shared" si="150"/>
        <v>0</v>
      </c>
      <c r="M162" s="90">
        <f t="shared" si="150"/>
        <v>0</v>
      </c>
      <c r="N162" s="91">
        <f>SUM(B162:M162)</f>
        <v>0</v>
      </c>
    </row>
    <row r="163" spans="1:14" x14ac:dyDescent="0.35">
      <c r="A163" s="89" t="s">
        <v>107</v>
      </c>
      <c r="B163" s="90">
        <v>0</v>
      </c>
      <c r="C163" s="90">
        <v>0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1" t="e">
        <f>+N164/N160</f>
        <v>#DIV/0!</v>
      </c>
    </row>
    <row r="164" spans="1:14" x14ac:dyDescent="0.35">
      <c r="A164" s="89" t="s">
        <v>108</v>
      </c>
      <c r="B164" s="90">
        <f>+B163*B160</f>
        <v>0</v>
      </c>
      <c r="C164" s="90">
        <f t="shared" ref="C164:M164" si="151">+C163*C160</f>
        <v>0</v>
      </c>
      <c r="D164" s="90">
        <f t="shared" si="151"/>
        <v>0</v>
      </c>
      <c r="E164" s="90">
        <f t="shared" si="151"/>
        <v>0</v>
      </c>
      <c r="F164" s="90">
        <f t="shared" si="151"/>
        <v>0</v>
      </c>
      <c r="G164" s="90">
        <f t="shared" si="151"/>
        <v>0</v>
      </c>
      <c r="H164" s="90">
        <f t="shared" si="151"/>
        <v>0</v>
      </c>
      <c r="I164" s="90">
        <f t="shared" si="151"/>
        <v>0</v>
      </c>
      <c r="J164" s="90">
        <f t="shared" si="151"/>
        <v>0</v>
      </c>
      <c r="K164" s="90">
        <f t="shared" si="151"/>
        <v>0</v>
      </c>
      <c r="L164" s="90">
        <f t="shared" si="151"/>
        <v>0</v>
      </c>
      <c r="M164" s="90">
        <f t="shared" si="151"/>
        <v>0</v>
      </c>
      <c r="N164" s="91">
        <f>SUM(B164:M164)</f>
        <v>0</v>
      </c>
    </row>
    <row r="165" spans="1:14" x14ac:dyDescent="0.35">
      <c r="A165" s="32" t="s">
        <v>104</v>
      </c>
      <c r="B165" s="62" t="e">
        <f>+B159/B160</f>
        <v>#DIV/0!</v>
      </c>
      <c r="C165" s="62" t="e">
        <f t="shared" ref="C165:N165" si="152">+C159/C160</f>
        <v>#DIV/0!</v>
      </c>
      <c r="D165" s="62" t="e">
        <f t="shared" si="152"/>
        <v>#DIV/0!</v>
      </c>
      <c r="E165" s="62" t="e">
        <f t="shared" si="152"/>
        <v>#DIV/0!</v>
      </c>
      <c r="F165" s="62" t="e">
        <f t="shared" si="152"/>
        <v>#DIV/0!</v>
      </c>
      <c r="G165" s="62" t="e">
        <f t="shared" si="152"/>
        <v>#DIV/0!</v>
      </c>
      <c r="H165" s="62" t="e">
        <f t="shared" si="152"/>
        <v>#DIV/0!</v>
      </c>
      <c r="I165" s="62" t="e">
        <f t="shared" si="152"/>
        <v>#DIV/0!</v>
      </c>
      <c r="J165" s="62" t="e">
        <f t="shared" si="152"/>
        <v>#DIV/0!</v>
      </c>
      <c r="K165" s="62" t="e">
        <f t="shared" si="152"/>
        <v>#DIV/0!</v>
      </c>
      <c r="L165" s="62" t="e">
        <f t="shared" si="152"/>
        <v>#DIV/0!</v>
      </c>
      <c r="M165" s="62" t="e">
        <f t="shared" si="152"/>
        <v>#DIV/0!</v>
      </c>
      <c r="N165" s="84" t="e">
        <f t="shared" si="152"/>
        <v>#DIV/0!</v>
      </c>
    </row>
    <row r="166" spans="1:14" x14ac:dyDescent="0.35">
      <c r="A166" s="65" t="s">
        <v>92</v>
      </c>
      <c r="B166" s="80">
        <f>+B169+B171</f>
        <v>0</v>
      </c>
      <c r="C166" s="80">
        <f t="shared" ref="C166:M166" si="153">+C169+C171</f>
        <v>0</v>
      </c>
      <c r="D166" s="80">
        <f t="shared" si="153"/>
        <v>0</v>
      </c>
      <c r="E166" s="80">
        <f t="shared" si="153"/>
        <v>0</v>
      </c>
      <c r="F166" s="80">
        <f t="shared" si="153"/>
        <v>0</v>
      </c>
      <c r="G166" s="80">
        <f t="shared" si="153"/>
        <v>0</v>
      </c>
      <c r="H166" s="80">
        <f t="shared" si="153"/>
        <v>0</v>
      </c>
      <c r="I166" s="80">
        <f t="shared" si="153"/>
        <v>0</v>
      </c>
      <c r="J166" s="80">
        <f t="shared" si="153"/>
        <v>0</v>
      </c>
      <c r="K166" s="80">
        <f t="shared" si="153"/>
        <v>0</v>
      </c>
      <c r="L166" s="80">
        <f t="shared" si="153"/>
        <v>0</v>
      </c>
      <c r="M166" s="80">
        <f t="shared" si="153"/>
        <v>0</v>
      </c>
      <c r="N166" s="92">
        <f>SUM(B166:M166)</f>
        <v>0</v>
      </c>
    </row>
    <row r="167" spans="1:14" x14ac:dyDescent="0.35">
      <c r="A167" s="32" t="s">
        <v>93</v>
      </c>
      <c r="B167" s="239">
        <f>+'Plan de culture 107'!$Z$25</f>
        <v>16.558</v>
      </c>
      <c r="C167" s="239">
        <f>+B167</f>
        <v>16.558</v>
      </c>
      <c r="D167" s="239">
        <f t="shared" ref="D167:M167" si="154">+C167</f>
        <v>16.558</v>
      </c>
      <c r="E167" s="239">
        <f t="shared" si="154"/>
        <v>16.558</v>
      </c>
      <c r="F167" s="239">
        <f t="shared" si="154"/>
        <v>16.558</v>
      </c>
      <c r="G167" s="239">
        <f t="shared" si="154"/>
        <v>16.558</v>
      </c>
      <c r="H167" s="239">
        <f t="shared" si="154"/>
        <v>16.558</v>
      </c>
      <c r="I167" s="239">
        <f t="shared" si="154"/>
        <v>16.558</v>
      </c>
      <c r="J167" s="239">
        <f t="shared" si="154"/>
        <v>16.558</v>
      </c>
      <c r="K167" s="239">
        <f t="shared" si="154"/>
        <v>16.558</v>
      </c>
      <c r="L167" s="239">
        <f t="shared" si="154"/>
        <v>16.558</v>
      </c>
      <c r="M167" s="239">
        <f t="shared" si="154"/>
        <v>16.558</v>
      </c>
      <c r="N167" s="240">
        <f>+'Plan de culture 107'!$Z$25</f>
        <v>16.558</v>
      </c>
    </row>
    <row r="168" spans="1:14" x14ac:dyDescent="0.35">
      <c r="A168" s="89" t="s">
        <v>105</v>
      </c>
      <c r="B168" s="90">
        <v>0</v>
      </c>
      <c r="C168" s="90">
        <f>+B168</f>
        <v>0</v>
      </c>
      <c r="D168" s="90">
        <f>+C168</f>
        <v>0</v>
      </c>
      <c r="E168" s="90">
        <f t="shared" ref="E168:M168" si="155">+D168</f>
        <v>0</v>
      </c>
      <c r="F168" s="90">
        <f t="shared" si="155"/>
        <v>0</v>
      </c>
      <c r="G168" s="90">
        <f t="shared" si="155"/>
        <v>0</v>
      </c>
      <c r="H168" s="90">
        <f t="shared" si="155"/>
        <v>0</v>
      </c>
      <c r="I168" s="90">
        <f t="shared" si="155"/>
        <v>0</v>
      </c>
      <c r="J168" s="90">
        <f t="shared" si="155"/>
        <v>0</v>
      </c>
      <c r="K168" s="90">
        <f t="shared" si="155"/>
        <v>0</v>
      </c>
      <c r="L168" s="90">
        <f t="shared" si="155"/>
        <v>0</v>
      </c>
      <c r="M168" s="90">
        <f t="shared" si="155"/>
        <v>0</v>
      </c>
      <c r="N168" s="91">
        <f>+N169/N167</f>
        <v>0</v>
      </c>
    </row>
    <row r="169" spans="1:14" x14ac:dyDescent="0.35">
      <c r="A169" s="89" t="s">
        <v>106</v>
      </c>
      <c r="B169" s="90">
        <f>+B168*B167</f>
        <v>0</v>
      </c>
      <c r="C169" s="90">
        <f t="shared" ref="C169:M169" si="156">+C168*C167</f>
        <v>0</v>
      </c>
      <c r="D169" s="90">
        <f t="shared" si="156"/>
        <v>0</v>
      </c>
      <c r="E169" s="90">
        <f t="shared" si="156"/>
        <v>0</v>
      </c>
      <c r="F169" s="90">
        <f t="shared" si="156"/>
        <v>0</v>
      </c>
      <c r="G169" s="90">
        <f t="shared" si="156"/>
        <v>0</v>
      </c>
      <c r="H169" s="90">
        <f t="shared" si="156"/>
        <v>0</v>
      </c>
      <c r="I169" s="90">
        <f t="shared" si="156"/>
        <v>0</v>
      </c>
      <c r="J169" s="90">
        <f t="shared" si="156"/>
        <v>0</v>
      </c>
      <c r="K169" s="90">
        <f t="shared" si="156"/>
        <v>0</v>
      </c>
      <c r="L169" s="90">
        <f t="shared" si="156"/>
        <v>0</v>
      </c>
      <c r="M169" s="90">
        <f t="shared" si="156"/>
        <v>0</v>
      </c>
      <c r="N169" s="91">
        <f>SUM(B169:M169)</f>
        <v>0</v>
      </c>
    </row>
    <row r="170" spans="1:14" x14ac:dyDescent="0.35">
      <c r="A170" s="89" t="s">
        <v>107</v>
      </c>
      <c r="B170" s="90">
        <v>0</v>
      </c>
      <c r="C170" s="90">
        <v>0</v>
      </c>
      <c r="D170" s="90">
        <v>0</v>
      </c>
      <c r="E170" s="90">
        <v>0</v>
      </c>
      <c r="F170" s="90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1">
        <f>+N171/N167</f>
        <v>0</v>
      </c>
    </row>
    <row r="171" spans="1:14" x14ac:dyDescent="0.35">
      <c r="A171" s="89" t="s">
        <v>108</v>
      </c>
      <c r="B171" s="90">
        <f>+B170*B167</f>
        <v>0</v>
      </c>
      <c r="C171" s="90">
        <f t="shared" ref="C171:M171" si="157">+C170*C167</f>
        <v>0</v>
      </c>
      <c r="D171" s="90">
        <f t="shared" si="157"/>
        <v>0</v>
      </c>
      <c r="E171" s="90">
        <f t="shared" si="157"/>
        <v>0</v>
      </c>
      <c r="F171" s="90">
        <f t="shared" si="157"/>
        <v>0</v>
      </c>
      <c r="G171" s="90">
        <f t="shared" si="157"/>
        <v>0</v>
      </c>
      <c r="H171" s="90">
        <f t="shared" si="157"/>
        <v>0</v>
      </c>
      <c r="I171" s="90">
        <f t="shared" si="157"/>
        <v>0</v>
      </c>
      <c r="J171" s="90">
        <f t="shared" si="157"/>
        <v>0</v>
      </c>
      <c r="K171" s="90">
        <f t="shared" si="157"/>
        <v>0</v>
      </c>
      <c r="L171" s="90">
        <f t="shared" si="157"/>
        <v>0</v>
      </c>
      <c r="M171" s="90">
        <f t="shared" si="157"/>
        <v>0</v>
      </c>
      <c r="N171" s="91">
        <f>SUM(B171:M171)</f>
        <v>0</v>
      </c>
    </row>
    <row r="172" spans="1:14" x14ac:dyDescent="0.35">
      <c r="A172" s="32" t="s">
        <v>104</v>
      </c>
      <c r="B172" s="62">
        <f>+B166/B167</f>
        <v>0</v>
      </c>
      <c r="C172" s="62">
        <f t="shared" ref="C172:N172" si="158">+C166/C167</f>
        <v>0</v>
      </c>
      <c r="D172" s="62">
        <f t="shared" si="158"/>
        <v>0</v>
      </c>
      <c r="E172" s="62">
        <f t="shared" si="158"/>
        <v>0</v>
      </c>
      <c r="F172" s="62">
        <f t="shared" si="158"/>
        <v>0</v>
      </c>
      <c r="G172" s="62">
        <f t="shared" si="158"/>
        <v>0</v>
      </c>
      <c r="H172" s="62">
        <f t="shared" si="158"/>
        <v>0</v>
      </c>
      <c r="I172" s="62">
        <f t="shared" si="158"/>
        <v>0</v>
      </c>
      <c r="J172" s="62">
        <f t="shared" si="158"/>
        <v>0</v>
      </c>
      <c r="K172" s="62">
        <f t="shared" si="158"/>
        <v>0</v>
      </c>
      <c r="L172" s="62">
        <f t="shared" si="158"/>
        <v>0</v>
      </c>
      <c r="M172" s="62">
        <f t="shared" si="158"/>
        <v>0</v>
      </c>
      <c r="N172" s="84">
        <f t="shared" si="158"/>
        <v>0</v>
      </c>
    </row>
    <row r="173" spans="1:14" x14ac:dyDescent="0.35">
      <c r="A173" s="65" t="s">
        <v>377</v>
      </c>
      <c r="B173" s="80">
        <f>+B176+B178</f>
        <v>0</v>
      </c>
      <c r="C173" s="80">
        <f t="shared" ref="C173:M173" si="159">+C176+C178</f>
        <v>0</v>
      </c>
      <c r="D173" s="80">
        <f t="shared" si="159"/>
        <v>0</v>
      </c>
      <c r="E173" s="80">
        <f t="shared" si="159"/>
        <v>0</v>
      </c>
      <c r="F173" s="80">
        <f t="shared" si="159"/>
        <v>0</v>
      </c>
      <c r="G173" s="80">
        <f t="shared" si="159"/>
        <v>0</v>
      </c>
      <c r="H173" s="80">
        <f t="shared" si="159"/>
        <v>0</v>
      </c>
      <c r="I173" s="80">
        <f t="shared" si="159"/>
        <v>0</v>
      </c>
      <c r="J173" s="80">
        <f t="shared" si="159"/>
        <v>0</v>
      </c>
      <c r="K173" s="80">
        <f t="shared" si="159"/>
        <v>0</v>
      </c>
      <c r="L173" s="80">
        <f t="shared" si="159"/>
        <v>0</v>
      </c>
      <c r="M173" s="80">
        <f t="shared" si="159"/>
        <v>0</v>
      </c>
      <c r="N173" s="92">
        <f>SUM(B173:M173)</f>
        <v>0</v>
      </c>
    </row>
    <row r="174" spans="1:14" x14ac:dyDescent="0.35">
      <c r="A174" s="32" t="s">
        <v>93</v>
      </c>
      <c r="B174" s="239">
        <f>+'Plan de culture 107'!$Z$31</f>
        <v>0</v>
      </c>
      <c r="C174" s="239">
        <f>+B174</f>
        <v>0</v>
      </c>
      <c r="D174" s="239">
        <f t="shared" ref="D174" si="160">+C174</f>
        <v>0</v>
      </c>
      <c r="E174" s="239">
        <f>+'Plan de culture 104 '!C170</f>
        <v>0</v>
      </c>
      <c r="F174" s="239">
        <f>+E174+'Plan de culture 104 '!D170+'Plan de culture 104 '!E170</f>
        <v>0</v>
      </c>
      <c r="G174" s="239">
        <f>+F174</f>
        <v>0</v>
      </c>
      <c r="H174" s="239">
        <f t="shared" ref="H174:M174" si="161">+G174</f>
        <v>0</v>
      </c>
      <c r="I174" s="239">
        <f t="shared" si="161"/>
        <v>0</v>
      </c>
      <c r="J174" s="239">
        <f t="shared" si="161"/>
        <v>0</v>
      </c>
      <c r="K174" s="239">
        <f t="shared" si="161"/>
        <v>0</v>
      </c>
      <c r="L174" s="239">
        <f t="shared" si="161"/>
        <v>0</v>
      </c>
      <c r="M174" s="239">
        <f t="shared" si="161"/>
        <v>0</v>
      </c>
      <c r="N174" s="240">
        <f>+'Plan de culture 107'!$Z$31</f>
        <v>0</v>
      </c>
    </row>
    <row r="175" spans="1:14" x14ac:dyDescent="0.35">
      <c r="A175" s="89" t="s">
        <v>105</v>
      </c>
      <c r="B175" s="90">
        <v>0</v>
      </c>
      <c r="C175" s="90">
        <f>+B175</f>
        <v>0</v>
      </c>
      <c r="D175" s="90">
        <f>+C175</f>
        <v>0</v>
      </c>
      <c r="E175" s="90">
        <f t="shared" ref="E175:M175" si="162">+D175</f>
        <v>0</v>
      </c>
      <c r="F175" s="90">
        <f t="shared" si="162"/>
        <v>0</v>
      </c>
      <c r="G175" s="90">
        <f t="shared" si="162"/>
        <v>0</v>
      </c>
      <c r="H175" s="90">
        <f t="shared" si="162"/>
        <v>0</v>
      </c>
      <c r="I175" s="90">
        <f t="shared" si="162"/>
        <v>0</v>
      </c>
      <c r="J175" s="90">
        <f t="shared" si="162"/>
        <v>0</v>
      </c>
      <c r="K175" s="90">
        <f t="shared" si="162"/>
        <v>0</v>
      </c>
      <c r="L175" s="90">
        <f t="shared" si="162"/>
        <v>0</v>
      </c>
      <c r="M175" s="90">
        <f t="shared" si="162"/>
        <v>0</v>
      </c>
      <c r="N175" s="91" t="e">
        <f>+N176/N174</f>
        <v>#DIV/0!</v>
      </c>
    </row>
    <row r="176" spans="1:14" x14ac:dyDescent="0.35">
      <c r="A176" s="89" t="s">
        <v>106</v>
      </c>
      <c r="B176" s="90">
        <f>+B175*B174</f>
        <v>0</v>
      </c>
      <c r="C176" s="90">
        <f t="shared" ref="C176:M176" si="163">+C175*C174</f>
        <v>0</v>
      </c>
      <c r="D176" s="90">
        <f t="shared" si="163"/>
        <v>0</v>
      </c>
      <c r="E176" s="90">
        <f t="shared" si="163"/>
        <v>0</v>
      </c>
      <c r="F176" s="90">
        <f t="shared" si="163"/>
        <v>0</v>
      </c>
      <c r="G176" s="90">
        <f t="shared" si="163"/>
        <v>0</v>
      </c>
      <c r="H176" s="90">
        <f t="shared" si="163"/>
        <v>0</v>
      </c>
      <c r="I176" s="90">
        <f t="shared" si="163"/>
        <v>0</v>
      </c>
      <c r="J176" s="90">
        <f t="shared" si="163"/>
        <v>0</v>
      </c>
      <c r="K176" s="90">
        <f t="shared" si="163"/>
        <v>0</v>
      </c>
      <c r="L176" s="90">
        <f t="shared" si="163"/>
        <v>0</v>
      </c>
      <c r="M176" s="90">
        <f t="shared" si="163"/>
        <v>0</v>
      </c>
      <c r="N176" s="91">
        <f>SUM(B176:M176)</f>
        <v>0</v>
      </c>
    </row>
    <row r="177" spans="1:14" x14ac:dyDescent="0.35">
      <c r="A177" s="89" t="s">
        <v>107</v>
      </c>
      <c r="B177" s="90">
        <v>0</v>
      </c>
      <c r="C177" s="90">
        <v>0</v>
      </c>
      <c r="D177" s="90">
        <v>0</v>
      </c>
      <c r="E177" s="90">
        <v>0</v>
      </c>
      <c r="F177" s="90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1" t="e">
        <f>+N178/N174</f>
        <v>#DIV/0!</v>
      </c>
    </row>
    <row r="178" spans="1:14" x14ac:dyDescent="0.35">
      <c r="A178" s="89" t="s">
        <v>108</v>
      </c>
      <c r="B178" s="90">
        <f>+B177*B174</f>
        <v>0</v>
      </c>
      <c r="C178" s="90">
        <f t="shared" ref="C178:M178" si="164">+C177*C174</f>
        <v>0</v>
      </c>
      <c r="D178" s="90">
        <f t="shared" si="164"/>
        <v>0</v>
      </c>
      <c r="E178" s="90">
        <f t="shared" si="164"/>
        <v>0</v>
      </c>
      <c r="F178" s="90">
        <f t="shared" si="164"/>
        <v>0</v>
      </c>
      <c r="G178" s="90">
        <f t="shared" si="164"/>
        <v>0</v>
      </c>
      <c r="H178" s="90">
        <f t="shared" si="164"/>
        <v>0</v>
      </c>
      <c r="I178" s="90">
        <f t="shared" si="164"/>
        <v>0</v>
      </c>
      <c r="J178" s="90">
        <f t="shared" si="164"/>
        <v>0</v>
      </c>
      <c r="K178" s="90">
        <f t="shared" si="164"/>
        <v>0</v>
      </c>
      <c r="L178" s="90">
        <f t="shared" si="164"/>
        <v>0</v>
      </c>
      <c r="M178" s="90">
        <f t="shared" si="164"/>
        <v>0</v>
      </c>
      <c r="N178" s="91">
        <f>SUM(B178:M178)</f>
        <v>0</v>
      </c>
    </row>
    <row r="179" spans="1:14" x14ac:dyDescent="0.35">
      <c r="A179" s="32" t="s">
        <v>104</v>
      </c>
      <c r="B179" s="62" t="e">
        <f>+B173/B174</f>
        <v>#DIV/0!</v>
      </c>
      <c r="C179" s="62" t="e">
        <f t="shared" ref="C179:N179" si="165">+C173/C174</f>
        <v>#DIV/0!</v>
      </c>
      <c r="D179" s="62" t="e">
        <f t="shared" si="165"/>
        <v>#DIV/0!</v>
      </c>
      <c r="E179" s="62" t="e">
        <f t="shared" si="165"/>
        <v>#DIV/0!</v>
      </c>
      <c r="F179" s="62" t="e">
        <f t="shared" si="165"/>
        <v>#DIV/0!</v>
      </c>
      <c r="G179" s="62" t="e">
        <f t="shared" si="165"/>
        <v>#DIV/0!</v>
      </c>
      <c r="H179" s="62" t="e">
        <f t="shared" si="165"/>
        <v>#DIV/0!</v>
      </c>
      <c r="I179" s="62" t="e">
        <f t="shared" si="165"/>
        <v>#DIV/0!</v>
      </c>
      <c r="J179" s="62" t="e">
        <f t="shared" si="165"/>
        <v>#DIV/0!</v>
      </c>
      <c r="K179" s="62" t="e">
        <f t="shared" si="165"/>
        <v>#DIV/0!</v>
      </c>
      <c r="L179" s="62" t="e">
        <f t="shared" si="165"/>
        <v>#DIV/0!</v>
      </c>
      <c r="M179" s="62" t="e">
        <f t="shared" si="165"/>
        <v>#DIV/0!</v>
      </c>
      <c r="N179" s="84" t="e">
        <f t="shared" si="165"/>
        <v>#DIV/0!</v>
      </c>
    </row>
    <row r="180" spans="1:14" x14ac:dyDescent="0.35">
      <c r="A180" s="65" t="s">
        <v>378</v>
      </c>
      <c r="B180" s="80">
        <f>+B183+B185</f>
        <v>0</v>
      </c>
      <c r="C180" s="80">
        <f t="shared" ref="C180:M180" si="166">+C183+C185</f>
        <v>0</v>
      </c>
      <c r="D180" s="80">
        <f t="shared" si="166"/>
        <v>0</v>
      </c>
      <c r="E180" s="80">
        <f t="shared" si="166"/>
        <v>0</v>
      </c>
      <c r="F180" s="80">
        <f t="shared" si="166"/>
        <v>0</v>
      </c>
      <c r="G180" s="80">
        <f t="shared" si="166"/>
        <v>0</v>
      </c>
      <c r="H180" s="80">
        <f t="shared" si="166"/>
        <v>0</v>
      </c>
      <c r="I180" s="80">
        <f t="shared" si="166"/>
        <v>0</v>
      </c>
      <c r="J180" s="80">
        <f t="shared" si="166"/>
        <v>0</v>
      </c>
      <c r="K180" s="80">
        <f t="shared" si="166"/>
        <v>0</v>
      </c>
      <c r="L180" s="80">
        <f t="shared" si="166"/>
        <v>0</v>
      </c>
      <c r="M180" s="80">
        <f t="shared" si="166"/>
        <v>0</v>
      </c>
      <c r="N180" s="92">
        <f>SUM(B180:M180)</f>
        <v>0</v>
      </c>
    </row>
    <row r="181" spans="1:14" x14ac:dyDescent="0.35">
      <c r="A181" s="32" t="s">
        <v>93</v>
      </c>
      <c r="B181" s="239">
        <f>+'Plan de culture 107'!$Z$37</f>
        <v>0</v>
      </c>
      <c r="C181" s="239">
        <f>+B181</f>
        <v>0</v>
      </c>
      <c r="D181" s="239">
        <f t="shared" ref="D181" si="167">+C181</f>
        <v>0</v>
      </c>
      <c r="E181" s="239">
        <f>+'Plan de culture 104 '!C177</f>
        <v>0</v>
      </c>
      <c r="F181" s="239">
        <f>+E181+'Plan de culture 104 '!D177+'Plan de culture 104 '!E177</f>
        <v>0</v>
      </c>
      <c r="G181" s="239">
        <f>+F181</f>
        <v>0</v>
      </c>
      <c r="H181" s="239">
        <f t="shared" ref="H181:M181" si="168">+G181</f>
        <v>0</v>
      </c>
      <c r="I181" s="239">
        <f t="shared" si="168"/>
        <v>0</v>
      </c>
      <c r="J181" s="239">
        <f t="shared" si="168"/>
        <v>0</v>
      </c>
      <c r="K181" s="239">
        <f t="shared" si="168"/>
        <v>0</v>
      </c>
      <c r="L181" s="239">
        <f t="shared" si="168"/>
        <v>0</v>
      </c>
      <c r="M181" s="239">
        <f t="shared" si="168"/>
        <v>0</v>
      </c>
      <c r="N181" s="240">
        <f>+'Plan de culture 107'!$Z$37</f>
        <v>0</v>
      </c>
    </row>
    <row r="182" spans="1:14" x14ac:dyDescent="0.35">
      <c r="A182" s="89" t="s">
        <v>105</v>
      </c>
      <c r="B182" s="90">
        <v>0</v>
      </c>
      <c r="C182" s="90">
        <f>+B182</f>
        <v>0</v>
      </c>
      <c r="D182" s="90">
        <f>+C182</f>
        <v>0</v>
      </c>
      <c r="E182" s="90">
        <f t="shared" ref="E182:M182" si="169">+D182</f>
        <v>0</v>
      </c>
      <c r="F182" s="90">
        <f t="shared" si="169"/>
        <v>0</v>
      </c>
      <c r="G182" s="90">
        <f t="shared" si="169"/>
        <v>0</v>
      </c>
      <c r="H182" s="90">
        <f t="shared" si="169"/>
        <v>0</v>
      </c>
      <c r="I182" s="90">
        <f t="shared" si="169"/>
        <v>0</v>
      </c>
      <c r="J182" s="90">
        <f t="shared" si="169"/>
        <v>0</v>
      </c>
      <c r="K182" s="90">
        <f t="shared" si="169"/>
        <v>0</v>
      </c>
      <c r="L182" s="90">
        <f t="shared" si="169"/>
        <v>0</v>
      </c>
      <c r="M182" s="90">
        <f t="shared" si="169"/>
        <v>0</v>
      </c>
      <c r="N182" s="91" t="e">
        <f>+N183/N181</f>
        <v>#DIV/0!</v>
      </c>
    </row>
    <row r="183" spans="1:14" x14ac:dyDescent="0.35">
      <c r="A183" s="89" t="s">
        <v>106</v>
      </c>
      <c r="B183" s="90">
        <f>+B182*B181</f>
        <v>0</v>
      </c>
      <c r="C183" s="90">
        <f t="shared" ref="C183:M183" si="170">+C182*C181</f>
        <v>0</v>
      </c>
      <c r="D183" s="90">
        <f t="shared" si="170"/>
        <v>0</v>
      </c>
      <c r="E183" s="90">
        <f t="shared" si="170"/>
        <v>0</v>
      </c>
      <c r="F183" s="90">
        <f t="shared" si="170"/>
        <v>0</v>
      </c>
      <c r="G183" s="90">
        <f t="shared" si="170"/>
        <v>0</v>
      </c>
      <c r="H183" s="90">
        <f t="shared" si="170"/>
        <v>0</v>
      </c>
      <c r="I183" s="90">
        <f t="shared" si="170"/>
        <v>0</v>
      </c>
      <c r="J183" s="90">
        <f t="shared" si="170"/>
        <v>0</v>
      </c>
      <c r="K183" s="90">
        <f t="shared" si="170"/>
        <v>0</v>
      </c>
      <c r="L183" s="90">
        <f t="shared" si="170"/>
        <v>0</v>
      </c>
      <c r="M183" s="90">
        <f t="shared" si="170"/>
        <v>0</v>
      </c>
      <c r="N183" s="91">
        <f>SUM(B183:M183)</f>
        <v>0</v>
      </c>
    </row>
    <row r="184" spans="1:14" x14ac:dyDescent="0.35">
      <c r="A184" s="89" t="s">
        <v>107</v>
      </c>
      <c r="B184" s="90">
        <v>0</v>
      </c>
      <c r="C184" s="90">
        <v>0</v>
      </c>
      <c r="D184" s="90">
        <v>0</v>
      </c>
      <c r="E184" s="90">
        <v>0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1" t="e">
        <f>+N185/N181</f>
        <v>#DIV/0!</v>
      </c>
    </row>
    <row r="185" spans="1:14" x14ac:dyDescent="0.35">
      <c r="A185" s="89" t="s">
        <v>108</v>
      </c>
      <c r="B185" s="90">
        <f>+B184*B181</f>
        <v>0</v>
      </c>
      <c r="C185" s="90">
        <f t="shared" ref="C185:M185" si="171">+C184*C181</f>
        <v>0</v>
      </c>
      <c r="D185" s="90">
        <f t="shared" si="171"/>
        <v>0</v>
      </c>
      <c r="E185" s="90">
        <f t="shared" si="171"/>
        <v>0</v>
      </c>
      <c r="F185" s="90">
        <f t="shared" si="171"/>
        <v>0</v>
      </c>
      <c r="G185" s="90">
        <f t="shared" si="171"/>
        <v>0</v>
      </c>
      <c r="H185" s="90">
        <f t="shared" si="171"/>
        <v>0</v>
      </c>
      <c r="I185" s="90">
        <f t="shared" si="171"/>
        <v>0</v>
      </c>
      <c r="J185" s="90">
        <f t="shared" si="171"/>
        <v>0</v>
      </c>
      <c r="K185" s="90">
        <f t="shared" si="171"/>
        <v>0</v>
      </c>
      <c r="L185" s="90">
        <f t="shared" si="171"/>
        <v>0</v>
      </c>
      <c r="M185" s="90">
        <f t="shared" si="171"/>
        <v>0</v>
      </c>
      <c r="N185" s="91">
        <f>SUM(B185:M185)</f>
        <v>0</v>
      </c>
    </row>
    <row r="186" spans="1:14" x14ac:dyDescent="0.35">
      <c r="A186" s="32" t="s">
        <v>104</v>
      </c>
      <c r="B186" s="62" t="e">
        <f>+B180/B181</f>
        <v>#DIV/0!</v>
      </c>
      <c r="C186" s="62" t="e">
        <f t="shared" ref="C186:N186" si="172">+C180/C181</f>
        <v>#DIV/0!</v>
      </c>
      <c r="D186" s="62" t="e">
        <f t="shared" si="172"/>
        <v>#DIV/0!</v>
      </c>
      <c r="E186" s="62" t="e">
        <f t="shared" si="172"/>
        <v>#DIV/0!</v>
      </c>
      <c r="F186" s="62" t="e">
        <f t="shared" si="172"/>
        <v>#DIV/0!</v>
      </c>
      <c r="G186" s="62" t="e">
        <f t="shared" si="172"/>
        <v>#DIV/0!</v>
      </c>
      <c r="H186" s="62" t="e">
        <f t="shared" si="172"/>
        <v>#DIV/0!</v>
      </c>
      <c r="I186" s="62" t="e">
        <f t="shared" si="172"/>
        <v>#DIV/0!</v>
      </c>
      <c r="J186" s="62" t="e">
        <f t="shared" si="172"/>
        <v>#DIV/0!</v>
      </c>
      <c r="K186" s="62" t="e">
        <f t="shared" si="172"/>
        <v>#DIV/0!</v>
      </c>
      <c r="L186" s="62" t="e">
        <f t="shared" si="172"/>
        <v>#DIV/0!</v>
      </c>
      <c r="M186" s="62" t="e">
        <f t="shared" si="172"/>
        <v>#DIV/0!</v>
      </c>
      <c r="N186" s="84" t="e">
        <f t="shared" si="172"/>
        <v>#DIV/0!</v>
      </c>
    </row>
    <row r="187" spans="1:14" s="57" customFormat="1" x14ac:dyDescent="0.35">
      <c r="A187" s="72" t="s">
        <v>438</v>
      </c>
      <c r="B187" s="77">
        <f>+B190+B197</f>
        <v>0</v>
      </c>
      <c r="C187" s="77">
        <f t="shared" ref="C187:M188" si="173">+C190+C197</f>
        <v>0</v>
      </c>
      <c r="D187" s="77">
        <f t="shared" si="173"/>
        <v>0</v>
      </c>
      <c r="E187" s="77">
        <f t="shared" si="173"/>
        <v>0</v>
      </c>
      <c r="F187" s="77">
        <f t="shared" si="173"/>
        <v>0</v>
      </c>
      <c r="G187" s="77">
        <f t="shared" si="173"/>
        <v>0</v>
      </c>
      <c r="H187" s="77">
        <f t="shared" si="173"/>
        <v>0</v>
      </c>
      <c r="I187" s="77">
        <f t="shared" si="173"/>
        <v>0</v>
      </c>
      <c r="J187" s="77">
        <f t="shared" si="173"/>
        <v>0</v>
      </c>
      <c r="K187" s="77">
        <f t="shared" si="173"/>
        <v>0</v>
      </c>
      <c r="L187" s="77">
        <f t="shared" si="173"/>
        <v>0</v>
      </c>
      <c r="M187" s="77">
        <f t="shared" si="173"/>
        <v>0</v>
      </c>
      <c r="N187" s="78">
        <f>SUM(B187:M187)</f>
        <v>0</v>
      </c>
    </row>
    <row r="188" spans="1:14" s="57" customFormat="1" x14ac:dyDescent="0.35">
      <c r="A188" s="72" t="s">
        <v>93</v>
      </c>
      <c r="B188" s="81">
        <f>+B191+B198</f>
        <v>26.09</v>
      </c>
      <c r="C188" s="81">
        <f t="shared" si="173"/>
        <v>26.09</v>
      </c>
      <c r="D188" s="81">
        <f t="shared" si="173"/>
        <v>26.09</v>
      </c>
      <c r="E188" s="81">
        <f t="shared" si="173"/>
        <v>26.09</v>
      </c>
      <c r="F188" s="81">
        <f t="shared" si="173"/>
        <v>26.09</v>
      </c>
      <c r="G188" s="81">
        <f t="shared" si="173"/>
        <v>26.09</v>
      </c>
      <c r="H188" s="81">
        <f t="shared" si="173"/>
        <v>26.09</v>
      </c>
      <c r="I188" s="81">
        <f t="shared" si="173"/>
        <v>26.09</v>
      </c>
      <c r="J188" s="81">
        <f t="shared" si="173"/>
        <v>26.09</v>
      </c>
      <c r="K188" s="81">
        <f t="shared" si="173"/>
        <v>26.09</v>
      </c>
      <c r="L188" s="81">
        <f t="shared" si="173"/>
        <v>26.09</v>
      </c>
      <c r="M188" s="81">
        <f t="shared" si="173"/>
        <v>26.09</v>
      </c>
      <c r="N188" s="82">
        <f>+M188</f>
        <v>26.09</v>
      </c>
    </row>
    <row r="189" spans="1:14" s="57" customFormat="1" x14ac:dyDescent="0.35">
      <c r="A189" s="72" t="s">
        <v>104</v>
      </c>
      <c r="B189" s="83">
        <f>+B187/B188</f>
        <v>0</v>
      </c>
      <c r="C189" s="83">
        <f>+C187/C188</f>
        <v>0</v>
      </c>
      <c r="D189" s="83">
        <f>+D187/D188</f>
        <v>0</v>
      </c>
      <c r="E189" s="83">
        <f t="shared" ref="E189:N189" si="174">+E187/E188</f>
        <v>0</v>
      </c>
      <c r="F189" s="83">
        <f t="shared" si="174"/>
        <v>0</v>
      </c>
      <c r="G189" s="83">
        <f t="shared" si="174"/>
        <v>0</v>
      </c>
      <c r="H189" s="83">
        <f t="shared" si="174"/>
        <v>0</v>
      </c>
      <c r="I189" s="83">
        <f t="shared" si="174"/>
        <v>0</v>
      </c>
      <c r="J189" s="83">
        <f t="shared" si="174"/>
        <v>0</v>
      </c>
      <c r="K189" s="83">
        <f t="shared" si="174"/>
        <v>0</v>
      </c>
      <c r="L189" s="83">
        <f t="shared" si="174"/>
        <v>0</v>
      </c>
      <c r="M189" s="83">
        <f t="shared" si="174"/>
        <v>0</v>
      </c>
      <c r="N189" s="83">
        <f t="shared" si="174"/>
        <v>0</v>
      </c>
    </row>
    <row r="190" spans="1:14" x14ac:dyDescent="0.35">
      <c r="A190" s="65" t="s">
        <v>90</v>
      </c>
      <c r="B190" s="80">
        <f>+B193+B195</f>
        <v>0</v>
      </c>
      <c r="C190" s="80">
        <f t="shared" ref="C190:M190" si="175">+C193+C195</f>
        <v>0</v>
      </c>
      <c r="D190" s="80">
        <f t="shared" si="175"/>
        <v>0</v>
      </c>
      <c r="E190" s="80">
        <f t="shared" si="175"/>
        <v>0</v>
      </c>
      <c r="F190" s="80">
        <f t="shared" si="175"/>
        <v>0</v>
      </c>
      <c r="G190" s="80">
        <f t="shared" si="175"/>
        <v>0</v>
      </c>
      <c r="H190" s="80">
        <f t="shared" si="175"/>
        <v>0</v>
      </c>
      <c r="I190" s="80">
        <f t="shared" si="175"/>
        <v>0</v>
      </c>
      <c r="J190" s="80">
        <f t="shared" si="175"/>
        <v>0</v>
      </c>
      <c r="K190" s="80">
        <f t="shared" si="175"/>
        <v>0</v>
      </c>
      <c r="L190" s="80">
        <f t="shared" si="175"/>
        <v>0</v>
      </c>
      <c r="M190" s="80">
        <f t="shared" si="175"/>
        <v>0</v>
      </c>
      <c r="N190" s="80">
        <f>SUM(B190:M190)</f>
        <v>0</v>
      </c>
    </row>
    <row r="191" spans="1:14" x14ac:dyDescent="0.35">
      <c r="A191" s="32" t="s">
        <v>93</v>
      </c>
      <c r="B191" s="239">
        <f>+'Plan de culture 114'!$AE$7</f>
        <v>0</v>
      </c>
      <c r="C191" s="239">
        <f>+B191</f>
        <v>0</v>
      </c>
      <c r="D191" s="239">
        <f t="shared" ref="D191" si="176">+C191</f>
        <v>0</v>
      </c>
      <c r="E191" s="239">
        <f>+D191</f>
        <v>0</v>
      </c>
      <c r="F191" s="239">
        <f>+E191</f>
        <v>0</v>
      </c>
      <c r="G191" s="239">
        <f>+F191</f>
        <v>0</v>
      </c>
      <c r="H191" s="239">
        <f t="shared" ref="H191:M191" si="177">+G191</f>
        <v>0</v>
      </c>
      <c r="I191" s="239">
        <f t="shared" si="177"/>
        <v>0</v>
      </c>
      <c r="J191" s="239">
        <f t="shared" si="177"/>
        <v>0</v>
      </c>
      <c r="K191" s="239">
        <f t="shared" si="177"/>
        <v>0</v>
      </c>
      <c r="L191" s="239">
        <f t="shared" si="177"/>
        <v>0</v>
      </c>
      <c r="M191" s="239">
        <f t="shared" si="177"/>
        <v>0</v>
      </c>
      <c r="N191" s="240">
        <f>+'Plan de culture 114'!$AE$7</f>
        <v>0</v>
      </c>
    </row>
    <row r="192" spans="1:14" x14ac:dyDescent="0.35">
      <c r="A192" s="89" t="s">
        <v>105</v>
      </c>
      <c r="B192" s="90">
        <v>0</v>
      </c>
      <c r="C192" s="90">
        <f>+B192</f>
        <v>0</v>
      </c>
      <c r="D192" s="90">
        <f>+C192</f>
        <v>0</v>
      </c>
      <c r="E192" s="90">
        <f t="shared" ref="E192:M192" si="178">+D192</f>
        <v>0</v>
      </c>
      <c r="F192" s="90">
        <f t="shared" si="178"/>
        <v>0</v>
      </c>
      <c r="G192" s="90">
        <f t="shared" si="178"/>
        <v>0</v>
      </c>
      <c r="H192" s="90">
        <f t="shared" si="178"/>
        <v>0</v>
      </c>
      <c r="I192" s="90">
        <f t="shared" si="178"/>
        <v>0</v>
      </c>
      <c r="J192" s="90">
        <f t="shared" si="178"/>
        <v>0</v>
      </c>
      <c r="K192" s="90">
        <f t="shared" si="178"/>
        <v>0</v>
      </c>
      <c r="L192" s="90">
        <f t="shared" si="178"/>
        <v>0</v>
      </c>
      <c r="M192" s="90">
        <f t="shared" si="178"/>
        <v>0</v>
      </c>
      <c r="N192" s="91" t="e">
        <f>+N193/N191</f>
        <v>#DIV/0!</v>
      </c>
    </row>
    <row r="193" spans="1:14" x14ac:dyDescent="0.35">
      <c r="A193" s="89" t="s">
        <v>106</v>
      </c>
      <c r="B193" s="90">
        <f>+B192*B191</f>
        <v>0</v>
      </c>
      <c r="C193" s="90">
        <f t="shared" ref="C193:M193" si="179">+C192*C191</f>
        <v>0</v>
      </c>
      <c r="D193" s="90">
        <f t="shared" si="179"/>
        <v>0</v>
      </c>
      <c r="E193" s="90">
        <f t="shared" si="179"/>
        <v>0</v>
      </c>
      <c r="F193" s="90">
        <f t="shared" si="179"/>
        <v>0</v>
      </c>
      <c r="G193" s="90">
        <f t="shared" si="179"/>
        <v>0</v>
      </c>
      <c r="H193" s="90">
        <f t="shared" si="179"/>
        <v>0</v>
      </c>
      <c r="I193" s="90">
        <f t="shared" si="179"/>
        <v>0</v>
      </c>
      <c r="J193" s="90">
        <f t="shared" si="179"/>
        <v>0</v>
      </c>
      <c r="K193" s="90">
        <f t="shared" si="179"/>
        <v>0</v>
      </c>
      <c r="L193" s="90">
        <f t="shared" si="179"/>
        <v>0</v>
      </c>
      <c r="M193" s="90">
        <f t="shared" si="179"/>
        <v>0</v>
      </c>
      <c r="N193" s="91">
        <f>SUM(B193:M193)</f>
        <v>0</v>
      </c>
    </row>
    <row r="194" spans="1:14" x14ac:dyDescent="0.35">
      <c r="A194" s="89" t="s">
        <v>107</v>
      </c>
      <c r="B194" s="90">
        <v>0</v>
      </c>
      <c r="C194" s="90">
        <v>0</v>
      </c>
      <c r="D194" s="90">
        <v>0</v>
      </c>
      <c r="E194" s="90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1" t="e">
        <f>+N195/N191</f>
        <v>#DIV/0!</v>
      </c>
    </row>
    <row r="195" spans="1:14" x14ac:dyDescent="0.35">
      <c r="A195" s="89" t="s">
        <v>108</v>
      </c>
      <c r="B195" s="90">
        <f>+B194*B191</f>
        <v>0</v>
      </c>
      <c r="C195" s="90">
        <f t="shared" ref="C195:M195" si="180">+C194*C191</f>
        <v>0</v>
      </c>
      <c r="D195" s="90">
        <f t="shared" si="180"/>
        <v>0</v>
      </c>
      <c r="E195" s="90">
        <f t="shared" si="180"/>
        <v>0</v>
      </c>
      <c r="F195" s="90">
        <f t="shared" si="180"/>
        <v>0</v>
      </c>
      <c r="G195" s="90">
        <f t="shared" si="180"/>
        <v>0</v>
      </c>
      <c r="H195" s="90">
        <f t="shared" si="180"/>
        <v>0</v>
      </c>
      <c r="I195" s="90">
        <f t="shared" si="180"/>
        <v>0</v>
      </c>
      <c r="J195" s="90">
        <f t="shared" si="180"/>
        <v>0</v>
      </c>
      <c r="K195" s="90">
        <f t="shared" si="180"/>
        <v>0</v>
      </c>
      <c r="L195" s="90">
        <f t="shared" si="180"/>
        <v>0</v>
      </c>
      <c r="M195" s="90">
        <f t="shared" si="180"/>
        <v>0</v>
      </c>
      <c r="N195" s="91">
        <f>SUM(B195:M195)</f>
        <v>0</v>
      </c>
    </row>
    <row r="196" spans="1:14" x14ac:dyDescent="0.35">
      <c r="A196" s="32" t="s">
        <v>104</v>
      </c>
      <c r="B196" s="62" t="e">
        <f>+B190/B191</f>
        <v>#DIV/0!</v>
      </c>
      <c r="C196" s="62" t="e">
        <f t="shared" ref="C196:N196" si="181">+C190/C191</f>
        <v>#DIV/0!</v>
      </c>
      <c r="D196" s="62" t="e">
        <f t="shared" si="181"/>
        <v>#DIV/0!</v>
      </c>
      <c r="E196" s="62" t="e">
        <f t="shared" si="181"/>
        <v>#DIV/0!</v>
      </c>
      <c r="F196" s="62" t="e">
        <f t="shared" si="181"/>
        <v>#DIV/0!</v>
      </c>
      <c r="G196" s="62" t="e">
        <f t="shared" si="181"/>
        <v>#DIV/0!</v>
      </c>
      <c r="H196" s="62" t="e">
        <f t="shared" si="181"/>
        <v>#DIV/0!</v>
      </c>
      <c r="I196" s="62" t="e">
        <f t="shared" si="181"/>
        <v>#DIV/0!</v>
      </c>
      <c r="J196" s="62" t="e">
        <f t="shared" si="181"/>
        <v>#DIV/0!</v>
      </c>
      <c r="K196" s="62" t="e">
        <f t="shared" si="181"/>
        <v>#DIV/0!</v>
      </c>
      <c r="L196" s="62" t="e">
        <f t="shared" si="181"/>
        <v>#DIV/0!</v>
      </c>
      <c r="M196" s="62" t="e">
        <f t="shared" si="181"/>
        <v>#DIV/0!</v>
      </c>
      <c r="N196" s="84" t="e">
        <f t="shared" si="181"/>
        <v>#DIV/0!</v>
      </c>
    </row>
    <row r="197" spans="1:14" x14ac:dyDescent="0.35">
      <c r="A197" s="65" t="s">
        <v>91</v>
      </c>
      <c r="B197" s="80">
        <f>+B200+B202</f>
        <v>0</v>
      </c>
      <c r="C197" s="80">
        <f t="shared" ref="C197:M197" si="182">+C200+C202</f>
        <v>0</v>
      </c>
      <c r="D197" s="80">
        <f t="shared" si="182"/>
        <v>0</v>
      </c>
      <c r="E197" s="80">
        <f t="shared" si="182"/>
        <v>0</v>
      </c>
      <c r="F197" s="80">
        <f t="shared" si="182"/>
        <v>0</v>
      </c>
      <c r="G197" s="80">
        <f t="shared" si="182"/>
        <v>0</v>
      </c>
      <c r="H197" s="80">
        <f t="shared" si="182"/>
        <v>0</v>
      </c>
      <c r="I197" s="80">
        <f t="shared" si="182"/>
        <v>0</v>
      </c>
      <c r="J197" s="80">
        <f t="shared" si="182"/>
        <v>0</v>
      </c>
      <c r="K197" s="80">
        <f t="shared" si="182"/>
        <v>0</v>
      </c>
      <c r="L197" s="80">
        <f t="shared" si="182"/>
        <v>0</v>
      </c>
      <c r="M197" s="80">
        <f t="shared" si="182"/>
        <v>0</v>
      </c>
      <c r="N197" s="92">
        <f>SUM(B197:M197)</f>
        <v>0</v>
      </c>
    </row>
    <row r="198" spans="1:14" x14ac:dyDescent="0.35">
      <c r="A198" s="32" t="s">
        <v>93</v>
      </c>
      <c r="B198" s="239">
        <f>+'Plan de culture 114'!$AE$13</f>
        <v>26.09</v>
      </c>
      <c r="C198" s="239">
        <f>+B198</f>
        <v>26.09</v>
      </c>
      <c r="D198" s="239">
        <f t="shared" ref="D198:M198" si="183">+C198</f>
        <v>26.09</v>
      </c>
      <c r="E198" s="239">
        <f t="shared" si="183"/>
        <v>26.09</v>
      </c>
      <c r="F198" s="239">
        <f t="shared" si="183"/>
        <v>26.09</v>
      </c>
      <c r="G198" s="239">
        <f t="shared" si="183"/>
        <v>26.09</v>
      </c>
      <c r="H198" s="239">
        <f t="shared" si="183"/>
        <v>26.09</v>
      </c>
      <c r="I198" s="239">
        <f t="shared" si="183"/>
        <v>26.09</v>
      </c>
      <c r="J198" s="239">
        <f t="shared" si="183"/>
        <v>26.09</v>
      </c>
      <c r="K198" s="239">
        <f t="shared" si="183"/>
        <v>26.09</v>
      </c>
      <c r="L198" s="239">
        <f t="shared" si="183"/>
        <v>26.09</v>
      </c>
      <c r="M198" s="239">
        <f t="shared" si="183"/>
        <v>26.09</v>
      </c>
      <c r="N198" s="240">
        <f>+'Plan de culture 114'!$AE$13</f>
        <v>26.09</v>
      </c>
    </row>
    <row r="199" spans="1:14" x14ac:dyDescent="0.35">
      <c r="A199" s="89" t="s">
        <v>105</v>
      </c>
      <c r="B199" s="90">
        <v>0</v>
      </c>
      <c r="C199" s="90">
        <f>+B199</f>
        <v>0</v>
      </c>
      <c r="D199" s="90">
        <f>+C199</f>
        <v>0</v>
      </c>
      <c r="E199" s="90">
        <f t="shared" ref="E199:M199" si="184">+D199</f>
        <v>0</v>
      </c>
      <c r="F199" s="90">
        <f t="shared" si="184"/>
        <v>0</v>
      </c>
      <c r="G199" s="90">
        <f t="shared" si="184"/>
        <v>0</v>
      </c>
      <c r="H199" s="90">
        <f t="shared" si="184"/>
        <v>0</v>
      </c>
      <c r="I199" s="90">
        <f t="shared" si="184"/>
        <v>0</v>
      </c>
      <c r="J199" s="90">
        <f t="shared" si="184"/>
        <v>0</v>
      </c>
      <c r="K199" s="90">
        <f t="shared" si="184"/>
        <v>0</v>
      </c>
      <c r="L199" s="90">
        <f t="shared" si="184"/>
        <v>0</v>
      </c>
      <c r="M199" s="90">
        <f t="shared" si="184"/>
        <v>0</v>
      </c>
      <c r="N199" s="91">
        <f>+N200/N198</f>
        <v>0</v>
      </c>
    </row>
    <row r="200" spans="1:14" x14ac:dyDescent="0.35">
      <c r="A200" s="89" t="s">
        <v>106</v>
      </c>
      <c r="B200" s="90">
        <f>+B199*B198</f>
        <v>0</v>
      </c>
      <c r="C200" s="90">
        <f t="shared" ref="C200:M200" si="185">+C199*C198</f>
        <v>0</v>
      </c>
      <c r="D200" s="90">
        <f t="shared" si="185"/>
        <v>0</v>
      </c>
      <c r="E200" s="90">
        <f t="shared" si="185"/>
        <v>0</v>
      </c>
      <c r="F200" s="90">
        <f t="shared" si="185"/>
        <v>0</v>
      </c>
      <c r="G200" s="90">
        <f t="shared" si="185"/>
        <v>0</v>
      </c>
      <c r="H200" s="90">
        <f t="shared" si="185"/>
        <v>0</v>
      </c>
      <c r="I200" s="90">
        <f t="shared" si="185"/>
        <v>0</v>
      </c>
      <c r="J200" s="90">
        <f t="shared" si="185"/>
        <v>0</v>
      </c>
      <c r="K200" s="90">
        <f t="shared" si="185"/>
        <v>0</v>
      </c>
      <c r="L200" s="90">
        <f t="shared" si="185"/>
        <v>0</v>
      </c>
      <c r="M200" s="90">
        <f t="shared" si="185"/>
        <v>0</v>
      </c>
      <c r="N200" s="91">
        <f>SUM(B200:M200)</f>
        <v>0</v>
      </c>
    </row>
    <row r="201" spans="1:14" x14ac:dyDescent="0.35">
      <c r="A201" s="89" t="s">
        <v>107</v>
      </c>
      <c r="B201" s="90">
        <v>0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1">
        <f>+N202/N198</f>
        <v>0</v>
      </c>
    </row>
    <row r="202" spans="1:14" x14ac:dyDescent="0.35">
      <c r="A202" s="89" t="s">
        <v>108</v>
      </c>
      <c r="B202" s="90">
        <f>+B201*B198</f>
        <v>0</v>
      </c>
      <c r="C202" s="90">
        <f t="shared" ref="C202:M202" si="186">+C201*C198</f>
        <v>0</v>
      </c>
      <c r="D202" s="90">
        <f t="shared" si="186"/>
        <v>0</v>
      </c>
      <c r="E202" s="90">
        <f t="shared" si="186"/>
        <v>0</v>
      </c>
      <c r="F202" s="90">
        <f t="shared" si="186"/>
        <v>0</v>
      </c>
      <c r="G202" s="90">
        <f t="shared" si="186"/>
        <v>0</v>
      </c>
      <c r="H202" s="90">
        <f t="shared" si="186"/>
        <v>0</v>
      </c>
      <c r="I202" s="90">
        <f t="shared" si="186"/>
        <v>0</v>
      </c>
      <c r="J202" s="90">
        <f t="shared" si="186"/>
        <v>0</v>
      </c>
      <c r="K202" s="90">
        <f t="shared" si="186"/>
        <v>0</v>
      </c>
      <c r="L202" s="90">
        <f t="shared" si="186"/>
        <v>0</v>
      </c>
      <c r="M202" s="90">
        <f t="shared" si="186"/>
        <v>0</v>
      </c>
      <c r="N202" s="91">
        <f>SUM(B202:M202)</f>
        <v>0</v>
      </c>
    </row>
    <row r="203" spans="1:14" x14ac:dyDescent="0.35">
      <c r="A203" s="32" t="s">
        <v>104</v>
      </c>
      <c r="B203" s="62">
        <f>+B197/B198</f>
        <v>0</v>
      </c>
      <c r="C203" s="62">
        <f t="shared" ref="C203:N203" si="187">+C197/C198</f>
        <v>0</v>
      </c>
      <c r="D203" s="62">
        <f t="shared" si="187"/>
        <v>0</v>
      </c>
      <c r="E203" s="62">
        <f t="shared" si="187"/>
        <v>0</v>
      </c>
      <c r="F203" s="62">
        <f t="shared" si="187"/>
        <v>0</v>
      </c>
      <c r="G203" s="62">
        <f t="shared" si="187"/>
        <v>0</v>
      </c>
      <c r="H203" s="62">
        <f t="shared" si="187"/>
        <v>0</v>
      </c>
      <c r="I203" s="62">
        <f t="shared" si="187"/>
        <v>0</v>
      </c>
      <c r="J203" s="62">
        <f t="shared" si="187"/>
        <v>0</v>
      </c>
      <c r="K203" s="62">
        <f t="shared" si="187"/>
        <v>0</v>
      </c>
      <c r="L203" s="62">
        <f t="shared" si="187"/>
        <v>0</v>
      </c>
      <c r="M203" s="62">
        <f t="shared" si="187"/>
        <v>0</v>
      </c>
      <c r="N203" s="84">
        <f t="shared" si="187"/>
        <v>0</v>
      </c>
    </row>
    <row r="204" spans="1:14" x14ac:dyDescent="0.35">
      <c r="A204" s="65" t="s">
        <v>376</v>
      </c>
      <c r="B204" s="80">
        <f>+B207+B209</f>
        <v>0</v>
      </c>
      <c r="C204" s="80">
        <f t="shared" ref="C204:M204" si="188">+C207+C209</f>
        <v>0</v>
      </c>
      <c r="D204" s="80">
        <f t="shared" si="188"/>
        <v>0</v>
      </c>
      <c r="E204" s="80">
        <f t="shared" si="188"/>
        <v>0</v>
      </c>
      <c r="F204" s="80">
        <f t="shared" si="188"/>
        <v>0</v>
      </c>
      <c r="G204" s="80">
        <f t="shared" si="188"/>
        <v>0</v>
      </c>
      <c r="H204" s="80">
        <f t="shared" si="188"/>
        <v>0</v>
      </c>
      <c r="I204" s="80">
        <f t="shared" si="188"/>
        <v>0</v>
      </c>
      <c r="J204" s="80">
        <f t="shared" si="188"/>
        <v>0</v>
      </c>
      <c r="K204" s="80">
        <f t="shared" si="188"/>
        <v>0</v>
      </c>
      <c r="L204" s="80">
        <f t="shared" si="188"/>
        <v>0</v>
      </c>
      <c r="M204" s="80">
        <f t="shared" si="188"/>
        <v>0</v>
      </c>
      <c r="N204" s="92">
        <f>SUM(B204:M204)</f>
        <v>0</v>
      </c>
    </row>
    <row r="205" spans="1:14" x14ac:dyDescent="0.35">
      <c r="A205" s="32" t="s">
        <v>93</v>
      </c>
      <c r="B205" s="239">
        <f>+'Plan de culture 114'!$AE$19</f>
        <v>0</v>
      </c>
      <c r="C205" s="239">
        <f>+B205</f>
        <v>0</v>
      </c>
      <c r="D205" s="239">
        <f t="shared" ref="D205" si="189">+C205</f>
        <v>0</v>
      </c>
      <c r="E205" s="239">
        <f>+'Plan de culture 104 '!C201</f>
        <v>0</v>
      </c>
      <c r="F205" s="239">
        <f>+E205+'Plan de culture 104 '!D201+'Plan de culture 104 '!E201</f>
        <v>0</v>
      </c>
      <c r="G205" s="239">
        <f>+F205</f>
        <v>0</v>
      </c>
      <c r="H205" s="239">
        <f t="shared" ref="H205:M205" si="190">+G205</f>
        <v>0</v>
      </c>
      <c r="I205" s="239">
        <f t="shared" si="190"/>
        <v>0</v>
      </c>
      <c r="J205" s="239">
        <f t="shared" si="190"/>
        <v>0</v>
      </c>
      <c r="K205" s="239">
        <f t="shared" si="190"/>
        <v>0</v>
      </c>
      <c r="L205" s="239">
        <f t="shared" si="190"/>
        <v>0</v>
      </c>
      <c r="M205" s="239">
        <f t="shared" si="190"/>
        <v>0</v>
      </c>
      <c r="N205" s="240">
        <f>+'Plan de culture 114'!$AE$19</f>
        <v>0</v>
      </c>
    </row>
    <row r="206" spans="1:14" x14ac:dyDescent="0.35">
      <c r="A206" s="89" t="s">
        <v>105</v>
      </c>
      <c r="B206" s="90">
        <v>0</v>
      </c>
      <c r="C206" s="90">
        <f>+B206</f>
        <v>0</v>
      </c>
      <c r="D206" s="90">
        <f>+C206</f>
        <v>0</v>
      </c>
      <c r="E206" s="90">
        <f t="shared" ref="E206:M206" si="191">+D206</f>
        <v>0</v>
      </c>
      <c r="F206" s="90">
        <f t="shared" si="191"/>
        <v>0</v>
      </c>
      <c r="G206" s="90">
        <f t="shared" si="191"/>
        <v>0</v>
      </c>
      <c r="H206" s="90">
        <f t="shared" si="191"/>
        <v>0</v>
      </c>
      <c r="I206" s="90">
        <f t="shared" si="191"/>
        <v>0</v>
      </c>
      <c r="J206" s="90">
        <f t="shared" si="191"/>
        <v>0</v>
      </c>
      <c r="K206" s="90">
        <f t="shared" si="191"/>
        <v>0</v>
      </c>
      <c r="L206" s="90">
        <f t="shared" si="191"/>
        <v>0</v>
      </c>
      <c r="M206" s="90">
        <f t="shared" si="191"/>
        <v>0</v>
      </c>
      <c r="N206" s="91" t="e">
        <f>+N207/N205</f>
        <v>#DIV/0!</v>
      </c>
    </row>
    <row r="207" spans="1:14" x14ac:dyDescent="0.35">
      <c r="A207" s="89" t="s">
        <v>106</v>
      </c>
      <c r="B207" s="90">
        <f>+B206*B205</f>
        <v>0</v>
      </c>
      <c r="C207" s="90">
        <f t="shared" ref="C207:M207" si="192">+C206*C205</f>
        <v>0</v>
      </c>
      <c r="D207" s="90">
        <f t="shared" si="192"/>
        <v>0</v>
      </c>
      <c r="E207" s="90">
        <f t="shared" si="192"/>
        <v>0</v>
      </c>
      <c r="F207" s="90">
        <f t="shared" si="192"/>
        <v>0</v>
      </c>
      <c r="G207" s="90">
        <f t="shared" si="192"/>
        <v>0</v>
      </c>
      <c r="H207" s="90">
        <f t="shared" si="192"/>
        <v>0</v>
      </c>
      <c r="I207" s="90">
        <f t="shared" si="192"/>
        <v>0</v>
      </c>
      <c r="J207" s="90">
        <f t="shared" si="192"/>
        <v>0</v>
      </c>
      <c r="K207" s="90">
        <f t="shared" si="192"/>
        <v>0</v>
      </c>
      <c r="L207" s="90">
        <f t="shared" si="192"/>
        <v>0</v>
      </c>
      <c r="M207" s="90">
        <f t="shared" si="192"/>
        <v>0</v>
      </c>
      <c r="N207" s="91">
        <f>SUM(B207:M207)</f>
        <v>0</v>
      </c>
    </row>
    <row r="208" spans="1:14" x14ac:dyDescent="0.35">
      <c r="A208" s="89" t="s">
        <v>107</v>
      </c>
      <c r="B208" s="90">
        <v>0</v>
      </c>
      <c r="C208" s="90">
        <v>0</v>
      </c>
      <c r="D208" s="90">
        <v>0</v>
      </c>
      <c r="E208" s="90">
        <v>0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1" t="e">
        <f>+N209/N205</f>
        <v>#DIV/0!</v>
      </c>
    </row>
    <row r="209" spans="1:14" x14ac:dyDescent="0.35">
      <c r="A209" s="89" t="s">
        <v>108</v>
      </c>
      <c r="B209" s="90">
        <f>+B208*B205</f>
        <v>0</v>
      </c>
      <c r="C209" s="90">
        <f t="shared" ref="C209:M209" si="193">+C208*C205</f>
        <v>0</v>
      </c>
      <c r="D209" s="90">
        <f t="shared" si="193"/>
        <v>0</v>
      </c>
      <c r="E209" s="90">
        <f t="shared" si="193"/>
        <v>0</v>
      </c>
      <c r="F209" s="90">
        <f t="shared" si="193"/>
        <v>0</v>
      </c>
      <c r="G209" s="90">
        <f t="shared" si="193"/>
        <v>0</v>
      </c>
      <c r="H209" s="90">
        <f t="shared" si="193"/>
        <v>0</v>
      </c>
      <c r="I209" s="90">
        <f t="shared" si="193"/>
        <v>0</v>
      </c>
      <c r="J209" s="90">
        <f t="shared" si="193"/>
        <v>0</v>
      </c>
      <c r="K209" s="90">
        <f t="shared" si="193"/>
        <v>0</v>
      </c>
      <c r="L209" s="90">
        <f t="shared" si="193"/>
        <v>0</v>
      </c>
      <c r="M209" s="90">
        <f t="shared" si="193"/>
        <v>0</v>
      </c>
      <c r="N209" s="91">
        <f>SUM(B209:M209)</f>
        <v>0</v>
      </c>
    </row>
    <row r="210" spans="1:14" x14ac:dyDescent="0.35">
      <c r="A210" s="32" t="s">
        <v>104</v>
      </c>
      <c r="B210" s="62" t="e">
        <f>+B204/B205</f>
        <v>#DIV/0!</v>
      </c>
      <c r="C210" s="62" t="e">
        <f t="shared" ref="C210:N210" si="194">+C204/C205</f>
        <v>#DIV/0!</v>
      </c>
      <c r="D210" s="62" t="e">
        <f t="shared" si="194"/>
        <v>#DIV/0!</v>
      </c>
      <c r="E210" s="62" t="e">
        <f t="shared" si="194"/>
        <v>#DIV/0!</v>
      </c>
      <c r="F210" s="62" t="e">
        <f t="shared" si="194"/>
        <v>#DIV/0!</v>
      </c>
      <c r="G210" s="62" t="e">
        <f t="shared" si="194"/>
        <v>#DIV/0!</v>
      </c>
      <c r="H210" s="62" t="e">
        <f t="shared" si="194"/>
        <v>#DIV/0!</v>
      </c>
      <c r="I210" s="62" t="e">
        <f t="shared" si="194"/>
        <v>#DIV/0!</v>
      </c>
      <c r="J210" s="62" t="e">
        <f t="shared" si="194"/>
        <v>#DIV/0!</v>
      </c>
      <c r="K210" s="62" t="e">
        <f t="shared" si="194"/>
        <v>#DIV/0!</v>
      </c>
      <c r="L210" s="62" t="e">
        <f t="shared" si="194"/>
        <v>#DIV/0!</v>
      </c>
      <c r="M210" s="62" t="e">
        <f t="shared" si="194"/>
        <v>#DIV/0!</v>
      </c>
      <c r="N210" s="84" t="e">
        <f t="shared" si="194"/>
        <v>#DIV/0!</v>
      </c>
    </row>
    <row r="211" spans="1:14" x14ac:dyDescent="0.35">
      <c r="A211" s="65" t="s">
        <v>92</v>
      </c>
      <c r="B211" s="80">
        <f>+B214+B216</f>
        <v>0</v>
      </c>
      <c r="C211" s="80">
        <f t="shared" ref="C211:M211" si="195">+C214+C216</f>
        <v>0</v>
      </c>
      <c r="D211" s="80">
        <f t="shared" si="195"/>
        <v>0</v>
      </c>
      <c r="E211" s="80">
        <f t="shared" si="195"/>
        <v>0</v>
      </c>
      <c r="F211" s="80">
        <f t="shared" si="195"/>
        <v>0</v>
      </c>
      <c r="G211" s="80">
        <f t="shared" si="195"/>
        <v>0</v>
      </c>
      <c r="H211" s="80">
        <f t="shared" si="195"/>
        <v>0</v>
      </c>
      <c r="I211" s="80">
        <f t="shared" si="195"/>
        <v>0</v>
      </c>
      <c r="J211" s="80">
        <f t="shared" si="195"/>
        <v>0</v>
      </c>
      <c r="K211" s="80">
        <f t="shared" si="195"/>
        <v>0</v>
      </c>
      <c r="L211" s="80">
        <f t="shared" si="195"/>
        <v>0</v>
      </c>
      <c r="M211" s="80">
        <f t="shared" si="195"/>
        <v>0</v>
      </c>
      <c r="N211" s="92">
        <f>SUM(B211:M211)</f>
        <v>0</v>
      </c>
    </row>
    <row r="212" spans="1:14" x14ac:dyDescent="0.35">
      <c r="A212" s="32" t="s">
        <v>93</v>
      </c>
      <c r="B212" s="239">
        <f>+'Plan de culture 114'!$AE$25</f>
        <v>0</v>
      </c>
      <c r="C212" s="239">
        <f>+B212</f>
        <v>0</v>
      </c>
      <c r="D212" s="239">
        <f t="shared" ref="D212" si="196">+C212</f>
        <v>0</v>
      </c>
      <c r="E212" s="239">
        <f>+'Plan de culture 104 '!C208</f>
        <v>0</v>
      </c>
      <c r="F212" s="239">
        <f>+E212+'Plan de culture 104 '!D208+'Plan de culture 104 '!E208</f>
        <v>0</v>
      </c>
      <c r="G212" s="239">
        <f>+F212</f>
        <v>0</v>
      </c>
      <c r="H212" s="239">
        <f t="shared" ref="H212:M212" si="197">+G212</f>
        <v>0</v>
      </c>
      <c r="I212" s="239">
        <f t="shared" si="197"/>
        <v>0</v>
      </c>
      <c r="J212" s="239">
        <f t="shared" si="197"/>
        <v>0</v>
      </c>
      <c r="K212" s="239">
        <f t="shared" si="197"/>
        <v>0</v>
      </c>
      <c r="L212" s="239">
        <f t="shared" si="197"/>
        <v>0</v>
      </c>
      <c r="M212" s="239">
        <f t="shared" si="197"/>
        <v>0</v>
      </c>
      <c r="N212" s="240">
        <f>+'Plan de culture 114'!$AE$25</f>
        <v>0</v>
      </c>
    </row>
    <row r="213" spans="1:14" x14ac:dyDescent="0.35">
      <c r="A213" s="89" t="s">
        <v>105</v>
      </c>
      <c r="B213" s="90">
        <v>0</v>
      </c>
      <c r="C213" s="90">
        <f>+B213</f>
        <v>0</v>
      </c>
      <c r="D213" s="90">
        <f>+C213</f>
        <v>0</v>
      </c>
      <c r="E213" s="90">
        <f t="shared" ref="E213:M213" si="198">+D213</f>
        <v>0</v>
      </c>
      <c r="F213" s="90">
        <f t="shared" si="198"/>
        <v>0</v>
      </c>
      <c r="G213" s="90">
        <f t="shared" si="198"/>
        <v>0</v>
      </c>
      <c r="H213" s="90">
        <f t="shared" si="198"/>
        <v>0</v>
      </c>
      <c r="I213" s="90">
        <f t="shared" si="198"/>
        <v>0</v>
      </c>
      <c r="J213" s="90">
        <f t="shared" si="198"/>
        <v>0</v>
      </c>
      <c r="K213" s="90">
        <f t="shared" si="198"/>
        <v>0</v>
      </c>
      <c r="L213" s="90">
        <f t="shared" si="198"/>
        <v>0</v>
      </c>
      <c r="M213" s="90">
        <f t="shared" si="198"/>
        <v>0</v>
      </c>
      <c r="N213" s="91" t="e">
        <f>+N214/N212</f>
        <v>#DIV/0!</v>
      </c>
    </row>
    <row r="214" spans="1:14" x14ac:dyDescent="0.35">
      <c r="A214" s="89" t="s">
        <v>106</v>
      </c>
      <c r="B214" s="90">
        <f>+B213*B212</f>
        <v>0</v>
      </c>
      <c r="C214" s="90">
        <f t="shared" ref="C214:M214" si="199">+C213*C212</f>
        <v>0</v>
      </c>
      <c r="D214" s="90">
        <f t="shared" si="199"/>
        <v>0</v>
      </c>
      <c r="E214" s="90">
        <f t="shared" si="199"/>
        <v>0</v>
      </c>
      <c r="F214" s="90">
        <f t="shared" si="199"/>
        <v>0</v>
      </c>
      <c r="G214" s="90">
        <f t="shared" si="199"/>
        <v>0</v>
      </c>
      <c r="H214" s="90">
        <f t="shared" si="199"/>
        <v>0</v>
      </c>
      <c r="I214" s="90">
        <f t="shared" si="199"/>
        <v>0</v>
      </c>
      <c r="J214" s="90">
        <f t="shared" si="199"/>
        <v>0</v>
      </c>
      <c r="K214" s="90">
        <f t="shared" si="199"/>
        <v>0</v>
      </c>
      <c r="L214" s="90">
        <f t="shared" si="199"/>
        <v>0</v>
      </c>
      <c r="M214" s="90">
        <f t="shared" si="199"/>
        <v>0</v>
      </c>
      <c r="N214" s="91">
        <f>SUM(B214:M214)</f>
        <v>0</v>
      </c>
    </row>
    <row r="215" spans="1:14" x14ac:dyDescent="0.35">
      <c r="A215" s="89" t="s">
        <v>107</v>
      </c>
      <c r="B215" s="90">
        <v>0</v>
      </c>
      <c r="C215" s="90">
        <v>0</v>
      </c>
      <c r="D215" s="90">
        <v>0</v>
      </c>
      <c r="E215" s="90">
        <v>0</v>
      </c>
      <c r="F215" s="90">
        <v>0</v>
      </c>
      <c r="G215" s="90">
        <v>0</v>
      </c>
      <c r="H215" s="90">
        <v>0</v>
      </c>
      <c r="I215" s="90">
        <v>0</v>
      </c>
      <c r="J215" s="90">
        <v>0</v>
      </c>
      <c r="K215" s="90">
        <v>0</v>
      </c>
      <c r="L215" s="90">
        <v>0</v>
      </c>
      <c r="M215" s="90">
        <v>0</v>
      </c>
      <c r="N215" s="91" t="e">
        <f>+N216/N212</f>
        <v>#DIV/0!</v>
      </c>
    </row>
    <row r="216" spans="1:14" x14ac:dyDescent="0.35">
      <c r="A216" s="89" t="s">
        <v>108</v>
      </c>
      <c r="B216" s="90">
        <f>+B215*B212</f>
        <v>0</v>
      </c>
      <c r="C216" s="90">
        <f t="shared" ref="C216:M216" si="200">+C215*C212</f>
        <v>0</v>
      </c>
      <c r="D216" s="90">
        <f t="shared" si="200"/>
        <v>0</v>
      </c>
      <c r="E216" s="90">
        <f t="shared" si="200"/>
        <v>0</v>
      </c>
      <c r="F216" s="90">
        <f t="shared" si="200"/>
        <v>0</v>
      </c>
      <c r="G216" s="90">
        <f t="shared" si="200"/>
        <v>0</v>
      </c>
      <c r="H216" s="90">
        <f t="shared" si="200"/>
        <v>0</v>
      </c>
      <c r="I216" s="90">
        <f t="shared" si="200"/>
        <v>0</v>
      </c>
      <c r="J216" s="90">
        <f t="shared" si="200"/>
        <v>0</v>
      </c>
      <c r="K216" s="90">
        <f t="shared" si="200"/>
        <v>0</v>
      </c>
      <c r="L216" s="90">
        <f t="shared" si="200"/>
        <v>0</v>
      </c>
      <c r="M216" s="90">
        <f t="shared" si="200"/>
        <v>0</v>
      </c>
      <c r="N216" s="91">
        <f>SUM(B216:M216)</f>
        <v>0</v>
      </c>
    </row>
    <row r="217" spans="1:14" x14ac:dyDescent="0.35">
      <c r="A217" s="32" t="s">
        <v>104</v>
      </c>
      <c r="B217" s="62" t="e">
        <f>+B211/B212</f>
        <v>#DIV/0!</v>
      </c>
      <c r="C217" s="62" t="e">
        <f t="shared" ref="C217:N217" si="201">+C211/C212</f>
        <v>#DIV/0!</v>
      </c>
      <c r="D217" s="62" t="e">
        <f t="shared" si="201"/>
        <v>#DIV/0!</v>
      </c>
      <c r="E217" s="62" t="e">
        <f t="shared" si="201"/>
        <v>#DIV/0!</v>
      </c>
      <c r="F217" s="62" t="e">
        <f t="shared" si="201"/>
        <v>#DIV/0!</v>
      </c>
      <c r="G217" s="62" t="e">
        <f t="shared" si="201"/>
        <v>#DIV/0!</v>
      </c>
      <c r="H217" s="62" t="e">
        <f t="shared" si="201"/>
        <v>#DIV/0!</v>
      </c>
      <c r="I217" s="62" t="e">
        <f t="shared" si="201"/>
        <v>#DIV/0!</v>
      </c>
      <c r="J217" s="62" t="e">
        <f t="shared" si="201"/>
        <v>#DIV/0!</v>
      </c>
      <c r="K217" s="62" t="e">
        <f t="shared" si="201"/>
        <v>#DIV/0!</v>
      </c>
      <c r="L217" s="62" t="e">
        <f t="shared" si="201"/>
        <v>#DIV/0!</v>
      </c>
      <c r="M217" s="62" t="e">
        <f t="shared" si="201"/>
        <v>#DIV/0!</v>
      </c>
      <c r="N217" s="84" t="e">
        <f t="shared" si="201"/>
        <v>#DIV/0!</v>
      </c>
    </row>
    <row r="218" spans="1:14" x14ac:dyDescent="0.35">
      <c r="A218" s="65" t="s">
        <v>377</v>
      </c>
      <c r="B218" s="80">
        <f>+B221+B223</f>
        <v>0</v>
      </c>
      <c r="C218" s="80">
        <f t="shared" ref="C218:M218" si="202">+C221+C223</f>
        <v>0</v>
      </c>
      <c r="D218" s="80">
        <f t="shared" si="202"/>
        <v>0</v>
      </c>
      <c r="E218" s="80">
        <f t="shared" si="202"/>
        <v>0</v>
      </c>
      <c r="F218" s="80">
        <f t="shared" si="202"/>
        <v>0</v>
      </c>
      <c r="G218" s="80">
        <f t="shared" si="202"/>
        <v>0</v>
      </c>
      <c r="H218" s="80">
        <f t="shared" si="202"/>
        <v>0</v>
      </c>
      <c r="I218" s="80">
        <f t="shared" si="202"/>
        <v>0</v>
      </c>
      <c r="J218" s="80">
        <f t="shared" si="202"/>
        <v>0</v>
      </c>
      <c r="K218" s="80">
        <f t="shared" si="202"/>
        <v>0</v>
      </c>
      <c r="L218" s="80">
        <f t="shared" si="202"/>
        <v>0</v>
      </c>
      <c r="M218" s="80">
        <f t="shared" si="202"/>
        <v>0</v>
      </c>
      <c r="N218" s="92">
        <f>SUM(B218:M218)</f>
        <v>0</v>
      </c>
    </row>
    <row r="219" spans="1:14" x14ac:dyDescent="0.35">
      <c r="A219" s="32" t="s">
        <v>93</v>
      </c>
      <c r="B219" s="239">
        <f>+'Plan de culture 114'!$AE$31</f>
        <v>0</v>
      </c>
      <c r="C219" s="239">
        <f>+B219</f>
        <v>0</v>
      </c>
      <c r="D219" s="239">
        <f t="shared" ref="D219" si="203">+C219</f>
        <v>0</v>
      </c>
      <c r="E219" s="239">
        <f>+'Plan de culture 104 '!C215</f>
        <v>0</v>
      </c>
      <c r="F219" s="239">
        <f>+E219+'Plan de culture 104 '!D215+'Plan de culture 104 '!E215</f>
        <v>0</v>
      </c>
      <c r="G219" s="239">
        <f>+F219</f>
        <v>0</v>
      </c>
      <c r="H219" s="239">
        <f t="shared" ref="H219:M219" si="204">+G219</f>
        <v>0</v>
      </c>
      <c r="I219" s="239">
        <f t="shared" si="204"/>
        <v>0</v>
      </c>
      <c r="J219" s="239">
        <f t="shared" si="204"/>
        <v>0</v>
      </c>
      <c r="K219" s="239">
        <f t="shared" si="204"/>
        <v>0</v>
      </c>
      <c r="L219" s="239">
        <f t="shared" si="204"/>
        <v>0</v>
      </c>
      <c r="M219" s="239">
        <f t="shared" si="204"/>
        <v>0</v>
      </c>
      <c r="N219" s="240">
        <f>+'Plan de culture 114'!$AE$31</f>
        <v>0</v>
      </c>
    </row>
    <row r="220" spans="1:14" x14ac:dyDescent="0.35">
      <c r="A220" s="89" t="s">
        <v>105</v>
      </c>
      <c r="B220" s="90">
        <v>0</v>
      </c>
      <c r="C220" s="90">
        <f>+B220</f>
        <v>0</v>
      </c>
      <c r="D220" s="90">
        <f>+C220</f>
        <v>0</v>
      </c>
      <c r="E220" s="90">
        <f t="shared" ref="E220:M220" si="205">+D220</f>
        <v>0</v>
      </c>
      <c r="F220" s="90">
        <f t="shared" si="205"/>
        <v>0</v>
      </c>
      <c r="G220" s="90">
        <f t="shared" si="205"/>
        <v>0</v>
      </c>
      <c r="H220" s="90">
        <f t="shared" si="205"/>
        <v>0</v>
      </c>
      <c r="I220" s="90">
        <f t="shared" si="205"/>
        <v>0</v>
      </c>
      <c r="J220" s="90">
        <f t="shared" si="205"/>
        <v>0</v>
      </c>
      <c r="K220" s="90">
        <f t="shared" si="205"/>
        <v>0</v>
      </c>
      <c r="L220" s="90">
        <f t="shared" si="205"/>
        <v>0</v>
      </c>
      <c r="M220" s="90">
        <f t="shared" si="205"/>
        <v>0</v>
      </c>
      <c r="N220" s="91" t="e">
        <f>+N221/N219</f>
        <v>#DIV/0!</v>
      </c>
    </row>
    <row r="221" spans="1:14" x14ac:dyDescent="0.35">
      <c r="A221" s="89" t="s">
        <v>106</v>
      </c>
      <c r="B221" s="90">
        <f>+B220*B219</f>
        <v>0</v>
      </c>
      <c r="C221" s="90">
        <f t="shared" ref="C221:M221" si="206">+C220*C219</f>
        <v>0</v>
      </c>
      <c r="D221" s="90">
        <f t="shared" si="206"/>
        <v>0</v>
      </c>
      <c r="E221" s="90">
        <f t="shared" si="206"/>
        <v>0</v>
      </c>
      <c r="F221" s="90">
        <f t="shared" si="206"/>
        <v>0</v>
      </c>
      <c r="G221" s="90">
        <f t="shared" si="206"/>
        <v>0</v>
      </c>
      <c r="H221" s="90">
        <f t="shared" si="206"/>
        <v>0</v>
      </c>
      <c r="I221" s="90">
        <f t="shared" si="206"/>
        <v>0</v>
      </c>
      <c r="J221" s="90">
        <f t="shared" si="206"/>
        <v>0</v>
      </c>
      <c r="K221" s="90">
        <f t="shared" si="206"/>
        <v>0</v>
      </c>
      <c r="L221" s="90">
        <f t="shared" si="206"/>
        <v>0</v>
      </c>
      <c r="M221" s="90">
        <f t="shared" si="206"/>
        <v>0</v>
      </c>
      <c r="N221" s="91">
        <f>SUM(B221:M221)</f>
        <v>0</v>
      </c>
    </row>
    <row r="222" spans="1:14" x14ac:dyDescent="0.35">
      <c r="A222" s="89" t="s">
        <v>107</v>
      </c>
      <c r="B222" s="90">
        <v>0</v>
      </c>
      <c r="C222" s="90">
        <v>0</v>
      </c>
      <c r="D222" s="90">
        <v>0</v>
      </c>
      <c r="E222" s="90">
        <v>0</v>
      </c>
      <c r="F222" s="90">
        <v>0</v>
      </c>
      <c r="G222" s="90">
        <v>0</v>
      </c>
      <c r="H222" s="90">
        <v>0</v>
      </c>
      <c r="I222" s="90">
        <v>0</v>
      </c>
      <c r="J222" s="90">
        <v>0</v>
      </c>
      <c r="K222" s="90">
        <v>0</v>
      </c>
      <c r="L222" s="90">
        <v>0</v>
      </c>
      <c r="M222" s="90">
        <v>0</v>
      </c>
      <c r="N222" s="91" t="e">
        <f>+N223/N219</f>
        <v>#DIV/0!</v>
      </c>
    </row>
    <row r="223" spans="1:14" x14ac:dyDescent="0.35">
      <c r="A223" s="89" t="s">
        <v>108</v>
      </c>
      <c r="B223" s="90">
        <f>+B222*B219</f>
        <v>0</v>
      </c>
      <c r="C223" s="90">
        <f t="shared" ref="C223:M223" si="207">+C222*C219</f>
        <v>0</v>
      </c>
      <c r="D223" s="90">
        <f t="shared" si="207"/>
        <v>0</v>
      </c>
      <c r="E223" s="90">
        <f t="shared" si="207"/>
        <v>0</v>
      </c>
      <c r="F223" s="90">
        <f t="shared" si="207"/>
        <v>0</v>
      </c>
      <c r="G223" s="90">
        <f t="shared" si="207"/>
        <v>0</v>
      </c>
      <c r="H223" s="90">
        <f t="shared" si="207"/>
        <v>0</v>
      </c>
      <c r="I223" s="90">
        <f t="shared" si="207"/>
        <v>0</v>
      </c>
      <c r="J223" s="90">
        <f t="shared" si="207"/>
        <v>0</v>
      </c>
      <c r="K223" s="90">
        <f t="shared" si="207"/>
        <v>0</v>
      </c>
      <c r="L223" s="90">
        <f t="shared" si="207"/>
        <v>0</v>
      </c>
      <c r="M223" s="90">
        <f t="shared" si="207"/>
        <v>0</v>
      </c>
      <c r="N223" s="91">
        <f>SUM(B223:M223)</f>
        <v>0</v>
      </c>
    </row>
    <row r="224" spans="1:14" x14ac:dyDescent="0.35">
      <c r="A224" s="32" t="s">
        <v>104</v>
      </c>
      <c r="B224" s="62" t="e">
        <f>+B218/B219</f>
        <v>#DIV/0!</v>
      </c>
      <c r="C224" s="62" t="e">
        <f t="shared" ref="C224:N224" si="208">+C218/C219</f>
        <v>#DIV/0!</v>
      </c>
      <c r="D224" s="62" t="e">
        <f t="shared" si="208"/>
        <v>#DIV/0!</v>
      </c>
      <c r="E224" s="62" t="e">
        <f t="shared" si="208"/>
        <v>#DIV/0!</v>
      </c>
      <c r="F224" s="62" t="e">
        <f t="shared" si="208"/>
        <v>#DIV/0!</v>
      </c>
      <c r="G224" s="62" t="e">
        <f t="shared" si="208"/>
        <v>#DIV/0!</v>
      </c>
      <c r="H224" s="62" t="e">
        <f t="shared" si="208"/>
        <v>#DIV/0!</v>
      </c>
      <c r="I224" s="62" t="e">
        <f t="shared" si="208"/>
        <v>#DIV/0!</v>
      </c>
      <c r="J224" s="62" t="e">
        <f t="shared" si="208"/>
        <v>#DIV/0!</v>
      </c>
      <c r="K224" s="62" t="e">
        <f t="shared" si="208"/>
        <v>#DIV/0!</v>
      </c>
      <c r="L224" s="62" t="e">
        <f t="shared" si="208"/>
        <v>#DIV/0!</v>
      </c>
      <c r="M224" s="62" t="e">
        <f t="shared" si="208"/>
        <v>#DIV/0!</v>
      </c>
      <c r="N224" s="84" t="e">
        <f t="shared" si="208"/>
        <v>#DIV/0!</v>
      </c>
    </row>
    <row r="225" spans="1:14" x14ac:dyDescent="0.35">
      <c r="A225" s="65" t="s">
        <v>378</v>
      </c>
      <c r="B225" s="80">
        <f>+B228+B230</f>
        <v>0</v>
      </c>
      <c r="C225" s="80">
        <f t="shared" ref="C225:M225" si="209">+C228+C230</f>
        <v>0</v>
      </c>
      <c r="D225" s="80">
        <f t="shared" si="209"/>
        <v>0</v>
      </c>
      <c r="E225" s="80">
        <f t="shared" si="209"/>
        <v>0</v>
      </c>
      <c r="F225" s="80">
        <f t="shared" si="209"/>
        <v>0</v>
      </c>
      <c r="G225" s="80">
        <f t="shared" si="209"/>
        <v>0</v>
      </c>
      <c r="H225" s="80">
        <f t="shared" si="209"/>
        <v>0</v>
      </c>
      <c r="I225" s="80">
        <f t="shared" si="209"/>
        <v>0</v>
      </c>
      <c r="J225" s="80">
        <f t="shared" si="209"/>
        <v>0</v>
      </c>
      <c r="K225" s="80">
        <f t="shared" si="209"/>
        <v>0</v>
      </c>
      <c r="L225" s="80">
        <f t="shared" si="209"/>
        <v>0</v>
      </c>
      <c r="M225" s="80">
        <f t="shared" si="209"/>
        <v>0</v>
      </c>
      <c r="N225" s="92">
        <f>SUM(B225:M225)</f>
        <v>0</v>
      </c>
    </row>
    <row r="226" spans="1:14" x14ac:dyDescent="0.35">
      <c r="A226" s="32" t="s">
        <v>93</v>
      </c>
      <c r="B226" s="239">
        <f>+'Plan de culture 114'!$AE$37</f>
        <v>0</v>
      </c>
      <c r="C226" s="239">
        <f>+B226</f>
        <v>0</v>
      </c>
      <c r="D226" s="239">
        <f t="shared" ref="D226" si="210">+C226</f>
        <v>0</v>
      </c>
      <c r="E226" s="239">
        <f>+'Plan de culture 104 '!C222</f>
        <v>0</v>
      </c>
      <c r="F226" s="239">
        <f>+E226+'Plan de culture 104 '!D222+'Plan de culture 104 '!E222</f>
        <v>0</v>
      </c>
      <c r="G226" s="239">
        <f>+F226</f>
        <v>0</v>
      </c>
      <c r="H226" s="239">
        <f t="shared" ref="H226:M226" si="211">+G226</f>
        <v>0</v>
      </c>
      <c r="I226" s="239">
        <f t="shared" si="211"/>
        <v>0</v>
      </c>
      <c r="J226" s="239">
        <f t="shared" si="211"/>
        <v>0</v>
      </c>
      <c r="K226" s="239">
        <f t="shared" si="211"/>
        <v>0</v>
      </c>
      <c r="L226" s="239">
        <f t="shared" si="211"/>
        <v>0</v>
      </c>
      <c r="M226" s="239">
        <f t="shared" si="211"/>
        <v>0</v>
      </c>
      <c r="N226" s="240">
        <f>+'Plan de culture 114'!$AE$37</f>
        <v>0</v>
      </c>
    </row>
    <row r="227" spans="1:14" x14ac:dyDescent="0.35">
      <c r="A227" s="89" t="s">
        <v>105</v>
      </c>
      <c r="B227" s="90">
        <v>0</v>
      </c>
      <c r="C227" s="90">
        <f>+B227</f>
        <v>0</v>
      </c>
      <c r="D227" s="90">
        <f>+C227</f>
        <v>0</v>
      </c>
      <c r="E227" s="90">
        <f t="shared" ref="E227:M227" si="212">+D227</f>
        <v>0</v>
      </c>
      <c r="F227" s="90">
        <f t="shared" si="212"/>
        <v>0</v>
      </c>
      <c r="G227" s="90">
        <f t="shared" si="212"/>
        <v>0</v>
      </c>
      <c r="H227" s="90">
        <f t="shared" si="212"/>
        <v>0</v>
      </c>
      <c r="I227" s="90">
        <f t="shared" si="212"/>
        <v>0</v>
      </c>
      <c r="J227" s="90">
        <f t="shared" si="212"/>
        <v>0</v>
      </c>
      <c r="K227" s="90">
        <f t="shared" si="212"/>
        <v>0</v>
      </c>
      <c r="L227" s="90">
        <f t="shared" si="212"/>
        <v>0</v>
      </c>
      <c r="M227" s="90">
        <f t="shared" si="212"/>
        <v>0</v>
      </c>
      <c r="N227" s="91" t="e">
        <f>+N228/N226</f>
        <v>#DIV/0!</v>
      </c>
    </row>
    <row r="228" spans="1:14" x14ac:dyDescent="0.35">
      <c r="A228" s="89" t="s">
        <v>106</v>
      </c>
      <c r="B228" s="90">
        <f>+B227*B226</f>
        <v>0</v>
      </c>
      <c r="C228" s="90">
        <f t="shared" ref="C228:M228" si="213">+C227*C226</f>
        <v>0</v>
      </c>
      <c r="D228" s="90">
        <f t="shared" si="213"/>
        <v>0</v>
      </c>
      <c r="E228" s="90">
        <f t="shared" si="213"/>
        <v>0</v>
      </c>
      <c r="F228" s="90">
        <f t="shared" si="213"/>
        <v>0</v>
      </c>
      <c r="G228" s="90">
        <f t="shared" si="213"/>
        <v>0</v>
      </c>
      <c r="H228" s="90">
        <f t="shared" si="213"/>
        <v>0</v>
      </c>
      <c r="I228" s="90">
        <f t="shared" si="213"/>
        <v>0</v>
      </c>
      <c r="J228" s="90">
        <f t="shared" si="213"/>
        <v>0</v>
      </c>
      <c r="K228" s="90">
        <f t="shared" si="213"/>
        <v>0</v>
      </c>
      <c r="L228" s="90">
        <f t="shared" si="213"/>
        <v>0</v>
      </c>
      <c r="M228" s="90">
        <f t="shared" si="213"/>
        <v>0</v>
      </c>
      <c r="N228" s="91">
        <f>SUM(B228:M228)</f>
        <v>0</v>
      </c>
    </row>
    <row r="229" spans="1:14" x14ac:dyDescent="0.35">
      <c r="A229" s="89" t="s">
        <v>107</v>
      </c>
      <c r="B229" s="90">
        <v>0</v>
      </c>
      <c r="C229" s="90">
        <v>0</v>
      </c>
      <c r="D229" s="90">
        <v>0</v>
      </c>
      <c r="E229" s="90">
        <v>0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1" t="e">
        <f>+N230/N226</f>
        <v>#DIV/0!</v>
      </c>
    </row>
    <row r="230" spans="1:14" x14ac:dyDescent="0.35">
      <c r="A230" s="89" t="s">
        <v>108</v>
      </c>
      <c r="B230" s="90">
        <f>+B229*B226</f>
        <v>0</v>
      </c>
      <c r="C230" s="90">
        <f t="shared" ref="C230:M230" si="214">+C229*C226</f>
        <v>0</v>
      </c>
      <c r="D230" s="90">
        <f t="shared" si="214"/>
        <v>0</v>
      </c>
      <c r="E230" s="90">
        <f t="shared" si="214"/>
        <v>0</v>
      </c>
      <c r="F230" s="90">
        <f t="shared" si="214"/>
        <v>0</v>
      </c>
      <c r="G230" s="90">
        <f t="shared" si="214"/>
        <v>0</v>
      </c>
      <c r="H230" s="90">
        <f t="shared" si="214"/>
        <v>0</v>
      </c>
      <c r="I230" s="90">
        <f t="shared" si="214"/>
        <v>0</v>
      </c>
      <c r="J230" s="90">
        <f t="shared" si="214"/>
        <v>0</v>
      </c>
      <c r="K230" s="90">
        <f t="shared" si="214"/>
        <v>0</v>
      </c>
      <c r="L230" s="90">
        <f t="shared" si="214"/>
        <v>0</v>
      </c>
      <c r="M230" s="90">
        <f t="shared" si="214"/>
        <v>0</v>
      </c>
      <c r="N230" s="91">
        <f>SUM(B230:M230)</f>
        <v>0</v>
      </c>
    </row>
    <row r="231" spans="1:14" x14ac:dyDescent="0.35">
      <c r="A231" s="32" t="s">
        <v>104</v>
      </c>
      <c r="B231" s="62" t="e">
        <f>+B225/B226</f>
        <v>#DIV/0!</v>
      </c>
      <c r="C231" s="62" t="e">
        <f t="shared" ref="C231:N231" si="215">+C225/C226</f>
        <v>#DIV/0!</v>
      </c>
      <c r="D231" s="62" t="e">
        <f t="shared" si="215"/>
        <v>#DIV/0!</v>
      </c>
      <c r="E231" s="62" t="e">
        <f t="shared" si="215"/>
        <v>#DIV/0!</v>
      </c>
      <c r="F231" s="62" t="e">
        <f t="shared" si="215"/>
        <v>#DIV/0!</v>
      </c>
      <c r="G231" s="62" t="e">
        <f t="shared" si="215"/>
        <v>#DIV/0!</v>
      </c>
      <c r="H231" s="62" t="e">
        <f t="shared" si="215"/>
        <v>#DIV/0!</v>
      </c>
      <c r="I231" s="62" t="e">
        <f t="shared" si="215"/>
        <v>#DIV/0!</v>
      </c>
      <c r="J231" s="62" t="e">
        <f t="shared" si="215"/>
        <v>#DIV/0!</v>
      </c>
      <c r="K231" s="62" t="e">
        <f t="shared" si="215"/>
        <v>#DIV/0!</v>
      </c>
      <c r="L231" s="62" t="e">
        <f t="shared" si="215"/>
        <v>#DIV/0!</v>
      </c>
      <c r="M231" s="62" t="e">
        <f t="shared" si="215"/>
        <v>#DIV/0!</v>
      </c>
      <c r="N231" s="84" t="e">
        <f t="shared" si="215"/>
        <v>#DIV/0!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O261"/>
  <sheetViews>
    <sheetView topLeftCell="A238" zoomScale="110" zoomScaleNormal="110" workbookViewId="0">
      <selection activeCell="A258" sqref="A258"/>
    </sheetView>
  </sheetViews>
  <sheetFormatPr baseColWidth="10" defaultColWidth="11.46484375" defaultRowHeight="11.65" x14ac:dyDescent="0.35"/>
  <cols>
    <col min="1" max="1" width="30" style="32" bestFit="1" customWidth="1"/>
    <col min="2" max="2" width="8.73046875" style="32" bestFit="1" customWidth="1"/>
    <col min="3" max="3" width="9" style="32" bestFit="1" customWidth="1"/>
    <col min="4" max="13" width="8.73046875" style="32" bestFit="1" customWidth="1"/>
    <col min="14" max="14" width="10" style="32" bestFit="1" customWidth="1"/>
    <col min="15" max="16384" width="11.46484375" style="32"/>
  </cols>
  <sheetData>
    <row r="1" spans="1:15" ht="35.25" thickBot="1" x14ac:dyDescent="0.4">
      <c r="A1" s="68" t="s">
        <v>316</v>
      </c>
    </row>
    <row r="3" spans="1:15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5" s="57" customFormat="1" x14ac:dyDescent="0.35">
      <c r="A4" s="255" t="s">
        <v>444</v>
      </c>
      <c r="B4" s="256">
        <f>B7+B58+B109+B160+B211</f>
        <v>43242</v>
      </c>
      <c r="C4" s="256">
        <f t="shared" ref="C4:N5" si="1">C7+C58+C109+C160+C211</f>
        <v>336356</v>
      </c>
      <c r="D4" s="256">
        <f t="shared" si="1"/>
        <v>60484</v>
      </c>
      <c r="E4" s="256">
        <f t="shared" si="1"/>
        <v>43242</v>
      </c>
      <c r="F4" s="256">
        <f t="shared" si="1"/>
        <v>43242</v>
      </c>
      <c r="G4" s="256">
        <f t="shared" si="1"/>
        <v>60484</v>
      </c>
      <c r="H4" s="256">
        <f t="shared" si="1"/>
        <v>60484</v>
      </c>
      <c r="I4" s="256">
        <f t="shared" si="1"/>
        <v>43242</v>
      </c>
      <c r="J4" s="256">
        <f t="shared" si="1"/>
        <v>60484</v>
      </c>
      <c r="K4" s="256">
        <f t="shared" si="1"/>
        <v>51809</v>
      </c>
      <c r="L4" s="256">
        <f t="shared" si="1"/>
        <v>38404.5</v>
      </c>
      <c r="M4" s="256">
        <f t="shared" si="1"/>
        <v>0</v>
      </c>
      <c r="N4" s="256">
        <f t="shared" si="1"/>
        <v>841473.5</v>
      </c>
      <c r="O4" s="162"/>
    </row>
    <row r="5" spans="1:15" s="57" customFormat="1" x14ac:dyDescent="0.35">
      <c r="A5" s="255" t="s">
        <v>93</v>
      </c>
      <c r="B5" s="263">
        <f>B8+B59+B110+B161+B212</f>
        <v>68.968000000000004</v>
      </c>
      <c r="C5" s="263">
        <f t="shared" si="1"/>
        <v>46.835000000000008</v>
      </c>
      <c r="D5" s="263">
        <f t="shared" si="1"/>
        <v>46.835000000000008</v>
      </c>
      <c r="E5" s="263">
        <f t="shared" si="1"/>
        <v>46.835000000000008</v>
      </c>
      <c r="F5" s="263">
        <f t="shared" si="1"/>
        <v>46.835000000000008</v>
      </c>
      <c r="G5" s="263">
        <f t="shared" si="1"/>
        <v>46.835000000000008</v>
      </c>
      <c r="H5" s="263">
        <f t="shared" si="1"/>
        <v>46.835000000000008</v>
      </c>
      <c r="I5" s="263">
        <f t="shared" si="1"/>
        <v>46.835000000000008</v>
      </c>
      <c r="J5" s="263">
        <f t="shared" si="1"/>
        <v>46.835000000000008</v>
      </c>
      <c r="K5" s="263">
        <f t="shared" si="1"/>
        <v>46.835000000000008</v>
      </c>
      <c r="L5" s="263">
        <f t="shared" si="1"/>
        <v>46.835000000000008</v>
      </c>
      <c r="M5" s="263">
        <f t="shared" si="1"/>
        <v>46.835000000000008</v>
      </c>
      <c r="N5" s="263">
        <f t="shared" si="1"/>
        <v>46.835000000000008</v>
      </c>
    </row>
    <row r="6" spans="1:15" s="57" customFormat="1" ht="12" thickBot="1" x14ac:dyDescent="0.4">
      <c r="A6" s="255" t="s">
        <v>144</v>
      </c>
      <c r="B6" s="258">
        <f>+B4/B5</f>
        <v>626.98642848857435</v>
      </c>
      <c r="C6" s="258">
        <f t="shared" ref="C6:M6" si="2">+C4/C5</f>
        <v>7181.7230703533669</v>
      </c>
      <c r="D6" s="258">
        <f t="shared" si="2"/>
        <v>1291.4273513398098</v>
      </c>
      <c r="E6" s="258">
        <f t="shared" si="2"/>
        <v>923.28386890146237</v>
      </c>
      <c r="F6" s="258">
        <f t="shared" si="2"/>
        <v>923.28386890146237</v>
      </c>
      <c r="G6" s="258">
        <f t="shared" si="2"/>
        <v>1291.4273513398098</v>
      </c>
      <c r="H6" s="258">
        <f t="shared" si="2"/>
        <v>1291.4273513398098</v>
      </c>
      <c r="I6" s="258">
        <f t="shared" si="2"/>
        <v>923.28386890146237</v>
      </c>
      <c r="J6" s="258">
        <f t="shared" si="2"/>
        <v>1291.4273513398098</v>
      </c>
      <c r="K6" s="258">
        <f t="shared" si="2"/>
        <v>1106.2026262410589</v>
      </c>
      <c r="L6" s="258">
        <f t="shared" si="2"/>
        <v>819.99572968933478</v>
      </c>
      <c r="M6" s="258">
        <f t="shared" si="2"/>
        <v>0</v>
      </c>
      <c r="N6" s="258">
        <f>+N4/N5</f>
        <v>17966.76630724885</v>
      </c>
    </row>
    <row r="7" spans="1:15" s="57" customFormat="1" x14ac:dyDescent="0.35">
      <c r="A7" s="233" t="s">
        <v>443</v>
      </c>
      <c r="B7" s="242">
        <f>+B10+B18+B26+B34+B42+B50</f>
        <v>9037.5</v>
      </c>
      <c r="C7" s="242">
        <f t="shared" ref="C7:M7" si="3">+C10+C18+C26+C34+C42+C50</f>
        <v>74275.000000000015</v>
      </c>
      <c r="D7" s="242">
        <f t="shared" si="3"/>
        <v>12875.000000000002</v>
      </c>
      <c r="E7" s="242">
        <f t="shared" si="3"/>
        <v>9037.5</v>
      </c>
      <c r="F7" s="242">
        <f t="shared" si="3"/>
        <v>9037.5</v>
      </c>
      <c r="G7" s="242">
        <f t="shared" si="3"/>
        <v>12875.000000000002</v>
      </c>
      <c r="H7" s="242">
        <f t="shared" si="3"/>
        <v>12875.000000000002</v>
      </c>
      <c r="I7" s="242">
        <f t="shared" si="3"/>
        <v>9037.5</v>
      </c>
      <c r="J7" s="242">
        <f t="shared" si="3"/>
        <v>12875.000000000002</v>
      </c>
      <c r="K7" s="242">
        <f t="shared" si="3"/>
        <v>5000</v>
      </c>
      <c r="L7" s="242">
        <f t="shared" si="3"/>
        <v>5000</v>
      </c>
      <c r="M7" s="242">
        <f t="shared" si="3"/>
        <v>0</v>
      </c>
      <c r="N7" s="243">
        <f>SUM(B7:M7)</f>
        <v>171925.00000000003</v>
      </c>
    </row>
    <row r="8" spans="1:15" s="57" customFormat="1" x14ac:dyDescent="0.35">
      <c r="A8" s="234" t="s">
        <v>93</v>
      </c>
      <c r="B8" s="81">
        <f>+B11+B27+B35+B43+B511+B19</f>
        <v>15.350000000000003</v>
      </c>
      <c r="C8" s="81">
        <f t="shared" ref="C8:M8" si="4">+C11+C19</f>
        <v>15.350000000000003</v>
      </c>
      <c r="D8" s="81">
        <f t="shared" si="4"/>
        <v>15.350000000000003</v>
      </c>
      <c r="E8" s="81">
        <f t="shared" si="4"/>
        <v>15.350000000000003</v>
      </c>
      <c r="F8" s="81">
        <f t="shared" si="4"/>
        <v>15.350000000000003</v>
      </c>
      <c r="G8" s="81">
        <f t="shared" si="4"/>
        <v>15.350000000000003</v>
      </c>
      <c r="H8" s="81">
        <f t="shared" si="4"/>
        <v>15.350000000000003</v>
      </c>
      <c r="I8" s="81">
        <f t="shared" si="4"/>
        <v>15.350000000000003</v>
      </c>
      <c r="J8" s="81">
        <f t="shared" si="4"/>
        <v>15.350000000000003</v>
      </c>
      <c r="K8" s="81">
        <f t="shared" si="4"/>
        <v>15.350000000000003</v>
      </c>
      <c r="L8" s="81">
        <f t="shared" si="4"/>
        <v>15.350000000000003</v>
      </c>
      <c r="M8" s="81">
        <f t="shared" si="4"/>
        <v>15.350000000000003</v>
      </c>
      <c r="N8" s="248">
        <f>+M8</f>
        <v>15.350000000000003</v>
      </c>
    </row>
    <row r="9" spans="1:15" s="57" customFormat="1" x14ac:dyDescent="0.35">
      <c r="A9" s="234" t="s">
        <v>144</v>
      </c>
      <c r="B9" s="83">
        <f>+B7/B8</f>
        <v>588.76221498371319</v>
      </c>
      <c r="C9" s="83">
        <f>+C7/C8</f>
        <v>4838.7622149837134</v>
      </c>
      <c r="D9" s="83">
        <f>+D7/D8</f>
        <v>838.76221498371331</v>
      </c>
      <c r="E9" s="83">
        <f t="shared" ref="E9:N9" si="5">+E7/E8</f>
        <v>588.76221498371319</v>
      </c>
      <c r="F9" s="83">
        <f t="shared" si="5"/>
        <v>588.76221498371319</v>
      </c>
      <c r="G9" s="83">
        <f t="shared" si="5"/>
        <v>838.76221498371331</v>
      </c>
      <c r="H9" s="83">
        <f t="shared" si="5"/>
        <v>838.76221498371331</v>
      </c>
      <c r="I9" s="83">
        <f t="shared" si="5"/>
        <v>588.76221498371319</v>
      </c>
      <c r="J9" s="83">
        <f t="shared" si="5"/>
        <v>838.76221498371331</v>
      </c>
      <c r="K9" s="83">
        <f t="shared" si="5"/>
        <v>325.73289902280123</v>
      </c>
      <c r="L9" s="83">
        <f t="shared" si="5"/>
        <v>325.73289902280123</v>
      </c>
      <c r="M9" s="83">
        <f t="shared" si="5"/>
        <v>0</v>
      </c>
      <c r="N9" s="249">
        <f t="shared" si="5"/>
        <v>11200.325732899022</v>
      </c>
    </row>
    <row r="10" spans="1:15" x14ac:dyDescent="0.35">
      <c r="A10" s="235" t="s">
        <v>90</v>
      </c>
      <c r="B10" s="80">
        <f>+B16</f>
        <v>4037.5000000000009</v>
      </c>
      <c r="C10" s="80">
        <f t="shared" ref="C10:M10" si="6">+C16</f>
        <v>69275.000000000015</v>
      </c>
      <c r="D10" s="80">
        <f t="shared" si="6"/>
        <v>7875.0000000000018</v>
      </c>
      <c r="E10" s="80">
        <f t="shared" si="6"/>
        <v>4037.5000000000009</v>
      </c>
      <c r="F10" s="80">
        <f t="shared" si="6"/>
        <v>4037.5000000000009</v>
      </c>
      <c r="G10" s="80">
        <f t="shared" si="6"/>
        <v>7875.0000000000018</v>
      </c>
      <c r="H10" s="80">
        <f t="shared" si="6"/>
        <v>7875.0000000000018</v>
      </c>
      <c r="I10" s="80">
        <f t="shared" si="6"/>
        <v>4037.5000000000009</v>
      </c>
      <c r="J10" s="80">
        <f t="shared" si="6"/>
        <v>7875.0000000000018</v>
      </c>
      <c r="K10" s="80">
        <f t="shared" si="6"/>
        <v>0</v>
      </c>
      <c r="L10" s="80">
        <f t="shared" si="6"/>
        <v>0</v>
      </c>
      <c r="M10" s="80">
        <f t="shared" si="6"/>
        <v>0</v>
      </c>
      <c r="N10" s="244">
        <f>SUM(B10:M10)</f>
        <v>116925.00000000001</v>
      </c>
    </row>
    <row r="11" spans="1:15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7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7"/>
        <v>15.350000000000003</v>
      </c>
      <c r="I11" s="239">
        <f t="shared" si="7"/>
        <v>15.350000000000003</v>
      </c>
      <c r="J11" s="239">
        <f t="shared" si="7"/>
        <v>15.350000000000003</v>
      </c>
      <c r="K11" s="239">
        <f t="shared" si="7"/>
        <v>15.350000000000003</v>
      </c>
      <c r="L11" s="239">
        <f t="shared" si="7"/>
        <v>15.350000000000003</v>
      </c>
      <c r="M11" s="239">
        <f t="shared" si="7"/>
        <v>15.350000000000003</v>
      </c>
      <c r="N11" s="240">
        <f>+'Plan de culture 104 '!X7</f>
        <v>15.350000000000003</v>
      </c>
    </row>
    <row r="12" spans="1:15" x14ac:dyDescent="0.35">
      <c r="A12" s="270" t="s">
        <v>146</v>
      </c>
      <c r="B12" s="90">
        <f>250*B11</f>
        <v>3837.5000000000009</v>
      </c>
      <c r="C12" s="90">
        <f>B12</f>
        <v>3837.5000000000009</v>
      </c>
      <c r="D12" s="90">
        <f t="shared" ref="D12:J12" si="8">C12</f>
        <v>3837.5000000000009</v>
      </c>
      <c r="E12" s="90">
        <f t="shared" si="8"/>
        <v>3837.5000000000009</v>
      </c>
      <c r="F12" s="90">
        <f t="shared" si="8"/>
        <v>3837.5000000000009</v>
      </c>
      <c r="G12" s="90">
        <f t="shared" si="8"/>
        <v>3837.5000000000009</v>
      </c>
      <c r="H12" s="90">
        <f t="shared" si="8"/>
        <v>3837.5000000000009</v>
      </c>
      <c r="I12" s="90">
        <f t="shared" si="8"/>
        <v>3837.5000000000009</v>
      </c>
      <c r="J12" s="90">
        <f t="shared" si="8"/>
        <v>3837.5000000000009</v>
      </c>
      <c r="K12" s="90"/>
      <c r="L12" s="90"/>
      <c r="M12" s="90"/>
      <c r="N12" s="271">
        <f t="shared" ref="N12:N16" si="9">SUM(B12:M12)</f>
        <v>34537.500000000007</v>
      </c>
    </row>
    <row r="13" spans="1:15" x14ac:dyDescent="0.35">
      <c r="A13" s="270" t="s">
        <v>147</v>
      </c>
      <c r="B13" s="90"/>
      <c r="C13" s="90">
        <f>250*C11</f>
        <v>3837.5000000000009</v>
      </c>
      <c r="D13" s="90">
        <f>250*D11</f>
        <v>3837.5000000000009</v>
      </c>
      <c r="E13" s="90"/>
      <c r="F13" s="90"/>
      <c r="G13" s="90">
        <f t="shared" ref="G13:J13" si="10">250*G11</f>
        <v>3837.5000000000009</v>
      </c>
      <c r="H13" s="90">
        <f t="shared" si="10"/>
        <v>3837.5000000000009</v>
      </c>
      <c r="I13" s="90"/>
      <c r="J13" s="90">
        <f t="shared" si="10"/>
        <v>3837.5000000000009</v>
      </c>
      <c r="K13" s="90"/>
      <c r="L13" s="90"/>
      <c r="M13" s="90"/>
      <c r="N13" s="271">
        <f t="shared" si="9"/>
        <v>19187.500000000004</v>
      </c>
    </row>
    <row r="14" spans="1:15" x14ac:dyDescent="0.35">
      <c r="A14" s="270" t="s">
        <v>154</v>
      </c>
      <c r="B14" s="90"/>
      <c r="C14" s="90">
        <f>4000*C11</f>
        <v>61400.000000000015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271">
        <f t="shared" si="9"/>
        <v>61400.000000000015</v>
      </c>
    </row>
    <row r="15" spans="1:15" x14ac:dyDescent="0.35">
      <c r="A15" s="270" t="s">
        <v>148</v>
      </c>
      <c r="B15" s="90">
        <v>200</v>
      </c>
      <c r="C15" s="90">
        <f>+B15</f>
        <v>200</v>
      </c>
      <c r="D15" s="90">
        <f t="shared" ref="D15:J15" si="11">+C15</f>
        <v>200</v>
      </c>
      <c r="E15" s="90">
        <f t="shared" si="11"/>
        <v>200</v>
      </c>
      <c r="F15" s="90">
        <f t="shared" si="11"/>
        <v>200</v>
      </c>
      <c r="G15" s="90">
        <f t="shared" si="11"/>
        <v>200</v>
      </c>
      <c r="H15" s="90">
        <f t="shared" si="11"/>
        <v>200</v>
      </c>
      <c r="I15" s="90">
        <f t="shared" si="11"/>
        <v>200</v>
      </c>
      <c r="J15" s="90">
        <f t="shared" si="11"/>
        <v>200</v>
      </c>
      <c r="K15" s="90"/>
      <c r="L15" s="90"/>
      <c r="M15" s="90"/>
      <c r="N15" s="271">
        <f t="shared" si="9"/>
        <v>1800</v>
      </c>
    </row>
    <row r="16" spans="1:15" x14ac:dyDescent="0.35">
      <c r="A16" s="272" t="s">
        <v>145</v>
      </c>
      <c r="B16" s="91">
        <f t="shared" ref="B16:M16" si="12">SUM(B12:B15)</f>
        <v>4037.5000000000009</v>
      </c>
      <c r="C16" s="91">
        <f t="shared" si="12"/>
        <v>69275.000000000015</v>
      </c>
      <c r="D16" s="91">
        <f t="shared" si="12"/>
        <v>7875.0000000000018</v>
      </c>
      <c r="E16" s="91">
        <f t="shared" si="12"/>
        <v>4037.5000000000009</v>
      </c>
      <c r="F16" s="91">
        <f t="shared" si="12"/>
        <v>4037.5000000000009</v>
      </c>
      <c r="G16" s="91">
        <f t="shared" si="12"/>
        <v>7875.0000000000018</v>
      </c>
      <c r="H16" s="91">
        <f t="shared" si="12"/>
        <v>7875.0000000000018</v>
      </c>
      <c r="I16" s="91">
        <f t="shared" si="12"/>
        <v>4037.5000000000009</v>
      </c>
      <c r="J16" s="91">
        <f t="shared" si="12"/>
        <v>7875.0000000000018</v>
      </c>
      <c r="K16" s="91">
        <f t="shared" si="12"/>
        <v>0</v>
      </c>
      <c r="L16" s="91">
        <f t="shared" si="12"/>
        <v>0</v>
      </c>
      <c r="M16" s="91">
        <f t="shared" si="12"/>
        <v>0</v>
      </c>
      <c r="N16" s="271">
        <f t="shared" si="9"/>
        <v>116925.00000000001</v>
      </c>
    </row>
    <row r="17" spans="1:14" x14ac:dyDescent="0.35">
      <c r="A17" s="238" t="s">
        <v>144</v>
      </c>
      <c r="B17" s="62">
        <f>+B16/B11</f>
        <v>263.02931596091207</v>
      </c>
      <c r="C17" s="62">
        <f t="shared" ref="C17:N17" si="13">+C10/C11</f>
        <v>4513.0293159609118</v>
      </c>
      <c r="D17" s="62">
        <f t="shared" si="13"/>
        <v>513.02931596091207</v>
      </c>
      <c r="E17" s="62">
        <f t="shared" si="13"/>
        <v>263.02931596091207</v>
      </c>
      <c r="F17" s="62">
        <f t="shared" si="13"/>
        <v>263.02931596091207</v>
      </c>
      <c r="G17" s="62">
        <f t="shared" si="13"/>
        <v>513.02931596091207</v>
      </c>
      <c r="H17" s="62">
        <f t="shared" si="13"/>
        <v>513.02931596091207</v>
      </c>
      <c r="I17" s="62">
        <f t="shared" si="13"/>
        <v>263.02931596091207</v>
      </c>
      <c r="J17" s="62">
        <f t="shared" si="13"/>
        <v>513.02931596091207</v>
      </c>
      <c r="K17" s="62">
        <f t="shared" si="13"/>
        <v>0</v>
      </c>
      <c r="L17" s="62">
        <f t="shared" si="13"/>
        <v>0</v>
      </c>
      <c r="M17" s="62">
        <f t="shared" si="13"/>
        <v>0</v>
      </c>
      <c r="N17" s="269">
        <f t="shared" si="13"/>
        <v>7617.2638436482075</v>
      </c>
    </row>
    <row r="18" spans="1:14" x14ac:dyDescent="0.35">
      <c r="A18" s="235" t="s">
        <v>91</v>
      </c>
      <c r="B18" s="80">
        <f>+B24</f>
        <v>1000</v>
      </c>
      <c r="C18" s="80">
        <f t="shared" ref="C18:M18" si="14">+C24</f>
        <v>1000</v>
      </c>
      <c r="D18" s="80">
        <f t="shared" si="14"/>
        <v>1000</v>
      </c>
      <c r="E18" s="80">
        <f t="shared" si="14"/>
        <v>1000</v>
      </c>
      <c r="F18" s="80">
        <f t="shared" si="14"/>
        <v>1000</v>
      </c>
      <c r="G18" s="80">
        <f t="shared" si="14"/>
        <v>1000</v>
      </c>
      <c r="H18" s="80">
        <f t="shared" si="14"/>
        <v>1000</v>
      </c>
      <c r="I18" s="80">
        <f t="shared" si="14"/>
        <v>1000</v>
      </c>
      <c r="J18" s="80">
        <f t="shared" si="14"/>
        <v>1000</v>
      </c>
      <c r="K18" s="80">
        <f t="shared" si="14"/>
        <v>1000</v>
      </c>
      <c r="L18" s="80">
        <f t="shared" si="14"/>
        <v>1000</v>
      </c>
      <c r="M18" s="80">
        <f t="shared" si="14"/>
        <v>0</v>
      </c>
      <c r="N18" s="273">
        <f>SUM(B18:M18)</f>
        <v>11000</v>
      </c>
    </row>
    <row r="19" spans="1:14" x14ac:dyDescent="0.35">
      <c r="A19" s="238" t="s">
        <v>93</v>
      </c>
      <c r="B19" s="239">
        <f>+'Plan de culture 104 '!$X$13</f>
        <v>0</v>
      </c>
      <c r="C19" s="239">
        <f>+B19</f>
        <v>0</v>
      </c>
      <c r="D19" s="239">
        <f t="shared" ref="D19:M19" si="15">+C19</f>
        <v>0</v>
      </c>
      <c r="E19" s="239">
        <f t="shared" si="15"/>
        <v>0</v>
      </c>
      <c r="F19" s="239">
        <f t="shared" si="15"/>
        <v>0</v>
      </c>
      <c r="G19" s="239">
        <f t="shared" si="15"/>
        <v>0</v>
      </c>
      <c r="H19" s="239">
        <f t="shared" si="15"/>
        <v>0</v>
      </c>
      <c r="I19" s="239">
        <f t="shared" si="15"/>
        <v>0</v>
      </c>
      <c r="J19" s="239">
        <f t="shared" si="15"/>
        <v>0</v>
      </c>
      <c r="K19" s="239">
        <f t="shared" si="15"/>
        <v>0</v>
      </c>
      <c r="L19" s="239">
        <f t="shared" si="15"/>
        <v>0</v>
      </c>
      <c r="M19" s="239">
        <f t="shared" si="15"/>
        <v>0</v>
      </c>
      <c r="N19" s="240">
        <f>+'Plan de culture 104 '!$X$13</f>
        <v>0</v>
      </c>
    </row>
    <row r="20" spans="1:14" x14ac:dyDescent="0.35">
      <c r="A20" s="270" t="s">
        <v>146</v>
      </c>
      <c r="B20" s="90">
        <f>250*B19</f>
        <v>0</v>
      </c>
      <c r="C20" s="90">
        <f>B20</f>
        <v>0</v>
      </c>
      <c r="D20" s="90">
        <f t="shared" ref="D20:L20" si="16">C20</f>
        <v>0</v>
      </c>
      <c r="E20" s="90">
        <f t="shared" si="16"/>
        <v>0</v>
      </c>
      <c r="F20" s="90">
        <f t="shared" si="16"/>
        <v>0</v>
      </c>
      <c r="G20" s="90">
        <f t="shared" si="16"/>
        <v>0</v>
      </c>
      <c r="H20" s="90">
        <f t="shared" si="16"/>
        <v>0</v>
      </c>
      <c r="I20" s="90">
        <f t="shared" si="16"/>
        <v>0</v>
      </c>
      <c r="J20" s="90">
        <f t="shared" si="16"/>
        <v>0</v>
      </c>
      <c r="K20" s="90">
        <f t="shared" si="16"/>
        <v>0</v>
      </c>
      <c r="L20" s="90">
        <f t="shared" si="16"/>
        <v>0</v>
      </c>
      <c r="M20" s="90"/>
      <c r="N20" s="271">
        <f t="shared" ref="N20:N24" si="17">SUM(B20:M20)</f>
        <v>0</v>
      </c>
    </row>
    <row r="21" spans="1:14" x14ac:dyDescent="0.35">
      <c r="A21" s="270" t="s">
        <v>147</v>
      </c>
      <c r="B21" s="90"/>
      <c r="C21" s="90">
        <f>250*C19</f>
        <v>0</v>
      </c>
      <c r="D21" s="90">
        <f>250*D19</f>
        <v>0</v>
      </c>
      <c r="E21" s="90"/>
      <c r="F21" s="90"/>
      <c r="G21" s="90">
        <f t="shared" ref="G21:K21" si="18">250*G19</f>
        <v>0</v>
      </c>
      <c r="H21" s="90">
        <f t="shared" si="18"/>
        <v>0</v>
      </c>
      <c r="I21" s="90"/>
      <c r="J21" s="90">
        <f t="shared" si="18"/>
        <v>0</v>
      </c>
      <c r="K21" s="90">
        <f t="shared" si="18"/>
        <v>0</v>
      </c>
      <c r="L21" s="90"/>
      <c r="M21" s="90"/>
      <c r="N21" s="271">
        <f t="shared" si="17"/>
        <v>0</v>
      </c>
    </row>
    <row r="22" spans="1:14" x14ac:dyDescent="0.35">
      <c r="A22" s="270" t="s">
        <v>154</v>
      </c>
      <c r="B22" s="90"/>
      <c r="C22" s="90">
        <f>4000*C19</f>
        <v>0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271">
        <f t="shared" si="17"/>
        <v>0</v>
      </c>
    </row>
    <row r="23" spans="1:14" x14ac:dyDescent="0.35">
      <c r="A23" s="270" t="s">
        <v>148</v>
      </c>
      <c r="B23" s="90">
        <v>1000</v>
      </c>
      <c r="C23" s="90">
        <v>1000</v>
      </c>
      <c r="D23" s="90">
        <v>1000</v>
      </c>
      <c r="E23" s="90">
        <v>1000</v>
      </c>
      <c r="F23" s="90">
        <v>1000</v>
      </c>
      <c r="G23" s="90">
        <v>1000</v>
      </c>
      <c r="H23" s="90">
        <v>1000</v>
      </c>
      <c r="I23" s="90">
        <v>1000</v>
      </c>
      <c r="J23" s="90">
        <v>1000</v>
      </c>
      <c r="K23" s="90">
        <v>1000</v>
      </c>
      <c r="L23" s="90">
        <v>1000</v>
      </c>
      <c r="M23" s="90"/>
      <c r="N23" s="271">
        <f t="shared" si="17"/>
        <v>11000</v>
      </c>
    </row>
    <row r="24" spans="1:14" x14ac:dyDescent="0.35">
      <c r="A24" s="272" t="s">
        <v>145</v>
      </c>
      <c r="B24" s="91">
        <f t="shared" ref="B24:M24" si="19">SUM(B20:B23)</f>
        <v>1000</v>
      </c>
      <c r="C24" s="91">
        <f t="shared" si="19"/>
        <v>1000</v>
      </c>
      <c r="D24" s="91">
        <f t="shared" si="19"/>
        <v>1000</v>
      </c>
      <c r="E24" s="91">
        <f t="shared" si="19"/>
        <v>1000</v>
      </c>
      <c r="F24" s="91">
        <f t="shared" si="19"/>
        <v>1000</v>
      </c>
      <c r="G24" s="91">
        <f t="shared" si="19"/>
        <v>1000</v>
      </c>
      <c r="H24" s="91">
        <f t="shared" si="19"/>
        <v>1000</v>
      </c>
      <c r="I24" s="91">
        <f t="shared" si="19"/>
        <v>1000</v>
      </c>
      <c r="J24" s="91">
        <f t="shared" si="19"/>
        <v>1000</v>
      </c>
      <c r="K24" s="91">
        <f t="shared" si="19"/>
        <v>1000</v>
      </c>
      <c r="L24" s="91">
        <f t="shared" si="19"/>
        <v>1000</v>
      </c>
      <c r="M24" s="91">
        <f t="shared" si="19"/>
        <v>0</v>
      </c>
      <c r="N24" s="271">
        <f t="shared" si="17"/>
        <v>11000</v>
      </c>
    </row>
    <row r="25" spans="1:14" x14ac:dyDescent="0.35">
      <c r="A25" s="238" t="s">
        <v>144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269" t="e">
        <f>+N18/N19</f>
        <v>#DIV/0!</v>
      </c>
    </row>
    <row r="26" spans="1:14" x14ac:dyDescent="0.35">
      <c r="A26" s="235" t="s">
        <v>376</v>
      </c>
      <c r="B26" s="80">
        <f>+B32</f>
        <v>1000</v>
      </c>
      <c r="C26" s="80">
        <f t="shared" ref="C26:M26" si="20">+C32</f>
        <v>1000</v>
      </c>
      <c r="D26" s="80">
        <f t="shared" si="20"/>
        <v>1000</v>
      </c>
      <c r="E26" s="80">
        <f t="shared" si="20"/>
        <v>1000</v>
      </c>
      <c r="F26" s="80">
        <f t="shared" si="20"/>
        <v>1000</v>
      </c>
      <c r="G26" s="80">
        <f t="shared" si="20"/>
        <v>1000</v>
      </c>
      <c r="H26" s="80">
        <f t="shared" si="20"/>
        <v>1000</v>
      </c>
      <c r="I26" s="80">
        <f t="shared" si="20"/>
        <v>1000</v>
      </c>
      <c r="J26" s="80">
        <f t="shared" si="20"/>
        <v>1000</v>
      </c>
      <c r="K26" s="80">
        <f t="shared" si="20"/>
        <v>1000</v>
      </c>
      <c r="L26" s="80">
        <f t="shared" si="20"/>
        <v>1000</v>
      </c>
      <c r="M26" s="80">
        <f t="shared" si="20"/>
        <v>0</v>
      </c>
      <c r="N26" s="273">
        <f>SUM(B26:M26)</f>
        <v>11000</v>
      </c>
    </row>
    <row r="27" spans="1:14" x14ac:dyDescent="0.35">
      <c r="A27" s="238" t="s">
        <v>93</v>
      </c>
      <c r="B27" s="239">
        <f>+'Plan de culture 104 '!$X$19</f>
        <v>0</v>
      </c>
      <c r="C27" s="239">
        <f>+B27</f>
        <v>0</v>
      </c>
      <c r="D27" s="239">
        <f t="shared" ref="D27" si="21">+C27</f>
        <v>0</v>
      </c>
      <c r="E27" s="239">
        <f>+'Plan de culture 104 '!C23</f>
        <v>0</v>
      </c>
      <c r="F27" s="239">
        <f>+E27+'Plan de culture 104 '!D23+'Plan de culture 104 '!E23</f>
        <v>0</v>
      </c>
      <c r="G27" s="239">
        <f>+F27</f>
        <v>0</v>
      </c>
      <c r="H27" s="239">
        <f t="shared" ref="H27:M27" si="22">+G27</f>
        <v>0</v>
      </c>
      <c r="I27" s="239">
        <f t="shared" si="22"/>
        <v>0</v>
      </c>
      <c r="J27" s="239">
        <f t="shared" si="22"/>
        <v>0</v>
      </c>
      <c r="K27" s="239">
        <f t="shared" si="22"/>
        <v>0</v>
      </c>
      <c r="L27" s="239">
        <f t="shared" si="22"/>
        <v>0</v>
      </c>
      <c r="M27" s="239">
        <f t="shared" si="22"/>
        <v>0</v>
      </c>
      <c r="N27" s="240">
        <f>+'Plan de culture 104 '!$X$19</f>
        <v>0</v>
      </c>
    </row>
    <row r="28" spans="1:14" x14ac:dyDescent="0.35">
      <c r="A28" s="270" t="s">
        <v>146</v>
      </c>
      <c r="B28" s="90">
        <f>250*B27</f>
        <v>0</v>
      </c>
      <c r="C28" s="90">
        <f>B28</f>
        <v>0</v>
      </c>
      <c r="D28" s="90">
        <f t="shared" ref="D28:L28" si="23">C28</f>
        <v>0</v>
      </c>
      <c r="E28" s="90">
        <f t="shared" si="23"/>
        <v>0</v>
      </c>
      <c r="F28" s="90">
        <f t="shared" si="23"/>
        <v>0</v>
      </c>
      <c r="G28" s="90">
        <f t="shared" si="23"/>
        <v>0</v>
      </c>
      <c r="H28" s="90">
        <f t="shared" si="23"/>
        <v>0</v>
      </c>
      <c r="I28" s="90">
        <f t="shared" si="23"/>
        <v>0</v>
      </c>
      <c r="J28" s="90">
        <f t="shared" si="23"/>
        <v>0</v>
      </c>
      <c r="K28" s="90">
        <f t="shared" si="23"/>
        <v>0</v>
      </c>
      <c r="L28" s="90">
        <f t="shared" si="23"/>
        <v>0</v>
      </c>
      <c r="M28" s="90"/>
      <c r="N28" s="271">
        <f t="shared" ref="N28:N32" si="24">SUM(B28:M28)</f>
        <v>0</v>
      </c>
    </row>
    <row r="29" spans="1:14" x14ac:dyDescent="0.35">
      <c r="A29" s="270" t="s">
        <v>147</v>
      </c>
      <c r="B29" s="90"/>
      <c r="C29" s="90">
        <f>250*C27</f>
        <v>0</v>
      </c>
      <c r="D29" s="90">
        <f>250*D27</f>
        <v>0</v>
      </c>
      <c r="E29" s="90"/>
      <c r="F29" s="90"/>
      <c r="G29" s="90">
        <f t="shared" ref="G29:H29" si="25">250*G27</f>
        <v>0</v>
      </c>
      <c r="H29" s="90">
        <f t="shared" si="25"/>
        <v>0</v>
      </c>
      <c r="I29" s="90"/>
      <c r="J29" s="90">
        <f t="shared" ref="J29:K29" si="26">250*J27</f>
        <v>0</v>
      </c>
      <c r="K29" s="90">
        <f t="shared" si="26"/>
        <v>0</v>
      </c>
      <c r="L29" s="90"/>
      <c r="M29" s="90"/>
      <c r="N29" s="271">
        <f t="shared" si="24"/>
        <v>0</v>
      </c>
    </row>
    <row r="30" spans="1:14" x14ac:dyDescent="0.35">
      <c r="A30" s="270" t="s">
        <v>154</v>
      </c>
      <c r="B30" s="90"/>
      <c r="C30" s="90">
        <f>4000*C27</f>
        <v>0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271">
        <f t="shared" si="24"/>
        <v>0</v>
      </c>
    </row>
    <row r="31" spans="1:14" x14ac:dyDescent="0.35">
      <c r="A31" s="270" t="s">
        <v>148</v>
      </c>
      <c r="B31" s="90">
        <v>1000</v>
      </c>
      <c r="C31" s="90">
        <v>1000</v>
      </c>
      <c r="D31" s="90">
        <v>1000</v>
      </c>
      <c r="E31" s="90">
        <v>1000</v>
      </c>
      <c r="F31" s="90">
        <v>1000</v>
      </c>
      <c r="G31" s="90">
        <v>1000</v>
      </c>
      <c r="H31" s="90">
        <v>1000</v>
      </c>
      <c r="I31" s="90">
        <v>1000</v>
      </c>
      <c r="J31" s="90">
        <v>1000</v>
      </c>
      <c r="K31" s="90">
        <v>1000</v>
      </c>
      <c r="L31" s="90">
        <v>1000</v>
      </c>
      <c r="M31" s="90"/>
      <c r="N31" s="271">
        <f t="shared" si="24"/>
        <v>11000</v>
      </c>
    </row>
    <row r="32" spans="1:14" x14ac:dyDescent="0.35">
      <c r="A32" s="272" t="s">
        <v>145</v>
      </c>
      <c r="B32" s="91">
        <f t="shared" ref="B32:M32" si="27">SUM(B28:B31)</f>
        <v>1000</v>
      </c>
      <c r="C32" s="91">
        <f t="shared" si="27"/>
        <v>1000</v>
      </c>
      <c r="D32" s="91">
        <f t="shared" si="27"/>
        <v>1000</v>
      </c>
      <c r="E32" s="91">
        <f t="shared" si="27"/>
        <v>1000</v>
      </c>
      <c r="F32" s="91">
        <f t="shared" si="27"/>
        <v>1000</v>
      </c>
      <c r="G32" s="91">
        <f t="shared" si="27"/>
        <v>1000</v>
      </c>
      <c r="H32" s="91">
        <f t="shared" si="27"/>
        <v>1000</v>
      </c>
      <c r="I32" s="91">
        <f t="shared" si="27"/>
        <v>1000</v>
      </c>
      <c r="J32" s="91">
        <f t="shared" si="27"/>
        <v>1000</v>
      </c>
      <c r="K32" s="91">
        <f t="shared" si="27"/>
        <v>1000</v>
      </c>
      <c r="L32" s="91">
        <f t="shared" si="27"/>
        <v>1000</v>
      </c>
      <c r="M32" s="91">
        <f t="shared" si="27"/>
        <v>0</v>
      </c>
      <c r="N32" s="271">
        <f t="shared" si="24"/>
        <v>11000</v>
      </c>
    </row>
    <row r="33" spans="1:14" x14ac:dyDescent="0.35">
      <c r="A33" s="238" t="s">
        <v>144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269" t="e">
        <f>+N26/N27</f>
        <v>#DIV/0!</v>
      </c>
    </row>
    <row r="34" spans="1:14" x14ac:dyDescent="0.35">
      <c r="A34" s="235" t="s">
        <v>92</v>
      </c>
      <c r="B34" s="80">
        <f>+B40</f>
        <v>1000</v>
      </c>
      <c r="C34" s="80">
        <f t="shared" ref="C34:M34" si="28">+C40</f>
        <v>1000</v>
      </c>
      <c r="D34" s="80">
        <f t="shared" si="28"/>
        <v>1000</v>
      </c>
      <c r="E34" s="80">
        <f t="shared" si="28"/>
        <v>1000</v>
      </c>
      <c r="F34" s="80">
        <f t="shared" si="28"/>
        <v>1000</v>
      </c>
      <c r="G34" s="80">
        <f t="shared" si="28"/>
        <v>1000</v>
      </c>
      <c r="H34" s="80">
        <f t="shared" si="28"/>
        <v>1000</v>
      </c>
      <c r="I34" s="80">
        <f t="shared" si="28"/>
        <v>1000</v>
      </c>
      <c r="J34" s="80">
        <f t="shared" si="28"/>
        <v>1000</v>
      </c>
      <c r="K34" s="80">
        <f t="shared" si="28"/>
        <v>1000</v>
      </c>
      <c r="L34" s="80">
        <f t="shared" si="28"/>
        <v>1000</v>
      </c>
      <c r="M34" s="80">
        <f t="shared" si="28"/>
        <v>0</v>
      </c>
      <c r="N34" s="273">
        <f>SUM(B34:M34)</f>
        <v>11000</v>
      </c>
    </row>
    <row r="35" spans="1:14" x14ac:dyDescent="0.35">
      <c r="A35" s="238" t="s">
        <v>93</v>
      </c>
      <c r="B35" s="239">
        <f>+'Plan de culture 104 '!$X$25</f>
        <v>0</v>
      </c>
      <c r="C35" s="239">
        <f>+B35</f>
        <v>0</v>
      </c>
      <c r="D35" s="239">
        <f t="shared" ref="D35" si="29">+C35</f>
        <v>0</v>
      </c>
      <c r="E35" s="239">
        <f>+'Plan de culture 104 '!C31</f>
        <v>0</v>
      </c>
      <c r="F35" s="239">
        <f>+E35+'Plan de culture 104 '!D31+'Plan de culture 104 '!E31</f>
        <v>0</v>
      </c>
      <c r="G35" s="239">
        <f>+F35</f>
        <v>0</v>
      </c>
      <c r="H35" s="239">
        <f t="shared" ref="H35:M35" si="30">+G35</f>
        <v>0</v>
      </c>
      <c r="I35" s="239">
        <f t="shared" si="30"/>
        <v>0</v>
      </c>
      <c r="J35" s="239">
        <f t="shared" si="30"/>
        <v>0</v>
      </c>
      <c r="K35" s="239">
        <f t="shared" si="30"/>
        <v>0</v>
      </c>
      <c r="L35" s="239">
        <f t="shared" si="30"/>
        <v>0</v>
      </c>
      <c r="M35" s="239">
        <f t="shared" si="30"/>
        <v>0</v>
      </c>
      <c r="N35" s="240">
        <f>+'Plan de culture 104 '!$X$25</f>
        <v>0</v>
      </c>
    </row>
    <row r="36" spans="1:14" x14ac:dyDescent="0.35">
      <c r="A36" s="270" t="s">
        <v>146</v>
      </c>
      <c r="B36" s="90">
        <f>250*B35</f>
        <v>0</v>
      </c>
      <c r="C36" s="90">
        <f>B36</f>
        <v>0</v>
      </c>
      <c r="D36" s="90">
        <f t="shared" ref="D36:L36" si="31">C36</f>
        <v>0</v>
      </c>
      <c r="E36" s="90">
        <f t="shared" si="31"/>
        <v>0</v>
      </c>
      <c r="F36" s="90">
        <f t="shared" si="31"/>
        <v>0</v>
      </c>
      <c r="G36" s="90">
        <f t="shared" si="31"/>
        <v>0</v>
      </c>
      <c r="H36" s="90">
        <f t="shared" si="31"/>
        <v>0</v>
      </c>
      <c r="I36" s="90">
        <f t="shared" si="31"/>
        <v>0</v>
      </c>
      <c r="J36" s="90">
        <f t="shared" si="31"/>
        <v>0</v>
      </c>
      <c r="K36" s="90">
        <f t="shared" si="31"/>
        <v>0</v>
      </c>
      <c r="L36" s="90">
        <f t="shared" si="31"/>
        <v>0</v>
      </c>
      <c r="M36" s="90"/>
      <c r="N36" s="271">
        <f t="shared" ref="N36:N40" si="32">SUM(B36:M36)</f>
        <v>0</v>
      </c>
    </row>
    <row r="37" spans="1:14" x14ac:dyDescent="0.35">
      <c r="A37" s="270" t="s">
        <v>147</v>
      </c>
      <c r="B37" s="90"/>
      <c r="C37" s="90">
        <f>250*C35</f>
        <v>0</v>
      </c>
      <c r="D37" s="90">
        <f>250*D35</f>
        <v>0</v>
      </c>
      <c r="E37" s="90"/>
      <c r="F37" s="90"/>
      <c r="G37" s="90">
        <f t="shared" ref="G37:H37" si="33">250*G35</f>
        <v>0</v>
      </c>
      <c r="H37" s="90">
        <f t="shared" si="33"/>
        <v>0</v>
      </c>
      <c r="I37" s="90"/>
      <c r="J37" s="90">
        <f t="shared" ref="J37:K37" si="34">250*J35</f>
        <v>0</v>
      </c>
      <c r="K37" s="90">
        <f t="shared" si="34"/>
        <v>0</v>
      </c>
      <c r="L37" s="90"/>
      <c r="M37" s="90"/>
      <c r="N37" s="271">
        <f t="shared" si="32"/>
        <v>0</v>
      </c>
    </row>
    <row r="38" spans="1:14" x14ac:dyDescent="0.35">
      <c r="A38" s="270" t="s">
        <v>154</v>
      </c>
      <c r="B38" s="90"/>
      <c r="C38" s="90">
        <f>4000*C35</f>
        <v>0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271">
        <f t="shared" si="32"/>
        <v>0</v>
      </c>
    </row>
    <row r="39" spans="1:14" x14ac:dyDescent="0.35">
      <c r="A39" s="270" t="s">
        <v>148</v>
      </c>
      <c r="B39" s="90">
        <v>1000</v>
      </c>
      <c r="C39" s="90">
        <v>1000</v>
      </c>
      <c r="D39" s="90">
        <v>1000</v>
      </c>
      <c r="E39" s="90">
        <v>1000</v>
      </c>
      <c r="F39" s="90">
        <v>1000</v>
      </c>
      <c r="G39" s="90">
        <v>1000</v>
      </c>
      <c r="H39" s="90">
        <v>1000</v>
      </c>
      <c r="I39" s="90">
        <v>1000</v>
      </c>
      <c r="J39" s="90">
        <v>1000</v>
      </c>
      <c r="K39" s="90">
        <v>1000</v>
      </c>
      <c r="L39" s="90">
        <v>1000</v>
      </c>
      <c r="M39" s="90"/>
      <c r="N39" s="271">
        <f t="shared" si="32"/>
        <v>11000</v>
      </c>
    </row>
    <row r="40" spans="1:14" x14ac:dyDescent="0.35">
      <c r="A40" s="272" t="s">
        <v>145</v>
      </c>
      <c r="B40" s="91">
        <f t="shared" ref="B40:M40" si="35">SUM(B36:B39)</f>
        <v>1000</v>
      </c>
      <c r="C40" s="91">
        <f t="shared" si="35"/>
        <v>1000</v>
      </c>
      <c r="D40" s="91">
        <f t="shared" si="35"/>
        <v>1000</v>
      </c>
      <c r="E40" s="91">
        <f t="shared" si="35"/>
        <v>1000</v>
      </c>
      <c r="F40" s="91">
        <f t="shared" si="35"/>
        <v>1000</v>
      </c>
      <c r="G40" s="91">
        <f t="shared" si="35"/>
        <v>1000</v>
      </c>
      <c r="H40" s="91">
        <f t="shared" si="35"/>
        <v>1000</v>
      </c>
      <c r="I40" s="91">
        <f t="shared" si="35"/>
        <v>1000</v>
      </c>
      <c r="J40" s="91">
        <f t="shared" si="35"/>
        <v>1000</v>
      </c>
      <c r="K40" s="91">
        <f t="shared" si="35"/>
        <v>1000</v>
      </c>
      <c r="L40" s="91">
        <f t="shared" si="35"/>
        <v>1000</v>
      </c>
      <c r="M40" s="91">
        <f t="shared" si="35"/>
        <v>0</v>
      </c>
      <c r="N40" s="271">
        <f t="shared" si="32"/>
        <v>11000</v>
      </c>
    </row>
    <row r="41" spans="1:14" x14ac:dyDescent="0.35">
      <c r="A41" s="238" t="s">
        <v>144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269" t="e">
        <f>+N34/N35</f>
        <v>#DIV/0!</v>
      </c>
    </row>
    <row r="42" spans="1:14" x14ac:dyDescent="0.35">
      <c r="A42" s="235" t="s">
        <v>377</v>
      </c>
      <c r="B42" s="80">
        <f>+B48</f>
        <v>1000</v>
      </c>
      <c r="C42" s="80">
        <f t="shared" ref="C42:M42" si="36">+C48</f>
        <v>1000</v>
      </c>
      <c r="D42" s="80">
        <f t="shared" si="36"/>
        <v>1000</v>
      </c>
      <c r="E42" s="80">
        <f t="shared" si="36"/>
        <v>1000</v>
      </c>
      <c r="F42" s="80">
        <f t="shared" si="36"/>
        <v>1000</v>
      </c>
      <c r="G42" s="80">
        <f t="shared" si="36"/>
        <v>1000</v>
      </c>
      <c r="H42" s="80">
        <f t="shared" si="36"/>
        <v>1000</v>
      </c>
      <c r="I42" s="80">
        <f t="shared" si="36"/>
        <v>1000</v>
      </c>
      <c r="J42" s="80">
        <f t="shared" si="36"/>
        <v>1000</v>
      </c>
      <c r="K42" s="80">
        <f t="shared" si="36"/>
        <v>1000</v>
      </c>
      <c r="L42" s="80">
        <f t="shared" si="36"/>
        <v>1000</v>
      </c>
      <c r="M42" s="80">
        <f t="shared" si="36"/>
        <v>0</v>
      </c>
      <c r="N42" s="273">
        <f>SUM(B42:M42)</f>
        <v>11000</v>
      </c>
    </row>
    <row r="43" spans="1:14" x14ac:dyDescent="0.35">
      <c r="A43" s="238" t="s">
        <v>93</v>
      </c>
      <c r="B43" s="239">
        <f>+'Plan de culture 104 '!$X$31</f>
        <v>0</v>
      </c>
      <c r="C43" s="239">
        <f>+B43</f>
        <v>0</v>
      </c>
      <c r="D43" s="239">
        <f t="shared" ref="D43" si="37">+C43</f>
        <v>0</v>
      </c>
      <c r="E43" s="239">
        <f>+'Plan de culture 104 '!C39</f>
        <v>0</v>
      </c>
      <c r="F43" s="239">
        <f>+E43+'Plan de culture 104 '!D39+'Plan de culture 104 '!E39</f>
        <v>0</v>
      </c>
      <c r="G43" s="239">
        <f>+F43</f>
        <v>0</v>
      </c>
      <c r="H43" s="239">
        <f t="shared" ref="H43:M43" si="38">+G43</f>
        <v>0</v>
      </c>
      <c r="I43" s="239">
        <f t="shared" si="38"/>
        <v>0</v>
      </c>
      <c r="J43" s="239">
        <f t="shared" si="38"/>
        <v>0</v>
      </c>
      <c r="K43" s="239">
        <f t="shared" si="38"/>
        <v>0</v>
      </c>
      <c r="L43" s="239">
        <f t="shared" si="38"/>
        <v>0</v>
      </c>
      <c r="M43" s="239">
        <f t="shared" si="38"/>
        <v>0</v>
      </c>
      <c r="N43" s="240">
        <f>+'Plan de culture 104 '!$X$31</f>
        <v>0</v>
      </c>
    </row>
    <row r="44" spans="1:14" x14ac:dyDescent="0.35">
      <c r="A44" s="270" t="s">
        <v>146</v>
      </c>
      <c r="B44" s="90">
        <f>250*B43</f>
        <v>0</v>
      </c>
      <c r="C44" s="90">
        <f>B44</f>
        <v>0</v>
      </c>
      <c r="D44" s="90">
        <f t="shared" ref="D44:L44" si="39">C44</f>
        <v>0</v>
      </c>
      <c r="E44" s="90">
        <f t="shared" si="39"/>
        <v>0</v>
      </c>
      <c r="F44" s="90">
        <f t="shared" si="39"/>
        <v>0</v>
      </c>
      <c r="G44" s="90">
        <f t="shared" si="39"/>
        <v>0</v>
      </c>
      <c r="H44" s="90">
        <f t="shared" si="39"/>
        <v>0</v>
      </c>
      <c r="I44" s="90">
        <f t="shared" si="39"/>
        <v>0</v>
      </c>
      <c r="J44" s="90">
        <f t="shared" si="39"/>
        <v>0</v>
      </c>
      <c r="K44" s="90">
        <f t="shared" si="39"/>
        <v>0</v>
      </c>
      <c r="L44" s="90">
        <f t="shared" si="39"/>
        <v>0</v>
      </c>
      <c r="M44" s="90"/>
      <c r="N44" s="271">
        <f t="shared" ref="N44:N48" si="40">SUM(B44:M44)</f>
        <v>0</v>
      </c>
    </row>
    <row r="45" spans="1:14" x14ac:dyDescent="0.35">
      <c r="A45" s="270" t="s">
        <v>147</v>
      </c>
      <c r="B45" s="90"/>
      <c r="C45" s="90">
        <f>250*C43</f>
        <v>0</v>
      </c>
      <c r="D45" s="90">
        <f>250*D43</f>
        <v>0</v>
      </c>
      <c r="E45" s="90"/>
      <c r="F45" s="90"/>
      <c r="G45" s="90">
        <f t="shared" ref="G45:H45" si="41">250*G43</f>
        <v>0</v>
      </c>
      <c r="H45" s="90">
        <f t="shared" si="41"/>
        <v>0</v>
      </c>
      <c r="I45" s="90"/>
      <c r="J45" s="90">
        <f t="shared" ref="J45:K45" si="42">250*J43</f>
        <v>0</v>
      </c>
      <c r="K45" s="90">
        <f t="shared" si="42"/>
        <v>0</v>
      </c>
      <c r="L45" s="90"/>
      <c r="M45" s="90"/>
      <c r="N45" s="271">
        <f t="shared" si="40"/>
        <v>0</v>
      </c>
    </row>
    <row r="46" spans="1:14" x14ac:dyDescent="0.35">
      <c r="A46" s="270" t="s">
        <v>154</v>
      </c>
      <c r="B46" s="90"/>
      <c r="C46" s="90">
        <f>4000*C43</f>
        <v>0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271">
        <f t="shared" si="40"/>
        <v>0</v>
      </c>
    </row>
    <row r="47" spans="1:14" x14ac:dyDescent="0.35">
      <c r="A47" s="270" t="s">
        <v>148</v>
      </c>
      <c r="B47" s="90">
        <v>1000</v>
      </c>
      <c r="C47" s="90">
        <v>1000</v>
      </c>
      <c r="D47" s="90">
        <v>1000</v>
      </c>
      <c r="E47" s="90">
        <v>1000</v>
      </c>
      <c r="F47" s="90">
        <v>1000</v>
      </c>
      <c r="G47" s="90">
        <v>1000</v>
      </c>
      <c r="H47" s="90">
        <v>1000</v>
      </c>
      <c r="I47" s="90">
        <v>1000</v>
      </c>
      <c r="J47" s="90">
        <v>1000</v>
      </c>
      <c r="K47" s="90">
        <v>1000</v>
      </c>
      <c r="L47" s="90">
        <v>1000</v>
      </c>
      <c r="M47" s="90"/>
      <c r="N47" s="271">
        <f t="shared" si="40"/>
        <v>11000</v>
      </c>
    </row>
    <row r="48" spans="1:14" x14ac:dyDescent="0.35">
      <c r="A48" s="272" t="s">
        <v>145</v>
      </c>
      <c r="B48" s="91">
        <f t="shared" ref="B48:M48" si="43">SUM(B44:B47)</f>
        <v>1000</v>
      </c>
      <c r="C48" s="91">
        <f t="shared" si="43"/>
        <v>1000</v>
      </c>
      <c r="D48" s="91">
        <f t="shared" si="43"/>
        <v>1000</v>
      </c>
      <c r="E48" s="91">
        <f t="shared" si="43"/>
        <v>1000</v>
      </c>
      <c r="F48" s="91">
        <f t="shared" si="43"/>
        <v>1000</v>
      </c>
      <c r="G48" s="91">
        <f t="shared" si="43"/>
        <v>1000</v>
      </c>
      <c r="H48" s="91">
        <f t="shared" si="43"/>
        <v>1000</v>
      </c>
      <c r="I48" s="91">
        <f t="shared" si="43"/>
        <v>1000</v>
      </c>
      <c r="J48" s="91">
        <f t="shared" si="43"/>
        <v>1000</v>
      </c>
      <c r="K48" s="91">
        <f t="shared" si="43"/>
        <v>1000</v>
      </c>
      <c r="L48" s="91">
        <f t="shared" si="43"/>
        <v>1000</v>
      </c>
      <c r="M48" s="91">
        <f t="shared" si="43"/>
        <v>0</v>
      </c>
      <c r="N48" s="271">
        <f t="shared" si="40"/>
        <v>11000</v>
      </c>
    </row>
    <row r="49" spans="1:14" x14ac:dyDescent="0.35">
      <c r="A49" s="238" t="s">
        <v>144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269" t="e">
        <f>+N42/N43</f>
        <v>#DIV/0!</v>
      </c>
    </row>
    <row r="50" spans="1:14" x14ac:dyDescent="0.35">
      <c r="A50" s="235" t="s">
        <v>378</v>
      </c>
      <c r="B50" s="80">
        <f>+B56</f>
        <v>1000</v>
      </c>
      <c r="C50" s="80">
        <f t="shared" ref="C50:M50" si="44">+C56</f>
        <v>1000</v>
      </c>
      <c r="D50" s="80">
        <f t="shared" si="44"/>
        <v>1000</v>
      </c>
      <c r="E50" s="80">
        <f t="shared" si="44"/>
        <v>1000</v>
      </c>
      <c r="F50" s="80">
        <f t="shared" si="44"/>
        <v>1000</v>
      </c>
      <c r="G50" s="80">
        <f t="shared" si="44"/>
        <v>1000</v>
      </c>
      <c r="H50" s="80">
        <f t="shared" si="44"/>
        <v>1000</v>
      </c>
      <c r="I50" s="80">
        <f t="shared" si="44"/>
        <v>1000</v>
      </c>
      <c r="J50" s="80">
        <f t="shared" si="44"/>
        <v>1000</v>
      </c>
      <c r="K50" s="80">
        <f t="shared" si="44"/>
        <v>1000</v>
      </c>
      <c r="L50" s="80">
        <f t="shared" si="44"/>
        <v>1000</v>
      </c>
      <c r="M50" s="80">
        <f t="shared" si="44"/>
        <v>0</v>
      </c>
      <c r="N50" s="273">
        <f>SUM(B50:M50)</f>
        <v>11000</v>
      </c>
    </row>
    <row r="51" spans="1:14" x14ac:dyDescent="0.35">
      <c r="A51" s="238" t="s">
        <v>93</v>
      </c>
      <c r="B51" s="239">
        <f>+'Plan de culture 104 '!$X$37</f>
        <v>0</v>
      </c>
      <c r="C51" s="239">
        <f>+B51</f>
        <v>0</v>
      </c>
      <c r="D51" s="239">
        <f t="shared" ref="D51" si="45">+C51</f>
        <v>0</v>
      </c>
      <c r="E51" s="239">
        <f>+'Plan de culture 104 '!C47</f>
        <v>0</v>
      </c>
      <c r="F51" s="239">
        <f>+E51+'Plan de culture 104 '!D47+'Plan de culture 104 '!E47</f>
        <v>0</v>
      </c>
      <c r="G51" s="239">
        <f>+F51</f>
        <v>0</v>
      </c>
      <c r="H51" s="239">
        <f t="shared" ref="H51:M51" si="46">+G51</f>
        <v>0</v>
      </c>
      <c r="I51" s="239">
        <f t="shared" si="46"/>
        <v>0</v>
      </c>
      <c r="J51" s="239">
        <f t="shared" si="46"/>
        <v>0</v>
      </c>
      <c r="K51" s="239">
        <f t="shared" si="46"/>
        <v>0</v>
      </c>
      <c r="L51" s="239">
        <f t="shared" si="46"/>
        <v>0</v>
      </c>
      <c r="M51" s="239">
        <f t="shared" si="46"/>
        <v>0</v>
      </c>
      <c r="N51" s="240">
        <f>+'Plan de culture 104 '!$X$37</f>
        <v>0</v>
      </c>
    </row>
    <row r="52" spans="1:14" x14ac:dyDescent="0.35">
      <c r="A52" s="270" t="s">
        <v>146</v>
      </c>
      <c r="B52" s="90">
        <f>250*B51</f>
        <v>0</v>
      </c>
      <c r="C52" s="90">
        <f>B52</f>
        <v>0</v>
      </c>
      <c r="D52" s="90">
        <f t="shared" ref="D52:L52" si="47">C52</f>
        <v>0</v>
      </c>
      <c r="E52" s="90">
        <f t="shared" si="47"/>
        <v>0</v>
      </c>
      <c r="F52" s="90">
        <f t="shared" si="47"/>
        <v>0</v>
      </c>
      <c r="G52" s="90">
        <f t="shared" si="47"/>
        <v>0</v>
      </c>
      <c r="H52" s="90">
        <f t="shared" si="47"/>
        <v>0</v>
      </c>
      <c r="I52" s="90">
        <f t="shared" si="47"/>
        <v>0</v>
      </c>
      <c r="J52" s="90">
        <f t="shared" si="47"/>
        <v>0</v>
      </c>
      <c r="K52" s="90">
        <f t="shared" si="47"/>
        <v>0</v>
      </c>
      <c r="L52" s="90">
        <f t="shared" si="47"/>
        <v>0</v>
      </c>
      <c r="M52" s="90"/>
      <c r="N52" s="271">
        <f t="shared" ref="N52:N56" si="48">SUM(B52:M52)</f>
        <v>0</v>
      </c>
    </row>
    <row r="53" spans="1:14" x14ac:dyDescent="0.35">
      <c r="A53" s="270" t="s">
        <v>147</v>
      </c>
      <c r="B53" s="90"/>
      <c r="C53" s="90">
        <f>250*C51</f>
        <v>0</v>
      </c>
      <c r="D53" s="90">
        <f>250*D51</f>
        <v>0</v>
      </c>
      <c r="E53" s="90"/>
      <c r="F53" s="90"/>
      <c r="G53" s="90">
        <f t="shared" ref="G53:H53" si="49">250*G51</f>
        <v>0</v>
      </c>
      <c r="H53" s="90">
        <f t="shared" si="49"/>
        <v>0</v>
      </c>
      <c r="I53" s="90"/>
      <c r="J53" s="90">
        <f t="shared" ref="J53:K53" si="50">250*J51</f>
        <v>0</v>
      </c>
      <c r="K53" s="90">
        <f t="shared" si="50"/>
        <v>0</v>
      </c>
      <c r="L53" s="90"/>
      <c r="M53" s="90"/>
      <c r="N53" s="271">
        <f t="shared" si="48"/>
        <v>0</v>
      </c>
    </row>
    <row r="54" spans="1:14" x14ac:dyDescent="0.35">
      <c r="A54" s="270" t="s">
        <v>154</v>
      </c>
      <c r="B54" s="90"/>
      <c r="C54" s="90">
        <f>4000*C51</f>
        <v>0</v>
      </c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271">
        <f t="shared" si="48"/>
        <v>0</v>
      </c>
    </row>
    <row r="55" spans="1:14" x14ac:dyDescent="0.35">
      <c r="A55" s="270" t="s">
        <v>148</v>
      </c>
      <c r="B55" s="90">
        <v>1000</v>
      </c>
      <c r="C55" s="90">
        <v>1000</v>
      </c>
      <c r="D55" s="90">
        <v>1000</v>
      </c>
      <c r="E55" s="90">
        <v>1000</v>
      </c>
      <c r="F55" s="90">
        <v>1000</v>
      </c>
      <c r="G55" s="90">
        <v>1000</v>
      </c>
      <c r="H55" s="90">
        <v>1000</v>
      </c>
      <c r="I55" s="90">
        <v>1000</v>
      </c>
      <c r="J55" s="90">
        <v>1000</v>
      </c>
      <c r="K55" s="90">
        <v>1000</v>
      </c>
      <c r="L55" s="90">
        <v>1000</v>
      </c>
      <c r="M55" s="90"/>
      <c r="N55" s="271">
        <f t="shared" si="48"/>
        <v>11000</v>
      </c>
    </row>
    <row r="56" spans="1:14" x14ac:dyDescent="0.35">
      <c r="A56" s="272" t="s">
        <v>145</v>
      </c>
      <c r="B56" s="91">
        <f t="shared" ref="B56:M56" si="51">SUM(B52:B55)</f>
        <v>1000</v>
      </c>
      <c r="C56" s="91">
        <f t="shared" si="51"/>
        <v>1000</v>
      </c>
      <c r="D56" s="91">
        <f t="shared" si="51"/>
        <v>1000</v>
      </c>
      <c r="E56" s="91">
        <f t="shared" si="51"/>
        <v>1000</v>
      </c>
      <c r="F56" s="91">
        <f t="shared" si="51"/>
        <v>1000</v>
      </c>
      <c r="G56" s="91">
        <f t="shared" si="51"/>
        <v>1000</v>
      </c>
      <c r="H56" s="91">
        <f t="shared" si="51"/>
        <v>1000</v>
      </c>
      <c r="I56" s="91">
        <f t="shared" si="51"/>
        <v>1000</v>
      </c>
      <c r="J56" s="91">
        <f t="shared" si="51"/>
        <v>1000</v>
      </c>
      <c r="K56" s="91">
        <f t="shared" si="51"/>
        <v>1000</v>
      </c>
      <c r="L56" s="91">
        <f t="shared" si="51"/>
        <v>1000</v>
      </c>
      <c r="M56" s="91">
        <f t="shared" si="51"/>
        <v>0</v>
      </c>
      <c r="N56" s="271">
        <f t="shared" si="48"/>
        <v>11000</v>
      </c>
    </row>
    <row r="57" spans="1:14" ht="12" thickBot="1" x14ac:dyDescent="0.4">
      <c r="A57" s="241" t="s">
        <v>144</v>
      </c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74" t="e">
        <f>+N50/N51</f>
        <v>#DIV/0!</v>
      </c>
    </row>
    <row r="58" spans="1:14" x14ac:dyDescent="0.35">
      <c r="A58" s="233" t="s">
        <v>442</v>
      </c>
      <c r="B58" s="242">
        <f>+B61+B69+B77+B85+B93+B101</f>
        <v>6548.75</v>
      </c>
      <c r="C58" s="242">
        <f t="shared" ref="C58:M58" si="52">+C61+C69+C77+C85+C93+C101</f>
        <v>29477.500000000004</v>
      </c>
      <c r="D58" s="242">
        <f t="shared" si="52"/>
        <v>7897.5</v>
      </c>
      <c r="E58" s="242">
        <f t="shared" si="52"/>
        <v>6548.75</v>
      </c>
      <c r="F58" s="242">
        <f t="shared" si="52"/>
        <v>6548.75</v>
      </c>
      <c r="G58" s="242">
        <f t="shared" si="52"/>
        <v>7897.5</v>
      </c>
      <c r="H58" s="242">
        <f t="shared" si="52"/>
        <v>7897.5</v>
      </c>
      <c r="I58" s="242">
        <f t="shared" si="52"/>
        <v>6548.75</v>
      </c>
      <c r="J58" s="242">
        <f t="shared" si="52"/>
        <v>7897.5</v>
      </c>
      <c r="K58" s="242">
        <f t="shared" si="52"/>
        <v>7697.5</v>
      </c>
      <c r="L58" s="242">
        <f t="shared" si="52"/>
        <v>6348.75</v>
      </c>
      <c r="M58" s="242">
        <f t="shared" si="52"/>
        <v>0</v>
      </c>
      <c r="N58" s="243">
        <f>SUM(B58:M58)</f>
        <v>101308.75</v>
      </c>
    </row>
    <row r="59" spans="1:14" x14ac:dyDescent="0.35">
      <c r="A59" s="234" t="s">
        <v>93</v>
      </c>
      <c r="B59" s="81">
        <f>+B62+B78+B86+B94+B562+B70</f>
        <v>5.3950000000000005</v>
      </c>
      <c r="C59" s="81">
        <f t="shared" ref="C59:M59" si="53">+C62+C70</f>
        <v>5.3950000000000005</v>
      </c>
      <c r="D59" s="81">
        <f t="shared" si="53"/>
        <v>5.3950000000000005</v>
      </c>
      <c r="E59" s="81">
        <f t="shared" si="53"/>
        <v>5.3950000000000005</v>
      </c>
      <c r="F59" s="81">
        <f t="shared" si="53"/>
        <v>5.3950000000000005</v>
      </c>
      <c r="G59" s="81">
        <f t="shared" si="53"/>
        <v>5.3950000000000005</v>
      </c>
      <c r="H59" s="81">
        <f t="shared" si="53"/>
        <v>5.3950000000000005</v>
      </c>
      <c r="I59" s="81">
        <f t="shared" si="53"/>
        <v>5.3950000000000005</v>
      </c>
      <c r="J59" s="81">
        <f t="shared" si="53"/>
        <v>5.3950000000000005</v>
      </c>
      <c r="K59" s="81">
        <f t="shared" si="53"/>
        <v>5.3950000000000005</v>
      </c>
      <c r="L59" s="81">
        <f t="shared" si="53"/>
        <v>5.3950000000000005</v>
      </c>
      <c r="M59" s="81">
        <f t="shared" si="53"/>
        <v>5.3950000000000005</v>
      </c>
      <c r="N59" s="248">
        <f>+M59</f>
        <v>5.3950000000000005</v>
      </c>
    </row>
    <row r="60" spans="1:14" x14ac:dyDescent="0.35">
      <c r="A60" s="234" t="s">
        <v>144</v>
      </c>
      <c r="B60" s="83">
        <f>+B58/B59</f>
        <v>1213.8554216867469</v>
      </c>
      <c r="C60" s="83">
        <f>+C58/C59</f>
        <v>5463.8554216867469</v>
      </c>
      <c r="D60" s="83">
        <f>+D58/D59</f>
        <v>1463.8554216867469</v>
      </c>
      <c r="E60" s="83">
        <f t="shared" ref="E60:N60" si="54">+E58/E59</f>
        <v>1213.8554216867469</v>
      </c>
      <c r="F60" s="83">
        <f t="shared" si="54"/>
        <v>1213.8554216867469</v>
      </c>
      <c r="G60" s="83">
        <f t="shared" si="54"/>
        <v>1463.8554216867469</v>
      </c>
      <c r="H60" s="83">
        <f t="shared" si="54"/>
        <v>1463.8554216867469</v>
      </c>
      <c r="I60" s="83">
        <f t="shared" si="54"/>
        <v>1213.8554216867469</v>
      </c>
      <c r="J60" s="83">
        <f t="shared" si="54"/>
        <v>1463.8554216867469</v>
      </c>
      <c r="K60" s="83">
        <f t="shared" si="54"/>
        <v>1426.7840593141798</v>
      </c>
      <c r="L60" s="83">
        <f t="shared" si="54"/>
        <v>1176.7840593141798</v>
      </c>
      <c r="M60" s="83">
        <f t="shared" si="54"/>
        <v>0</v>
      </c>
      <c r="N60" s="249">
        <f t="shared" si="54"/>
        <v>18778.266913809082</v>
      </c>
    </row>
    <row r="61" spans="1:14" x14ac:dyDescent="0.35">
      <c r="A61" s="235" t="s">
        <v>90</v>
      </c>
      <c r="B61" s="80">
        <f>+B67</f>
        <v>200</v>
      </c>
      <c r="C61" s="80">
        <f t="shared" ref="C61:M61" si="55">+C67</f>
        <v>200</v>
      </c>
      <c r="D61" s="80">
        <f t="shared" si="55"/>
        <v>200</v>
      </c>
      <c r="E61" s="80">
        <f t="shared" si="55"/>
        <v>200</v>
      </c>
      <c r="F61" s="80">
        <f t="shared" si="55"/>
        <v>200</v>
      </c>
      <c r="G61" s="80">
        <f t="shared" si="55"/>
        <v>200</v>
      </c>
      <c r="H61" s="80">
        <f t="shared" si="55"/>
        <v>200</v>
      </c>
      <c r="I61" s="80">
        <f t="shared" si="55"/>
        <v>200</v>
      </c>
      <c r="J61" s="80">
        <f t="shared" si="55"/>
        <v>200</v>
      </c>
      <c r="K61" s="80">
        <f t="shared" si="55"/>
        <v>0</v>
      </c>
      <c r="L61" s="80">
        <f t="shared" si="55"/>
        <v>0</v>
      </c>
      <c r="M61" s="80">
        <f t="shared" si="55"/>
        <v>0</v>
      </c>
      <c r="N61" s="244">
        <f>SUM(B61:M61)</f>
        <v>1800</v>
      </c>
    </row>
    <row r="62" spans="1:14" x14ac:dyDescent="0.35">
      <c r="A62" s="238" t="s">
        <v>93</v>
      </c>
      <c r="B62" s="239">
        <f>+'Plan de culture 105'!$I$7</f>
        <v>0</v>
      </c>
      <c r="C62" s="239">
        <f>+B62</f>
        <v>0</v>
      </c>
      <c r="D62" s="239">
        <f t="shared" ref="D62" si="56">+C62</f>
        <v>0</v>
      </c>
      <c r="E62" s="239">
        <f>+D62</f>
        <v>0</v>
      </c>
      <c r="F62" s="239">
        <f>+E62</f>
        <v>0</v>
      </c>
      <c r="G62" s="239">
        <f>+F62</f>
        <v>0</v>
      </c>
      <c r="H62" s="239">
        <f t="shared" ref="H62:M62" si="57">+G62</f>
        <v>0</v>
      </c>
      <c r="I62" s="239">
        <f t="shared" si="57"/>
        <v>0</v>
      </c>
      <c r="J62" s="239">
        <f t="shared" si="57"/>
        <v>0</v>
      </c>
      <c r="K62" s="239">
        <f t="shared" si="57"/>
        <v>0</v>
      </c>
      <c r="L62" s="239">
        <f t="shared" si="57"/>
        <v>0</v>
      </c>
      <c r="M62" s="239">
        <f t="shared" si="57"/>
        <v>0</v>
      </c>
      <c r="N62" s="240">
        <f>+'Plan de culture 105'!$I$7</f>
        <v>0</v>
      </c>
    </row>
    <row r="63" spans="1:14" x14ac:dyDescent="0.35">
      <c r="A63" s="270" t="s">
        <v>146</v>
      </c>
      <c r="B63" s="90">
        <f>250*B62</f>
        <v>0</v>
      </c>
      <c r="C63" s="90">
        <f>B63</f>
        <v>0</v>
      </c>
      <c r="D63" s="90">
        <f t="shared" ref="D63:J63" si="58">C63</f>
        <v>0</v>
      </c>
      <c r="E63" s="90">
        <f t="shared" si="58"/>
        <v>0</v>
      </c>
      <c r="F63" s="90">
        <f t="shared" si="58"/>
        <v>0</v>
      </c>
      <c r="G63" s="90">
        <f t="shared" si="58"/>
        <v>0</v>
      </c>
      <c r="H63" s="90">
        <f t="shared" si="58"/>
        <v>0</v>
      </c>
      <c r="I63" s="90">
        <f t="shared" si="58"/>
        <v>0</v>
      </c>
      <c r="J63" s="90">
        <f t="shared" si="58"/>
        <v>0</v>
      </c>
      <c r="K63" s="90"/>
      <c r="L63" s="90"/>
      <c r="M63" s="90"/>
      <c r="N63" s="271">
        <f t="shared" ref="N63:N67" si="59">SUM(B63:M63)</f>
        <v>0</v>
      </c>
    </row>
    <row r="64" spans="1:14" x14ac:dyDescent="0.35">
      <c r="A64" s="270" t="s">
        <v>147</v>
      </c>
      <c r="B64" s="90"/>
      <c r="C64" s="90">
        <f>250*C62</f>
        <v>0</v>
      </c>
      <c r="D64" s="90">
        <f>250*D62</f>
        <v>0</v>
      </c>
      <c r="E64" s="90"/>
      <c r="F64" s="90"/>
      <c r="G64" s="90">
        <f t="shared" ref="G64:H64" si="60">250*G62</f>
        <v>0</v>
      </c>
      <c r="H64" s="90">
        <f t="shared" si="60"/>
        <v>0</v>
      </c>
      <c r="I64" s="90"/>
      <c r="J64" s="90">
        <f t="shared" ref="J64" si="61">250*J62</f>
        <v>0</v>
      </c>
      <c r="K64" s="90"/>
      <c r="L64" s="90"/>
      <c r="M64" s="90"/>
      <c r="N64" s="271">
        <f t="shared" si="59"/>
        <v>0</v>
      </c>
    </row>
    <row r="65" spans="1:14" x14ac:dyDescent="0.35">
      <c r="A65" s="270" t="s">
        <v>154</v>
      </c>
      <c r="B65" s="90"/>
      <c r="C65" s="90">
        <f>4000*C62</f>
        <v>0</v>
      </c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271">
        <f t="shared" si="59"/>
        <v>0</v>
      </c>
    </row>
    <row r="66" spans="1:14" x14ac:dyDescent="0.35">
      <c r="A66" s="270" t="s">
        <v>148</v>
      </c>
      <c r="B66" s="90">
        <v>200</v>
      </c>
      <c r="C66" s="90">
        <f>+B66</f>
        <v>200</v>
      </c>
      <c r="D66" s="90">
        <f t="shared" ref="D66:J66" si="62">+C66</f>
        <v>200</v>
      </c>
      <c r="E66" s="90">
        <f t="shared" si="62"/>
        <v>200</v>
      </c>
      <c r="F66" s="90">
        <f t="shared" si="62"/>
        <v>200</v>
      </c>
      <c r="G66" s="90">
        <f t="shared" si="62"/>
        <v>200</v>
      </c>
      <c r="H66" s="90">
        <f t="shared" si="62"/>
        <v>200</v>
      </c>
      <c r="I66" s="90">
        <f t="shared" si="62"/>
        <v>200</v>
      </c>
      <c r="J66" s="90">
        <f t="shared" si="62"/>
        <v>200</v>
      </c>
      <c r="K66" s="90"/>
      <c r="L66" s="90"/>
      <c r="M66" s="90"/>
      <c r="N66" s="271">
        <f t="shared" si="59"/>
        <v>1800</v>
      </c>
    </row>
    <row r="67" spans="1:14" x14ac:dyDescent="0.35">
      <c r="A67" s="272" t="s">
        <v>145</v>
      </c>
      <c r="B67" s="91">
        <f t="shared" ref="B67:M67" si="63">SUM(B63:B66)</f>
        <v>200</v>
      </c>
      <c r="C67" s="91">
        <f t="shared" si="63"/>
        <v>200</v>
      </c>
      <c r="D67" s="91">
        <f t="shared" si="63"/>
        <v>200</v>
      </c>
      <c r="E67" s="91">
        <f t="shared" si="63"/>
        <v>200</v>
      </c>
      <c r="F67" s="91">
        <f t="shared" si="63"/>
        <v>200</v>
      </c>
      <c r="G67" s="91">
        <f t="shared" si="63"/>
        <v>200</v>
      </c>
      <c r="H67" s="91">
        <f t="shared" si="63"/>
        <v>200</v>
      </c>
      <c r="I67" s="91">
        <f t="shared" si="63"/>
        <v>200</v>
      </c>
      <c r="J67" s="91">
        <f t="shared" si="63"/>
        <v>200</v>
      </c>
      <c r="K67" s="91">
        <f t="shared" si="63"/>
        <v>0</v>
      </c>
      <c r="L67" s="91">
        <f t="shared" si="63"/>
        <v>0</v>
      </c>
      <c r="M67" s="91">
        <f t="shared" si="63"/>
        <v>0</v>
      </c>
      <c r="N67" s="271">
        <f t="shared" si="59"/>
        <v>1800</v>
      </c>
    </row>
    <row r="68" spans="1:14" x14ac:dyDescent="0.35">
      <c r="A68" s="238" t="s">
        <v>144</v>
      </c>
      <c r="B68" s="62" t="e">
        <f>+B67/B62</f>
        <v>#DIV/0!</v>
      </c>
      <c r="C68" s="62" t="e">
        <f t="shared" ref="C68:N68" si="64">+C61/C62</f>
        <v>#DIV/0!</v>
      </c>
      <c r="D68" s="62" t="e">
        <f t="shared" si="64"/>
        <v>#DIV/0!</v>
      </c>
      <c r="E68" s="62" t="e">
        <f t="shared" si="64"/>
        <v>#DIV/0!</v>
      </c>
      <c r="F68" s="62" t="e">
        <f t="shared" si="64"/>
        <v>#DIV/0!</v>
      </c>
      <c r="G68" s="62" t="e">
        <f t="shared" si="64"/>
        <v>#DIV/0!</v>
      </c>
      <c r="H68" s="62" t="e">
        <f t="shared" si="64"/>
        <v>#DIV/0!</v>
      </c>
      <c r="I68" s="62" t="e">
        <f t="shared" si="64"/>
        <v>#DIV/0!</v>
      </c>
      <c r="J68" s="62" t="e">
        <f t="shared" si="64"/>
        <v>#DIV/0!</v>
      </c>
      <c r="K68" s="62" t="e">
        <f t="shared" si="64"/>
        <v>#DIV/0!</v>
      </c>
      <c r="L68" s="62" t="e">
        <f t="shared" si="64"/>
        <v>#DIV/0!</v>
      </c>
      <c r="M68" s="62" t="e">
        <f t="shared" si="64"/>
        <v>#DIV/0!</v>
      </c>
      <c r="N68" s="269" t="e">
        <f t="shared" si="64"/>
        <v>#DIV/0!</v>
      </c>
    </row>
    <row r="69" spans="1:14" x14ac:dyDescent="0.35">
      <c r="A69" s="235" t="s">
        <v>91</v>
      </c>
      <c r="B69" s="80">
        <f>+B75</f>
        <v>2348.75</v>
      </c>
      <c r="C69" s="80">
        <f t="shared" ref="C69:M69" si="65">+C75</f>
        <v>25277.500000000004</v>
      </c>
      <c r="D69" s="80">
        <f t="shared" si="65"/>
        <v>3697.5000000000005</v>
      </c>
      <c r="E69" s="80">
        <f t="shared" si="65"/>
        <v>2348.75</v>
      </c>
      <c r="F69" s="80">
        <f t="shared" si="65"/>
        <v>2348.75</v>
      </c>
      <c r="G69" s="80">
        <f t="shared" si="65"/>
        <v>3697.5000000000005</v>
      </c>
      <c r="H69" s="80">
        <f t="shared" si="65"/>
        <v>3697.5000000000005</v>
      </c>
      <c r="I69" s="80">
        <f t="shared" si="65"/>
        <v>2348.75</v>
      </c>
      <c r="J69" s="80">
        <f t="shared" si="65"/>
        <v>3697.5000000000005</v>
      </c>
      <c r="K69" s="80">
        <f t="shared" si="65"/>
        <v>3697.5000000000005</v>
      </c>
      <c r="L69" s="80">
        <f t="shared" si="65"/>
        <v>2348.75</v>
      </c>
      <c r="M69" s="80">
        <f t="shared" si="65"/>
        <v>0</v>
      </c>
      <c r="N69" s="273">
        <f>SUM(B69:M69)</f>
        <v>55508.75</v>
      </c>
    </row>
    <row r="70" spans="1:14" x14ac:dyDescent="0.35">
      <c r="A70" s="238" t="s">
        <v>93</v>
      </c>
      <c r="B70" s="239">
        <f>+'Plan de culture 105'!$I$13</f>
        <v>5.3950000000000005</v>
      </c>
      <c r="C70" s="239">
        <f>+B70</f>
        <v>5.3950000000000005</v>
      </c>
      <c r="D70" s="239">
        <f t="shared" ref="D70:M70" si="66">+C70</f>
        <v>5.3950000000000005</v>
      </c>
      <c r="E70" s="239">
        <f t="shared" si="66"/>
        <v>5.3950000000000005</v>
      </c>
      <c r="F70" s="239">
        <f t="shared" si="66"/>
        <v>5.3950000000000005</v>
      </c>
      <c r="G70" s="239">
        <f t="shared" si="66"/>
        <v>5.3950000000000005</v>
      </c>
      <c r="H70" s="239">
        <f t="shared" si="66"/>
        <v>5.3950000000000005</v>
      </c>
      <c r="I70" s="239">
        <f t="shared" si="66"/>
        <v>5.3950000000000005</v>
      </c>
      <c r="J70" s="239">
        <f t="shared" si="66"/>
        <v>5.3950000000000005</v>
      </c>
      <c r="K70" s="239">
        <f t="shared" si="66"/>
        <v>5.3950000000000005</v>
      </c>
      <c r="L70" s="239">
        <f t="shared" si="66"/>
        <v>5.3950000000000005</v>
      </c>
      <c r="M70" s="239">
        <f t="shared" si="66"/>
        <v>5.3950000000000005</v>
      </c>
      <c r="N70" s="240">
        <f>+'Plan de culture 105'!$I$13</f>
        <v>5.3950000000000005</v>
      </c>
    </row>
    <row r="71" spans="1:14" x14ac:dyDescent="0.35">
      <c r="A71" s="270" t="s">
        <v>146</v>
      </c>
      <c r="B71" s="90">
        <f>250*B70</f>
        <v>1348.7500000000002</v>
      </c>
      <c r="C71" s="90">
        <f>B71</f>
        <v>1348.7500000000002</v>
      </c>
      <c r="D71" s="90">
        <f t="shared" ref="D71:L71" si="67">C71</f>
        <v>1348.7500000000002</v>
      </c>
      <c r="E71" s="90">
        <f t="shared" si="67"/>
        <v>1348.7500000000002</v>
      </c>
      <c r="F71" s="90">
        <f t="shared" si="67"/>
        <v>1348.7500000000002</v>
      </c>
      <c r="G71" s="90">
        <f t="shared" si="67"/>
        <v>1348.7500000000002</v>
      </c>
      <c r="H71" s="90">
        <f t="shared" si="67"/>
        <v>1348.7500000000002</v>
      </c>
      <c r="I71" s="90">
        <f t="shared" si="67"/>
        <v>1348.7500000000002</v>
      </c>
      <c r="J71" s="90">
        <f t="shared" si="67"/>
        <v>1348.7500000000002</v>
      </c>
      <c r="K71" s="90">
        <f t="shared" si="67"/>
        <v>1348.7500000000002</v>
      </c>
      <c r="L71" s="90">
        <f t="shared" si="67"/>
        <v>1348.7500000000002</v>
      </c>
      <c r="M71" s="90"/>
      <c r="N71" s="271">
        <f t="shared" ref="N71:N75" si="68">SUM(B71:M71)</f>
        <v>14836.250000000002</v>
      </c>
    </row>
    <row r="72" spans="1:14" x14ac:dyDescent="0.35">
      <c r="A72" s="270" t="s">
        <v>147</v>
      </c>
      <c r="B72" s="90"/>
      <c r="C72" s="90">
        <f>250*C70</f>
        <v>1348.7500000000002</v>
      </c>
      <c r="D72" s="90">
        <f>250*D70</f>
        <v>1348.7500000000002</v>
      </c>
      <c r="E72" s="90"/>
      <c r="F72" s="90"/>
      <c r="G72" s="90">
        <f t="shared" ref="G72:H72" si="69">250*G70</f>
        <v>1348.7500000000002</v>
      </c>
      <c r="H72" s="90">
        <f t="shared" si="69"/>
        <v>1348.7500000000002</v>
      </c>
      <c r="I72" s="90"/>
      <c r="J72" s="90">
        <f t="shared" ref="J72:K72" si="70">250*J70</f>
        <v>1348.7500000000002</v>
      </c>
      <c r="K72" s="90">
        <f t="shared" si="70"/>
        <v>1348.7500000000002</v>
      </c>
      <c r="L72" s="90"/>
      <c r="M72" s="90"/>
      <c r="N72" s="271">
        <f t="shared" si="68"/>
        <v>8092.5000000000009</v>
      </c>
    </row>
    <row r="73" spans="1:14" x14ac:dyDescent="0.35">
      <c r="A73" s="270" t="s">
        <v>154</v>
      </c>
      <c r="B73" s="90"/>
      <c r="C73" s="90">
        <f>4000*C70</f>
        <v>21580.000000000004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271">
        <f t="shared" si="68"/>
        <v>21580.000000000004</v>
      </c>
    </row>
    <row r="74" spans="1:14" x14ac:dyDescent="0.35">
      <c r="A74" s="270" t="s">
        <v>148</v>
      </c>
      <c r="B74" s="90">
        <v>1000</v>
      </c>
      <c r="C74" s="90">
        <v>1000</v>
      </c>
      <c r="D74" s="90">
        <v>1000</v>
      </c>
      <c r="E74" s="90">
        <v>1000</v>
      </c>
      <c r="F74" s="90">
        <v>1000</v>
      </c>
      <c r="G74" s="90">
        <v>1000</v>
      </c>
      <c r="H74" s="90">
        <v>1000</v>
      </c>
      <c r="I74" s="90">
        <v>1000</v>
      </c>
      <c r="J74" s="90">
        <v>1000</v>
      </c>
      <c r="K74" s="90">
        <v>1000</v>
      </c>
      <c r="L74" s="90">
        <v>1000</v>
      </c>
      <c r="M74" s="90"/>
      <c r="N74" s="271">
        <f t="shared" si="68"/>
        <v>11000</v>
      </c>
    </row>
    <row r="75" spans="1:14" x14ac:dyDescent="0.35">
      <c r="A75" s="272" t="s">
        <v>145</v>
      </c>
      <c r="B75" s="91">
        <f t="shared" ref="B75:M75" si="71">SUM(B71:B74)</f>
        <v>2348.75</v>
      </c>
      <c r="C75" s="91">
        <f t="shared" si="71"/>
        <v>25277.500000000004</v>
      </c>
      <c r="D75" s="91">
        <f t="shared" si="71"/>
        <v>3697.5000000000005</v>
      </c>
      <c r="E75" s="91">
        <f t="shared" si="71"/>
        <v>2348.75</v>
      </c>
      <c r="F75" s="91">
        <f t="shared" si="71"/>
        <v>2348.75</v>
      </c>
      <c r="G75" s="91">
        <f t="shared" si="71"/>
        <v>3697.5000000000005</v>
      </c>
      <c r="H75" s="91">
        <f t="shared" si="71"/>
        <v>3697.5000000000005</v>
      </c>
      <c r="I75" s="91">
        <f t="shared" si="71"/>
        <v>2348.75</v>
      </c>
      <c r="J75" s="91">
        <f t="shared" si="71"/>
        <v>3697.5000000000005</v>
      </c>
      <c r="K75" s="91">
        <f t="shared" si="71"/>
        <v>3697.5000000000005</v>
      </c>
      <c r="L75" s="91">
        <f t="shared" si="71"/>
        <v>2348.75</v>
      </c>
      <c r="M75" s="91">
        <f t="shared" si="71"/>
        <v>0</v>
      </c>
      <c r="N75" s="271">
        <f t="shared" si="68"/>
        <v>55508.75</v>
      </c>
    </row>
    <row r="76" spans="1:14" x14ac:dyDescent="0.35">
      <c r="A76" s="238" t="s">
        <v>144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269">
        <f>+N69/N70</f>
        <v>10288.924930491195</v>
      </c>
    </row>
    <row r="77" spans="1:14" x14ac:dyDescent="0.35">
      <c r="A77" s="235" t="s">
        <v>376</v>
      </c>
      <c r="B77" s="80">
        <f>+B83</f>
        <v>1000</v>
      </c>
      <c r="C77" s="80">
        <f t="shared" ref="C77:M77" si="72">+C83</f>
        <v>1000</v>
      </c>
      <c r="D77" s="80">
        <f t="shared" si="72"/>
        <v>1000</v>
      </c>
      <c r="E77" s="80">
        <f t="shared" si="72"/>
        <v>1000</v>
      </c>
      <c r="F77" s="80">
        <f t="shared" si="72"/>
        <v>1000</v>
      </c>
      <c r="G77" s="80">
        <f t="shared" si="72"/>
        <v>1000</v>
      </c>
      <c r="H77" s="80">
        <f t="shared" si="72"/>
        <v>1000</v>
      </c>
      <c r="I77" s="80">
        <f t="shared" si="72"/>
        <v>1000</v>
      </c>
      <c r="J77" s="80">
        <f t="shared" si="72"/>
        <v>1000</v>
      </c>
      <c r="K77" s="80">
        <f t="shared" si="72"/>
        <v>1000</v>
      </c>
      <c r="L77" s="80">
        <f t="shared" si="72"/>
        <v>1000</v>
      </c>
      <c r="M77" s="80">
        <f t="shared" si="72"/>
        <v>0</v>
      </c>
      <c r="N77" s="273">
        <f>SUM(B77:M77)</f>
        <v>11000</v>
      </c>
    </row>
    <row r="78" spans="1:14" x14ac:dyDescent="0.35">
      <c r="A78" s="238" t="s">
        <v>93</v>
      </c>
      <c r="B78" s="239">
        <f>+'Plan de culture 105'!$I$19</f>
        <v>0</v>
      </c>
      <c r="C78" s="239">
        <f>+B78</f>
        <v>0</v>
      </c>
      <c r="D78" s="239">
        <f t="shared" ref="D78" si="73">+C78</f>
        <v>0</v>
      </c>
      <c r="E78" s="239">
        <f>+'Plan de culture 104 '!C74</f>
        <v>0</v>
      </c>
      <c r="F78" s="239">
        <f>+E78+'Plan de culture 104 '!D74+'Plan de culture 104 '!E74</f>
        <v>0</v>
      </c>
      <c r="G78" s="239">
        <f>+F78</f>
        <v>0</v>
      </c>
      <c r="H78" s="239">
        <f t="shared" ref="H78:M78" si="74">+G78</f>
        <v>0</v>
      </c>
      <c r="I78" s="239">
        <f t="shared" si="74"/>
        <v>0</v>
      </c>
      <c r="J78" s="239">
        <f t="shared" si="74"/>
        <v>0</v>
      </c>
      <c r="K78" s="239">
        <f t="shared" si="74"/>
        <v>0</v>
      </c>
      <c r="L78" s="239">
        <f t="shared" si="74"/>
        <v>0</v>
      </c>
      <c r="M78" s="239">
        <f t="shared" si="74"/>
        <v>0</v>
      </c>
      <c r="N78" s="240">
        <f>+'Plan de culture 105'!$I$19</f>
        <v>0</v>
      </c>
    </row>
    <row r="79" spans="1:14" x14ac:dyDescent="0.35">
      <c r="A79" s="270" t="s">
        <v>146</v>
      </c>
      <c r="B79" s="90">
        <f>250*B78</f>
        <v>0</v>
      </c>
      <c r="C79" s="90">
        <f>B79</f>
        <v>0</v>
      </c>
      <c r="D79" s="90">
        <f t="shared" ref="D79:L79" si="75">C79</f>
        <v>0</v>
      </c>
      <c r="E79" s="90">
        <f t="shared" si="75"/>
        <v>0</v>
      </c>
      <c r="F79" s="90">
        <f t="shared" si="75"/>
        <v>0</v>
      </c>
      <c r="G79" s="90">
        <f t="shared" si="75"/>
        <v>0</v>
      </c>
      <c r="H79" s="90">
        <f t="shared" si="75"/>
        <v>0</v>
      </c>
      <c r="I79" s="90">
        <f t="shared" si="75"/>
        <v>0</v>
      </c>
      <c r="J79" s="90">
        <f t="shared" si="75"/>
        <v>0</v>
      </c>
      <c r="K79" s="90">
        <f t="shared" si="75"/>
        <v>0</v>
      </c>
      <c r="L79" s="90">
        <f t="shared" si="75"/>
        <v>0</v>
      </c>
      <c r="M79" s="90"/>
      <c r="N79" s="271">
        <f t="shared" ref="N79:N83" si="76">SUM(B79:M79)</f>
        <v>0</v>
      </c>
    </row>
    <row r="80" spans="1:14" x14ac:dyDescent="0.35">
      <c r="A80" s="270" t="s">
        <v>147</v>
      </c>
      <c r="B80" s="90"/>
      <c r="C80" s="90">
        <f>250*C78</f>
        <v>0</v>
      </c>
      <c r="D80" s="90">
        <f>250*D78</f>
        <v>0</v>
      </c>
      <c r="E80" s="90"/>
      <c r="F80" s="90"/>
      <c r="G80" s="90">
        <f t="shared" ref="G80:H80" si="77">250*G78</f>
        <v>0</v>
      </c>
      <c r="H80" s="90">
        <f t="shared" si="77"/>
        <v>0</v>
      </c>
      <c r="I80" s="90"/>
      <c r="J80" s="90">
        <f t="shared" ref="J80:K80" si="78">250*J78</f>
        <v>0</v>
      </c>
      <c r="K80" s="90">
        <f t="shared" si="78"/>
        <v>0</v>
      </c>
      <c r="L80" s="90"/>
      <c r="M80" s="90"/>
      <c r="N80" s="271">
        <f t="shared" si="76"/>
        <v>0</v>
      </c>
    </row>
    <row r="81" spans="1:14" x14ac:dyDescent="0.35">
      <c r="A81" s="270" t="s">
        <v>154</v>
      </c>
      <c r="B81" s="90"/>
      <c r="C81" s="90">
        <f>4000*C78</f>
        <v>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271">
        <f t="shared" si="76"/>
        <v>0</v>
      </c>
    </row>
    <row r="82" spans="1:14" x14ac:dyDescent="0.35">
      <c r="A82" s="270" t="s">
        <v>148</v>
      </c>
      <c r="B82" s="90">
        <v>1000</v>
      </c>
      <c r="C82" s="90">
        <v>1000</v>
      </c>
      <c r="D82" s="90">
        <v>1000</v>
      </c>
      <c r="E82" s="90">
        <v>1000</v>
      </c>
      <c r="F82" s="90">
        <v>1000</v>
      </c>
      <c r="G82" s="90">
        <v>1000</v>
      </c>
      <c r="H82" s="90">
        <v>1000</v>
      </c>
      <c r="I82" s="90">
        <v>1000</v>
      </c>
      <c r="J82" s="90">
        <v>1000</v>
      </c>
      <c r="K82" s="90">
        <v>1000</v>
      </c>
      <c r="L82" s="90">
        <v>1000</v>
      </c>
      <c r="M82" s="90"/>
      <c r="N82" s="271">
        <f t="shared" si="76"/>
        <v>11000</v>
      </c>
    </row>
    <row r="83" spans="1:14" x14ac:dyDescent="0.35">
      <c r="A83" s="272" t="s">
        <v>145</v>
      </c>
      <c r="B83" s="91">
        <f t="shared" ref="B83:M83" si="79">SUM(B79:B82)</f>
        <v>1000</v>
      </c>
      <c r="C83" s="91">
        <f t="shared" si="79"/>
        <v>1000</v>
      </c>
      <c r="D83" s="91">
        <f t="shared" si="79"/>
        <v>1000</v>
      </c>
      <c r="E83" s="91">
        <f t="shared" si="79"/>
        <v>1000</v>
      </c>
      <c r="F83" s="91">
        <f t="shared" si="79"/>
        <v>1000</v>
      </c>
      <c r="G83" s="91">
        <f t="shared" si="79"/>
        <v>1000</v>
      </c>
      <c r="H83" s="91">
        <f t="shared" si="79"/>
        <v>1000</v>
      </c>
      <c r="I83" s="91">
        <f t="shared" si="79"/>
        <v>1000</v>
      </c>
      <c r="J83" s="91">
        <f t="shared" si="79"/>
        <v>1000</v>
      </c>
      <c r="K83" s="91">
        <f t="shared" si="79"/>
        <v>1000</v>
      </c>
      <c r="L83" s="91">
        <f t="shared" si="79"/>
        <v>1000</v>
      </c>
      <c r="M83" s="91">
        <f t="shared" si="79"/>
        <v>0</v>
      </c>
      <c r="N83" s="271">
        <f t="shared" si="76"/>
        <v>11000</v>
      </c>
    </row>
    <row r="84" spans="1:14" x14ac:dyDescent="0.35">
      <c r="A84" s="238" t="s">
        <v>144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269" t="e">
        <f>+N77/N78</f>
        <v>#DIV/0!</v>
      </c>
    </row>
    <row r="85" spans="1:14" x14ac:dyDescent="0.35">
      <c r="A85" s="235" t="s">
        <v>92</v>
      </c>
      <c r="B85" s="80">
        <f>+B91</f>
        <v>1000</v>
      </c>
      <c r="C85" s="80">
        <f t="shared" ref="C85:M85" si="80">+C91</f>
        <v>1000</v>
      </c>
      <c r="D85" s="80">
        <f t="shared" si="80"/>
        <v>1000</v>
      </c>
      <c r="E85" s="80">
        <f t="shared" si="80"/>
        <v>1000</v>
      </c>
      <c r="F85" s="80">
        <f t="shared" si="80"/>
        <v>1000</v>
      </c>
      <c r="G85" s="80">
        <f t="shared" si="80"/>
        <v>1000</v>
      </c>
      <c r="H85" s="80">
        <f t="shared" si="80"/>
        <v>1000</v>
      </c>
      <c r="I85" s="80">
        <f t="shared" si="80"/>
        <v>1000</v>
      </c>
      <c r="J85" s="80">
        <f t="shared" si="80"/>
        <v>1000</v>
      </c>
      <c r="K85" s="80">
        <f t="shared" si="80"/>
        <v>1000</v>
      </c>
      <c r="L85" s="80">
        <f t="shared" si="80"/>
        <v>1000</v>
      </c>
      <c r="M85" s="80">
        <f t="shared" si="80"/>
        <v>0</v>
      </c>
      <c r="N85" s="273">
        <f>SUM(B85:M85)</f>
        <v>11000</v>
      </c>
    </row>
    <row r="86" spans="1:14" x14ac:dyDescent="0.35">
      <c r="A86" s="238" t="s">
        <v>93</v>
      </c>
      <c r="B86" s="239">
        <f>+'Plan de culture 105'!$I$25</f>
        <v>0</v>
      </c>
      <c r="C86" s="239">
        <f>+B86</f>
        <v>0</v>
      </c>
      <c r="D86" s="239">
        <f t="shared" ref="D86" si="81">+C86</f>
        <v>0</v>
      </c>
      <c r="E86" s="239">
        <f>+'Plan de culture 104 '!C82</f>
        <v>0</v>
      </c>
      <c r="F86" s="239">
        <f>+E86+'Plan de culture 104 '!D82+'Plan de culture 104 '!E82</f>
        <v>0</v>
      </c>
      <c r="G86" s="239">
        <f>+F86</f>
        <v>0</v>
      </c>
      <c r="H86" s="239">
        <f t="shared" ref="H86:M86" si="82">+G86</f>
        <v>0</v>
      </c>
      <c r="I86" s="239">
        <f t="shared" si="82"/>
        <v>0</v>
      </c>
      <c r="J86" s="239">
        <f t="shared" si="82"/>
        <v>0</v>
      </c>
      <c r="K86" s="239">
        <f t="shared" si="82"/>
        <v>0</v>
      </c>
      <c r="L86" s="239">
        <f t="shared" si="82"/>
        <v>0</v>
      </c>
      <c r="M86" s="239">
        <f t="shared" si="82"/>
        <v>0</v>
      </c>
      <c r="N86" s="240">
        <f>+'Plan de culture 105'!$I$25</f>
        <v>0</v>
      </c>
    </row>
    <row r="87" spans="1:14" x14ac:dyDescent="0.35">
      <c r="A87" s="270" t="s">
        <v>146</v>
      </c>
      <c r="B87" s="90">
        <f>250*B86</f>
        <v>0</v>
      </c>
      <c r="C87" s="90">
        <f>B87</f>
        <v>0</v>
      </c>
      <c r="D87" s="90">
        <f t="shared" ref="D87:L87" si="83">C87</f>
        <v>0</v>
      </c>
      <c r="E87" s="90">
        <f t="shared" si="83"/>
        <v>0</v>
      </c>
      <c r="F87" s="90">
        <f t="shared" si="83"/>
        <v>0</v>
      </c>
      <c r="G87" s="90">
        <f t="shared" si="83"/>
        <v>0</v>
      </c>
      <c r="H87" s="90">
        <f t="shared" si="83"/>
        <v>0</v>
      </c>
      <c r="I87" s="90">
        <f t="shared" si="83"/>
        <v>0</v>
      </c>
      <c r="J87" s="90">
        <f t="shared" si="83"/>
        <v>0</v>
      </c>
      <c r="K87" s="90">
        <f t="shared" si="83"/>
        <v>0</v>
      </c>
      <c r="L87" s="90">
        <f t="shared" si="83"/>
        <v>0</v>
      </c>
      <c r="M87" s="90"/>
      <c r="N87" s="271">
        <f t="shared" ref="N87:N91" si="84">SUM(B87:M87)</f>
        <v>0</v>
      </c>
    </row>
    <row r="88" spans="1:14" x14ac:dyDescent="0.35">
      <c r="A88" s="270" t="s">
        <v>147</v>
      </c>
      <c r="B88" s="90"/>
      <c r="C88" s="90">
        <f>250*C86</f>
        <v>0</v>
      </c>
      <c r="D88" s="90">
        <f>250*D86</f>
        <v>0</v>
      </c>
      <c r="E88" s="90"/>
      <c r="F88" s="90"/>
      <c r="G88" s="90">
        <f t="shared" ref="G88:H88" si="85">250*G86</f>
        <v>0</v>
      </c>
      <c r="H88" s="90">
        <f t="shared" si="85"/>
        <v>0</v>
      </c>
      <c r="I88" s="90"/>
      <c r="J88" s="90">
        <f t="shared" ref="J88:K88" si="86">250*J86</f>
        <v>0</v>
      </c>
      <c r="K88" s="90">
        <f t="shared" si="86"/>
        <v>0</v>
      </c>
      <c r="L88" s="90"/>
      <c r="M88" s="90"/>
      <c r="N88" s="271">
        <f t="shared" si="84"/>
        <v>0</v>
      </c>
    </row>
    <row r="89" spans="1:14" x14ac:dyDescent="0.35">
      <c r="A89" s="270" t="s">
        <v>154</v>
      </c>
      <c r="B89" s="90"/>
      <c r="C89" s="90">
        <f>4000*C86</f>
        <v>0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271">
        <f t="shared" si="84"/>
        <v>0</v>
      </c>
    </row>
    <row r="90" spans="1:14" x14ac:dyDescent="0.35">
      <c r="A90" s="270" t="s">
        <v>148</v>
      </c>
      <c r="B90" s="90">
        <v>1000</v>
      </c>
      <c r="C90" s="90">
        <v>1000</v>
      </c>
      <c r="D90" s="90">
        <v>1000</v>
      </c>
      <c r="E90" s="90">
        <v>1000</v>
      </c>
      <c r="F90" s="90">
        <v>1000</v>
      </c>
      <c r="G90" s="90">
        <v>1000</v>
      </c>
      <c r="H90" s="90">
        <v>1000</v>
      </c>
      <c r="I90" s="90">
        <v>1000</v>
      </c>
      <c r="J90" s="90">
        <v>1000</v>
      </c>
      <c r="K90" s="90">
        <v>1000</v>
      </c>
      <c r="L90" s="90">
        <v>1000</v>
      </c>
      <c r="M90" s="90"/>
      <c r="N90" s="271">
        <f t="shared" si="84"/>
        <v>11000</v>
      </c>
    </row>
    <row r="91" spans="1:14" x14ac:dyDescent="0.35">
      <c r="A91" s="272" t="s">
        <v>145</v>
      </c>
      <c r="B91" s="91">
        <f t="shared" ref="B91:M91" si="87">SUM(B87:B90)</f>
        <v>1000</v>
      </c>
      <c r="C91" s="91">
        <f t="shared" si="87"/>
        <v>1000</v>
      </c>
      <c r="D91" s="91">
        <f t="shared" si="87"/>
        <v>1000</v>
      </c>
      <c r="E91" s="91">
        <f t="shared" si="87"/>
        <v>1000</v>
      </c>
      <c r="F91" s="91">
        <f t="shared" si="87"/>
        <v>1000</v>
      </c>
      <c r="G91" s="91">
        <f t="shared" si="87"/>
        <v>1000</v>
      </c>
      <c r="H91" s="91">
        <f t="shared" si="87"/>
        <v>1000</v>
      </c>
      <c r="I91" s="91">
        <f t="shared" si="87"/>
        <v>1000</v>
      </c>
      <c r="J91" s="91">
        <f t="shared" si="87"/>
        <v>1000</v>
      </c>
      <c r="K91" s="91">
        <f t="shared" si="87"/>
        <v>1000</v>
      </c>
      <c r="L91" s="91">
        <f t="shared" si="87"/>
        <v>1000</v>
      </c>
      <c r="M91" s="91">
        <f t="shared" si="87"/>
        <v>0</v>
      </c>
      <c r="N91" s="271">
        <f t="shared" si="84"/>
        <v>11000</v>
      </c>
    </row>
    <row r="92" spans="1:14" x14ac:dyDescent="0.35">
      <c r="A92" s="238" t="s">
        <v>144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269" t="e">
        <f>+N85/N86</f>
        <v>#DIV/0!</v>
      </c>
    </row>
    <row r="93" spans="1:14" x14ac:dyDescent="0.35">
      <c r="A93" s="235" t="s">
        <v>377</v>
      </c>
      <c r="B93" s="80">
        <f>+B99</f>
        <v>1000</v>
      </c>
      <c r="C93" s="80">
        <f t="shared" ref="C93:M93" si="88">+C99</f>
        <v>1000</v>
      </c>
      <c r="D93" s="80">
        <f t="shared" si="88"/>
        <v>1000</v>
      </c>
      <c r="E93" s="80">
        <f t="shared" si="88"/>
        <v>1000</v>
      </c>
      <c r="F93" s="80">
        <f t="shared" si="88"/>
        <v>1000</v>
      </c>
      <c r="G93" s="80">
        <f t="shared" si="88"/>
        <v>1000</v>
      </c>
      <c r="H93" s="80">
        <f t="shared" si="88"/>
        <v>1000</v>
      </c>
      <c r="I93" s="80">
        <f t="shared" si="88"/>
        <v>1000</v>
      </c>
      <c r="J93" s="80">
        <f t="shared" si="88"/>
        <v>1000</v>
      </c>
      <c r="K93" s="80">
        <f t="shared" si="88"/>
        <v>1000</v>
      </c>
      <c r="L93" s="80">
        <f t="shared" si="88"/>
        <v>1000</v>
      </c>
      <c r="M93" s="80">
        <f t="shared" si="88"/>
        <v>0</v>
      </c>
      <c r="N93" s="273">
        <f>SUM(B93:M93)</f>
        <v>11000</v>
      </c>
    </row>
    <row r="94" spans="1:14" x14ac:dyDescent="0.35">
      <c r="A94" s="238" t="s">
        <v>93</v>
      </c>
      <c r="B94" s="239">
        <f>+'Plan de culture 105'!$I$31</f>
        <v>0</v>
      </c>
      <c r="C94" s="239">
        <f>+B94</f>
        <v>0</v>
      </c>
      <c r="D94" s="239">
        <f t="shared" ref="D94" si="89">+C94</f>
        <v>0</v>
      </c>
      <c r="E94" s="239">
        <f>+'Plan de culture 104 '!C90</f>
        <v>0</v>
      </c>
      <c r="F94" s="239">
        <f>+E94+'Plan de culture 104 '!D90+'Plan de culture 104 '!E90</f>
        <v>0</v>
      </c>
      <c r="G94" s="239">
        <f>+F94</f>
        <v>0</v>
      </c>
      <c r="H94" s="239">
        <f t="shared" ref="H94:M94" si="90">+G94</f>
        <v>0</v>
      </c>
      <c r="I94" s="239">
        <f t="shared" si="90"/>
        <v>0</v>
      </c>
      <c r="J94" s="239">
        <f t="shared" si="90"/>
        <v>0</v>
      </c>
      <c r="K94" s="239">
        <f t="shared" si="90"/>
        <v>0</v>
      </c>
      <c r="L94" s="239">
        <f t="shared" si="90"/>
        <v>0</v>
      </c>
      <c r="M94" s="239">
        <f t="shared" si="90"/>
        <v>0</v>
      </c>
      <c r="N94" s="240">
        <f>+'Plan de culture 105'!$I$31</f>
        <v>0</v>
      </c>
    </row>
    <row r="95" spans="1:14" x14ac:dyDescent="0.35">
      <c r="A95" s="270" t="s">
        <v>146</v>
      </c>
      <c r="B95" s="90">
        <f>250*B94</f>
        <v>0</v>
      </c>
      <c r="C95" s="90">
        <f>B95</f>
        <v>0</v>
      </c>
      <c r="D95" s="90">
        <f t="shared" ref="D95:L95" si="91">C95</f>
        <v>0</v>
      </c>
      <c r="E95" s="90">
        <f t="shared" si="91"/>
        <v>0</v>
      </c>
      <c r="F95" s="90">
        <f t="shared" si="91"/>
        <v>0</v>
      </c>
      <c r="G95" s="90">
        <f t="shared" si="91"/>
        <v>0</v>
      </c>
      <c r="H95" s="90">
        <f t="shared" si="91"/>
        <v>0</v>
      </c>
      <c r="I95" s="90">
        <f t="shared" si="91"/>
        <v>0</v>
      </c>
      <c r="J95" s="90">
        <f t="shared" si="91"/>
        <v>0</v>
      </c>
      <c r="K95" s="90">
        <f t="shared" si="91"/>
        <v>0</v>
      </c>
      <c r="L95" s="90">
        <f t="shared" si="91"/>
        <v>0</v>
      </c>
      <c r="M95" s="90"/>
      <c r="N95" s="271">
        <f t="shared" ref="N95:N99" si="92">SUM(B95:M95)</f>
        <v>0</v>
      </c>
    </row>
    <row r="96" spans="1:14" x14ac:dyDescent="0.35">
      <c r="A96" s="270" t="s">
        <v>147</v>
      </c>
      <c r="B96" s="90"/>
      <c r="C96" s="90">
        <f>250*C94</f>
        <v>0</v>
      </c>
      <c r="D96" s="90">
        <f>250*D94</f>
        <v>0</v>
      </c>
      <c r="E96" s="90"/>
      <c r="F96" s="90"/>
      <c r="G96" s="90">
        <f t="shared" ref="G96:H96" si="93">250*G94</f>
        <v>0</v>
      </c>
      <c r="H96" s="90">
        <f t="shared" si="93"/>
        <v>0</v>
      </c>
      <c r="I96" s="90"/>
      <c r="J96" s="90">
        <f t="shared" ref="J96:K96" si="94">250*J94</f>
        <v>0</v>
      </c>
      <c r="K96" s="90">
        <f t="shared" si="94"/>
        <v>0</v>
      </c>
      <c r="L96" s="90"/>
      <c r="M96" s="90"/>
      <c r="N96" s="271">
        <f t="shared" si="92"/>
        <v>0</v>
      </c>
    </row>
    <row r="97" spans="1:14" x14ac:dyDescent="0.35">
      <c r="A97" s="270" t="s">
        <v>154</v>
      </c>
      <c r="B97" s="90"/>
      <c r="C97" s="90">
        <f>4000*C94</f>
        <v>0</v>
      </c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271">
        <f t="shared" si="92"/>
        <v>0</v>
      </c>
    </row>
    <row r="98" spans="1:14" x14ac:dyDescent="0.35">
      <c r="A98" s="270" t="s">
        <v>148</v>
      </c>
      <c r="B98" s="90">
        <v>1000</v>
      </c>
      <c r="C98" s="90">
        <v>1000</v>
      </c>
      <c r="D98" s="90">
        <v>1000</v>
      </c>
      <c r="E98" s="90">
        <v>1000</v>
      </c>
      <c r="F98" s="90">
        <v>1000</v>
      </c>
      <c r="G98" s="90">
        <v>1000</v>
      </c>
      <c r="H98" s="90">
        <v>1000</v>
      </c>
      <c r="I98" s="90">
        <v>1000</v>
      </c>
      <c r="J98" s="90">
        <v>1000</v>
      </c>
      <c r="K98" s="90">
        <v>1000</v>
      </c>
      <c r="L98" s="90">
        <v>1000</v>
      </c>
      <c r="M98" s="90"/>
      <c r="N98" s="271">
        <f t="shared" si="92"/>
        <v>11000</v>
      </c>
    </row>
    <row r="99" spans="1:14" x14ac:dyDescent="0.35">
      <c r="A99" s="272" t="s">
        <v>145</v>
      </c>
      <c r="B99" s="91">
        <f t="shared" ref="B99:M99" si="95">SUM(B95:B98)</f>
        <v>1000</v>
      </c>
      <c r="C99" s="91">
        <f t="shared" si="95"/>
        <v>1000</v>
      </c>
      <c r="D99" s="91">
        <f t="shared" si="95"/>
        <v>1000</v>
      </c>
      <c r="E99" s="91">
        <f t="shared" si="95"/>
        <v>1000</v>
      </c>
      <c r="F99" s="91">
        <f t="shared" si="95"/>
        <v>1000</v>
      </c>
      <c r="G99" s="91">
        <f t="shared" si="95"/>
        <v>1000</v>
      </c>
      <c r="H99" s="91">
        <f t="shared" si="95"/>
        <v>1000</v>
      </c>
      <c r="I99" s="91">
        <f t="shared" si="95"/>
        <v>1000</v>
      </c>
      <c r="J99" s="91">
        <f t="shared" si="95"/>
        <v>1000</v>
      </c>
      <c r="K99" s="91">
        <f t="shared" si="95"/>
        <v>1000</v>
      </c>
      <c r="L99" s="91">
        <f t="shared" si="95"/>
        <v>1000</v>
      </c>
      <c r="M99" s="91">
        <f t="shared" si="95"/>
        <v>0</v>
      </c>
      <c r="N99" s="271">
        <f t="shared" si="92"/>
        <v>11000</v>
      </c>
    </row>
    <row r="100" spans="1:14" x14ac:dyDescent="0.35">
      <c r="A100" s="238" t="s">
        <v>144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269" t="e">
        <f>+N93/N94</f>
        <v>#DIV/0!</v>
      </c>
    </row>
    <row r="101" spans="1:14" x14ac:dyDescent="0.35">
      <c r="A101" s="235" t="s">
        <v>378</v>
      </c>
      <c r="B101" s="80">
        <f>+B107</f>
        <v>1000</v>
      </c>
      <c r="C101" s="80">
        <f t="shared" ref="C101:M101" si="96">+C107</f>
        <v>1000</v>
      </c>
      <c r="D101" s="80">
        <f t="shared" si="96"/>
        <v>1000</v>
      </c>
      <c r="E101" s="80">
        <f t="shared" si="96"/>
        <v>1000</v>
      </c>
      <c r="F101" s="80">
        <f t="shared" si="96"/>
        <v>1000</v>
      </c>
      <c r="G101" s="80">
        <f t="shared" si="96"/>
        <v>1000</v>
      </c>
      <c r="H101" s="80">
        <f t="shared" si="96"/>
        <v>1000</v>
      </c>
      <c r="I101" s="80">
        <f t="shared" si="96"/>
        <v>1000</v>
      </c>
      <c r="J101" s="80">
        <f t="shared" si="96"/>
        <v>1000</v>
      </c>
      <c r="K101" s="80">
        <f t="shared" si="96"/>
        <v>1000</v>
      </c>
      <c r="L101" s="80">
        <f t="shared" si="96"/>
        <v>1000</v>
      </c>
      <c r="M101" s="80">
        <f t="shared" si="96"/>
        <v>0</v>
      </c>
      <c r="N101" s="273">
        <f>SUM(B101:M101)</f>
        <v>11000</v>
      </c>
    </row>
    <row r="102" spans="1:14" x14ac:dyDescent="0.35">
      <c r="A102" s="238" t="s">
        <v>93</v>
      </c>
      <c r="B102" s="239">
        <f>+'Plan de culture 105'!$I$37</f>
        <v>0</v>
      </c>
      <c r="C102" s="239">
        <f>+B102</f>
        <v>0</v>
      </c>
      <c r="D102" s="239">
        <f t="shared" ref="D102" si="97">+C102</f>
        <v>0</v>
      </c>
      <c r="E102" s="239">
        <f>+'Plan de culture 104 '!C98</f>
        <v>0</v>
      </c>
      <c r="F102" s="239">
        <f>+E102+'Plan de culture 104 '!D98+'Plan de culture 104 '!E98</f>
        <v>0</v>
      </c>
      <c r="G102" s="239">
        <f>+F102</f>
        <v>0</v>
      </c>
      <c r="H102" s="239">
        <f t="shared" ref="H102:M102" si="98">+G102</f>
        <v>0</v>
      </c>
      <c r="I102" s="239">
        <f t="shared" si="98"/>
        <v>0</v>
      </c>
      <c r="J102" s="239">
        <f t="shared" si="98"/>
        <v>0</v>
      </c>
      <c r="K102" s="239">
        <f t="shared" si="98"/>
        <v>0</v>
      </c>
      <c r="L102" s="239">
        <f t="shared" si="98"/>
        <v>0</v>
      </c>
      <c r="M102" s="239">
        <f t="shared" si="98"/>
        <v>0</v>
      </c>
      <c r="N102" s="240">
        <f>+'Plan de culture 105'!$I$37</f>
        <v>0</v>
      </c>
    </row>
    <row r="103" spans="1:14" x14ac:dyDescent="0.35">
      <c r="A103" s="270" t="s">
        <v>146</v>
      </c>
      <c r="B103" s="90">
        <f>250*B102</f>
        <v>0</v>
      </c>
      <c r="C103" s="90">
        <f>B103</f>
        <v>0</v>
      </c>
      <c r="D103" s="90">
        <f t="shared" ref="D103:L103" si="99">C103</f>
        <v>0</v>
      </c>
      <c r="E103" s="90">
        <f t="shared" si="99"/>
        <v>0</v>
      </c>
      <c r="F103" s="90">
        <f t="shared" si="99"/>
        <v>0</v>
      </c>
      <c r="G103" s="90">
        <f t="shared" si="99"/>
        <v>0</v>
      </c>
      <c r="H103" s="90">
        <f t="shared" si="99"/>
        <v>0</v>
      </c>
      <c r="I103" s="90">
        <f t="shared" si="99"/>
        <v>0</v>
      </c>
      <c r="J103" s="90">
        <f t="shared" si="99"/>
        <v>0</v>
      </c>
      <c r="K103" s="90">
        <f t="shared" si="99"/>
        <v>0</v>
      </c>
      <c r="L103" s="90">
        <f t="shared" si="99"/>
        <v>0</v>
      </c>
      <c r="M103" s="90"/>
      <c r="N103" s="271">
        <f t="shared" ref="N103:N107" si="100">SUM(B103:M103)</f>
        <v>0</v>
      </c>
    </row>
    <row r="104" spans="1:14" x14ac:dyDescent="0.35">
      <c r="A104" s="270" t="s">
        <v>147</v>
      </c>
      <c r="B104" s="90"/>
      <c r="C104" s="90">
        <f>250*C102</f>
        <v>0</v>
      </c>
      <c r="D104" s="90">
        <f>250*D102</f>
        <v>0</v>
      </c>
      <c r="E104" s="90"/>
      <c r="F104" s="90"/>
      <c r="G104" s="90">
        <f t="shared" ref="G104:H104" si="101">250*G102</f>
        <v>0</v>
      </c>
      <c r="H104" s="90">
        <f t="shared" si="101"/>
        <v>0</v>
      </c>
      <c r="I104" s="90"/>
      <c r="J104" s="90">
        <f t="shared" ref="J104:K104" si="102">250*J102</f>
        <v>0</v>
      </c>
      <c r="K104" s="90">
        <f t="shared" si="102"/>
        <v>0</v>
      </c>
      <c r="L104" s="90"/>
      <c r="M104" s="90"/>
      <c r="N104" s="271">
        <f t="shared" si="100"/>
        <v>0</v>
      </c>
    </row>
    <row r="105" spans="1:14" x14ac:dyDescent="0.35">
      <c r="A105" s="270" t="s">
        <v>154</v>
      </c>
      <c r="B105" s="90"/>
      <c r="C105" s="90">
        <f>4000*C102</f>
        <v>0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271">
        <f t="shared" si="100"/>
        <v>0</v>
      </c>
    </row>
    <row r="106" spans="1:14" x14ac:dyDescent="0.35">
      <c r="A106" s="270" t="s">
        <v>148</v>
      </c>
      <c r="B106" s="90">
        <v>1000</v>
      </c>
      <c r="C106" s="90">
        <v>1000</v>
      </c>
      <c r="D106" s="90">
        <v>1000</v>
      </c>
      <c r="E106" s="90">
        <v>1000</v>
      </c>
      <c r="F106" s="90">
        <v>1000</v>
      </c>
      <c r="G106" s="90">
        <v>1000</v>
      </c>
      <c r="H106" s="90">
        <v>1000</v>
      </c>
      <c r="I106" s="90">
        <v>1000</v>
      </c>
      <c r="J106" s="90">
        <v>1000</v>
      </c>
      <c r="K106" s="90">
        <v>1000</v>
      </c>
      <c r="L106" s="90">
        <v>1000</v>
      </c>
      <c r="M106" s="90"/>
      <c r="N106" s="271">
        <f t="shared" si="100"/>
        <v>11000</v>
      </c>
    </row>
    <row r="107" spans="1:14" x14ac:dyDescent="0.35">
      <c r="A107" s="272" t="s">
        <v>145</v>
      </c>
      <c r="B107" s="91">
        <f t="shared" ref="B107:M107" si="103">SUM(B103:B106)</f>
        <v>1000</v>
      </c>
      <c r="C107" s="91">
        <f t="shared" si="103"/>
        <v>1000</v>
      </c>
      <c r="D107" s="91">
        <f t="shared" si="103"/>
        <v>1000</v>
      </c>
      <c r="E107" s="91">
        <f t="shared" si="103"/>
        <v>1000</v>
      </c>
      <c r="F107" s="91">
        <f t="shared" si="103"/>
        <v>1000</v>
      </c>
      <c r="G107" s="91">
        <f t="shared" si="103"/>
        <v>1000</v>
      </c>
      <c r="H107" s="91">
        <f t="shared" si="103"/>
        <v>1000</v>
      </c>
      <c r="I107" s="91">
        <f t="shared" si="103"/>
        <v>1000</v>
      </c>
      <c r="J107" s="91">
        <f t="shared" si="103"/>
        <v>1000</v>
      </c>
      <c r="K107" s="91">
        <f t="shared" si="103"/>
        <v>1000</v>
      </c>
      <c r="L107" s="91">
        <f t="shared" si="103"/>
        <v>1000</v>
      </c>
      <c r="M107" s="91">
        <f t="shared" si="103"/>
        <v>0</v>
      </c>
      <c r="N107" s="271">
        <f t="shared" si="100"/>
        <v>11000</v>
      </c>
    </row>
    <row r="108" spans="1:14" ht="12" thickBot="1" x14ac:dyDescent="0.4">
      <c r="A108" s="241" t="s">
        <v>144</v>
      </c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74" t="e">
        <f>+N101/N102</f>
        <v>#DIV/0!</v>
      </c>
    </row>
    <row r="109" spans="1:14" x14ac:dyDescent="0.35">
      <c r="A109" s="233" t="s">
        <v>441</v>
      </c>
      <c r="B109" s="242">
        <f>+B112+B120+B128+B136+B144+B152</f>
        <v>6593.75</v>
      </c>
      <c r="C109" s="242">
        <f t="shared" ref="C109:M109" si="104">+C112+C120+C128+C136+C144+C152</f>
        <v>30287.5</v>
      </c>
      <c r="D109" s="242">
        <f t="shared" si="104"/>
        <v>7987.5</v>
      </c>
      <c r="E109" s="242">
        <f t="shared" si="104"/>
        <v>6593.75</v>
      </c>
      <c r="F109" s="242">
        <f t="shared" si="104"/>
        <v>6593.75</v>
      </c>
      <c r="G109" s="242">
        <f t="shared" si="104"/>
        <v>7987.5</v>
      </c>
      <c r="H109" s="242">
        <f t="shared" si="104"/>
        <v>7987.5</v>
      </c>
      <c r="I109" s="242">
        <f t="shared" si="104"/>
        <v>6593.75</v>
      </c>
      <c r="J109" s="242">
        <f t="shared" si="104"/>
        <v>7987.5</v>
      </c>
      <c r="K109" s="242">
        <f t="shared" si="104"/>
        <v>7787.5</v>
      </c>
      <c r="L109" s="242">
        <f t="shared" si="104"/>
        <v>6393.75</v>
      </c>
      <c r="M109" s="242">
        <f t="shared" si="104"/>
        <v>0</v>
      </c>
      <c r="N109" s="243">
        <f>SUM(B109:M109)</f>
        <v>102793.75</v>
      </c>
    </row>
    <row r="110" spans="1:14" x14ac:dyDescent="0.35">
      <c r="A110" s="234" t="s">
        <v>93</v>
      </c>
      <c r="B110" s="81">
        <f>+B113+B129+B137+B145+B613+B121</f>
        <v>5.5750000000000002</v>
      </c>
      <c r="C110" s="81">
        <f t="shared" ref="C110:M110" si="105">+C113+C121</f>
        <v>0</v>
      </c>
      <c r="D110" s="81">
        <f t="shared" si="105"/>
        <v>0</v>
      </c>
      <c r="E110" s="81">
        <f t="shared" si="105"/>
        <v>0</v>
      </c>
      <c r="F110" s="81">
        <f t="shared" si="105"/>
        <v>0</v>
      </c>
      <c r="G110" s="81">
        <f t="shared" si="105"/>
        <v>0</v>
      </c>
      <c r="H110" s="81">
        <f t="shared" si="105"/>
        <v>0</v>
      </c>
      <c r="I110" s="81">
        <f t="shared" si="105"/>
        <v>0</v>
      </c>
      <c r="J110" s="81">
        <f t="shared" si="105"/>
        <v>0</v>
      </c>
      <c r="K110" s="81">
        <f t="shared" si="105"/>
        <v>0</v>
      </c>
      <c r="L110" s="81">
        <f t="shared" si="105"/>
        <v>0</v>
      </c>
      <c r="M110" s="81">
        <f t="shared" si="105"/>
        <v>0</v>
      </c>
      <c r="N110" s="248">
        <f>+M110</f>
        <v>0</v>
      </c>
    </row>
    <row r="111" spans="1:14" x14ac:dyDescent="0.35">
      <c r="A111" s="234" t="s">
        <v>144</v>
      </c>
      <c r="B111" s="83">
        <f>+B109/B110</f>
        <v>1182.7354260089685</v>
      </c>
      <c r="C111" s="83" t="e">
        <f>+C109/C110</f>
        <v>#DIV/0!</v>
      </c>
      <c r="D111" s="83" t="e">
        <f>+D109/D110</f>
        <v>#DIV/0!</v>
      </c>
      <c r="E111" s="83" t="e">
        <f t="shared" ref="E111:N111" si="106">+E109/E110</f>
        <v>#DIV/0!</v>
      </c>
      <c r="F111" s="83" t="e">
        <f t="shared" si="106"/>
        <v>#DIV/0!</v>
      </c>
      <c r="G111" s="83" t="e">
        <f t="shared" si="106"/>
        <v>#DIV/0!</v>
      </c>
      <c r="H111" s="83" t="e">
        <f t="shared" si="106"/>
        <v>#DIV/0!</v>
      </c>
      <c r="I111" s="83" t="e">
        <f t="shared" si="106"/>
        <v>#DIV/0!</v>
      </c>
      <c r="J111" s="83" t="e">
        <f t="shared" si="106"/>
        <v>#DIV/0!</v>
      </c>
      <c r="K111" s="83" t="e">
        <f t="shared" si="106"/>
        <v>#DIV/0!</v>
      </c>
      <c r="L111" s="83" t="e">
        <f t="shared" si="106"/>
        <v>#DIV/0!</v>
      </c>
      <c r="M111" s="83" t="e">
        <f t="shared" si="106"/>
        <v>#DIV/0!</v>
      </c>
      <c r="N111" s="249" t="e">
        <f t="shared" si="106"/>
        <v>#DIV/0!</v>
      </c>
    </row>
    <row r="112" spans="1:14" x14ac:dyDescent="0.35">
      <c r="A112" s="235" t="s">
        <v>90</v>
      </c>
      <c r="B112" s="80">
        <f>+B118</f>
        <v>200</v>
      </c>
      <c r="C112" s="80">
        <f t="shared" ref="C112:M112" si="107">+C118</f>
        <v>200</v>
      </c>
      <c r="D112" s="80">
        <f t="shared" si="107"/>
        <v>200</v>
      </c>
      <c r="E112" s="80">
        <f t="shared" si="107"/>
        <v>200</v>
      </c>
      <c r="F112" s="80">
        <f t="shared" si="107"/>
        <v>200</v>
      </c>
      <c r="G112" s="80">
        <f t="shared" si="107"/>
        <v>200</v>
      </c>
      <c r="H112" s="80">
        <f t="shared" si="107"/>
        <v>200</v>
      </c>
      <c r="I112" s="80">
        <f t="shared" si="107"/>
        <v>200</v>
      </c>
      <c r="J112" s="80">
        <f t="shared" si="107"/>
        <v>200</v>
      </c>
      <c r="K112" s="80">
        <f t="shared" si="107"/>
        <v>0</v>
      </c>
      <c r="L112" s="80">
        <f t="shared" si="107"/>
        <v>0</v>
      </c>
      <c r="M112" s="80">
        <f t="shared" si="107"/>
        <v>0</v>
      </c>
      <c r="N112" s="244">
        <f>SUM(B112:M112)</f>
        <v>1800</v>
      </c>
    </row>
    <row r="113" spans="1:14" x14ac:dyDescent="0.35">
      <c r="A113" s="238" t="s">
        <v>93</v>
      </c>
      <c r="B113" s="239">
        <f>+'Plan de culture 106'!$J$7</f>
        <v>0</v>
      </c>
      <c r="C113" s="239">
        <f>+B113</f>
        <v>0</v>
      </c>
      <c r="D113" s="239">
        <f t="shared" ref="D113" si="108">+C113</f>
        <v>0</v>
      </c>
      <c r="E113" s="239">
        <f>+D113</f>
        <v>0</v>
      </c>
      <c r="F113" s="239">
        <f>+E113</f>
        <v>0</v>
      </c>
      <c r="G113" s="239">
        <f>+F113</f>
        <v>0</v>
      </c>
      <c r="H113" s="239">
        <f t="shared" ref="H113:M113" si="109">+G113</f>
        <v>0</v>
      </c>
      <c r="I113" s="239">
        <f t="shared" si="109"/>
        <v>0</v>
      </c>
      <c r="J113" s="239">
        <f t="shared" si="109"/>
        <v>0</v>
      </c>
      <c r="K113" s="239">
        <f t="shared" si="109"/>
        <v>0</v>
      </c>
      <c r="L113" s="239">
        <f t="shared" si="109"/>
        <v>0</v>
      </c>
      <c r="M113" s="239">
        <f t="shared" si="109"/>
        <v>0</v>
      </c>
      <c r="N113" s="240">
        <f>+'Plan de culture 106'!$J$7</f>
        <v>0</v>
      </c>
    </row>
    <row r="114" spans="1:14" x14ac:dyDescent="0.35">
      <c r="A114" s="270" t="s">
        <v>146</v>
      </c>
      <c r="B114" s="90">
        <f>250*B113</f>
        <v>0</v>
      </c>
      <c r="C114" s="90">
        <f>B114</f>
        <v>0</v>
      </c>
      <c r="D114" s="90">
        <f t="shared" ref="D114:J114" si="110">C114</f>
        <v>0</v>
      </c>
      <c r="E114" s="90">
        <f t="shared" si="110"/>
        <v>0</v>
      </c>
      <c r="F114" s="90">
        <f t="shared" si="110"/>
        <v>0</v>
      </c>
      <c r="G114" s="90">
        <f t="shared" si="110"/>
        <v>0</v>
      </c>
      <c r="H114" s="90">
        <f t="shared" si="110"/>
        <v>0</v>
      </c>
      <c r="I114" s="90">
        <f t="shared" si="110"/>
        <v>0</v>
      </c>
      <c r="J114" s="90">
        <f t="shared" si="110"/>
        <v>0</v>
      </c>
      <c r="K114" s="90"/>
      <c r="L114" s="90"/>
      <c r="M114" s="90"/>
      <c r="N114" s="271">
        <f t="shared" ref="N114:N118" si="111">SUM(B114:M114)</f>
        <v>0</v>
      </c>
    </row>
    <row r="115" spans="1:14" x14ac:dyDescent="0.35">
      <c r="A115" s="270" t="s">
        <v>147</v>
      </c>
      <c r="B115" s="90"/>
      <c r="C115" s="90">
        <f>250*C113</f>
        <v>0</v>
      </c>
      <c r="D115" s="90">
        <f>250*D113</f>
        <v>0</v>
      </c>
      <c r="E115" s="90"/>
      <c r="F115" s="90"/>
      <c r="G115" s="90">
        <f t="shared" ref="G115:H115" si="112">250*G113</f>
        <v>0</v>
      </c>
      <c r="H115" s="90">
        <f t="shared" si="112"/>
        <v>0</v>
      </c>
      <c r="I115" s="90"/>
      <c r="J115" s="90">
        <f t="shared" ref="J115" si="113">250*J113</f>
        <v>0</v>
      </c>
      <c r="K115" s="90"/>
      <c r="L115" s="90"/>
      <c r="M115" s="90"/>
      <c r="N115" s="271">
        <f t="shared" si="111"/>
        <v>0</v>
      </c>
    </row>
    <row r="116" spans="1:14" x14ac:dyDescent="0.35">
      <c r="A116" s="270" t="s">
        <v>154</v>
      </c>
      <c r="B116" s="90"/>
      <c r="C116" s="90">
        <f>4000*C113</f>
        <v>0</v>
      </c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271">
        <f t="shared" si="111"/>
        <v>0</v>
      </c>
    </row>
    <row r="117" spans="1:14" x14ac:dyDescent="0.35">
      <c r="A117" s="270" t="s">
        <v>148</v>
      </c>
      <c r="B117" s="90">
        <v>200</v>
      </c>
      <c r="C117" s="90">
        <f>+B117</f>
        <v>200</v>
      </c>
      <c r="D117" s="90">
        <f t="shared" ref="D117:J117" si="114">+C117</f>
        <v>200</v>
      </c>
      <c r="E117" s="90">
        <f t="shared" si="114"/>
        <v>200</v>
      </c>
      <c r="F117" s="90">
        <f t="shared" si="114"/>
        <v>200</v>
      </c>
      <c r="G117" s="90">
        <f t="shared" si="114"/>
        <v>200</v>
      </c>
      <c r="H117" s="90">
        <f t="shared" si="114"/>
        <v>200</v>
      </c>
      <c r="I117" s="90">
        <f t="shared" si="114"/>
        <v>200</v>
      </c>
      <c r="J117" s="90">
        <f t="shared" si="114"/>
        <v>200</v>
      </c>
      <c r="K117" s="90"/>
      <c r="L117" s="90"/>
      <c r="M117" s="90"/>
      <c r="N117" s="271">
        <f t="shared" si="111"/>
        <v>1800</v>
      </c>
    </row>
    <row r="118" spans="1:14" x14ac:dyDescent="0.35">
      <c r="A118" s="272" t="s">
        <v>145</v>
      </c>
      <c r="B118" s="91">
        <f t="shared" ref="B118:M118" si="115">SUM(B114:B117)</f>
        <v>200</v>
      </c>
      <c r="C118" s="91">
        <f t="shared" si="115"/>
        <v>200</v>
      </c>
      <c r="D118" s="91">
        <f t="shared" si="115"/>
        <v>200</v>
      </c>
      <c r="E118" s="91">
        <f t="shared" si="115"/>
        <v>200</v>
      </c>
      <c r="F118" s="91">
        <f t="shared" si="115"/>
        <v>200</v>
      </c>
      <c r="G118" s="91">
        <f t="shared" si="115"/>
        <v>200</v>
      </c>
      <c r="H118" s="91">
        <f t="shared" si="115"/>
        <v>200</v>
      </c>
      <c r="I118" s="91">
        <f t="shared" si="115"/>
        <v>200</v>
      </c>
      <c r="J118" s="91">
        <f t="shared" si="115"/>
        <v>200</v>
      </c>
      <c r="K118" s="91">
        <f t="shared" si="115"/>
        <v>0</v>
      </c>
      <c r="L118" s="91">
        <f t="shared" si="115"/>
        <v>0</v>
      </c>
      <c r="M118" s="91">
        <f t="shared" si="115"/>
        <v>0</v>
      </c>
      <c r="N118" s="271">
        <f t="shared" si="111"/>
        <v>1800</v>
      </c>
    </row>
    <row r="119" spans="1:14" x14ac:dyDescent="0.35">
      <c r="A119" s="238" t="s">
        <v>144</v>
      </c>
      <c r="B119" s="62" t="e">
        <f>+B118/B113</f>
        <v>#DIV/0!</v>
      </c>
      <c r="C119" s="62" t="e">
        <f t="shared" ref="C119:N119" si="116">+C112/C113</f>
        <v>#DIV/0!</v>
      </c>
      <c r="D119" s="62" t="e">
        <f t="shared" si="116"/>
        <v>#DIV/0!</v>
      </c>
      <c r="E119" s="62" t="e">
        <f t="shared" si="116"/>
        <v>#DIV/0!</v>
      </c>
      <c r="F119" s="62" t="e">
        <f t="shared" si="116"/>
        <v>#DIV/0!</v>
      </c>
      <c r="G119" s="62" t="e">
        <f t="shared" si="116"/>
        <v>#DIV/0!</v>
      </c>
      <c r="H119" s="62" t="e">
        <f t="shared" si="116"/>
        <v>#DIV/0!</v>
      </c>
      <c r="I119" s="62" t="e">
        <f t="shared" si="116"/>
        <v>#DIV/0!</v>
      </c>
      <c r="J119" s="62" t="e">
        <f t="shared" si="116"/>
        <v>#DIV/0!</v>
      </c>
      <c r="K119" s="62" t="e">
        <f t="shared" si="116"/>
        <v>#DIV/0!</v>
      </c>
      <c r="L119" s="62" t="e">
        <f t="shared" si="116"/>
        <v>#DIV/0!</v>
      </c>
      <c r="M119" s="62" t="e">
        <f t="shared" si="116"/>
        <v>#DIV/0!</v>
      </c>
      <c r="N119" s="269" t="e">
        <f t="shared" si="116"/>
        <v>#DIV/0!</v>
      </c>
    </row>
    <row r="120" spans="1:14" x14ac:dyDescent="0.35">
      <c r="A120" s="235" t="s">
        <v>91</v>
      </c>
      <c r="B120" s="80">
        <f>+B126</f>
        <v>1000</v>
      </c>
      <c r="C120" s="80">
        <f t="shared" ref="C120:M120" si="117">+C126</f>
        <v>1000</v>
      </c>
      <c r="D120" s="80">
        <f t="shared" si="117"/>
        <v>1000</v>
      </c>
      <c r="E120" s="80">
        <f t="shared" si="117"/>
        <v>1000</v>
      </c>
      <c r="F120" s="80">
        <f t="shared" si="117"/>
        <v>1000</v>
      </c>
      <c r="G120" s="80">
        <f t="shared" si="117"/>
        <v>1000</v>
      </c>
      <c r="H120" s="80">
        <f t="shared" si="117"/>
        <v>1000</v>
      </c>
      <c r="I120" s="80">
        <f t="shared" si="117"/>
        <v>1000</v>
      </c>
      <c r="J120" s="80">
        <f t="shared" si="117"/>
        <v>1000</v>
      </c>
      <c r="K120" s="80">
        <f t="shared" si="117"/>
        <v>1000</v>
      </c>
      <c r="L120" s="80">
        <f t="shared" si="117"/>
        <v>1000</v>
      </c>
      <c r="M120" s="80">
        <f t="shared" si="117"/>
        <v>0</v>
      </c>
      <c r="N120" s="273">
        <f>SUM(B120:M120)</f>
        <v>11000</v>
      </c>
    </row>
    <row r="121" spans="1:14" x14ac:dyDescent="0.35">
      <c r="A121" s="238" t="s">
        <v>93</v>
      </c>
      <c r="B121" s="73">
        <f>+'Budget Energie'!B120</f>
        <v>0</v>
      </c>
      <c r="C121" s="73">
        <f>+B121</f>
        <v>0</v>
      </c>
      <c r="D121" s="73">
        <f t="shared" ref="D121:M121" si="118">+C121</f>
        <v>0</v>
      </c>
      <c r="E121" s="73">
        <f t="shared" si="118"/>
        <v>0</v>
      </c>
      <c r="F121" s="73">
        <f t="shared" si="118"/>
        <v>0</v>
      </c>
      <c r="G121" s="73">
        <f t="shared" si="118"/>
        <v>0</v>
      </c>
      <c r="H121" s="73">
        <f t="shared" si="118"/>
        <v>0</v>
      </c>
      <c r="I121" s="73">
        <f t="shared" si="118"/>
        <v>0</v>
      </c>
      <c r="J121" s="73">
        <f t="shared" si="118"/>
        <v>0</v>
      </c>
      <c r="K121" s="73">
        <f t="shared" si="118"/>
        <v>0</v>
      </c>
      <c r="L121" s="73">
        <f t="shared" si="118"/>
        <v>0</v>
      </c>
      <c r="M121" s="73">
        <f t="shared" si="118"/>
        <v>0</v>
      </c>
      <c r="N121" s="269">
        <f>+M121</f>
        <v>0</v>
      </c>
    </row>
    <row r="122" spans="1:14" x14ac:dyDescent="0.35">
      <c r="A122" s="270" t="s">
        <v>146</v>
      </c>
      <c r="B122" s="90">
        <f>250*B121</f>
        <v>0</v>
      </c>
      <c r="C122" s="90">
        <f>B122</f>
        <v>0</v>
      </c>
      <c r="D122" s="90">
        <f t="shared" ref="D122:L122" si="119">C122</f>
        <v>0</v>
      </c>
      <c r="E122" s="90">
        <f t="shared" si="119"/>
        <v>0</v>
      </c>
      <c r="F122" s="90">
        <f t="shared" si="119"/>
        <v>0</v>
      </c>
      <c r="G122" s="90">
        <f t="shared" si="119"/>
        <v>0</v>
      </c>
      <c r="H122" s="90">
        <f t="shared" si="119"/>
        <v>0</v>
      </c>
      <c r="I122" s="90">
        <f t="shared" si="119"/>
        <v>0</v>
      </c>
      <c r="J122" s="90">
        <f t="shared" si="119"/>
        <v>0</v>
      </c>
      <c r="K122" s="90">
        <f t="shared" si="119"/>
        <v>0</v>
      </c>
      <c r="L122" s="90">
        <f t="shared" si="119"/>
        <v>0</v>
      </c>
      <c r="M122" s="90"/>
      <c r="N122" s="271">
        <f t="shared" ref="N122:N126" si="120">SUM(B122:M122)</f>
        <v>0</v>
      </c>
    </row>
    <row r="123" spans="1:14" x14ac:dyDescent="0.35">
      <c r="A123" s="270" t="s">
        <v>147</v>
      </c>
      <c r="B123" s="90"/>
      <c r="C123" s="90">
        <f>250*C121</f>
        <v>0</v>
      </c>
      <c r="D123" s="90">
        <f>250*D121</f>
        <v>0</v>
      </c>
      <c r="E123" s="90"/>
      <c r="F123" s="90"/>
      <c r="G123" s="90">
        <f t="shared" ref="G123:H123" si="121">250*G121</f>
        <v>0</v>
      </c>
      <c r="H123" s="90">
        <f t="shared" si="121"/>
        <v>0</v>
      </c>
      <c r="I123" s="90"/>
      <c r="J123" s="90">
        <f t="shared" ref="J123:K123" si="122">250*J121</f>
        <v>0</v>
      </c>
      <c r="K123" s="90">
        <f t="shared" si="122"/>
        <v>0</v>
      </c>
      <c r="L123" s="90"/>
      <c r="M123" s="90"/>
      <c r="N123" s="271">
        <f t="shared" si="120"/>
        <v>0</v>
      </c>
    </row>
    <row r="124" spans="1:14" x14ac:dyDescent="0.35">
      <c r="A124" s="270" t="s">
        <v>154</v>
      </c>
      <c r="B124" s="90"/>
      <c r="C124" s="90">
        <f>4000*C121</f>
        <v>0</v>
      </c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271">
        <f t="shared" si="120"/>
        <v>0</v>
      </c>
    </row>
    <row r="125" spans="1:14" x14ac:dyDescent="0.35">
      <c r="A125" s="270" t="s">
        <v>148</v>
      </c>
      <c r="B125" s="90">
        <v>1000</v>
      </c>
      <c r="C125" s="90">
        <v>1000</v>
      </c>
      <c r="D125" s="90">
        <v>1000</v>
      </c>
      <c r="E125" s="90">
        <v>1000</v>
      </c>
      <c r="F125" s="90">
        <v>1000</v>
      </c>
      <c r="G125" s="90">
        <v>1000</v>
      </c>
      <c r="H125" s="90">
        <v>1000</v>
      </c>
      <c r="I125" s="90">
        <v>1000</v>
      </c>
      <c r="J125" s="90">
        <v>1000</v>
      </c>
      <c r="K125" s="90">
        <v>1000</v>
      </c>
      <c r="L125" s="90">
        <v>1000</v>
      </c>
      <c r="M125" s="90"/>
      <c r="N125" s="271">
        <f t="shared" si="120"/>
        <v>11000</v>
      </c>
    </row>
    <row r="126" spans="1:14" x14ac:dyDescent="0.35">
      <c r="A126" s="272" t="s">
        <v>145</v>
      </c>
      <c r="B126" s="91">
        <f t="shared" ref="B126:M126" si="123">SUM(B122:B125)</f>
        <v>1000</v>
      </c>
      <c r="C126" s="91">
        <f t="shared" si="123"/>
        <v>1000</v>
      </c>
      <c r="D126" s="91">
        <f t="shared" si="123"/>
        <v>1000</v>
      </c>
      <c r="E126" s="91">
        <f t="shared" si="123"/>
        <v>1000</v>
      </c>
      <c r="F126" s="91">
        <f t="shared" si="123"/>
        <v>1000</v>
      </c>
      <c r="G126" s="91">
        <f t="shared" si="123"/>
        <v>1000</v>
      </c>
      <c r="H126" s="91">
        <f t="shared" si="123"/>
        <v>1000</v>
      </c>
      <c r="I126" s="91">
        <f t="shared" si="123"/>
        <v>1000</v>
      </c>
      <c r="J126" s="91">
        <f t="shared" si="123"/>
        <v>1000</v>
      </c>
      <c r="K126" s="91">
        <f t="shared" si="123"/>
        <v>1000</v>
      </c>
      <c r="L126" s="91">
        <f t="shared" si="123"/>
        <v>1000</v>
      </c>
      <c r="M126" s="91">
        <f t="shared" si="123"/>
        <v>0</v>
      </c>
      <c r="N126" s="271">
        <f t="shared" si="120"/>
        <v>11000</v>
      </c>
    </row>
    <row r="127" spans="1:14" x14ac:dyDescent="0.35">
      <c r="A127" s="238" t="s">
        <v>144</v>
      </c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269" t="e">
        <f>+N120/N121</f>
        <v>#DIV/0!</v>
      </c>
    </row>
    <row r="128" spans="1:14" x14ac:dyDescent="0.35">
      <c r="A128" s="235" t="s">
        <v>376</v>
      </c>
      <c r="B128" s="80">
        <f>+B134</f>
        <v>2393.75</v>
      </c>
      <c r="C128" s="80">
        <f t="shared" ref="C128:M128" si="124">+C134</f>
        <v>26087.5</v>
      </c>
      <c r="D128" s="80">
        <f t="shared" si="124"/>
        <v>3787.5</v>
      </c>
      <c r="E128" s="80">
        <f t="shared" si="124"/>
        <v>2393.75</v>
      </c>
      <c r="F128" s="80">
        <f t="shared" si="124"/>
        <v>2393.75</v>
      </c>
      <c r="G128" s="80">
        <f t="shared" si="124"/>
        <v>3787.5</v>
      </c>
      <c r="H128" s="80">
        <f t="shared" si="124"/>
        <v>3787.5</v>
      </c>
      <c r="I128" s="80">
        <f t="shared" si="124"/>
        <v>2393.75</v>
      </c>
      <c r="J128" s="80">
        <f t="shared" si="124"/>
        <v>3787.5</v>
      </c>
      <c r="K128" s="80">
        <f t="shared" si="124"/>
        <v>3787.5</v>
      </c>
      <c r="L128" s="80">
        <f t="shared" si="124"/>
        <v>2393.75</v>
      </c>
      <c r="M128" s="80">
        <f t="shared" si="124"/>
        <v>0</v>
      </c>
      <c r="N128" s="273">
        <f>SUM(B128:M128)</f>
        <v>56993.75</v>
      </c>
    </row>
    <row r="129" spans="1:14" x14ac:dyDescent="0.35">
      <c r="A129" s="238" t="s">
        <v>93</v>
      </c>
      <c r="B129" s="239">
        <f>+'Plan de culture 106'!$J$19</f>
        <v>5.5750000000000002</v>
      </c>
      <c r="C129" s="239">
        <f>+B129</f>
        <v>5.5750000000000002</v>
      </c>
      <c r="D129" s="239">
        <f t="shared" ref="D129:M129" si="125">+C129</f>
        <v>5.5750000000000002</v>
      </c>
      <c r="E129" s="239">
        <f t="shared" si="125"/>
        <v>5.5750000000000002</v>
      </c>
      <c r="F129" s="239">
        <f t="shared" si="125"/>
        <v>5.5750000000000002</v>
      </c>
      <c r="G129" s="239">
        <f t="shared" si="125"/>
        <v>5.5750000000000002</v>
      </c>
      <c r="H129" s="239">
        <f t="shared" si="125"/>
        <v>5.5750000000000002</v>
      </c>
      <c r="I129" s="239">
        <f t="shared" si="125"/>
        <v>5.5750000000000002</v>
      </c>
      <c r="J129" s="239">
        <f t="shared" si="125"/>
        <v>5.5750000000000002</v>
      </c>
      <c r="K129" s="239">
        <f t="shared" si="125"/>
        <v>5.5750000000000002</v>
      </c>
      <c r="L129" s="239">
        <f t="shared" si="125"/>
        <v>5.5750000000000002</v>
      </c>
      <c r="M129" s="239">
        <f t="shared" si="125"/>
        <v>5.5750000000000002</v>
      </c>
      <c r="N129" s="240">
        <f>+'Plan de culture 106'!$J$19</f>
        <v>5.5750000000000002</v>
      </c>
    </row>
    <row r="130" spans="1:14" x14ac:dyDescent="0.35">
      <c r="A130" s="270" t="s">
        <v>146</v>
      </c>
      <c r="B130" s="90">
        <f>250*B129</f>
        <v>1393.75</v>
      </c>
      <c r="C130" s="90">
        <f>B130</f>
        <v>1393.75</v>
      </c>
      <c r="D130" s="90">
        <f t="shared" ref="D130:L130" si="126">C130</f>
        <v>1393.75</v>
      </c>
      <c r="E130" s="90">
        <f t="shared" si="126"/>
        <v>1393.75</v>
      </c>
      <c r="F130" s="90">
        <f t="shared" si="126"/>
        <v>1393.75</v>
      </c>
      <c r="G130" s="90">
        <f t="shared" si="126"/>
        <v>1393.75</v>
      </c>
      <c r="H130" s="90">
        <f t="shared" si="126"/>
        <v>1393.75</v>
      </c>
      <c r="I130" s="90">
        <f t="shared" si="126"/>
        <v>1393.75</v>
      </c>
      <c r="J130" s="90">
        <f t="shared" si="126"/>
        <v>1393.75</v>
      </c>
      <c r="K130" s="90">
        <f t="shared" si="126"/>
        <v>1393.75</v>
      </c>
      <c r="L130" s="90">
        <f t="shared" si="126"/>
        <v>1393.75</v>
      </c>
      <c r="M130" s="90"/>
      <c r="N130" s="271">
        <f t="shared" ref="N130:N134" si="127">SUM(B130:M130)</f>
        <v>15331.25</v>
      </c>
    </row>
    <row r="131" spans="1:14" x14ac:dyDescent="0.35">
      <c r="A131" s="270" t="s">
        <v>147</v>
      </c>
      <c r="B131" s="90"/>
      <c r="C131" s="90">
        <f>250*C129</f>
        <v>1393.75</v>
      </c>
      <c r="D131" s="90">
        <f>250*D129</f>
        <v>1393.75</v>
      </c>
      <c r="E131" s="90"/>
      <c r="F131" s="90"/>
      <c r="G131" s="90">
        <f t="shared" ref="G131:H131" si="128">250*G129</f>
        <v>1393.75</v>
      </c>
      <c r="H131" s="90">
        <f t="shared" si="128"/>
        <v>1393.75</v>
      </c>
      <c r="I131" s="90"/>
      <c r="J131" s="90">
        <f t="shared" ref="J131:K131" si="129">250*J129</f>
        <v>1393.75</v>
      </c>
      <c r="K131" s="90">
        <f t="shared" si="129"/>
        <v>1393.75</v>
      </c>
      <c r="L131" s="90"/>
      <c r="M131" s="90"/>
      <c r="N131" s="271">
        <f t="shared" si="127"/>
        <v>8362.5</v>
      </c>
    </row>
    <row r="132" spans="1:14" x14ac:dyDescent="0.35">
      <c r="A132" s="270" t="s">
        <v>154</v>
      </c>
      <c r="B132" s="90"/>
      <c r="C132" s="90">
        <f>4000*C129</f>
        <v>22300</v>
      </c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271">
        <f t="shared" si="127"/>
        <v>22300</v>
      </c>
    </row>
    <row r="133" spans="1:14" x14ac:dyDescent="0.35">
      <c r="A133" s="270" t="s">
        <v>148</v>
      </c>
      <c r="B133" s="90">
        <v>1000</v>
      </c>
      <c r="C133" s="90">
        <v>1000</v>
      </c>
      <c r="D133" s="90">
        <v>1000</v>
      </c>
      <c r="E133" s="90">
        <v>1000</v>
      </c>
      <c r="F133" s="90">
        <v>1000</v>
      </c>
      <c r="G133" s="90">
        <v>1000</v>
      </c>
      <c r="H133" s="90">
        <v>1000</v>
      </c>
      <c r="I133" s="90">
        <v>1000</v>
      </c>
      <c r="J133" s="90">
        <v>1000</v>
      </c>
      <c r="K133" s="90">
        <v>1000</v>
      </c>
      <c r="L133" s="90">
        <v>1000</v>
      </c>
      <c r="M133" s="90"/>
      <c r="N133" s="271">
        <f t="shared" si="127"/>
        <v>11000</v>
      </c>
    </row>
    <row r="134" spans="1:14" x14ac:dyDescent="0.35">
      <c r="A134" s="272" t="s">
        <v>145</v>
      </c>
      <c r="B134" s="91">
        <f t="shared" ref="B134:M134" si="130">SUM(B130:B133)</f>
        <v>2393.75</v>
      </c>
      <c r="C134" s="91">
        <f t="shared" si="130"/>
        <v>26087.5</v>
      </c>
      <c r="D134" s="91">
        <f t="shared" si="130"/>
        <v>3787.5</v>
      </c>
      <c r="E134" s="91">
        <f t="shared" si="130"/>
        <v>2393.75</v>
      </c>
      <c r="F134" s="91">
        <f t="shared" si="130"/>
        <v>2393.75</v>
      </c>
      <c r="G134" s="91">
        <f t="shared" si="130"/>
        <v>3787.5</v>
      </c>
      <c r="H134" s="91">
        <f t="shared" si="130"/>
        <v>3787.5</v>
      </c>
      <c r="I134" s="91">
        <f t="shared" si="130"/>
        <v>2393.75</v>
      </c>
      <c r="J134" s="91">
        <f t="shared" si="130"/>
        <v>3787.5</v>
      </c>
      <c r="K134" s="91">
        <f t="shared" si="130"/>
        <v>3787.5</v>
      </c>
      <c r="L134" s="91">
        <f t="shared" si="130"/>
        <v>2393.75</v>
      </c>
      <c r="M134" s="91">
        <f t="shared" si="130"/>
        <v>0</v>
      </c>
      <c r="N134" s="271">
        <f t="shared" si="127"/>
        <v>56993.75</v>
      </c>
    </row>
    <row r="135" spans="1:14" x14ac:dyDescent="0.35">
      <c r="A135" s="238" t="s">
        <v>144</v>
      </c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269">
        <f>+N128/N129</f>
        <v>10223.094170403587</v>
      </c>
    </row>
    <row r="136" spans="1:14" x14ac:dyDescent="0.35">
      <c r="A136" s="235" t="s">
        <v>92</v>
      </c>
      <c r="B136" s="80">
        <f>+B142</f>
        <v>1000</v>
      </c>
      <c r="C136" s="80">
        <f t="shared" ref="C136:M136" si="131">+C142</f>
        <v>1000</v>
      </c>
      <c r="D136" s="80">
        <f t="shared" si="131"/>
        <v>1000</v>
      </c>
      <c r="E136" s="80">
        <f t="shared" si="131"/>
        <v>1000</v>
      </c>
      <c r="F136" s="80">
        <f t="shared" si="131"/>
        <v>1000</v>
      </c>
      <c r="G136" s="80">
        <f t="shared" si="131"/>
        <v>1000</v>
      </c>
      <c r="H136" s="80">
        <f t="shared" si="131"/>
        <v>1000</v>
      </c>
      <c r="I136" s="80">
        <f t="shared" si="131"/>
        <v>1000</v>
      </c>
      <c r="J136" s="80">
        <f t="shared" si="131"/>
        <v>1000</v>
      </c>
      <c r="K136" s="80">
        <f t="shared" si="131"/>
        <v>1000</v>
      </c>
      <c r="L136" s="80">
        <f t="shared" si="131"/>
        <v>1000</v>
      </c>
      <c r="M136" s="80">
        <f t="shared" si="131"/>
        <v>0</v>
      </c>
      <c r="N136" s="273">
        <f>SUM(B136:M136)</f>
        <v>11000</v>
      </c>
    </row>
    <row r="137" spans="1:14" x14ac:dyDescent="0.35">
      <c r="A137" s="238" t="s">
        <v>93</v>
      </c>
      <c r="B137" s="239">
        <f>+'Plan de culture 106'!$J$25</f>
        <v>0</v>
      </c>
      <c r="C137" s="239">
        <f>+B137</f>
        <v>0</v>
      </c>
      <c r="D137" s="239">
        <f t="shared" ref="D137" si="132">+C137</f>
        <v>0</v>
      </c>
      <c r="E137" s="239">
        <f>+'Plan de culture 104 '!C133</f>
        <v>0</v>
      </c>
      <c r="F137" s="239">
        <f>+E137+'Plan de culture 104 '!D133+'Plan de culture 104 '!E133</f>
        <v>0</v>
      </c>
      <c r="G137" s="239">
        <f>+F137</f>
        <v>0</v>
      </c>
      <c r="H137" s="239">
        <f t="shared" ref="H137:M137" si="133">+G137</f>
        <v>0</v>
      </c>
      <c r="I137" s="239">
        <f t="shared" si="133"/>
        <v>0</v>
      </c>
      <c r="J137" s="239">
        <f t="shared" si="133"/>
        <v>0</v>
      </c>
      <c r="K137" s="239">
        <f t="shared" si="133"/>
        <v>0</v>
      </c>
      <c r="L137" s="239">
        <f t="shared" si="133"/>
        <v>0</v>
      </c>
      <c r="M137" s="239">
        <f t="shared" si="133"/>
        <v>0</v>
      </c>
      <c r="N137" s="240">
        <f>+'Plan de culture 106'!$J$25</f>
        <v>0</v>
      </c>
    </row>
    <row r="138" spans="1:14" x14ac:dyDescent="0.35">
      <c r="A138" s="270" t="s">
        <v>146</v>
      </c>
      <c r="B138" s="90">
        <f>250*B137</f>
        <v>0</v>
      </c>
      <c r="C138" s="90">
        <f>B138</f>
        <v>0</v>
      </c>
      <c r="D138" s="90">
        <f t="shared" ref="D138:L138" si="134">C138</f>
        <v>0</v>
      </c>
      <c r="E138" s="90">
        <f t="shared" si="134"/>
        <v>0</v>
      </c>
      <c r="F138" s="90">
        <f t="shared" si="134"/>
        <v>0</v>
      </c>
      <c r="G138" s="90">
        <f t="shared" si="134"/>
        <v>0</v>
      </c>
      <c r="H138" s="90">
        <f t="shared" si="134"/>
        <v>0</v>
      </c>
      <c r="I138" s="90">
        <f t="shared" si="134"/>
        <v>0</v>
      </c>
      <c r="J138" s="90">
        <f t="shared" si="134"/>
        <v>0</v>
      </c>
      <c r="K138" s="90">
        <f t="shared" si="134"/>
        <v>0</v>
      </c>
      <c r="L138" s="90">
        <f t="shared" si="134"/>
        <v>0</v>
      </c>
      <c r="M138" s="90"/>
      <c r="N138" s="271">
        <f t="shared" ref="N138:N142" si="135">SUM(B138:M138)</f>
        <v>0</v>
      </c>
    </row>
    <row r="139" spans="1:14" x14ac:dyDescent="0.35">
      <c r="A139" s="270" t="s">
        <v>147</v>
      </c>
      <c r="B139" s="90"/>
      <c r="C139" s="90">
        <f>250*C137</f>
        <v>0</v>
      </c>
      <c r="D139" s="90">
        <f>250*D137</f>
        <v>0</v>
      </c>
      <c r="E139" s="90"/>
      <c r="F139" s="90"/>
      <c r="G139" s="90">
        <f t="shared" ref="G139:H139" si="136">250*G137</f>
        <v>0</v>
      </c>
      <c r="H139" s="90">
        <f t="shared" si="136"/>
        <v>0</v>
      </c>
      <c r="I139" s="90"/>
      <c r="J139" s="90">
        <f t="shared" ref="J139:K139" si="137">250*J137</f>
        <v>0</v>
      </c>
      <c r="K139" s="90">
        <f t="shared" si="137"/>
        <v>0</v>
      </c>
      <c r="L139" s="90"/>
      <c r="M139" s="90"/>
      <c r="N139" s="271">
        <f t="shared" si="135"/>
        <v>0</v>
      </c>
    </row>
    <row r="140" spans="1:14" x14ac:dyDescent="0.35">
      <c r="A140" s="270" t="s">
        <v>154</v>
      </c>
      <c r="B140" s="90"/>
      <c r="C140" s="90">
        <f>4000*C137</f>
        <v>0</v>
      </c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271">
        <f t="shared" si="135"/>
        <v>0</v>
      </c>
    </row>
    <row r="141" spans="1:14" x14ac:dyDescent="0.35">
      <c r="A141" s="270" t="s">
        <v>148</v>
      </c>
      <c r="B141" s="90">
        <v>1000</v>
      </c>
      <c r="C141" s="90">
        <v>1000</v>
      </c>
      <c r="D141" s="90">
        <v>1000</v>
      </c>
      <c r="E141" s="90">
        <v>1000</v>
      </c>
      <c r="F141" s="90">
        <v>1000</v>
      </c>
      <c r="G141" s="90">
        <v>1000</v>
      </c>
      <c r="H141" s="90">
        <v>1000</v>
      </c>
      <c r="I141" s="90">
        <v>1000</v>
      </c>
      <c r="J141" s="90">
        <v>1000</v>
      </c>
      <c r="K141" s="90">
        <v>1000</v>
      </c>
      <c r="L141" s="90">
        <v>1000</v>
      </c>
      <c r="M141" s="90"/>
      <c r="N141" s="271">
        <f t="shared" si="135"/>
        <v>11000</v>
      </c>
    </row>
    <row r="142" spans="1:14" x14ac:dyDescent="0.35">
      <c r="A142" s="272" t="s">
        <v>145</v>
      </c>
      <c r="B142" s="91">
        <f t="shared" ref="B142:M142" si="138">SUM(B138:B141)</f>
        <v>1000</v>
      </c>
      <c r="C142" s="91">
        <f t="shared" si="138"/>
        <v>1000</v>
      </c>
      <c r="D142" s="91">
        <f t="shared" si="138"/>
        <v>1000</v>
      </c>
      <c r="E142" s="91">
        <f t="shared" si="138"/>
        <v>1000</v>
      </c>
      <c r="F142" s="91">
        <f t="shared" si="138"/>
        <v>1000</v>
      </c>
      <c r="G142" s="91">
        <f t="shared" si="138"/>
        <v>1000</v>
      </c>
      <c r="H142" s="91">
        <f t="shared" si="138"/>
        <v>1000</v>
      </c>
      <c r="I142" s="91">
        <f t="shared" si="138"/>
        <v>1000</v>
      </c>
      <c r="J142" s="91">
        <f t="shared" si="138"/>
        <v>1000</v>
      </c>
      <c r="K142" s="91">
        <f t="shared" si="138"/>
        <v>1000</v>
      </c>
      <c r="L142" s="91">
        <f t="shared" si="138"/>
        <v>1000</v>
      </c>
      <c r="M142" s="91">
        <f t="shared" si="138"/>
        <v>0</v>
      </c>
      <c r="N142" s="271">
        <f t="shared" si="135"/>
        <v>11000</v>
      </c>
    </row>
    <row r="143" spans="1:14" x14ac:dyDescent="0.35">
      <c r="A143" s="238" t="s">
        <v>144</v>
      </c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269" t="e">
        <f>+N136/N137</f>
        <v>#DIV/0!</v>
      </c>
    </row>
    <row r="144" spans="1:14" x14ac:dyDescent="0.35">
      <c r="A144" s="235" t="s">
        <v>377</v>
      </c>
      <c r="B144" s="80">
        <f>+B150</f>
        <v>1000</v>
      </c>
      <c r="C144" s="80">
        <f t="shared" ref="C144:M144" si="139">+C150</f>
        <v>1000</v>
      </c>
      <c r="D144" s="80">
        <f t="shared" si="139"/>
        <v>1000</v>
      </c>
      <c r="E144" s="80">
        <f t="shared" si="139"/>
        <v>1000</v>
      </c>
      <c r="F144" s="80">
        <f t="shared" si="139"/>
        <v>1000</v>
      </c>
      <c r="G144" s="80">
        <f t="shared" si="139"/>
        <v>1000</v>
      </c>
      <c r="H144" s="80">
        <f t="shared" si="139"/>
        <v>1000</v>
      </c>
      <c r="I144" s="80">
        <f t="shared" si="139"/>
        <v>1000</v>
      </c>
      <c r="J144" s="80">
        <f t="shared" si="139"/>
        <v>1000</v>
      </c>
      <c r="K144" s="80">
        <f t="shared" si="139"/>
        <v>1000</v>
      </c>
      <c r="L144" s="80">
        <f t="shared" si="139"/>
        <v>1000</v>
      </c>
      <c r="M144" s="80">
        <f t="shared" si="139"/>
        <v>0</v>
      </c>
      <c r="N144" s="273">
        <f>SUM(B144:M144)</f>
        <v>11000</v>
      </c>
    </row>
    <row r="145" spans="1:14" x14ac:dyDescent="0.35">
      <c r="A145" s="238" t="s">
        <v>93</v>
      </c>
      <c r="B145" s="239">
        <f>+'Plan de culture 106'!$J$31</f>
        <v>0</v>
      </c>
      <c r="C145" s="239">
        <f>+B145</f>
        <v>0</v>
      </c>
      <c r="D145" s="239">
        <f t="shared" ref="D145" si="140">+C145</f>
        <v>0</v>
      </c>
      <c r="E145" s="239">
        <f>+'Plan de culture 104 '!C141</f>
        <v>0</v>
      </c>
      <c r="F145" s="239">
        <f>+E145+'Plan de culture 104 '!D141+'Plan de culture 104 '!E141</f>
        <v>0</v>
      </c>
      <c r="G145" s="239">
        <f>+F145</f>
        <v>0</v>
      </c>
      <c r="H145" s="239">
        <f t="shared" ref="H145:M145" si="141">+G145</f>
        <v>0</v>
      </c>
      <c r="I145" s="239">
        <f t="shared" si="141"/>
        <v>0</v>
      </c>
      <c r="J145" s="239">
        <f t="shared" si="141"/>
        <v>0</v>
      </c>
      <c r="K145" s="239">
        <f t="shared" si="141"/>
        <v>0</v>
      </c>
      <c r="L145" s="239">
        <f t="shared" si="141"/>
        <v>0</v>
      </c>
      <c r="M145" s="239">
        <f t="shared" si="141"/>
        <v>0</v>
      </c>
      <c r="N145" s="240">
        <f>+'Plan de culture 106'!$J$31</f>
        <v>0</v>
      </c>
    </row>
    <row r="146" spans="1:14" x14ac:dyDescent="0.35">
      <c r="A146" s="270" t="s">
        <v>146</v>
      </c>
      <c r="B146" s="90">
        <f>250*B145</f>
        <v>0</v>
      </c>
      <c r="C146" s="90">
        <f>B146</f>
        <v>0</v>
      </c>
      <c r="D146" s="90">
        <f t="shared" ref="D146:L146" si="142">C146</f>
        <v>0</v>
      </c>
      <c r="E146" s="90">
        <f t="shared" si="142"/>
        <v>0</v>
      </c>
      <c r="F146" s="90">
        <f t="shared" si="142"/>
        <v>0</v>
      </c>
      <c r="G146" s="90">
        <f t="shared" si="142"/>
        <v>0</v>
      </c>
      <c r="H146" s="90">
        <f t="shared" si="142"/>
        <v>0</v>
      </c>
      <c r="I146" s="90">
        <f t="shared" si="142"/>
        <v>0</v>
      </c>
      <c r="J146" s="90">
        <f t="shared" si="142"/>
        <v>0</v>
      </c>
      <c r="K146" s="90">
        <f t="shared" si="142"/>
        <v>0</v>
      </c>
      <c r="L146" s="90">
        <f t="shared" si="142"/>
        <v>0</v>
      </c>
      <c r="M146" s="90"/>
      <c r="N146" s="271">
        <f t="shared" ref="N146:N150" si="143">SUM(B146:M146)</f>
        <v>0</v>
      </c>
    </row>
    <row r="147" spans="1:14" x14ac:dyDescent="0.35">
      <c r="A147" s="270" t="s">
        <v>147</v>
      </c>
      <c r="B147" s="90"/>
      <c r="C147" s="90">
        <f>250*C145</f>
        <v>0</v>
      </c>
      <c r="D147" s="90">
        <f>250*D145</f>
        <v>0</v>
      </c>
      <c r="E147" s="90"/>
      <c r="F147" s="90"/>
      <c r="G147" s="90">
        <f t="shared" ref="G147:H147" si="144">250*G145</f>
        <v>0</v>
      </c>
      <c r="H147" s="90">
        <f t="shared" si="144"/>
        <v>0</v>
      </c>
      <c r="I147" s="90"/>
      <c r="J147" s="90">
        <f t="shared" ref="J147:K147" si="145">250*J145</f>
        <v>0</v>
      </c>
      <c r="K147" s="90">
        <f t="shared" si="145"/>
        <v>0</v>
      </c>
      <c r="L147" s="90"/>
      <c r="M147" s="90"/>
      <c r="N147" s="271">
        <f t="shared" si="143"/>
        <v>0</v>
      </c>
    </row>
    <row r="148" spans="1:14" x14ac:dyDescent="0.35">
      <c r="A148" s="270" t="s">
        <v>154</v>
      </c>
      <c r="B148" s="90"/>
      <c r="C148" s="90">
        <f>4000*C145</f>
        <v>0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271">
        <f t="shared" si="143"/>
        <v>0</v>
      </c>
    </row>
    <row r="149" spans="1:14" x14ac:dyDescent="0.35">
      <c r="A149" s="270" t="s">
        <v>148</v>
      </c>
      <c r="B149" s="90">
        <v>1000</v>
      </c>
      <c r="C149" s="90">
        <v>1000</v>
      </c>
      <c r="D149" s="90">
        <v>1000</v>
      </c>
      <c r="E149" s="90">
        <v>1000</v>
      </c>
      <c r="F149" s="90">
        <v>1000</v>
      </c>
      <c r="G149" s="90">
        <v>1000</v>
      </c>
      <c r="H149" s="90">
        <v>1000</v>
      </c>
      <c r="I149" s="90">
        <v>1000</v>
      </c>
      <c r="J149" s="90">
        <v>1000</v>
      </c>
      <c r="K149" s="90">
        <v>1000</v>
      </c>
      <c r="L149" s="90">
        <v>1000</v>
      </c>
      <c r="M149" s="90"/>
      <c r="N149" s="271">
        <f t="shared" si="143"/>
        <v>11000</v>
      </c>
    </row>
    <row r="150" spans="1:14" x14ac:dyDescent="0.35">
      <c r="A150" s="272" t="s">
        <v>145</v>
      </c>
      <c r="B150" s="91">
        <f t="shared" ref="B150:M150" si="146">SUM(B146:B149)</f>
        <v>1000</v>
      </c>
      <c r="C150" s="91">
        <f t="shared" si="146"/>
        <v>1000</v>
      </c>
      <c r="D150" s="91">
        <f t="shared" si="146"/>
        <v>1000</v>
      </c>
      <c r="E150" s="91">
        <f t="shared" si="146"/>
        <v>1000</v>
      </c>
      <c r="F150" s="91">
        <f t="shared" si="146"/>
        <v>1000</v>
      </c>
      <c r="G150" s="91">
        <f t="shared" si="146"/>
        <v>1000</v>
      </c>
      <c r="H150" s="91">
        <f t="shared" si="146"/>
        <v>1000</v>
      </c>
      <c r="I150" s="91">
        <f t="shared" si="146"/>
        <v>1000</v>
      </c>
      <c r="J150" s="91">
        <f t="shared" si="146"/>
        <v>1000</v>
      </c>
      <c r="K150" s="91">
        <f t="shared" si="146"/>
        <v>1000</v>
      </c>
      <c r="L150" s="91">
        <f t="shared" si="146"/>
        <v>1000</v>
      </c>
      <c r="M150" s="91">
        <f t="shared" si="146"/>
        <v>0</v>
      </c>
      <c r="N150" s="271">
        <f t="shared" si="143"/>
        <v>11000</v>
      </c>
    </row>
    <row r="151" spans="1:14" x14ac:dyDescent="0.35">
      <c r="A151" s="238" t="s">
        <v>144</v>
      </c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269" t="e">
        <f>+N144/N145</f>
        <v>#DIV/0!</v>
      </c>
    </row>
    <row r="152" spans="1:14" x14ac:dyDescent="0.35">
      <c r="A152" s="235" t="s">
        <v>378</v>
      </c>
      <c r="B152" s="80">
        <f>+B158</f>
        <v>1000</v>
      </c>
      <c r="C152" s="80">
        <f t="shared" ref="C152:M152" si="147">+C158</f>
        <v>1000</v>
      </c>
      <c r="D152" s="80">
        <f t="shared" si="147"/>
        <v>1000</v>
      </c>
      <c r="E152" s="80">
        <f t="shared" si="147"/>
        <v>1000</v>
      </c>
      <c r="F152" s="80">
        <f t="shared" si="147"/>
        <v>1000</v>
      </c>
      <c r="G152" s="80">
        <f t="shared" si="147"/>
        <v>1000</v>
      </c>
      <c r="H152" s="80">
        <f t="shared" si="147"/>
        <v>1000</v>
      </c>
      <c r="I152" s="80">
        <f t="shared" si="147"/>
        <v>1000</v>
      </c>
      <c r="J152" s="80">
        <f t="shared" si="147"/>
        <v>1000</v>
      </c>
      <c r="K152" s="80">
        <f t="shared" si="147"/>
        <v>1000</v>
      </c>
      <c r="L152" s="80">
        <f t="shared" si="147"/>
        <v>1000</v>
      </c>
      <c r="M152" s="80">
        <f t="shared" si="147"/>
        <v>0</v>
      </c>
      <c r="N152" s="273">
        <f>SUM(B152:M152)</f>
        <v>11000</v>
      </c>
    </row>
    <row r="153" spans="1:14" x14ac:dyDescent="0.35">
      <c r="A153" s="238" t="s">
        <v>93</v>
      </c>
      <c r="B153" s="239">
        <f>+'Plan de culture 106'!$J$37</f>
        <v>0</v>
      </c>
      <c r="C153" s="239">
        <f>+B153</f>
        <v>0</v>
      </c>
      <c r="D153" s="239">
        <f t="shared" ref="D153" si="148">+C153</f>
        <v>0</v>
      </c>
      <c r="E153" s="239">
        <f>+'Plan de culture 104 '!C149</f>
        <v>0</v>
      </c>
      <c r="F153" s="239">
        <f>+E153+'Plan de culture 104 '!D149+'Plan de culture 104 '!E149</f>
        <v>0</v>
      </c>
      <c r="G153" s="239">
        <f>+F153</f>
        <v>0</v>
      </c>
      <c r="H153" s="239">
        <f t="shared" ref="H153:M153" si="149">+G153</f>
        <v>0</v>
      </c>
      <c r="I153" s="239">
        <f t="shared" si="149"/>
        <v>0</v>
      </c>
      <c r="J153" s="239">
        <f t="shared" si="149"/>
        <v>0</v>
      </c>
      <c r="K153" s="239">
        <f t="shared" si="149"/>
        <v>0</v>
      </c>
      <c r="L153" s="239">
        <f t="shared" si="149"/>
        <v>0</v>
      </c>
      <c r="M153" s="239">
        <f t="shared" si="149"/>
        <v>0</v>
      </c>
      <c r="N153" s="240">
        <f>+'Plan de culture 106'!$J$37</f>
        <v>0</v>
      </c>
    </row>
    <row r="154" spans="1:14" x14ac:dyDescent="0.35">
      <c r="A154" s="270" t="s">
        <v>146</v>
      </c>
      <c r="B154" s="90">
        <f>250*B153</f>
        <v>0</v>
      </c>
      <c r="C154" s="90">
        <f>B154</f>
        <v>0</v>
      </c>
      <c r="D154" s="90">
        <f t="shared" ref="D154:L154" si="150">C154</f>
        <v>0</v>
      </c>
      <c r="E154" s="90">
        <f t="shared" si="150"/>
        <v>0</v>
      </c>
      <c r="F154" s="90">
        <f t="shared" si="150"/>
        <v>0</v>
      </c>
      <c r="G154" s="90">
        <f t="shared" si="150"/>
        <v>0</v>
      </c>
      <c r="H154" s="90">
        <f t="shared" si="150"/>
        <v>0</v>
      </c>
      <c r="I154" s="90">
        <f t="shared" si="150"/>
        <v>0</v>
      </c>
      <c r="J154" s="90">
        <f t="shared" si="150"/>
        <v>0</v>
      </c>
      <c r="K154" s="90">
        <f t="shared" si="150"/>
        <v>0</v>
      </c>
      <c r="L154" s="90">
        <f t="shared" si="150"/>
        <v>0</v>
      </c>
      <c r="M154" s="90"/>
      <c r="N154" s="271">
        <f t="shared" ref="N154:N158" si="151">SUM(B154:M154)</f>
        <v>0</v>
      </c>
    </row>
    <row r="155" spans="1:14" x14ac:dyDescent="0.35">
      <c r="A155" s="270" t="s">
        <v>147</v>
      </c>
      <c r="B155" s="90"/>
      <c r="C155" s="90">
        <f>250*C153</f>
        <v>0</v>
      </c>
      <c r="D155" s="90">
        <f>250*D153</f>
        <v>0</v>
      </c>
      <c r="E155" s="90"/>
      <c r="F155" s="90"/>
      <c r="G155" s="90">
        <f t="shared" ref="G155:H155" si="152">250*G153</f>
        <v>0</v>
      </c>
      <c r="H155" s="90">
        <f t="shared" si="152"/>
        <v>0</v>
      </c>
      <c r="I155" s="90"/>
      <c r="J155" s="90">
        <f t="shared" ref="J155:K155" si="153">250*J153</f>
        <v>0</v>
      </c>
      <c r="K155" s="90">
        <f t="shared" si="153"/>
        <v>0</v>
      </c>
      <c r="L155" s="90"/>
      <c r="M155" s="90"/>
      <c r="N155" s="271">
        <f t="shared" si="151"/>
        <v>0</v>
      </c>
    </row>
    <row r="156" spans="1:14" x14ac:dyDescent="0.35">
      <c r="A156" s="270" t="s">
        <v>154</v>
      </c>
      <c r="B156" s="90"/>
      <c r="C156" s="90">
        <f>4000*C153</f>
        <v>0</v>
      </c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271">
        <f t="shared" si="151"/>
        <v>0</v>
      </c>
    </row>
    <row r="157" spans="1:14" x14ac:dyDescent="0.35">
      <c r="A157" s="270" t="s">
        <v>148</v>
      </c>
      <c r="B157" s="90">
        <v>1000</v>
      </c>
      <c r="C157" s="90">
        <v>1000</v>
      </c>
      <c r="D157" s="90">
        <v>1000</v>
      </c>
      <c r="E157" s="90">
        <v>1000</v>
      </c>
      <c r="F157" s="90">
        <v>1000</v>
      </c>
      <c r="G157" s="90">
        <v>1000</v>
      </c>
      <c r="H157" s="90">
        <v>1000</v>
      </c>
      <c r="I157" s="90">
        <v>1000</v>
      </c>
      <c r="J157" s="90">
        <v>1000</v>
      </c>
      <c r="K157" s="90">
        <v>1000</v>
      </c>
      <c r="L157" s="90">
        <v>1000</v>
      </c>
      <c r="M157" s="90"/>
      <c r="N157" s="271">
        <f t="shared" si="151"/>
        <v>11000</v>
      </c>
    </row>
    <row r="158" spans="1:14" x14ac:dyDescent="0.35">
      <c r="A158" s="272" t="s">
        <v>145</v>
      </c>
      <c r="B158" s="91">
        <f t="shared" ref="B158:M158" si="154">SUM(B154:B157)</f>
        <v>1000</v>
      </c>
      <c r="C158" s="91">
        <f t="shared" si="154"/>
        <v>1000</v>
      </c>
      <c r="D158" s="91">
        <f t="shared" si="154"/>
        <v>1000</v>
      </c>
      <c r="E158" s="91">
        <f t="shared" si="154"/>
        <v>1000</v>
      </c>
      <c r="F158" s="91">
        <f t="shared" si="154"/>
        <v>1000</v>
      </c>
      <c r="G158" s="91">
        <f t="shared" si="154"/>
        <v>1000</v>
      </c>
      <c r="H158" s="91">
        <f t="shared" si="154"/>
        <v>1000</v>
      </c>
      <c r="I158" s="91">
        <f t="shared" si="154"/>
        <v>1000</v>
      </c>
      <c r="J158" s="91">
        <f t="shared" si="154"/>
        <v>1000</v>
      </c>
      <c r="K158" s="91">
        <f t="shared" si="154"/>
        <v>1000</v>
      </c>
      <c r="L158" s="91">
        <f t="shared" si="154"/>
        <v>1000</v>
      </c>
      <c r="M158" s="91">
        <f t="shared" si="154"/>
        <v>0</v>
      </c>
      <c r="N158" s="271">
        <f t="shared" si="151"/>
        <v>11000</v>
      </c>
    </row>
    <row r="159" spans="1:14" ht="12" thickBot="1" x14ac:dyDescent="0.4">
      <c r="A159" s="241" t="s">
        <v>144</v>
      </c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74" t="e">
        <f>+N152/N153</f>
        <v>#DIV/0!</v>
      </c>
    </row>
    <row r="160" spans="1:14" x14ac:dyDescent="0.35">
      <c r="A160" s="233" t="s">
        <v>440</v>
      </c>
      <c r="B160" s="242">
        <f>+B163+B171+B179+B187+B195+B203</f>
        <v>9339.5</v>
      </c>
      <c r="C160" s="242">
        <f t="shared" ref="C160:M160" si="155">+C163+C171+C179+C187+C195+C203</f>
        <v>79711</v>
      </c>
      <c r="D160" s="242">
        <f t="shared" si="155"/>
        <v>13479</v>
      </c>
      <c r="E160" s="242">
        <f t="shared" si="155"/>
        <v>9339.5</v>
      </c>
      <c r="F160" s="242">
        <f t="shared" si="155"/>
        <v>9339.5</v>
      </c>
      <c r="G160" s="242">
        <f t="shared" si="155"/>
        <v>13479</v>
      </c>
      <c r="H160" s="242">
        <f t="shared" si="155"/>
        <v>13479</v>
      </c>
      <c r="I160" s="242">
        <f t="shared" si="155"/>
        <v>9339.5</v>
      </c>
      <c r="J160" s="242">
        <f t="shared" si="155"/>
        <v>13479</v>
      </c>
      <c r="K160" s="242">
        <f t="shared" si="155"/>
        <v>13279</v>
      </c>
      <c r="L160" s="242">
        <f t="shared" si="155"/>
        <v>9139.5</v>
      </c>
      <c r="M160" s="242">
        <f t="shared" si="155"/>
        <v>0</v>
      </c>
      <c r="N160" s="243">
        <f>SUM(B160:M160)</f>
        <v>193403.5</v>
      </c>
    </row>
    <row r="161" spans="1:14" x14ac:dyDescent="0.35">
      <c r="A161" s="234" t="s">
        <v>93</v>
      </c>
      <c r="B161" s="81">
        <f>+B164+B180+B188+B196+B664+B172</f>
        <v>16.558</v>
      </c>
      <c r="C161" s="81">
        <f t="shared" ref="C161:M161" si="156">+C164+C172</f>
        <v>0</v>
      </c>
      <c r="D161" s="81">
        <f t="shared" si="156"/>
        <v>0</v>
      </c>
      <c r="E161" s="81">
        <f t="shared" si="156"/>
        <v>0</v>
      </c>
      <c r="F161" s="81">
        <f t="shared" si="156"/>
        <v>0</v>
      </c>
      <c r="G161" s="81">
        <f t="shared" si="156"/>
        <v>0</v>
      </c>
      <c r="H161" s="81">
        <f t="shared" si="156"/>
        <v>0</v>
      </c>
      <c r="I161" s="81">
        <f t="shared" si="156"/>
        <v>0</v>
      </c>
      <c r="J161" s="81">
        <f t="shared" si="156"/>
        <v>0</v>
      </c>
      <c r="K161" s="81">
        <f t="shared" si="156"/>
        <v>0</v>
      </c>
      <c r="L161" s="81">
        <f t="shared" si="156"/>
        <v>0</v>
      </c>
      <c r="M161" s="81">
        <f t="shared" si="156"/>
        <v>0</v>
      </c>
      <c r="N161" s="248">
        <f>+M161</f>
        <v>0</v>
      </c>
    </row>
    <row r="162" spans="1:14" x14ac:dyDescent="0.35">
      <c r="A162" s="234" t="s">
        <v>144</v>
      </c>
      <c r="B162" s="83">
        <f>+B160/B161</f>
        <v>564.04759028868216</v>
      </c>
      <c r="C162" s="83" t="e">
        <f>+C160/C161</f>
        <v>#DIV/0!</v>
      </c>
      <c r="D162" s="83" t="e">
        <f>+D160/D161</f>
        <v>#DIV/0!</v>
      </c>
      <c r="E162" s="83" t="e">
        <f t="shared" ref="E162:N162" si="157">+E160/E161</f>
        <v>#DIV/0!</v>
      </c>
      <c r="F162" s="83" t="e">
        <f t="shared" si="157"/>
        <v>#DIV/0!</v>
      </c>
      <c r="G162" s="83" t="e">
        <f t="shared" si="157"/>
        <v>#DIV/0!</v>
      </c>
      <c r="H162" s="83" t="e">
        <f t="shared" si="157"/>
        <v>#DIV/0!</v>
      </c>
      <c r="I162" s="83" t="e">
        <f t="shared" si="157"/>
        <v>#DIV/0!</v>
      </c>
      <c r="J162" s="83" t="e">
        <f t="shared" si="157"/>
        <v>#DIV/0!</v>
      </c>
      <c r="K162" s="83" t="e">
        <f t="shared" si="157"/>
        <v>#DIV/0!</v>
      </c>
      <c r="L162" s="83" t="e">
        <f t="shared" si="157"/>
        <v>#DIV/0!</v>
      </c>
      <c r="M162" s="83" t="e">
        <f t="shared" si="157"/>
        <v>#DIV/0!</v>
      </c>
      <c r="N162" s="249" t="e">
        <f t="shared" si="157"/>
        <v>#DIV/0!</v>
      </c>
    </row>
    <row r="163" spans="1:14" x14ac:dyDescent="0.35">
      <c r="A163" s="235" t="s">
        <v>90</v>
      </c>
      <c r="B163" s="80">
        <f>+B169</f>
        <v>200</v>
      </c>
      <c r="C163" s="80">
        <f t="shared" ref="C163:M163" si="158">+C169</f>
        <v>200</v>
      </c>
      <c r="D163" s="80">
        <f t="shared" si="158"/>
        <v>200</v>
      </c>
      <c r="E163" s="80">
        <f t="shared" si="158"/>
        <v>200</v>
      </c>
      <c r="F163" s="80">
        <f t="shared" si="158"/>
        <v>200</v>
      </c>
      <c r="G163" s="80">
        <f t="shared" si="158"/>
        <v>200</v>
      </c>
      <c r="H163" s="80">
        <f t="shared" si="158"/>
        <v>200</v>
      </c>
      <c r="I163" s="80">
        <f t="shared" si="158"/>
        <v>200</v>
      </c>
      <c r="J163" s="80">
        <f t="shared" si="158"/>
        <v>200</v>
      </c>
      <c r="K163" s="80">
        <f t="shared" si="158"/>
        <v>0</v>
      </c>
      <c r="L163" s="80">
        <f t="shared" si="158"/>
        <v>0</v>
      </c>
      <c r="M163" s="80">
        <f t="shared" si="158"/>
        <v>0</v>
      </c>
      <c r="N163" s="244">
        <f>SUM(B163:M163)</f>
        <v>1800</v>
      </c>
    </row>
    <row r="164" spans="1:14" x14ac:dyDescent="0.35">
      <c r="A164" s="238" t="s">
        <v>93</v>
      </c>
      <c r="B164" s="239">
        <f>+'Plan de culture 107'!$Z$7</f>
        <v>0</v>
      </c>
      <c r="C164" s="239">
        <f>+B164</f>
        <v>0</v>
      </c>
      <c r="D164" s="239">
        <f t="shared" ref="D164" si="159">+C164</f>
        <v>0</v>
      </c>
      <c r="E164" s="239">
        <f>+D164</f>
        <v>0</v>
      </c>
      <c r="F164" s="239">
        <f>+E164</f>
        <v>0</v>
      </c>
      <c r="G164" s="239">
        <f>+F164</f>
        <v>0</v>
      </c>
      <c r="H164" s="239">
        <f t="shared" ref="H164:M164" si="160">+G164</f>
        <v>0</v>
      </c>
      <c r="I164" s="239">
        <f t="shared" si="160"/>
        <v>0</v>
      </c>
      <c r="J164" s="239">
        <f t="shared" si="160"/>
        <v>0</v>
      </c>
      <c r="K164" s="239">
        <f t="shared" si="160"/>
        <v>0</v>
      </c>
      <c r="L164" s="239">
        <f t="shared" si="160"/>
        <v>0</v>
      </c>
      <c r="M164" s="239">
        <f t="shared" si="160"/>
        <v>0</v>
      </c>
      <c r="N164" s="240">
        <f>+'Plan de culture 107'!$Z$7</f>
        <v>0</v>
      </c>
    </row>
    <row r="165" spans="1:14" x14ac:dyDescent="0.35">
      <c r="A165" s="270" t="s">
        <v>146</v>
      </c>
      <c r="B165" s="90">
        <f>250*B164</f>
        <v>0</v>
      </c>
      <c r="C165" s="90">
        <f>B165</f>
        <v>0</v>
      </c>
      <c r="D165" s="90">
        <f t="shared" ref="D165:J165" si="161">C165</f>
        <v>0</v>
      </c>
      <c r="E165" s="90">
        <f t="shared" si="161"/>
        <v>0</v>
      </c>
      <c r="F165" s="90">
        <f t="shared" si="161"/>
        <v>0</v>
      </c>
      <c r="G165" s="90">
        <f t="shared" si="161"/>
        <v>0</v>
      </c>
      <c r="H165" s="90">
        <f t="shared" si="161"/>
        <v>0</v>
      </c>
      <c r="I165" s="90">
        <f t="shared" si="161"/>
        <v>0</v>
      </c>
      <c r="J165" s="90">
        <f t="shared" si="161"/>
        <v>0</v>
      </c>
      <c r="K165" s="90"/>
      <c r="L165" s="90"/>
      <c r="M165" s="90"/>
      <c r="N165" s="271">
        <f t="shared" ref="N165:N169" si="162">SUM(B165:M165)</f>
        <v>0</v>
      </c>
    </row>
    <row r="166" spans="1:14" x14ac:dyDescent="0.35">
      <c r="A166" s="270" t="s">
        <v>147</v>
      </c>
      <c r="B166" s="90"/>
      <c r="C166" s="90">
        <f>250*C164</f>
        <v>0</v>
      </c>
      <c r="D166" s="90">
        <f>250*D164</f>
        <v>0</v>
      </c>
      <c r="E166" s="90"/>
      <c r="F166" s="90"/>
      <c r="G166" s="90">
        <f t="shared" ref="G166:H166" si="163">250*G164</f>
        <v>0</v>
      </c>
      <c r="H166" s="90">
        <f t="shared" si="163"/>
        <v>0</v>
      </c>
      <c r="I166" s="90"/>
      <c r="J166" s="90">
        <f t="shared" ref="J166" si="164">250*J164</f>
        <v>0</v>
      </c>
      <c r="K166" s="90"/>
      <c r="L166" s="90"/>
      <c r="M166" s="90"/>
      <c r="N166" s="271">
        <f t="shared" si="162"/>
        <v>0</v>
      </c>
    </row>
    <row r="167" spans="1:14" x14ac:dyDescent="0.35">
      <c r="A167" s="270" t="s">
        <v>154</v>
      </c>
      <c r="B167" s="90"/>
      <c r="C167" s="90">
        <f>4000*C164</f>
        <v>0</v>
      </c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271">
        <f t="shared" si="162"/>
        <v>0</v>
      </c>
    </row>
    <row r="168" spans="1:14" x14ac:dyDescent="0.35">
      <c r="A168" s="270" t="s">
        <v>148</v>
      </c>
      <c r="B168" s="90">
        <v>200</v>
      </c>
      <c r="C168" s="90">
        <f>+B168</f>
        <v>200</v>
      </c>
      <c r="D168" s="90">
        <f t="shared" ref="D168:J168" si="165">+C168</f>
        <v>200</v>
      </c>
      <c r="E168" s="90">
        <f t="shared" si="165"/>
        <v>200</v>
      </c>
      <c r="F168" s="90">
        <f t="shared" si="165"/>
        <v>200</v>
      </c>
      <c r="G168" s="90">
        <f t="shared" si="165"/>
        <v>200</v>
      </c>
      <c r="H168" s="90">
        <f t="shared" si="165"/>
        <v>200</v>
      </c>
      <c r="I168" s="90">
        <f t="shared" si="165"/>
        <v>200</v>
      </c>
      <c r="J168" s="90">
        <f t="shared" si="165"/>
        <v>200</v>
      </c>
      <c r="K168" s="90"/>
      <c r="L168" s="90"/>
      <c r="M168" s="90"/>
      <c r="N168" s="271">
        <f t="shared" si="162"/>
        <v>1800</v>
      </c>
    </row>
    <row r="169" spans="1:14" x14ac:dyDescent="0.35">
      <c r="A169" s="272" t="s">
        <v>145</v>
      </c>
      <c r="B169" s="91">
        <f t="shared" ref="B169:M169" si="166">SUM(B165:B168)</f>
        <v>200</v>
      </c>
      <c r="C169" s="91">
        <f t="shared" si="166"/>
        <v>200</v>
      </c>
      <c r="D169" s="91">
        <f t="shared" si="166"/>
        <v>200</v>
      </c>
      <c r="E169" s="91">
        <f t="shared" si="166"/>
        <v>200</v>
      </c>
      <c r="F169" s="91">
        <f t="shared" si="166"/>
        <v>200</v>
      </c>
      <c r="G169" s="91">
        <f t="shared" si="166"/>
        <v>200</v>
      </c>
      <c r="H169" s="91">
        <f t="shared" si="166"/>
        <v>200</v>
      </c>
      <c r="I169" s="91">
        <f t="shared" si="166"/>
        <v>200</v>
      </c>
      <c r="J169" s="91">
        <f t="shared" si="166"/>
        <v>200</v>
      </c>
      <c r="K169" s="91">
        <f t="shared" si="166"/>
        <v>0</v>
      </c>
      <c r="L169" s="91">
        <f t="shared" si="166"/>
        <v>0</v>
      </c>
      <c r="M169" s="91">
        <f t="shared" si="166"/>
        <v>0</v>
      </c>
      <c r="N169" s="271">
        <f t="shared" si="162"/>
        <v>1800</v>
      </c>
    </row>
    <row r="170" spans="1:14" x14ac:dyDescent="0.35">
      <c r="A170" s="238" t="s">
        <v>144</v>
      </c>
      <c r="B170" s="62" t="e">
        <f>+B169/B164</f>
        <v>#DIV/0!</v>
      </c>
      <c r="C170" s="62" t="e">
        <f t="shared" ref="C170:N170" si="167">+C163/C164</f>
        <v>#DIV/0!</v>
      </c>
      <c r="D170" s="62" t="e">
        <f t="shared" si="167"/>
        <v>#DIV/0!</v>
      </c>
      <c r="E170" s="62" t="e">
        <f t="shared" si="167"/>
        <v>#DIV/0!</v>
      </c>
      <c r="F170" s="62" t="e">
        <f t="shared" si="167"/>
        <v>#DIV/0!</v>
      </c>
      <c r="G170" s="62" t="e">
        <f t="shared" si="167"/>
        <v>#DIV/0!</v>
      </c>
      <c r="H170" s="62" t="e">
        <f t="shared" si="167"/>
        <v>#DIV/0!</v>
      </c>
      <c r="I170" s="62" t="e">
        <f t="shared" si="167"/>
        <v>#DIV/0!</v>
      </c>
      <c r="J170" s="62" t="e">
        <f t="shared" si="167"/>
        <v>#DIV/0!</v>
      </c>
      <c r="K170" s="62" t="e">
        <f t="shared" si="167"/>
        <v>#DIV/0!</v>
      </c>
      <c r="L170" s="62" t="e">
        <f t="shared" si="167"/>
        <v>#DIV/0!</v>
      </c>
      <c r="M170" s="62" t="e">
        <f t="shared" si="167"/>
        <v>#DIV/0!</v>
      </c>
      <c r="N170" s="269" t="e">
        <f t="shared" si="167"/>
        <v>#DIV/0!</v>
      </c>
    </row>
    <row r="171" spans="1:14" x14ac:dyDescent="0.35">
      <c r="A171" s="235" t="s">
        <v>91</v>
      </c>
      <c r="B171" s="80">
        <f>+B177</f>
        <v>1000</v>
      </c>
      <c r="C171" s="80">
        <f t="shared" ref="C171:M171" si="168">+C177</f>
        <v>1000</v>
      </c>
      <c r="D171" s="80">
        <f t="shared" si="168"/>
        <v>1000</v>
      </c>
      <c r="E171" s="80">
        <f t="shared" si="168"/>
        <v>1000</v>
      </c>
      <c r="F171" s="80">
        <f t="shared" si="168"/>
        <v>1000</v>
      </c>
      <c r="G171" s="80">
        <f t="shared" si="168"/>
        <v>1000</v>
      </c>
      <c r="H171" s="80">
        <f t="shared" si="168"/>
        <v>1000</v>
      </c>
      <c r="I171" s="80">
        <f t="shared" si="168"/>
        <v>1000</v>
      </c>
      <c r="J171" s="80">
        <f t="shared" si="168"/>
        <v>1000</v>
      </c>
      <c r="K171" s="80">
        <f t="shared" si="168"/>
        <v>1000</v>
      </c>
      <c r="L171" s="80">
        <f t="shared" si="168"/>
        <v>1000</v>
      </c>
      <c r="M171" s="80">
        <f t="shared" si="168"/>
        <v>0</v>
      </c>
      <c r="N171" s="273">
        <f>SUM(B171:M171)</f>
        <v>11000</v>
      </c>
    </row>
    <row r="172" spans="1:14" x14ac:dyDescent="0.35">
      <c r="A172" s="238" t="s">
        <v>93</v>
      </c>
      <c r="B172" s="239">
        <f>+'Plan de culture 107'!$Z$13</f>
        <v>0</v>
      </c>
      <c r="C172" s="239">
        <f>+B172</f>
        <v>0</v>
      </c>
      <c r="D172" s="239">
        <f t="shared" ref="D172:M172" si="169">+C172</f>
        <v>0</v>
      </c>
      <c r="E172" s="239">
        <f t="shared" si="169"/>
        <v>0</v>
      </c>
      <c r="F172" s="239">
        <f t="shared" si="169"/>
        <v>0</v>
      </c>
      <c r="G172" s="239">
        <f t="shared" si="169"/>
        <v>0</v>
      </c>
      <c r="H172" s="239">
        <f t="shared" si="169"/>
        <v>0</v>
      </c>
      <c r="I172" s="239">
        <f t="shared" si="169"/>
        <v>0</v>
      </c>
      <c r="J172" s="239">
        <f t="shared" si="169"/>
        <v>0</v>
      </c>
      <c r="K172" s="239">
        <f t="shared" si="169"/>
        <v>0</v>
      </c>
      <c r="L172" s="239">
        <f t="shared" si="169"/>
        <v>0</v>
      </c>
      <c r="M172" s="239">
        <f t="shared" si="169"/>
        <v>0</v>
      </c>
      <c r="N172" s="240">
        <f>+'Plan de culture 107'!$Z$13</f>
        <v>0</v>
      </c>
    </row>
    <row r="173" spans="1:14" x14ac:dyDescent="0.35">
      <c r="A173" s="270" t="s">
        <v>146</v>
      </c>
      <c r="B173" s="90">
        <f>250*B172</f>
        <v>0</v>
      </c>
      <c r="C173" s="90">
        <f>B173</f>
        <v>0</v>
      </c>
      <c r="D173" s="90">
        <f t="shared" ref="D173:L173" si="170">C173</f>
        <v>0</v>
      </c>
      <c r="E173" s="90">
        <f t="shared" si="170"/>
        <v>0</v>
      </c>
      <c r="F173" s="90">
        <f t="shared" si="170"/>
        <v>0</v>
      </c>
      <c r="G173" s="90">
        <f t="shared" si="170"/>
        <v>0</v>
      </c>
      <c r="H173" s="90">
        <f t="shared" si="170"/>
        <v>0</v>
      </c>
      <c r="I173" s="90">
        <f t="shared" si="170"/>
        <v>0</v>
      </c>
      <c r="J173" s="90">
        <f t="shared" si="170"/>
        <v>0</v>
      </c>
      <c r="K173" s="90">
        <f t="shared" si="170"/>
        <v>0</v>
      </c>
      <c r="L173" s="90">
        <f t="shared" si="170"/>
        <v>0</v>
      </c>
      <c r="M173" s="90"/>
      <c r="N173" s="271">
        <f t="shared" ref="N173:N177" si="171">SUM(B173:M173)</f>
        <v>0</v>
      </c>
    </row>
    <row r="174" spans="1:14" x14ac:dyDescent="0.35">
      <c r="A174" s="270" t="s">
        <v>147</v>
      </c>
      <c r="B174" s="90"/>
      <c r="C174" s="90">
        <f>250*C172</f>
        <v>0</v>
      </c>
      <c r="D174" s="90">
        <f>250*D172</f>
        <v>0</v>
      </c>
      <c r="E174" s="90"/>
      <c r="F174" s="90"/>
      <c r="G174" s="90">
        <f t="shared" ref="G174:H174" si="172">250*G172</f>
        <v>0</v>
      </c>
      <c r="H174" s="90">
        <f t="shared" si="172"/>
        <v>0</v>
      </c>
      <c r="I174" s="90"/>
      <c r="J174" s="90">
        <f t="shared" ref="J174:K174" si="173">250*J172</f>
        <v>0</v>
      </c>
      <c r="K174" s="90">
        <f t="shared" si="173"/>
        <v>0</v>
      </c>
      <c r="L174" s="90"/>
      <c r="M174" s="90"/>
      <c r="N174" s="271">
        <f t="shared" si="171"/>
        <v>0</v>
      </c>
    </row>
    <row r="175" spans="1:14" x14ac:dyDescent="0.35">
      <c r="A175" s="270" t="s">
        <v>154</v>
      </c>
      <c r="B175" s="90"/>
      <c r="C175" s="90">
        <f>4000*C172</f>
        <v>0</v>
      </c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271">
        <f t="shared" si="171"/>
        <v>0</v>
      </c>
    </row>
    <row r="176" spans="1:14" x14ac:dyDescent="0.35">
      <c r="A176" s="270" t="s">
        <v>148</v>
      </c>
      <c r="B176" s="90">
        <v>1000</v>
      </c>
      <c r="C176" s="90">
        <v>1000</v>
      </c>
      <c r="D176" s="90">
        <v>1000</v>
      </c>
      <c r="E176" s="90">
        <v>1000</v>
      </c>
      <c r="F176" s="90">
        <v>1000</v>
      </c>
      <c r="G176" s="90">
        <v>1000</v>
      </c>
      <c r="H176" s="90">
        <v>1000</v>
      </c>
      <c r="I176" s="90">
        <v>1000</v>
      </c>
      <c r="J176" s="90">
        <v>1000</v>
      </c>
      <c r="K176" s="90">
        <v>1000</v>
      </c>
      <c r="L176" s="90">
        <v>1000</v>
      </c>
      <c r="M176" s="90"/>
      <c r="N176" s="271">
        <f t="shared" si="171"/>
        <v>11000</v>
      </c>
    </row>
    <row r="177" spans="1:14" x14ac:dyDescent="0.35">
      <c r="A177" s="272" t="s">
        <v>145</v>
      </c>
      <c r="B177" s="91">
        <f t="shared" ref="B177:M177" si="174">SUM(B173:B176)</f>
        <v>1000</v>
      </c>
      <c r="C177" s="91">
        <f t="shared" si="174"/>
        <v>1000</v>
      </c>
      <c r="D177" s="91">
        <f t="shared" si="174"/>
        <v>1000</v>
      </c>
      <c r="E177" s="91">
        <f t="shared" si="174"/>
        <v>1000</v>
      </c>
      <c r="F177" s="91">
        <f t="shared" si="174"/>
        <v>1000</v>
      </c>
      <c r="G177" s="91">
        <f t="shared" si="174"/>
        <v>1000</v>
      </c>
      <c r="H177" s="91">
        <f t="shared" si="174"/>
        <v>1000</v>
      </c>
      <c r="I177" s="91">
        <f t="shared" si="174"/>
        <v>1000</v>
      </c>
      <c r="J177" s="91">
        <f t="shared" si="174"/>
        <v>1000</v>
      </c>
      <c r="K177" s="91">
        <f t="shared" si="174"/>
        <v>1000</v>
      </c>
      <c r="L177" s="91">
        <f t="shared" si="174"/>
        <v>1000</v>
      </c>
      <c r="M177" s="91">
        <f t="shared" si="174"/>
        <v>0</v>
      </c>
      <c r="N177" s="271">
        <f t="shared" si="171"/>
        <v>11000</v>
      </c>
    </row>
    <row r="178" spans="1:14" x14ac:dyDescent="0.35">
      <c r="A178" s="238" t="s">
        <v>144</v>
      </c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269" t="e">
        <f>+N171/N172</f>
        <v>#DIV/0!</v>
      </c>
    </row>
    <row r="179" spans="1:14" x14ac:dyDescent="0.35">
      <c r="A179" s="235" t="s">
        <v>376</v>
      </c>
      <c r="B179" s="80">
        <f>+B185</f>
        <v>1000</v>
      </c>
      <c r="C179" s="80">
        <f t="shared" ref="C179:M179" si="175">+C185</f>
        <v>1000</v>
      </c>
      <c r="D179" s="80">
        <f t="shared" si="175"/>
        <v>1000</v>
      </c>
      <c r="E179" s="80">
        <f t="shared" si="175"/>
        <v>1000</v>
      </c>
      <c r="F179" s="80">
        <f t="shared" si="175"/>
        <v>1000</v>
      </c>
      <c r="G179" s="80">
        <f t="shared" si="175"/>
        <v>1000</v>
      </c>
      <c r="H179" s="80">
        <f t="shared" si="175"/>
        <v>1000</v>
      </c>
      <c r="I179" s="80">
        <f t="shared" si="175"/>
        <v>1000</v>
      </c>
      <c r="J179" s="80">
        <f t="shared" si="175"/>
        <v>1000</v>
      </c>
      <c r="K179" s="80">
        <f t="shared" si="175"/>
        <v>1000</v>
      </c>
      <c r="L179" s="80">
        <f t="shared" si="175"/>
        <v>1000</v>
      </c>
      <c r="M179" s="80">
        <f t="shared" si="175"/>
        <v>0</v>
      </c>
      <c r="N179" s="273">
        <f>SUM(B179:M179)</f>
        <v>11000</v>
      </c>
    </row>
    <row r="180" spans="1:14" x14ac:dyDescent="0.35">
      <c r="A180" s="238" t="s">
        <v>93</v>
      </c>
      <c r="B180" s="239">
        <f>+'Plan de culture 107'!$Z$19</f>
        <v>0</v>
      </c>
      <c r="C180" s="239">
        <f>+B180</f>
        <v>0</v>
      </c>
      <c r="D180" s="239">
        <f t="shared" ref="D180" si="176">+C180</f>
        <v>0</v>
      </c>
      <c r="E180" s="239">
        <f>+'Plan de culture 104 '!C176</f>
        <v>0</v>
      </c>
      <c r="F180" s="239">
        <f>+E180+'Plan de culture 104 '!D176+'Plan de culture 104 '!E176</f>
        <v>0</v>
      </c>
      <c r="G180" s="239">
        <f>+F180</f>
        <v>0</v>
      </c>
      <c r="H180" s="239">
        <f t="shared" ref="H180:M180" si="177">+G180</f>
        <v>0</v>
      </c>
      <c r="I180" s="239">
        <f t="shared" si="177"/>
        <v>0</v>
      </c>
      <c r="J180" s="239">
        <f t="shared" si="177"/>
        <v>0</v>
      </c>
      <c r="K180" s="239">
        <f t="shared" si="177"/>
        <v>0</v>
      </c>
      <c r="L180" s="239">
        <f t="shared" si="177"/>
        <v>0</v>
      </c>
      <c r="M180" s="239">
        <f t="shared" si="177"/>
        <v>0</v>
      </c>
      <c r="N180" s="240">
        <f>+'Plan de culture 107'!$Z$19</f>
        <v>0</v>
      </c>
    </row>
    <row r="181" spans="1:14" x14ac:dyDescent="0.35">
      <c r="A181" s="270" t="s">
        <v>146</v>
      </c>
      <c r="B181" s="90">
        <f>250*B180</f>
        <v>0</v>
      </c>
      <c r="C181" s="90">
        <f>B181</f>
        <v>0</v>
      </c>
      <c r="D181" s="90">
        <f t="shared" ref="D181:L181" si="178">C181</f>
        <v>0</v>
      </c>
      <c r="E181" s="90">
        <f t="shared" si="178"/>
        <v>0</v>
      </c>
      <c r="F181" s="90">
        <f t="shared" si="178"/>
        <v>0</v>
      </c>
      <c r="G181" s="90">
        <f t="shared" si="178"/>
        <v>0</v>
      </c>
      <c r="H181" s="90">
        <f t="shared" si="178"/>
        <v>0</v>
      </c>
      <c r="I181" s="90">
        <f t="shared" si="178"/>
        <v>0</v>
      </c>
      <c r="J181" s="90">
        <f t="shared" si="178"/>
        <v>0</v>
      </c>
      <c r="K181" s="90">
        <f t="shared" si="178"/>
        <v>0</v>
      </c>
      <c r="L181" s="90">
        <f t="shared" si="178"/>
        <v>0</v>
      </c>
      <c r="M181" s="90"/>
      <c r="N181" s="271">
        <f t="shared" ref="N181:N185" si="179">SUM(B181:M181)</f>
        <v>0</v>
      </c>
    </row>
    <row r="182" spans="1:14" x14ac:dyDescent="0.35">
      <c r="A182" s="270" t="s">
        <v>147</v>
      </c>
      <c r="B182" s="90"/>
      <c r="C182" s="90">
        <f>250*C180</f>
        <v>0</v>
      </c>
      <c r="D182" s="90">
        <f>250*D180</f>
        <v>0</v>
      </c>
      <c r="E182" s="90"/>
      <c r="F182" s="90"/>
      <c r="G182" s="90">
        <f t="shared" ref="G182:H182" si="180">250*G180</f>
        <v>0</v>
      </c>
      <c r="H182" s="90">
        <f t="shared" si="180"/>
        <v>0</v>
      </c>
      <c r="I182" s="90"/>
      <c r="J182" s="90">
        <f t="shared" ref="J182:K182" si="181">250*J180</f>
        <v>0</v>
      </c>
      <c r="K182" s="90">
        <f t="shared" si="181"/>
        <v>0</v>
      </c>
      <c r="L182" s="90"/>
      <c r="M182" s="90"/>
      <c r="N182" s="271">
        <f t="shared" si="179"/>
        <v>0</v>
      </c>
    </row>
    <row r="183" spans="1:14" x14ac:dyDescent="0.35">
      <c r="A183" s="270" t="s">
        <v>154</v>
      </c>
      <c r="B183" s="90"/>
      <c r="C183" s="90">
        <f>4000*C180</f>
        <v>0</v>
      </c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271">
        <f t="shared" si="179"/>
        <v>0</v>
      </c>
    </row>
    <row r="184" spans="1:14" x14ac:dyDescent="0.35">
      <c r="A184" s="270" t="s">
        <v>148</v>
      </c>
      <c r="B184" s="90">
        <v>1000</v>
      </c>
      <c r="C184" s="90">
        <v>1000</v>
      </c>
      <c r="D184" s="90">
        <v>1000</v>
      </c>
      <c r="E184" s="90">
        <v>1000</v>
      </c>
      <c r="F184" s="90">
        <v>1000</v>
      </c>
      <c r="G184" s="90">
        <v>1000</v>
      </c>
      <c r="H184" s="90">
        <v>1000</v>
      </c>
      <c r="I184" s="90">
        <v>1000</v>
      </c>
      <c r="J184" s="90">
        <v>1000</v>
      </c>
      <c r="K184" s="90">
        <v>1000</v>
      </c>
      <c r="L184" s="90">
        <v>1000</v>
      </c>
      <c r="M184" s="90"/>
      <c r="N184" s="271">
        <f t="shared" si="179"/>
        <v>11000</v>
      </c>
    </row>
    <row r="185" spans="1:14" x14ac:dyDescent="0.35">
      <c r="A185" s="272" t="s">
        <v>145</v>
      </c>
      <c r="B185" s="91">
        <f t="shared" ref="B185:M185" si="182">SUM(B181:B184)</f>
        <v>1000</v>
      </c>
      <c r="C185" s="91">
        <f t="shared" si="182"/>
        <v>1000</v>
      </c>
      <c r="D185" s="91">
        <f t="shared" si="182"/>
        <v>1000</v>
      </c>
      <c r="E185" s="91">
        <f t="shared" si="182"/>
        <v>1000</v>
      </c>
      <c r="F185" s="91">
        <f t="shared" si="182"/>
        <v>1000</v>
      </c>
      <c r="G185" s="91">
        <f t="shared" si="182"/>
        <v>1000</v>
      </c>
      <c r="H185" s="91">
        <f t="shared" si="182"/>
        <v>1000</v>
      </c>
      <c r="I185" s="91">
        <f t="shared" si="182"/>
        <v>1000</v>
      </c>
      <c r="J185" s="91">
        <f t="shared" si="182"/>
        <v>1000</v>
      </c>
      <c r="K185" s="91">
        <f t="shared" si="182"/>
        <v>1000</v>
      </c>
      <c r="L185" s="91">
        <f t="shared" si="182"/>
        <v>1000</v>
      </c>
      <c r="M185" s="91">
        <f t="shared" si="182"/>
        <v>0</v>
      </c>
      <c r="N185" s="271">
        <f t="shared" si="179"/>
        <v>11000</v>
      </c>
    </row>
    <row r="186" spans="1:14" x14ac:dyDescent="0.35">
      <c r="A186" s="238" t="s">
        <v>144</v>
      </c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269" t="e">
        <f>+N179/N180</f>
        <v>#DIV/0!</v>
      </c>
    </row>
    <row r="187" spans="1:14" x14ac:dyDescent="0.35">
      <c r="A187" s="235" t="s">
        <v>92</v>
      </c>
      <c r="B187" s="80">
        <f>+B193</f>
        <v>5139.5</v>
      </c>
      <c r="C187" s="80">
        <f t="shared" ref="C187:M187" si="183">+C193</f>
        <v>75511</v>
      </c>
      <c r="D187" s="80">
        <f t="shared" si="183"/>
        <v>9279</v>
      </c>
      <c r="E187" s="80">
        <f t="shared" si="183"/>
        <v>5139.5</v>
      </c>
      <c r="F187" s="80">
        <f t="shared" si="183"/>
        <v>5139.5</v>
      </c>
      <c r="G187" s="80">
        <f t="shared" si="183"/>
        <v>9279</v>
      </c>
      <c r="H187" s="80">
        <f t="shared" si="183"/>
        <v>9279</v>
      </c>
      <c r="I187" s="80">
        <f t="shared" si="183"/>
        <v>5139.5</v>
      </c>
      <c r="J187" s="80">
        <f t="shared" si="183"/>
        <v>9279</v>
      </c>
      <c r="K187" s="80">
        <f t="shared" si="183"/>
        <v>9279</v>
      </c>
      <c r="L187" s="80">
        <f t="shared" si="183"/>
        <v>5139.5</v>
      </c>
      <c r="M187" s="80">
        <f t="shared" si="183"/>
        <v>0</v>
      </c>
      <c r="N187" s="273">
        <f>SUM(B187:M187)</f>
        <v>147603.5</v>
      </c>
    </row>
    <row r="188" spans="1:14" x14ac:dyDescent="0.35">
      <c r="A188" s="238" t="s">
        <v>93</v>
      </c>
      <c r="B188" s="239">
        <f>+'Plan de culture 107'!$Z$25</f>
        <v>16.558</v>
      </c>
      <c r="C188" s="239">
        <f>+B188</f>
        <v>16.558</v>
      </c>
      <c r="D188" s="239">
        <f t="shared" ref="D188:M188" si="184">+C188</f>
        <v>16.558</v>
      </c>
      <c r="E188" s="239">
        <f t="shared" si="184"/>
        <v>16.558</v>
      </c>
      <c r="F188" s="239">
        <f t="shared" si="184"/>
        <v>16.558</v>
      </c>
      <c r="G188" s="239">
        <f t="shared" si="184"/>
        <v>16.558</v>
      </c>
      <c r="H188" s="239">
        <f t="shared" si="184"/>
        <v>16.558</v>
      </c>
      <c r="I188" s="239">
        <f t="shared" si="184"/>
        <v>16.558</v>
      </c>
      <c r="J188" s="239">
        <f t="shared" si="184"/>
        <v>16.558</v>
      </c>
      <c r="K188" s="239">
        <f t="shared" si="184"/>
        <v>16.558</v>
      </c>
      <c r="L188" s="239">
        <f t="shared" si="184"/>
        <v>16.558</v>
      </c>
      <c r="M188" s="239">
        <f t="shared" si="184"/>
        <v>16.558</v>
      </c>
      <c r="N188" s="240">
        <f>+'Plan de culture 107'!$Z$25</f>
        <v>16.558</v>
      </c>
    </row>
    <row r="189" spans="1:14" x14ac:dyDescent="0.35">
      <c r="A189" s="270" t="s">
        <v>146</v>
      </c>
      <c r="B189" s="90">
        <f>250*B188</f>
        <v>4139.5</v>
      </c>
      <c r="C189" s="90">
        <f>B189</f>
        <v>4139.5</v>
      </c>
      <c r="D189" s="90">
        <f t="shared" ref="D189:L189" si="185">C189</f>
        <v>4139.5</v>
      </c>
      <c r="E189" s="90">
        <f t="shared" si="185"/>
        <v>4139.5</v>
      </c>
      <c r="F189" s="90">
        <f t="shared" si="185"/>
        <v>4139.5</v>
      </c>
      <c r="G189" s="90">
        <f t="shared" si="185"/>
        <v>4139.5</v>
      </c>
      <c r="H189" s="90">
        <f t="shared" si="185"/>
        <v>4139.5</v>
      </c>
      <c r="I189" s="90">
        <f t="shared" si="185"/>
        <v>4139.5</v>
      </c>
      <c r="J189" s="90">
        <f t="shared" si="185"/>
        <v>4139.5</v>
      </c>
      <c r="K189" s="90">
        <f t="shared" si="185"/>
        <v>4139.5</v>
      </c>
      <c r="L189" s="90">
        <f t="shared" si="185"/>
        <v>4139.5</v>
      </c>
      <c r="M189" s="90"/>
      <c r="N189" s="271">
        <f t="shared" ref="N189:N193" si="186">SUM(B189:M189)</f>
        <v>45534.5</v>
      </c>
    </row>
    <row r="190" spans="1:14" x14ac:dyDescent="0.35">
      <c r="A190" s="270" t="s">
        <v>147</v>
      </c>
      <c r="B190" s="90"/>
      <c r="C190" s="90">
        <f>250*C188</f>
        <v>4139.5</v>
      </c>
      <c r="D190" s="90">
        <f>250*D188</f>
        <v>4139.5</v>
      </c>
      <c r="E190" s="90"/>
      <c r="F190" s="90"/>
      <c r="G190" s="90">
        <f t="shared" ref="G190:H190" si="187">250*G188</f>
        <v>4139.5</v>
      </c>
      <c r="H190" s="90">
        <f t="shared" si="187"/>
        <v>4139.5</v>
      </c>
      <c r="I190" s="90"/>
      <c r="J190" s="90">
        <f t="shared" ref="J190:K190" si="188">250*J188</f>
        <v>4139.5</v>
      </c>
      <c r="K190" s="90">
        <f t="shared" si="188"/>
        <v>4139.5</v>
      </c>
      <c r="L190" s="90"/>
      <c r="M190" s="90"/>
      <c r="N190" s="271">
        <f t="shared" si="186"/>
        <v>24837</v>
      </c>
    </row>
    <row r="191" spans="1:14" x14ac:dyDescent="0.35">
      <c r="A191" s="270" t="s">
        <v>154</v>
      </c>
      <c r="B191" s="90"/>
      <c r="C191" s="90">
        <f>4000*C188</f>
        <v>66232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271">
        <f t="shared" si="186"/>
        <v>66232</v>
      </c>
    </row>
    <row r="192" spans="1:14" x14ac:dyDescent="0.35">
      <c r="A192" s="270" t="s">
        <v>148</v>
      </c>
      <c r="B192" s="90">
        <v>1000</v>
      </c>
      <c r="C192" s="90">
        <v>1000</v>
      </c>
      <c r="D192" s="90">
        <v>1000</v>
      </c>
      <c r="E192" s="90">
        <v>1000</v>
      </c>
      <c r="F192" s="90">
        <v>1000</v>
      </c>
      <c r="G192" s="90">
        <v>1000</v>
      </c>
      <c r="H192" s="90">
        <v>1000</v>
      </c>
      <c r="I192" s="90">
        <v>1000</v>
      </c>
      <c r="J192" s="90">
        <v>1000</v>
      </c>
      <c r="K192" s="90">
        <v>1000</v>
      </c>
      <c r="L192" s="90">
        <v>1000</v>
      </c>
      <c r="M192" s="90"/>
      <c r="N192" s="271">
        <f t="shared" si="186"/>
        <v>11000</v>
      </c>
    </row>
    <row r="193" spans="1:14" x14ac:dyDescent="0.35">
      <c r="A193" s="272" t="s">
        <v>145</v>
      </c>
      <c r="B193" s="91">
        <f t="shared" ref="B193:M193" si="189">SUM(B189:B192)</f>
        <v>5139.5</v>
      </c>
      <c r="C193" s="91">
        <f t="shared" si="189"/>
        <v>75511</v>
      </c>
      <c r="D193" s="91">
        <f t="shared" si="189"/>
        <v>9279</v>
      </c>
      <c r="E193" s="91">
        <f t="shared" si="189"/>
        <v>5139.5</v>
      </c>
      <c r="F193" s="91">
        <f t="shared" si="189"/>
        <v>5139.5</v>
      </c>
      <c r="G193" s="91">
        <f t="shared" si="189"/>
        <v>9279</v>
      </c>
      <c r="H193" s="91">
        <f t="shared" si="189"/>
        <v>9279</v>
      </c>
      <c r="I193" s="91">
        <f t="shared" si="189"/>
        <v>5139.5</v>
      </c>
      <c r="J193" s="91">
        <f t="shared" si="189"/>
        <v>9279</v>
      </c>
      <c r="K193" s="91">
        <f t="shared" si="189"/>
        <v>9279</v>
      </c>
      <c r="L193" s="91">
        <f t="shared" si="189"/>
        <v>5139.5</v>
      </c>
      <c r="M193" s="91">
        <f t="shared" si="189"/>
        <v>0</v>
      </c>
      <c r="N193" s="271">
        <f t="shared" si="186"/>
        <v>147603.5</v>
      </c>
    </row>
    <row r="194" spans="1:14" x14ac:dyDescent="0.35">
      <c r="A194" s="238" t="s">
        <v>144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269">
        <f>+N187/N188</f>
        <v>8914.3314409952891</v>
      </c>
    </row>
    <row r="195" spans="1:14" x14ac:dyDescent="0.35">
      <c r="A195" s="235" t="s">
        <v>377</v>
      </c>
      <c r="B195" s="80">
        <f>+B201</f>
        <v>1000</v>
      </c>
      <c r="C195" s="80">
        <f t="shared" ref="C195:M195" si="190">+C201</f>
        <v>1000</v>
      </c>
      <c r="D195" s="80">
        <f t="shared" si="190"/>
        <v>1000</v>
      </c>
      <c r="E195" s="80">
        <f t="shared" si="190"/>
        <v>1000</v>
      </c>
      <c r="F195" s="80">
        <f t="shared" si="190"/>
        <v>1000</v>
      </c>
      <c r="G195" s="80">
        <f t="shared" si="190"/>
        <v>1000</v>
      </c>
      <c r="H195" s="80">
        <f t="shared" si="190"/>
        <v>1000</v>
      </c>
      <c r="I195" s="80">
        <f t="shared" si="190"/>
        <v>1000</v>
      </c>
      <c r="J195" s="80">
        <f t="shared" si="190"/>
        <v>1000</v>
      </c>
      <c r="K195" s="80">
        <f t="shared" si="190"/>
        <v>1000</v>
      </c>
      <c r="L195" s="80">
        <f t="shared" si="190"/>
        <v>1000</v>
      </c>
      <c r="M195" s="80">
        <f t="shared" si="190"/>
        <v>0</v>
      </c>
      <c r="N195" s="273">
        <f>SUM(B195:M195)</f>
        <v>11000</v>
      </c>
    </row>
    <row r="196" spans="1:14" x14ac:dyDescent="0.35">
      <c r="A196" s="238" t="s">
        <v>93</v>
      </c>
      <c r="B196" s="239">
        <f>+'Plan de culture 107'!$Z$31</f>
        <v>0</v>
      </c>
      <c r="C196" s="239">
        <f>+B196</f>
        <v>0</v>
      </c>
      <c r="D196" s="239">
        <f t="shared" ref="D196" si="191">+C196</f>
        <v>0</v>
      </c>
      <c r="E196" s="239">
        <f>+'Plan de culture 104 '!C192</f>
        <v>0</v>
      </c>
      <c r="F196" s="239">
        <f>+E196+'Plan de culture 104 '!D192+'Plan de culture 104 '!E192</f>
        <v>0</v>
      </c>
      <c r="G196" s="239">
        <f>+F196</f>
        <v>0</v>
      </c>
      <c r="H196" s="239">
        <f t="shared" ref="H196:M196" si="192">+G196</f>
        <v>0</v>
      </c>
      <c r="I196" s="239">
        <f t="shared" si="192"/>
        <v>0</v>
      </c>
      <c r="J196" s="239">
        <f t="shared" si="192"/>
        <v>0</v>
      </c>
      <c r="K196" s="239">
        <f t="shared" si="192"/>
        <v>0</v>
      </c>
      <c r="L196" s="239">
        <f t="shared" si="192"/>
        <v>0</v>
      </c>
      <c r="M196" s="239">
        <f t="shared" si="192"/>
        <v>0</v>
      </c>
      <c r="N196" s="240">
        <f>+'Plan de culture 107'!$Z$31</f>
        <v>0</v>
      </c>
    </row>
    <row r="197" spans="1:14" x14ac:dyDescent="0.35">
      <c r="A197" s="270" t="s">
        <v>146</v>
      </c>
      <c r="B197" s="90">
        <f>250*B196</f>
        <v>0</v>
      </c>
      <c r="C197" s="90">
        <f>B197</f>
        <v>0</v>
      </c>
      <c r="D197" s="90">
        <f t="shared" ref="D197:L197" si="193">C197</f>
        <v>0</v>
      </c>
      <c r="E197" s="90">
        <f t="shared" si="193"/>
        <v>0</v>
      </c>
      <c r="F197" s="90">
        <f t="shared" si="193"/>
        <v>0</v>
      </c>
      <c r="G197" s="90">
        <f t="shared" si="193"/>
        <v>0</v>
      </c>
      <c r="H197" s="90">
        <f t="shared" si="193"/>
        <v>0</v>
      </c>
      <c r="I197" s="90">
        <f t="shared" si="193"/>
        <v>0</v>
      </c>
      <c r="J197" s="90">
        <f t="shared" si="193"/>
        <v>0</v>
      </c>
      <c r="K197" s="90">
        <f t="shared" si="193"/>
        <v>0</v>
      </c>
      <c r="L197" s="90">
        <f t="shared" si="193"/>
        <v>0</v>
      </c>
      <c r="M197" s="90"/>
      <c r="N197" s="271">
        <f t="shared" ref="N197:N201" si="194">SUM(B197:M197)</f>
        <v>0</v>
      </c>
    </row>
    <row r="198" spans="1:14" x14ac:dyDescent="0.35">
      <c r="A198" s="270" t="s">
        <v>147</v>
      </c>
      <c r="B198" s="90"/>
      <c r="C198" s="90">
        <f>250*C196</f>
        <v>0</v>
      </c>
      <c r="D198" s="90">
        <f>250*D196</f>
        <v>0</v>
      </c>
      <c r="E198" s="90"/>
      <c r="F198" s="90"/>
      <c r="G198" s="90">
        <f t="shared" ref="G198:H198" si="195">250*G196</f>
        <v>0</v>
      </c>
      <c r="H198" s="90">
        <f t="shared" si="195"/>
        <v>0</v>
      </c>
      <c r="I198" s="90"/>
      <c r="J198" s="90">
        <f t="shared" ref="J198:K198" si="196">250*J196</f>
        <v>0</v>
      </c>
      <c r="K198" s="90">
        <f t="shared" si="196"/>
        <v>0</v>
      </c>
      <c r="L198" s="90"/>
      <c r="M198" s="90"/>
      <c r="N198" s="271">
        <f t="shared" si="194"/>
        <v>0</v>
      </c>
    </row>
    <row r="199" spans="1:14" x14ac:dyDescent="0.35">
      <c r="A199" s="270" t="s">
        <v>154</v>
      </c>
      <c r="B199" s="90"/>
      <c r="C199" s="90">
        <f>4000*C196</f>
        <v>0</v>
      </c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271">
        <f t="shared" si="194"/>
        <v>0</v>
      </c>
    </row>
    <row r="200" spans="1:14" x14ac:dyDescent="0.35">
      <c r="A200" s="270" t="s">
        <v>148</v>
      </c>
      <c r="B200" s="90">
        <v>1000</v>
      </c>
      <c r="C200" s="90">
        <v>1000</v>
      </c>
      <c r="D200" s="90">
        <v>1000</v>
      </c>
      <c r="E200" s="90">
        <v>1000</v>
      </c>
      <c r="F200" s="90">
        <v>1000</v>
      </c>
      <c r="G200" s="90">
        <v>1000</v>
      </c>
      <c r="H200" s="90">
        <v>1000</v>
      </c>
      <c r="I200" s="90">
        <v>1000</v>
      </c>
      <c r="J200" s="90">
        <v>1000</v>
      </c>
      <c r="K200" s="90">
        <v>1000</v>
      </c>
      <c r="L200" s="90">
        <v>1000</v>
      </c>
      <c r="M200" s="90"/>
      <c r="N200" s="271">
        <f t="shared" si="194"/>
        <v>11000</v>
      </c>
    </row>
    <row r="201" spans="1:14" x14ac:dyDescent="0.35">
      <c r="A201" s="272" t="s">
        <v>145</v>
      </c>
      <c r="B201" s="91">
        <f t="shared" ref="B201:M201" si="197">SUM(B197:B200)</f>
        <v>1000</v>
      </c>
      <c r="C201" s="91">
        <f t="shared" si="197"/>
        <v>1000</v>
      </c>
      <c r="D201" s="91">
        <f t="shared" si="197"/>
        <v>1000</v>
      </c>
      <c r="E201" s="91">
        <f t="shared" si="197"/>
        <v>1000</v>
      </c>
      <c r="F201" s="91">
        <f t="shared" si="197"/>
        <v>1000</v>
      </c>
      <c r="G201" s="91">
        <f t="shared" si="197"/>
        <v>1000</v>
      </c>
      <c r="H201" s="91">
        <f t="shared" si="197"/>
        <v>1000</v>
      </c>
      <c r="I201" s="91">
        <f t="shared" si="197"/>
        <v>1000</v>
      </c>
      <c r="J201" s="91">
        <f t="shared" si="197"/>
        <v>1000</v>
      </c>
      <c r="K201" s="91">
        <f t="shared" si="197"/>
        <v>1000</v>
      </c>
      <c r="L201" s="91">
        <f t="shared" si="197"/>
        <v>1000</v>
      </c>
      <c r="M201" s="91">
        <f t="shared" si="197"/>
        <v>0</v>
      </c>
      <c r="N201" s="271">
        <f t="shared" si="194"/>
        <v>11000</v>
      </c>
    </row>
    <row r="202" spans="1:14" x14ac:dyDescent="0.35">
      <c r="A202" s="238" t="s">
        <v>144</v>
      </c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269" t="e">
        <f>+N195/N196</f>
        <v>#DIV/0!</v>
      </c>
    </row>
    <row r="203" spans="1:14" x14ac:dyDescent="0.35">
      <c r="A203" s="235" t="s">
        <v>378</v>
      </c>
      <c r="B203" s="80">
        <f>+B209</f>
        <v>1000</v>
      </c>
      <c r="C203" s="80">
        <f t="shared" ref="C203:M203" si="198">+C209</f>
        <v>1000</v>
      </c>
      <c r="D203" s="80">
        <f t="shared" si="198"/>
        <v>1000</v>
      </c>
      <c r="E203" s="80">
        <f t="shared" si="198"/>
        <v>1000</v>
      </c>
      <c r="F203" s="80">
        <f t="shared" si="198"/>
        <v>1000</v>
      </c>
      <c r="G203" s="80">
        <f t="shared" si="198"/>
        <v>1000</v>
      </c>
      <c r="H203" s="80">
        <f t="shared" si="198"/>
        <v>1000</v>
      </c>
      <c r="I203" s="80">
        <f t="shared" si="198"/>
        <v>1000</v>
      </c>
      <c r="J203" s="80">
        <f t="shared" si="198"/>
        <v>1000</v>
      </c>
      <c r="K203" s="80">
        <f t="shared" si="198"/>
        <v>1000</v>
      </c>
      <c r="L203" s="80">
        <f t="shared" si="198"/>
        <v>1000</v>
      </c>
      <c r="M203" s="80">
        <f t="shared" si="198"/>
        <v>0</v>
      </c>
      <c r="N203" s="273">
        <f>SUM(B203:M203)</f>
        <v>11000</v>
      </c>
    </row>
    <row r="204" spans="1:14" x14ac:dyDescent="0.35">
      <c r="A204" s="238" t="s">
        <v>93</v>
      </c>
      <c r="B204" s="239">
        <f>+'Plan de culture 107'!$Z$37</f>
        <v>0</v>
      </c>
      <c r="C204" s="239">
        <f>+B204</f>
        <v>0</v>
      </c>
      <c r="D204" s="239">
        <f t="shared" ref="D204" si="199">+C204</f>
        <v>0</v>
      </c>
      <c r="E204" s="239">
        <f>+'Plan de culture 104 '!C200</f>
        <v>0</v>
      </c>
      <c r="F204" s="239">
        <f>+E204+'Plan de culture 104 '!D200+'Plan de culture 104 '!E200</f>
        <v>0</v>
      </c>
      <c r="G204" s="239">
        <f>+F204</f>
        <v>0</v>
      </c>
      <c r="H204" s="239">
        <f t="shared" ref="H204:M204" si="200">+G204</f>
        <v>0</v>
      </c>
      <c r="I204" s="239">
        <f t="shared" si="200"/>
        <v>0</v>
      </c>
      <c r="J204" s="239">
        <f t="shared" si="200"/>
        <v>0</v>
      </c>
      <c r="K204" s="239">
        <f t="shared" si="200"/>
        <v>0</v>
      </c>
      <c r="L204" s="239">
        <f t="shared" si="200"/>
        <v>0</v>
      </c>
      <c r="M204" s="239">
        <f t="shared" si="200"/>
        <v>0</v>
      </c>
      <c r="N204" s="240">
        <f>+'Plan de culture 107'!$Z$37</f>
        <v>0</v>
      </c>
    </row>
    <row r="205" spans="1:14" x14ac:dyDescent="0.35">
      <c r="A205" s="270" t="s">
        <v>146</v>
      </c>
      <c r="B205" s="90">
        <f>250*B204</f>
        <v>0</v>
      </c>
      <c r="C205" s="90">
        <f>B205</f>
        <v>0</v>
      </c>
      <c r="D205" s="90">
        <f t="shared" ref="D205:L205" si="201">C205</f>
        <v>0</v>
      </c>
      <c r="E205" s="90">
        <f t="shared" si="201"/>
        <v>0</v>
      </c>
      <c r="F205" s="90">
        <f t="shared" si="201"/>
        <v>0</v>
      </c>
      <c r="G205" s="90">
        <f t="shared" si="201"/>
        <v>0</v>
      </c>
      <c r="H205" s="90">
        <f t="shared" si="201"/>
        <v>0</v>
      </c>
      <c r="I205" s="90">
        <f t="shared" si="201"/>
        <v>0</v>
      </c>
      <c r="J205" s="90">
        <f t="shared" si="201"/>
        <v>0</v>
      </c>
      <c r="K205" s="90">
        <f t="shared" si="201"/>
        <v>0</v>
      </c>
      <c r="L205" s="90">
        <f t="shared" si="201"/>
        <v>0</v>
      </c>
      <c r="M205" s="90"/>
      <c r="N205" s="271">
        <f t="shared" ref="N205:N209" si="202">SUM(B205:M205)</f>
        <v>0</v>
      </c>
    </row>
    <row r="206" spans="1:14" x14ac:dyDescent="0.35">
      <c r="A206" s="270" t="s">
        <v>147</v>
      </c>
      <c r="B206" s="90"/>
      <c r="C206" s="90">
        <f>250*C204</f>
        <v>0</v>
      </c>
      <c r="D206" s="90">
        <f>250*D204</f>
        <v>0</v>
      </c>
      <c r="E206" s="90"/>
      <c r="F206" s="90"/>
      <c r="G206" s="90">
        <f t="shared" ref="G206:H206" si="203">250*G204</f>
        <v>0</v>
      </c>
      <c r="H206" s="90">
        <f t="shared" si="203"/>
        <v>0</v>
      </c>
      <c r="I206" s="90"/>
      <c r="J206" s="90">
        <f t="shared" ref="J206:K206" si="204">250*J204</f>
        <v>0</v>
      </c>
      <c r="K206" s="90">
        <f t="shared" si="204"/>
        <v>0</v>
      </c>
      <c r="L206" s="90"/>
      <c r="M206" s="90"/>
      <c r="N206" s="271">
        <f t="shared" si="202"/>
        <v>0</v>
      </c>
    </row>
    <row r="207" spans="1:14" x14ac:dyDescent="0.35">
      <c r="A207" s="270" t="s">
        <v>154</v>
      </c>
      <c r="B207" s="90"/>
      <c r="C207" s="90">
        <f>4000*C204</f>
        <v>0</v>
      </c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271">
        <f t="shared" si="202"/>
        <v>0</v>
      </c>
    </row>
    <row r="208" spans="1:14" x14ac:dyDescent="0.35">
      <c r="A208" s="270" t="s">
        <v>148</v>
      </c>
      <c r="B208" s="90">
        <v>1000</v>
      </c>
      <c r="C208" s="90">
        <v>1000</v>
      </c>
      <c r="D208" s="90">
        <v>1000</v>
      </c>
      <c r="E208" s="90">
        <v>1000</v>
      </c>
      <c r="F208" s="90">
        <v>1000</v>
      </c>
      <c r="G208" s="90">
        <v>1000</v>
      </c>
      <c r="H208" s="90">
        <v>1000</v>
      </c>
      <c r="I208" s="90">
        <v>1000</v>
      </c>
      <c r="J208" s="90">
        <v>1000</v>
      </c>
      <c r="K208" s="90">
        <v>1000</v>
      </c>
      <c r="L208" s="90">
        <v>1000</v>
      </c>
      <c r="M208" s="90"/>
      <c r="N208" s="271">
        <f t="shared" si="202"/>
        <v>11000</v>
      </c>
    </row>
    <row r="209" spans="1:14" x14ac:dyDescent="0.35">
      <c r="A209" s="272" t="s">
        <v>145</v>
      </c>
      <c r="B209" s="91">
        <f t="shared" ref="B209:M209" si="205">SUM(B205:B208)</f>
        <v>1000</v>
      </c>
      <c r="C209" s="91">
        <f t="shared" si="205"/>
        <v>1000</v>
      </c>
      <c r="D209" s="91">
        <f t="shared" si="205"/>
        <v>1000</v>
      </c>
      <c r="E209" s="91">
        <f t="shared" si="205"/>
        <v>1000</v>
      </c>
      <c r="F209" s="91">
        <f t="shared" si="205"/>
        <v>1000</v>
      </c>
      <c r="G209" s="91">
        <f t="shared" si="205"/>
        <v>1000</v>
      </c>
      <c r="H209" s="91">
        <f t="shared" si="205"/>
        <v>1000</v>
      </c>
      <c r="I209" s="91">
        <f t="shared" si="205"/>
        <v>1000</v>
      </c>
      <c r="J209" s="91">
        <f t="shared" si="205"/>
        <v>1000</v>
      </c>
      <c r="K209" s="91">
        <f t="shared" si="205"/>
        <v>1000</v>
      </c>
      <c r="L209" s="91">
        <f t="shared" si="205"/>
        <v>1000</v>
      </c>
      <c r="M209" s="91">
        <f t="shared" si="205"/>
        <v>0</v>
      </c>
      <c r="N209" s="271">
        <f t="shared" si="202"/>
        <v>11000</v>
      </c>
    </row>
    <row r="210" spans="1:14" ht="12" thickBot="1" x14ac:dyDescent="0.4">
      <c r="A210" s="241" t="s">
        <v>144</v>
      </c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74" t="e">
        <f>+N203/N204</f>
        <v>#DIV/0!</v>
      </c>
    </row>
    <row r="211" spans="1:14" x14ac:dyDescent="0.35">
      <c r="A211" s="233" t="s">
        <v>439</v>
      </c>
      <c r="B211" s="242">
        <f>+B214+B222+B230+B238+B246+B254</f>
        <v>11722.5</v>
      </c>
      <c r="C211" s="242">
        <f t="shared" ref="C211:M211" si="206">+C214+C222+C230+C238+C246+C254</f>
        <v>122605</v>
      </c>
      <c r="D211" s="242">
        <f t="shared" si="206"/>
        <v>18245</v>
      </c>
      <c r="E211" s="242">
        <f t="shared" si="206"/>
        <v>11722.5</v>
      </c>
      <c r="F211" s="242">
        <f t="shared" si="206"/>
        <v>11722.5</v>
      </c>
      <c r="G211" s="242">
        <f t="shared" si="206"/>
        <v>18245</v>
      </c>
      <c r="H211" s="242">
        <f t="shared" si="206"/>
        <v>18245</v>
      </c>
      <c r="I211" s="242">
        <f t="shared" si="206"/>
        <v>11722.5</v>
      </c>
      <c r="J211" s="242">
        <f t="shared" si="206"/>
        <v>18245</v>
      </c>
      <c r="K211" s="242">
        <f t="shared" si="206"/>
        <v>18045</v>
      </c>
      <c r="L211" s="242">
        <f t="shared" si="206"/>
        <v>11522.5</v>
      </c>
      <c r="M211" s="242">
        <f t="shared" si="206"/>
        <v>0</v>
      </c>
      <c r="N211" s="243">
        <f>SUM(B211:M211)</f>
        <v>272042.5</v>
      </c>
    </row>
    <row r="212" spans="1:14" x14ac:dyDescent="0.35">
      <c r="A212" s="234" t="s">
        <v>93</v>
      </c>
      <c r="B212" s="81">
        <f>+B215+B231+B239+B247+B715+B223</f>
        <v>26.09</v>
      </c>
      <c r="C212" s="81">
        <f t="shared" ref="C212:M212" si="207">+C215+C223</f>
        <v>26.09</v>
      </c>
      <c r="D212" s="81">
        <f t="shared" si="207"/>
        <v>26.09</v>
      </c>
      <c r="E212" s="81">
        <f t="shared" si="207"/>
        <v>26.09</v>
      </c>
      <c r="F212" s="81">
        <f t="shared" si="207"/>
        <v>26.09</v>
      </c>
      <c r="G212" s="81">
        <f t="shared" si="207"/>
        <v>26.09</v>
      </c>
      <c r="H212" s="81">
        <f t="shared" si="207"/>
        <v>26.09</v>
      </c>
      <c r="I212" s="81">
        <f t="shared" si="207"/>
        <v>26.09</v>
      </c>
      <c r="J212" s="81">
        <f t="shared" si="207"/>
        <v>26.09</v>
      </c>
      <c r="K212" s="81">
        <f t="shared" si="207"/>
        <v>26.09</v>
      </c>
      <c r="L212" s="81">
        <f t="shared" si="207"/>
        <v>26.09</v>
      </c>
      <c r="M212" s="81">
        <f t="shared" si="207"/>
        <v>26.09</v>
      </c>
      <c r="N212" s="248">
        <f>+M212</f>
        <v>26.09</v>
      </c>
    </row>
    <row r="213" spans="1:14" x14ac:dyDescent="0.35">
      <c r="A213" s="234" t="s">
        <v>144</v>
      </c>
      <c r="B213" s="83">
        <f>+B211/B212</f>
        <v>449.31008049060944</v>
      </c>
      <c r="C213" s="83">
        <f>+C211/C212</f>
        <v>4699.3100804906098</v>
      </c>
      <c r="D213" s="83">
        <f>+D211/D212</f>
        <v>699.31008049060938</v>
      </c>
      <c r="E213" s="83">
        <f t="shared" ref="E213:N213" si="208">+E211/E212</f>
        <v>449.31008049060944</v>
      </c>
      <c r="F213" s="83">
        <f t="shared" si="208"/>
        <v>449.31008049060944</v>
      </c>
      <c r="G213" s="83">
        <f t="shared" si="208"/>
        <v>699.31008049060938</v>
      </c>
      <c r="H213" s="83">
        <f t="shared" si="208"/>
        <v>699.31008049060938</v>
      </c>
      <c r="I213" s="83">
        <f t="shared" si="208"/>
        <v>449.31008049060944</v>
      </c>
      <c r="J213" s="83">
        <f t="shared" si="208"/>
        <v>699.31008049060938</v>
      </c>
      <c r="K213" s="83">
        <f t="shared" si="208"/>
        <v>691.64430816404752</v>
      </c>
      <c r="L213" s="83">
        <f t="shared" si="208"/>
        <v>441.64430816404752</v>
      </c>
      <c r="M213" s="83">
        <f t="shared" si="208"/>
        <v>0</v>
      </c>
      <c r="N213" s="249">
        <f t="shared" si="208"/>
        <v>10427.079340743579</v>
      </c>
    </row>
    <row r="214" spans="1:14" x14ac:dyDescent="0.35">
      <c r="A214" s="235" t="s">
        <v>90</v>
      </c>
      <c r="B214" s="80">
        <f>+B220</f>
        <v>200</v>
      </c>
      <c r="C214" s="80">
        <f t="shared" ref="C214:M214" si="209">+C220</f>
        <v>200</v>
      </c>
      <c r="D214" s="80">
        <f t="shared" si="209"/>
        <v>200</v>
      </c>
      <c r="E214" s="80">
        <f t="shared" si="209"/>
        <v>200</v>
      </c>
      <c r="F214" s="80">
        <f t="shared" si="209"/>
        <v>200</v>
      </c>
      <c r="G214" s="80">
        <f t="shared" si="209"/>
        <v>200</v>
      </c>
      <c r="H214" s="80">
        <f t="shared" si="209"/>
        <v>200</v>
      </c>
      <c r="I214" s="80">
        <f t="shared" si="209"/>
        <v>200</v>
      </c>
      <c r="J214" s="80">
        <f t="shared" si="209"/>
        <v>200</v>
      </c>
      <c r="K214" s="80">
        <f t="shared" si="209"/>
        <v>0</v>
      </c>
      <c r="L214" s="80">
        <f t="shared" si="209"/>
        <v>0</v>
      </c>
      <c r="M214" s="80">
        <f t="shared" si="209"/>
        <v>0</v>
      </c>
      <c r="N214" s="244">
        <f>SUM(B214:M214)</f>
        <v>1800</v>
      </c>
    </row>
    <row r="215" spans="1:14" x14ac:dyDescent="0.35">
      <c r="A215" s="238" t="s">
        <v>93</v>
      </c>
      <c r="B215" s="239">
        <f>+'Plan de culture 114'!$AE$7</f>
        <v>0</v>
      </c>
      <c r="C215" s="239">
        <f>+B215</f>
        <v>0</v>
      </c>
      <c r="D215" s="239">
        <f t="shared" ref="D215" si="210">+C215</f>
        <v>0</v>
      </c>
      <c r="E215" s="239">
        <f>+D215</f>
        <v>0</v>
      </c>
      <c r="F215" s="239">
        <f>+E215</f>
        <v>0</v>
      </c>
      <c r="G215" s="239">
        <f>+F215</f>
        <v>0</v>
      </c>
      <c r="H215" s="239">
        <f t="shared" ref="H215:M215" si="211">+G215</f>
        <v>0</v>
      </c>
      <c r="I215" s="239">
        <f t="shared" si="211"/>
        <v>0</v>
      </c>
      <c r="J215" s="239">
        <f t="shared" si="211"/>
        <v>0</v>
      </c>
      <c r="K215" s="239">
        <f t="shared" si="211"/>
        <v>0</v>
      </c>
      <c r="L215" s="239">
        <f t="shared" si="211"/>
        <v>0</v>
      </c>
      <c r="M215" s="239">
        <f t="shared" si="211"/>
        <v>0</v>
      </c>
      <c r="N215" s="240">
        <f>+'Plan de culture 114'!$AE$7</f>
        <v>0</v>
      </c>
    </row>
    <row r="216" spans="1:14" x14ac:dyDescent="0.35">
      <c r="A216" s="270" t="s">
        <v>146</v>
      </c>
      <c r="B216" s="90">
        <f>250*B215</f>
        <v>0</v>
      </c>
      <c r="C216" s="90">
        <f>B216</f>
        <v>0</v>
      </c>
      <c r="D216" s="90">
        <f t="shared" ref="D216:J216" si="212">C216</f>
        <v>0</v>
      </c>
      <c r="E216" s="90">
        <f t="shared" si="212"/>
        <v>0</v>
      </c>
      <c r="F216" s="90">
        <f t="shared" si="212"/>
        <v>0</v>
      </c>
      <c r="G216" s="90">
        <f t="shared" si="212"/>
        <v>0</v>
      </c>
      <c r="H216" s="90">
        <f t="shared" si="212"/>
        <v>0</v>
      </c>
      <c r="I216" s="90">
        <f t="shared" si="212"/>
        <v>0</v>
      </c>
      <c r="J216" s="90">
        <f t="shared" si="212"/>
        <v>0</v>
      </c>
      <c r="K216" s="90"/>
      <c r="L216" s="90"/>
      <c r="M216" s="90"/>
      <c r="N216" s="271">
        <f t="shared" ref="N216:N220" si="213">SUM(B216:M216)</f>
        <v>0</v>
      </c>
    </row>
    <row r="217" spans="1:14" x14ac:dyDescent="0.35">
      <c r="A217" s="270" t="s">
        <v>147</v>
      </c>
      <c r="B217" s="90"/>
      <c r="C217" s="90">
        <f>250*C215</f>
        <v>0</v>
      </c>
      <c r="D217" s="90">
        <f>250*D215</f>
        <v>0</v>
      </c>
      <c r="E217" s="90"/>
      <c r="F217" s="90"/>
      <c r="G217" s="90">
        <f t="shared" ref="G217:H217" si="214">250*G215</f>
        <v>0</v>
      </c>
      <c r="H217" s="90">
        <f t="shared" si="214"/>
        <v>0</v>
      </c>
      <c r="I217" s="90"/>
      <c r="J217" s="90">
        <f t="shared" ref="J217" si="215">250*J215</f>
        <v>0</v>
      </c>
      <c r="K217" s="90"/>
      <c r="L217" s="90"/>
      <c r="M217" s="90"/>
      <c r="N217" s="271">
        <f t="shared" si="213"/>
        <v>0</v>
      </c>
    </row>
    <row r="218" spans="1:14" x14ac:dyDescent="0.35">
      <c r="A218" s="270" t="s">
        <v>154</v>
      </c>
      <c r="B218" s="90"/>
      <c r="C218" s="90">
        <f>4000*C215</f>
        <v>0</v>
      </c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271">
        <f t="shared" si="213"/>
        <v>0</v>
      </c>
    </row>
    <row r="219" spans="1:14" x14ac:dyDescent="0.35">
      <c r="A219" s="270" t="s">
        <v>148</v>
      </c>
      <c r="B219" s="90">
        <v>200</v>
      </c>
      <c r="C219" s="90">
        <f>+B219</f>
        <v>200</v>
      </c>
      <c r="D219" s="90">
        <f t="shared" ref="D219:J219" si="216">+C219</f>
        <v>200</v>
      </c>
      <c r="E219" s="90">
        <f t="shared" si="216"/>
        <v>200</v>
      </c>
      <c r="F219" s="90">
        <f t="shared" si="216"/>
        <v>200</v>
      </c>
      <c r="G219" s="90">
        <f t="shared" si="216"/>
        <v>200</v>
      </c>
      <c r="H219" s="90">
        <f t="shared" si="216"/>
        <v>200</v>
      </c>
      <c r="I219" s="90">
        <f t="shared" si="216"/>
        <v>200</v>
      </c>
      <c r="J219" s="90">
        <f t="shared" si="216"/>
        <v>200</v>
      </c>
      <c r="K219" s="90"/>
      <c r="L219" s="90"/>
      <c r="M219" s="90"/>
      <c r="N219" s="271">
        <f t="shared" si="213"/>
        <v>1800</v>
      </c>
    </row>
    <row r="220" spans="1:14" x14ac:dyDescent="0.35">
      <c r="A220" s="272" t="s">
        <v>145</v>
      </c>
      <c r="B220" s="91">
        <f t="shared" ref="B220:M220" si="217">SUM(B216:B219)</f>
        <v>200</v>
      </c>
      <c r="C220" s="91">
        <f t="shared" si="217"/>
        <v>200</v>
      </c>
      <c r="D220" s="91">
        <f t="shared" si="217"/>
        <v>200</v>
      </c>
      <c r="E220" s="91">
        <f t="shared" si="217"/>
        <v>200</v>
      </c>
      <c r="F220" s="91">
        <f t="shared" si="217"/>
        <v>200</v>
      </c>
      <c r="G220" s="91">
        <f t="shared" si="217"/>
        <v>200</v>
      </c>
      <c r="H220" s="91">
        <f t="shared" si="217"/>
        <v>200</v>
      </c>
      <c r="I220" s="91">
        <f t="shared" si="217"/>
        <v>200</v>
      </c>
      <c r="J220" s="91">
        <f t="shared" si="217"/>
        <v>200</v>
      </c>
      <c r="K220" s="91">
        <f t="shared" si="217"/>
        <v>0</v>
      </c>
      <c r="L220" s="91">
        <f t="shared" si="217"/>
        <v>0</v>
      </c>
      <c r="M220" s="91">
        <f t="shared" si="217"/>
        <v>0</v>
      </c>
      <c r="N220" s="271">
        <f t="shared" si="213"/>
        <v>1800</v>
      </c>
    </row>
    <row r="221" spans="1:14" x14ac:dyDescent="0.35">
      <c r="A221" s="238" t="s">
        <v>144</v>
      </c>
      <c r="B221" s="62" t="e">
        <f>+B220/B215</f>
        <v>#DIV/0!</v>
      </c>
      <c r="C221" s="62" t="e">
        <f t="shared" ref="C221:N221" si="218">+C214/C215</f>
        <v>#DIV/0!</v>
      </c>
      <c r="D221" s="62" t="e">
        <f t="shared" si="218"/>
        <v>#DIV/0!</v>
      </c>
      <c r="E221" s="62" t="e">
        <f t="shared" si="218"/>
        <v>#DIV/0!</v>
      </c>
      <c r="F221" s="62" t="e">
        <f t="shared" si="218"/>
        <v>#DIV/0!</v>
      </c>
      <c r="G221" s="62" t="e">
        <f t="shared" si="218"/>
        <v>#DIV/0!</v>
      </c>
      <c r="H221" s="62" t="e">
        <f t="shared" si="218"/>
        <v>#DIV/0!</v>
      </c>
      <c r="I221" s="62" t="e">
        <f t="shared" si="218"/>
        <v>#DIV/0!</v>
      </c>
      <c r="J221" s="62" t="e">
        <f t="shared" si="218"/>
        <v>#DIV/0!</v>
      </c>
      <c r="K221" s="62" t="e">
        <f t="shared" si="218"/>
        <v>#DIV/0!</v>
      </c>
      <c r="L221" s="62" t="e">
        <f t="shared" si="218"/>
        <v>#DIV/0!</v>
      </c>
      <c r="M221" s="62" t="e">
        <f t="shared" si="218"/>
        <v>#DIV/0!</v>
      </c>
      <c r="N221" s="269" t="e">
        <f t="shared" si="218"/>
        <v>#DIV/0!</v>
      </c>
    </row>
    <row r="222" spans="1:14" x14ac:dyDescent="0.35">
      <c r="A222" s="235" t="s">
        <v>91</v>
      </c>
      <c r="B222" s="80">
        <f>+B228</f>
        <v>7522.5</v>
      </c>
      <c r="C222" s="80">
        <f t="shared" ref="C222:M222" si="219">+C228</f>
        <v>118405</v>
      </c>
      <c r="D222" s="80">
        <f t="shared" si="219"/>
        <v>14045</v>
      </c>
      <c r="E222" s="80">
        <f t="shared" si="219"/>
        <v>7522.5</v>
      </c>
      <c r="F222" s="80">
        <f t="shared" si="219"/>
        <v>7522.5</v>
      </c>
      <c r="G222" s="80">
        <f t="shared" si="219"/>
        <v>14045</v>
      </c>
      <c r="H222" s="80">
        <f t="shared" si="219"/>
        <v>14045</v>
      </c>
      <c r="I222" s="80">
        <f t="shared" si="219"/>
        <v>7522.5</v>
      </c>
      <c r="J222" s="80">
        <f t="shared" si="219"/>
        <v>14045</v>
      </c>
      <c r="K222" s="80">
        <f t="shared" si="219"/>
        <v>14045</v>
      </c>
      <c r="L222" s="80">
        <f t="shared" si="219"/>
        <v>7522.5</v>
      </c>
      <c r="M222" s="80">
        <f t="shared" si="219"/>
        <v>0</v>
      </c>
      <c r="N222" s="273">
        <f>SUM(B222:M222)</f>
        <v>226242.5</v>
      </c>
    </row>
    <row r="223" spans="1:14" x14ac:dyDescent="0.35">
      <c r="A223" s="238" t="s">
        <v>93</v>
      </c>
      <c r="B223" s="239">
        <f>+'Plan de culture 114'!$AE$13</f>
        <v>26.09</v>
      </c>
      <c r="C223" s="239">
        <f>+B223</f>
        <v>26.09</v>
      </c>
      <c r="D223" s="239">
        <f t="shared" ref="D223:M223" si="220">+C223</f>
        <v>26.09</v>
      </c>
      <c r="E223" s="239">
        <f t="shared" si="220"/>
        <v>26.09</v>
      </c>
      <c r="F223" s="239">
        <f t="shared" si="220"/>
        <v>26.09</v>
      </c>
      <c r="G223" s="239">
        <f t="shared" si="220"/>
        <v>26.09</v>
      </c>
      <c r="H223" s="239">
        <f t="shared" si="220"/>
        <v>26.09</v>
      </c>
      <c r="I223" s="239">
        <f t="shared" si="220"/>
        <v>26.09</v>
      </c>
      <c r="J223" s="239">
        <f t="shared" si="220"/>
        <v>26.09</v>
      </c>
      <c r="K223" s="239">
        <f t="shared" si="220"/>
        <v>26.09</v>
      </c>
      <c r="L223" s="239">
        <f t="shared" si="220"/>
        <v>26.09</v>
      </c>
      <c r="M223" s="239">
        <f t="shared" si="220"/>
        <v>26.09</v>
      </c>
      <c r="N223" s="240">
        <f>+'Plan de culture 114'!$AE$13</f>
        <v>26.09</v>
      </c>
    </row>
    <row r="224" spans="1:14" x14ac:dyDescent="0.35">
      <c r="A224" s="270" t="s">
        <v>146</v>
      </c>
      <c r="B224" s="90">
        <f>250*B223</f>
        <v>6522.5</v>
      </c>
      <c r="C224" s="90">
        <f>B224</f>
        <v>6522.5</v>
      </c>
      <c r="D224" s="90">
        <f t="shared" ref="D224:L224" si="221">C224</f>
        <v>6522.5</v>
      </c>
      <c r="E224" s="90">
        <f t="shared" si="221"/>
        <v>6522.5</v>
      </c>
      <c r="F224" s="90">
        <f t="shared" si="221"/>
        <v>6522.5</v>
      </c>
      <c r="G224" s="90">
        <f t="shared" si="221"/>
        <v>6522.5</v>
      </c>
      <c r="H224" s="90">
        <f t="shared" si="221"/>
        <v>6522.5</v>
      </c>
      <c r="I224" s="90">
        <f t="shared" si="221"/>
        <v>6522.5</v>
      </c>
      <c r="J224" s="90">
        <f t="shared" si="221"/>
        <v>6522.5</v>
      </c>
      <c r="K224" s="90">
        <f t="shared" si="221"/>
        <v>6522.5</v>
      </c>
      <c r="L224" s="90">
        <f t="shared" si="221"/>
        <v>6522.5</v>
      </c>
      <c r="M224" s="90"/>
      <c r="N224" s="271">
        <f t="shared" ref="N224:N228" si="222">SUM(B224:M224)</f>
        <v>71747.5</v>
      </c>
    </row>
    <row r="225" spans="1:14" x14ac:dyDescent="0.35">
      <c r="A225" s="270" t="s">
        <v>147</v>
      </c>
      <c r="B225" s="90"/>
      <c r="C225" s="90">
        <f>250*C223</f>
        <v>6522.5</v>
      </c>
      <c r="D225" s="90">
        <f>250*D223</f>
        <v>6522.5</v>
      </c>
      <c r="E225" s="90"/>
      <c r="F225" s="90"/>
      <c r="G225" s="90">
        <f t="shared" ref="G225:H225" si="223">250*G223</f>
        <v>6522.5</v>
      </c>
      <c r="H225" s="90">
        <f t="shared" si="223"/>
        <v>6522.5</v>
      </c>
      <c r="I225" s="90"/>
      <c r="J225" s="90">
        <f t="shared" ref="J225:K225" si="224">250*J223</f>
        <v>6522.5</v>
      </c>
      <c r="K225" s="90">
        <f t="shared" si="224"/>
        <v>6522.5</v>
      </c>
      <c r="L225" s="90"/>
      <c r="M225" s="90"/>
      <c r="N225" s="271">
        <f t="shared" si="222"/>
        <v>39135</v>
      </c>
    </row>
    <row r="226" spans="1:14" x14ac:dyDescent="0.35">
      <c r="A226" s="270" t="s">
        <v>154</v>
      </c>
      <c r="B226" s="90"/>
      <c r="C226" s="90">
        <f>4000*C223</f>
        <v>104360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271">
        <f t="shared" si="222"/>
        <v>104360</v>
      </c>
    </row>
    <row r="227" spans="1:14" x14ac:dyDescent="0.35">
      <c r="A227" s="270" t="s">
        <v>148</v>
      </c>
      <c r="B227" s="90">
        <v>1000</v>
      </c>
      <c r="C227" s="90">
        <v>1000</v>
      </c>
      <c r="D227" s="90">
        <v>1000</v>
      </c>
      <c r="E227" s="90">
        <v>1000</v>
      </c>
      <c r="F227" s="90">
        <v>1000</v>
      </c>
      <c r="G227" s="90">
        <v>1000</v>
      </c>
      <c r="H227" s="90">
        <v>1000</v>
      </c>
      <c r="I227" s="90">
        <v>1000</v>
      </c>
      <c r="J227" s="90">
        <v>1000</v>
      </c>
      <c r="K227" s="90">
        <v>1000</v>
      </c>
      <c r="L227" s="90">
        <v>1000</v>
      </c>
      <c r="M227" s="90"/>
      <c r="N227" s="271">
        <f t="shared" si="222"/>
        <v>11000</v>
      </c>
    </row>
    <row r="228" spans="1:14" x14ac:dyDescent="0.35">
      <c r="A228" s="272" t="s">
        <v>145</v>
      </c>
      <c r="B228" s="91">
        <f t="shared" ref="B228:M228" si="225">SUM(B224:B227)</f>
        <v>7522.5</v>
      </c>
      <c r="C228" s="91">
        <f t="shared" si="225"/>
        <v>118405</v>
      </c>
      <c r="D228" s="91">
        <f t="shared" si="225"/>
        <v>14045</v>
      </c>
      <c r="E228" s="91">
        <f t="shared" si="225"/>
        <v>7522.5</v>
      </c>
      <c r="F228" s="91">
        <f t="shared" si="225"/>
        <v>7522.5</v>
      </c>
      <c r="G228" s="91">
        <f t="shared" si="225"/>
        <v>14045</v>
      </c>
      <c r="H228" s="91">
        <f t="shared" si="225"/>
        <v>14045</v>
      </c>
      <c r="I228" s="91">
        <f t="shared" si="225"/>
        <v>7522.5</v>
      </c>
      <c r="J228" s="91">
        <f t="shared" si="225"/>
        <v>14045</v>
      </c>
      <c r="K228" s="91">
        <f t="shared" si="225"/>
        <v>14045</v>
      </c>
      <c r="L228" s="91">
        <f t="shared" si="225"/>
        <v>7522.5</v>
      </c>
      <c r="M228" s="91">
        <f t="shared" si="225"/>
        <v>0</v>
      </c>
      <c r="N228" s="271">
        <f t="shared" si="222"/>
        <v>226242.5</v>
      </c>
    </row>
    <row r="229" spans="1:14" x14ac:dyDescent="0.35">
      <c r="A229" s="238" t="s">
        <v>144</v>
      </c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269">
        <f>+N222/N223</f>
        <v>8671.6174779609046</v>
      </c>
    </row>
    <row r="230" spans="1:14" x14ac:dyDescent="0.35">
      <c r="A230" s="235" t="s">
        <v>376</v>
      </c>
      <c r="B230" s="80">
        <f>+B236</f>
        <v>1000</v>
      </c>
      <c r="C230" s="80">
        <f t="shared" ref="C230:M230" si="226">+C236</f>
        <v>1000</v>
      </c>
      <c r="D230" s="80">
        <f t="shared" si="226"/>
        <v>1000</v>
      </c>
      <c r="E230" s="80">
        <f t="shared" si="226"/>
        <v>1000</v>
      </c>
      <c r="F230" s="80">
        <f t="shared" si="226"/>
        <v>1000</v>
      </c>
      <c r="G230" s="80">
        <f t="shared" si="226"/>
        <v>1000</v>
      </c>
      <c r="H230" s="80">
        <f t="shared" si="226"/>
        <v>1000</v>
      </c>
      <c r="I230" s="80">
        <f t="shared" si="226"/>
        <v>1000</v>
      </c>
      <c r="J230" s="80">
        <f t="shared" si="226"/>
        <v>1000</v>
      </c>
      <c r="K230" s="80">
        <f t="shared" si="226"/>
        <v>1000</v>
      </c>
      <c r="L230" s="80">
        <f t="shared" si="226"/>
        <v>1000</v>
      </c>
      <c r="M230" s="80">
        <f t="shared" si="226"/>
        <v>0</v>
      </c>
      <c r="N230" s="273">
        <f>SUM(B230:M230)</f>
        <v>11000</v>
      </c>
    </row>
    <row r="231" spans="1:14" x14ac:dyDescent="0.35">
      <c r="A231" s="238" t="s">
        <v>93</v>
      </c>
      <c r="B231" s="239">
        <f>+'Plan de culture 114'!$AE$19</f>
        <v>0</v>
      </c>
      <c r="C231" s="239">
        <f>+B231</f>
        <v>0</v>
      </c>
      <c r="D231" s="239">
        <f t="shared" ref="D231" si="227">+C231</f>
        <v>0</v>
      </c>
      <c r="E231" s="239">
        <f>+'Plan de culture 104 '!C227</f>
        <v>0</v>
      </c>
      <c r="F231" s="239">
        <f>+E231+'Plan de culture 104 '!D227+'Plan de culture 104 '!E227</f>
        <v>0</v>
      </c>
      <c r="G231" s="239">
        <f>+F231</f>
        <v>0</v>
      </c>
      <c r="H231" s="239">
        <f t="shared" ref="H231:M231" si="228">+G231</f>
        <v>0</v>
      </c>
      <c r="I231" s="239">
        <f t="shared" si="228"/>
        <v>0</v>
      </c>
      <c r="J231" s="239">
        <f t="shared" si="228"/>
        <v>0</v>
      </c>
      <c r="K231" s="239">
        <f t="shared" si="228"/>
        <v>0</v>
      </c>
      <c r="L231" s="239">
        <f t="shared" si="228"/>
        <v>0</v>
      </c>
      <c r="M231" s="239">
        <f t="shared" si="228"/>
        <v>0</v>
      </c>
      <c r="N231" s="240">
        <f>+'Plan de culture 114'!$AE$19</f>
        <v>0</v>
      </c>
    </row>
    <row r="232" spans="1:14" x14ac:dyDescent="0.35">
      <c r="A232" s="270" t="s">
        <v>146</v>
      </c>
      <c r="B232" s="90">
        <f>250*B231</f>
        <v>0</v>
      </c>
      <c r="C232" s="90">
        <f>B232</f>
        <v>0</v>
      </c>
      <c r="D232" s="90">
        <f t="shared" ref="D232:L232" si="229">C232</f>
        <v>0</v>
      </c>
      <c r="E232" s="90">
        <f t="shared" si="229"/>
        <v>0</v>
      </c>
      <c r="F232" s="90">
        <f t="shared" si="229"/>
        <v>0</v>
      </c>
      <c r="G232" s="90">
        <f t="shared" si="229"/>
        <v>0</v>
      </c>
      <c r="H232" s="90">
        <f t="shared" si="229"/>
        <v>0</v>
      </c>
      <c r="I232" s="90">
        <f t="shared" si="229"/>
        <v>0</v>
      </c>
      <c r="J232" s="90">
        <f t="shared" si="229"/>
        <v>0</v>
      </c>
      <c r="K232" s="90">
        <f t="shared" si="229"/>
        <v>0</v>
      </c>
      <c r="L232" s="90">
        <f t="shared" si="229"/>
        <v>0</v>
      </c>
      <c r="M232" s="90"/>
      <c r="N232" s="271">
        <f t="shared" ref="N232:N236" si="230">SUM(B232:M232)</f>
        <v>0</v>
      </c>
    </row>
    <row r="233" spans="1:14" x14ac:dyDescent="0.35">
      <c r="A233" s="270" t="s">
        <v>147</v>
      </c>
      <c r="B233" s="90"/>
      <c r="C233" s="90">
        <f>250*C231</f>
        <v>0</v>
      </c>
      <c r="D233" s="90">
        <f>250*D231</f>
        <v>0</v>
      </c>
      <c r="E233" s="90"/>
      <c r="F233" s="90"/>
      <c r="G233" s="90">
        <f t="shared" ref="G233:H233" si="231">250*G231</f>
        <v>0</v>
      </c>
      <c r="H233" s="90">
        <f t="shared" si="231"/>
        <v>0</v>
      </c>
      <c r="I233" s="90"/>
      <c r="J233" s="90">
        <f t="shared" ref="J233:K233" si="232">250*J231</f>
        <v>0</v>
      </c>
      <c r="K233" s="90">
        <f t="shared" si="232"/>
        <v>0</v>
      </c>
      <c r="L233" s="90"/>
      <c r="M233" s="90"/>
      <c r="N233" s="271">
        <f t="shared" si="230"/>
        <v>0</v>
      </c>
    </row>
    <row r="234" spans="1:14" x14ac:dyDescent="0.35">
      <c r="A234" s="270" t="s">
        <v>154</v>
      </c>
      <c r="B234" s="90"/>
      <c r="C234" s="90">
        <f>4000*C231</f>
        <v>0</v>
      </c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271">
        <f t="shared" si="230"/>
        <v>0</v>
      </c>
    </row>
    <row r="235" spans="1:14" x14ac:dyDescent="0.35">
      <c r="A235" s="270" t="s">
        <v>148</v>
      </c>
      <c r="B235" s="90">
        <v>1000</v>
      </c>
      <c r="C235" s="90">
        <v>1000</v>
      </c>
      <c r="D235" s="90">
        <v>1000</v>
      </c>
      <c r="E235" s="90">
        <v>1000</v>
      </c>
      <c r="F235" s="90">
        <v>1000</v>
      </c>
      <c r="G235" s="90">
        <v>1000</v>
      </c>
      <c r="H235" s="90">
        <v>1000</v>
      </c>
      <c r="I235" s="90">
        <v>1000</v>
      </c>
      <c r="J235" s="90">
        <v>1000</v>
      </c>
      <c r="K235" s="90">
        <v>1000</v>
      </c>
      <c r="L235" s="90">
        <v>1000</v>
      </c>
      <c r="M235" s="90"/>
      <c r="N235" s="271">
        <f t="shared" si="230"/>
        <v>11000</v>
      </c>
    </row>
    <row r="236" spans="1:14" x14ac:dyDescent="0.35">
      <c r="A236" s="272" t="s">
        <v>145</v>
      </c>
      <c r="B236" s="91">
        <f t="shared" ref="B236:M236" si="233">SUM(B232:B235)</f>
        <v>1000</v>
      </c>
      <c r="C236" s="91">
        <f t="shared" si="233"/>
        <v>1000</v>
      </c>
      <c r="D236" s="91">
        <f t="shared" si="233"/>
        <v>1000</v>
      </c>
      <c r="E236" s="91">
        <f t="shared" si="233"/>
        <v>1000</v>
      </c>
      <c r="F236" s="91">
        <f t="shared" si="233"/>
        <v>1000</v>
      </c>
      <c r="G236" s="91">
        <f t="shared" si="233"/>
        <v>1000</v>
      </c>
      <c r="H236" s="91">
        <f t="shared" si="233"/>
        <v>1000</v>
      </c>
      <c r="I236" s="91">
        <f t="shared" si="233"/>
        <v>1000</v>
      </c>
      <c r="J236" s="91">
        <f t="shared" si="233"/>
        <v>1000</v>
      </c>
      <c r="K236" s="91">
        <f t="shared" si="233"/>
        <v>1000</v>
      </c>
      <c r="L236" s="91">
        <f t="shared" si="233"/>
        <v>1000</v>
      </c>
      <c r="M236" s="91">
        <f t="shared" si="233"/>
        <v>0</v>
      </c>
      <c r="N236" s="271">
        <f t="shared" si="230"/>
        <v>11000</v>
      </c>
    </row>
    <row r="237" spans="1:14" x14ac:dyDescent="0.35">
      <c r="A237" s="238" t="s">
        <v>144</v>
      </c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269" t="e">
        <f>+N230/N231</f>
        <v>#DIV/0!</v>
      </c>
    </row>
    <row r="238" spans="1:14" x14ac:dyDescent="0.35">
      <c r="A238" s="235" t="s">
        <v>92</v>
      </c>
      <c r="B238" s="80">
        <f>+B244</f>
        <v>1000</v>
      </c>
      <c r="C238" s="80">
        <f t="shared" ref="C238:M238" si="234">+C244</f>
        <v>1000</v>
      </c>
      <c r="D238" s="80">
        <f t="shared" si="234"/>
        <v>1000</v>
      </c>
      <c r="E238" s="80">
        <f t="shared" si="234"/>
        <v>1000</v>
      </c>
      <c r="F238" s="80">
        <f t="shared" si="234"/>
        <v>1000</v>
      </c>
      <c r="G238" s="80">
        <f t="shared" si="234"/>
        <v>1000</v>
      </c>
      <c r="H238" s="80">
        <f t="shared" si="234"/>
        <v>1000</v>
      </c>
      <c r="I238" s="80">
        <f t="shared" si="234"/>
        <v>1000</v>
      </c>
      <c r="J238" s="80">
        <f t="shared" si="234"/>
        <v>1000</v>
      </c>
      <c r="K238" s="80">
        <f t="shared" si="234"/>
        <v>1000</v>
      </c>
      <c r="L238" s="80">
        <f t="shared" si="234"/>
        <v>1000</v>
      </c>
      <c r="M238" s="80">
        <f t="shared" si="234"/>
        <v>0</v>
      </c>
      <c r="N238" s="273">
        <f>SUM(B238:M238)</f>
        <v>11000</v>
      </c>
    </row>
    <row r="239" spans="1:14" x14ac:dyDescent="0.35">
      <c r="A239" s="238" t="s">
        <v>93</v>
      </c>
      <c r="B239" s="239">
        <f>+'Plan de culture 114'!$AE$25</f>
        <v>0</v>
      </c>
      <c r="C239" s="239">
        <f>+B239</f>
        <v>0</v>
      </c>
      <c r="D239" s="239">
        <f t="shared" ref="D239" si="235">+C239</f>
        <v>0</v>
      </c>
      <c r="E239" s="239">
        <f>+'Plan de culture 104 '!C235</f>
        <v>0</v>
      </c>
      <c r="F239" s="239">
        <f>+E239+'Plan de culture 104 '!D235+'Plan de culture 104 '!E235</f>
        <v>0</v>
      </c>
      <c r="G239" s="239">
        <f>+F239</f>
        <v>0</v>
      </c>
      <c r="H239" s="239">
        <f t="shared" ref="H239:M239" si="236">+G239</f>
        <v>0</v>
      </c>
      <c r="I239" s="239">
        <f t="shared" si="236"/>
        <v>0</v>
      </c>
      <c r="J239" s="239">
        <f t="shared" si="236"/>
        <v>0</v>
      </c>
      <c r="K239" s="239">
        <f t="shared" si="236"/>
        <v>0</v>
      </c>
      <c r="L239" s="239">
        <f t="shared" si="236"/>
        <v>0</v>
      </c>
      <c r="M239" s="239">
        <f t="shared" si="236"/>
        <v>0</v>
      </c>
      <c r="N239" s="240">
        <f>+'Plan de culture 114'!$AE$25</f>
        <v>0</v>
      </c>
    </row>
    <row r="240" spans="1:14" x14ac:dyDescent="0.35">
      <c r="A240" s="270" t="s">
        <v>146</v>
      </c>
      <c r="B240" s="90">
        <f>250*B239</f>
        <v>0</v>
      </c>
      <c r="C240" s="90">
        <f>B240</f>
        <v>0</v>
      </c>
      <c r="D240" s="90">
        <f t="shared" ref="D240:L240" si="237">C240</f>
        <v>0</v>
      </c>
      <c r="E240" s="90">
        <f t="shared" si="237"/>
        <v>0</v>
      </c>
      <c r="F240" s="90">
        <f t="shared" si="237"/>
        <v>0</v>
      </c>
      <c r="G240" s="90">
        <f t="shared" si="237"/>
        <v>0</v>
      </c>
      <c r="H240" s="90">
        <f t="shared" si="237"/>
        <v>0</v>
      </c>
      <c r="I240" s="90">
        <f t="shared" si="237"/>
        <v>0</v>
      </c>
      <c r="J240" s="90">
        <f t="shared" si="237"/>
        <v>0</v>
      </c>
      <c r="K240" s="90">
        <f t="shared" si="237"/>
        <v>0</v>
      </c>
      <c r="L240" s="90">
        <f t="shared" si="237"/>
        <v>0</v>
      </c>
      <c r="M240" s="90"/>
      <c r="N240" s="271">
        <f t="shared" ref="N240:N244" si="238">SUM(B240:M240)</f>
        <v>0</v>
      </c>
    </row>
    <row r="241" spans="1:14" x14ac:dyDescent="0.35">
      <c r="A241" s="270" t="s">
        <v>147</v>
      </c>
      <c r="B241" s="90"/>
      <c r="C241" s="90">
        <f>250*C239</f>
        <v>0</v>
      </c>
      <c r="D241" s="90">
        <f>250*D239</f>
        <v>0</v>
      </c>
      <c r="E241" s="90"/>
      <c r="F241" s="90"/>
      <c r="G241" s="90">
        <f t="shared" ref="G241:H241" si="239">250*G239</f>
        <v>0</v>
      </c>
      <c r="H241" s="90">
        <f t="shared" si="239"/>
        <v>0</v>
      </c>
      <c r="I241" s="90"/>
      <c r="J241" s="90">
        <f t="shared" ref="J241:K241" si="240">250*J239</f>
        <v>0</v>
      </c>
      <c r="K241" s="90">
        <f t="shared" si="240"/>
        <v>0</v>
      </c>
      <c r="L241" s="90"/>
      <c r="M241" s="90"/>
      <c r="N241" s="271">
        <f t="shared" si="238"/>
        <v>0</v>
      </c>
    </row>
    <row r="242" spans="1:14" x14ac:dyDescent="0.35">
      <c r="A242" s="270" t="s">
        <v>154</v>
      </c>
      <c r="B242" s="90"/>
      <c r="C242" s="90">
        <f>4000*C239</f>
        <v>0</v>
      </c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271">
        <f t="shared" si="238"/>
        <v>0</v>
      </c>
    </row>
    <row r="243" spans="1:14" x14ac:dyDescent="0.35">
      <c r="A243" s="270" t="s">
        <v>148</v>
      </c>
      <c r="B243" s="90">
        <v>1000</v>
      </c>
      <c r="C243" s="90">
        <v>1000</v>
      </c>
      <c r="D243" s="90">
        <v>1000</v>
      </c>
      <c r="E243" s="90">
        <v>1000</v>
      </c>
      <c r="F243" s="90">
        <v>1000</v>
      </c>
      <c r="G243" s="90">
        <v>1000</v>
      </c>
      <c r="H243" s="90">
        <v>1000</v>
      </c>
      <c r="I243" s="90">
        <v>1000</v>
      </c>
      <c r="J243" s="90">
        <v>1000</v>
      </c>
      <c r="K243" s="90">
        <v>1000</v>
      </c>
      <c r="L243" s="90">
        <v>1000</v>
      </c>
      <c r="M243" s="90"/>
      <c r="N243" s="271">
        <f t="shared" si="238"/>
        <v>11000</v>
      </c>
    </row>
    <row r="244" spans="1:14" x14ac:dyDescent="0.35">
      <c r="A244" s="272" t="s">
        <v>145</v>
      </c>
      <c r="B244" s="91">
        <f t="shared" ref="B244:M244" si="241">SUM(B240:B243)</f>
        <v>1000</v>
      </c>
      <c r="C244" s="91">
        <f t="shared" si="241"/>
        <v>1000</v>
      </c>
      <c r="D244" s="91">
        <f t="shared" si="241"/>
        <v>1000</v>
      </c>
      <c r="E244" s="91">
        <f t="shared" si="241"/>
        <v>1000</v>
      </c>
      <c r="F244" s="91">
        <f t="shared" si="241"/>
        <v>1000</v>
      </c>
      <c r="G244" s="91">
        <f t="shared" si="241"/>
        <v>1000</v>
      </c>
      <c r="H244" s="91">
        <f t="shared" si="241"/>
        <v>1000</v>
      </c>
      <c r="I244" s="91">
        <f t="shared" si="241"/>
        <v>1000</v>
      </c>
      <c r="J244" s="91">
        <f t="shared" si="241"/>
        <v>1000</v>
      </c>
      <c r="K244" s="91">
        <f t="shared" si="241"/>
        <v>1000</v>
      </c>
      <c r="L244" s="91">
        <f t="shared" si="241"/>
        <v>1000</v>
      </c>
      <c r="M244" s="91">
        <f t="shared" si="241"/>
        <v>0</v>
      </c>
      <c r="N244" s="271">
        <f t="shared" si="238"/>
        <v>11000</v>
      </c>
    </row>
    <row r="245" spans="1:14" x14ac:dyDescent="0.35">
      <c r="A245" s="238" t="s">
        <v>144</v>
      </c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269" t="e">
        <f>+N238/N239</f>
        <v>#DIV/0!</v>
      </c>
    </row>
    <row r="246" spans="1:14" x14ac:dyDescent="0.35">
      <c r="A246" s="235" t="s">
        <v>377</v>
      </c>
      <c r="B246" s="80">
        <f>+B252</f>
        <v>1000</v>
      </c>
      <c r="C246" s="80">
        <f t="shared" ref="C246:M246" si="242">+C252</f>
        <v>1000</v>
      </c>
      <c r="D246" s="80">
        <f t="shared" si="242"/>
        <v>1000</v>
      </c>
      <c r="E246" s="80">
        <f t="shared" si="242"/>
        <v>1000</v>
      </c>
      <c r="F246" s="80">
        <f t="shared" si="242"/>
        <v>1000</v>
      </c>
      <c r="G246" s="80">
        <f t="shared" si="242"/>
        <v>1000</v>
      </c>
      <c r="H246" s="80">
        <f t="shared" si="242"/>
        <v>1000</v>
      </c>
      <c r="I246" s="80">
        <f t="shared" si="242"/>
        <v>1000</v>
      </c>
      <c r="J246" s="80">
        <f t="shared" si="242"/>
        <v>1000</v>
      </c>
      <c r="K246" s="80">
        <f t="shared" si="242"/>
        <v>1000</v>
      </c>
      <c r="L246" s="80">
        <f t="shared" si="242"/>
        <v>1000</v>
      </c>
      <c r="M246" s="80">
        <f t="shared" si="242"/>
        <v>0</v>
      </c>
      <c r="N246" s="273">
        <f>SUM(B246:M246)</f>
        <v>11000</v>
      </c>
    </row>
    <row r="247" spans="1:14" x14ac:dyDescent="0.35">
      <c r="A247" s="238" t="s">
        <v>93</v>
      </c>
      <c r="B247" s="239">
        <f>+'Plan de culture 114'!$AE$31</f>
        <v>0</v>
      </c>
      <c r="C247" s="239">
        <f>+B247</f>
        <v>0</v>
      </c>
      <c r="D247" s="239">
        <f t="shared" ref="D247" si="243">+C247</f>
        <v>0</v>
      </c>
      <c r="E247" s="239">
        <f>+'Plan de culture 104 '!C243</f>
        <v>0</v>
      </c>
      <c r="F247" s="239">
        <f>+E247+'Plan de culture 104 '!D243+'Plan de culture 104 '!E243</f>
        <v>0</v>
      </c>
      <c r="G247" s="239">
        <f>+F247</f>
        <v>0</v>
      </c>
      <c r="H247" s="239">
        <f t="shared" ref="H247:M247" si="244">+G247</f>
        <v>0</v>
      </c>
      <c r="I247" s="239">
        <f t="shared" si="244"/>
        <v>0</v>
      </c>
      <c r="J247" s="239">
        <f t="shared" si="244"/>
        <v>0</v>
      </c>
      <c r="K247" s="239">
        <f t="shared" si="244"/>
        <v>0</v>
      </c>
      <c r="L247" s="239">
        <f t="shared" si="244"/>
        <v>0</v>
      </c>
      <c r="M247" s="239">
        <f t="shared" si="244"/>
        <v>0</v>
      </c>
      <c r="N247" s="240">
        <f>+'Plan de culture 114'!$AE$31</f>
        <v>0</v>
      </c>
    </row>
    <row r="248" spans="1:14" x14ac:dyDescent="0.35">
      <c r="A248" s="270" t="s">
        <v>146</v>
      </c>
      <c r="B248" s="90">
        <f>250*B247</f>
        <v>0</v>
      </c>
      <c r="C248" s="90">
        <f>B248</f>
        <v>0</v>
      </c>
      <c r="D248" s="90">
        <f t="shared" ref="D248:L248" si="245">C248</f>
        <v>0</v>
      </c>
      <c r="E248" s="90">
        <f t="shared" si="245"/>
        <v>0</v>
      </c>
      <c r="F248" s="90">
        <f t="shared" si="245"/>
        <v>0</v>
      </c>
      <c r="G248" s="90">
        <f t="shared" si="245"/>
        <v>0</v>
      </c>
      <c r="H248" s="90">
        <f t="shared" si="245"/>
        <v>0</v>
      </c>
      <c r="I248" s="90">
        <f t="shared" si="245"/>
        <v>0</v>
      </c>
      <c r="J248" s="90">
        <f t="shared" si="245"/>
        <v>0</v>
      </c>
      <c r="K248" s="90">
        <f t="shared" si="245"/>
        <v>0</v>
      </c>
      <c r="L248" s="90">
        <f t="shared" si="245"/>
        <v>0</v>
      </c>
      <c r="M248" s="90"/>
      <c r="N248" s="271">
        <f t="shared" ref="N248:N252" si="246">SUM(B248:M248)</f>
        <v>0</v>
      </c>
    </row>
    <row r="249" spans="1:14" x14ac:dyDescent="0.35">
      <c r="A249" s="270" t="s">
        <v>147</v>
      </c>
      <c r="B249" s="90"/>
      <c r="C249" s="90">
        <f>250*C247</f>
        <v>0</v>
      </c>
      <c r="D249" s="90">
        <f>250*D247</f>
        <v>0</v>
      </c>
      <c r="E249" s="90"/>
      <c r="F249" s="90"/>
      <c r="G249" s="90">
        <f t="shared" ref="G249:H249" si="247">250*G247</f>
        <v>0</v>
      </c>
      <c r="H249" s="90">
        <f t="shared" si="247"/>
        <v>0</v>
      </c>
      <c r="I249" s="90"/>
      <c r="J249" s="90">
        <f t="shared" ref="J249:K249" si="248">250*J247</f>
        <v>0</v>
      </c>
      <c r="K249" s="90">
        <f t="shared" si="248"/>
        <v>0</v>
      </c>
      <c r="L249" s="90"/>
      <c r="M249" s="90"/>
      <c r="N249" s="271">
        <f t="shared" si="246"/>
        <v>0</v>
      </c>
    </row>
    <row r="250" spans="1:14" x14ac:dyDescent="0.35">
      <c r="A250" s="270" t="s">
        <v>154</v>
      </c>
      <c r="B250" s="90"/>
      <c r="C250" s="90">
        <f>4000*C247</f>
        <v>0</v>
      </c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271">
        <f t="shared" si="246"/>
        <v>0</v>
      </c>
    </row>
    <row r="251" spans="1:14" x14ac:dyDescent="0.35">
      <c r="A251" s="270" t="s">
        <v>148</v>
      </c>
      <c r="B251" s="90">
        <v>1000</v>
      </c>
      <c r="C251" s="90">
        <v>1000</v>
      </c>
      <c r="D251" s="90">
        <v>1000</v>
      </c>
      <c r="E251" s="90">
        <v>1000</v>
      </c>
      <c r="F251" s="90">
        <v>1000</v>
      </c>
      <c r="G251" s="90">
        <v>1000</v>
      </c>
      <c r="H251" s="90">
        <v>1000</v>
      </c>
      <c r="I251" s="90">
        <v>1000</v>
      </c>
      <c r="J251" s="90">
        <v>1000</v>
      </c>
      <c r="K251" s="90">
        <v>1000</v>
      </c>
      <c r="L251" s="90">
        <v>1000</v>
      </c>
      <c r="M251" s="90"/>
      <c r="N251" s="271">
        <f t="shared" si="246"/>
        <v>11000</v>
      </c>
    </row>
    <row r="252" spans="1:14" x14ac:dyDescent="0.35">
      <c r="A252" s="272" t="s">
        <v>145</v>
      </c>
      <c r="B252" s="91">
        <f t="shared" ref="B252:M252" si="249">SUM(B248:B251)</f>
        <v>1000</v>
      </c>
      <c r="C252" s="91">
        <f t="shared" si="249"/>
        <v>1000</v>
      </c>
      <c r="D252" s="91">
        <f t="shared" si="249"/>
        <v>1000</v>
      </c>
      <c r="E252" s="91">
        <f t="shared" si="249"/>
        <v>1000</v>
      </c>
      <c r="F252" s="91">
        <f t="shared" si="249"/>
        <v>1000</v>
      </c>
      <c r="G252" s="91">
        <f t="shared" si="249"/>
        <v>1000</v>
      </c>
      <c r="H252" s="91">
        <f t="shared" si="249"/>
        <v>1000</v>
      </c>
      <c r="I252" s="91">
        <f t="shared" si="249"/>
        <v>1000</v>
      </c>
      <c r="J252" s="91">
        <f t="shared" si="249"/>
        <v>1000</v>
      </c>
      <c r="K252" s="91">
        <f t="shared" si="249"/>
        <v>1000</v>
      </c>
      <c r="L252" s="91">
        <f t="shared" si="249"/>
        <v>1000</v>
      </c>
      <c r="M252" s="91">
        <f t="shared" si="249"/>
        <v>0</v>
      </c>
      <c r="N252" s="271">
        <f t="shared" si="246"/>
        <v>11000</v>
      </c>
    </row>
    <row r="253" spans="1:14" x14ac:dyDescent="0.35">
      <c r="A253" s="238" t="s">
        <v>144</v>
      </c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269" t="e">
        <f>+N246/N247</f>
        <v>#DIV/0!</v>
      </c>
    </row>
    <row r="254" spans="1:14" x14ac:dyDescent="0.35">
      <c r="A254" s="235" t="s">
        <v>378</v>
      </c>
      <c r="B254" s="80">
        <f>+B260</f>
        <v>1000</v>
      </c>
      <c r="C254" s="80">
        <f t="shared" ref="C254:M254" si="250">+C260</f>
        <v>1000</v>
      </c>
      <c r="D254" s="80">
        <f t="shared" si="250"/>
        <v>1000</v>
      </c>
      <c r="E254" s="80">
        <f t="shared" si="250"/>
        <v>1000</v>
      </c>
      <c r="F254" s="80">
        <f t="shared" si="250"/>
        <v>1000</v>
      </c>
      <c r="G254" s="80">
        <f t="shared" si="250"/>
        <v>1000</v>
      </c>
      <c r="H254" s="80">
        <f t="shared" si="250"/>
        <v>1000</v>
      </c>
      <c r="I254" s="80">
        <f t="shared" si="250"/>
        <v>1000</v>
      </c>
      <c r="J254" s="80">
        <f t="shared" si="250"/>
        <v>1000</v>
      </c>
      <c r="K254" s="80">
        <f t="shared" si="250"/>
        <v>1000</v>
      </c>
      <c r="L254" s="80">
        <f t="shared" si="250"/>
        <v>1000</v>
      </c>
      <c r="M254" s="80">
        <f t="shared" si="250"/>
        <v>0</v>
      </c>
      <c r="N254" s="273">
        <f>SUM(B254:M254)</f>
        <v>11000</v>
      </c>
    </row>
    <row r="255" spans="1:14" x14ac:dyDescent="0.35">
      <c r="A255" s="238" t="s">
        <v>93</v>
      </c>
      <c r="B255" s="239">
        <f>+'Plan de culture 114'!$AE$37</f>
        <v>0</v>
      </c>
      <c r="C255" s="239">
        <f>+B255</f>
        <v>0</v>
      </c>
      <c r="D255" s="239">
        <f t="shared" ref="D255" si="251">+C255</f>
        <v>0</v>
      </c>
      <c r="E255" s="239">
        <f>+'Plan de culture 104 '!C251</f>
        <v>0</v>
      </c>
      <c r="F255" s="239">
        <f>+E255+'Plan de culture 104 '!D251+'Plan de culture 104 '!E251</f>
        <v>0</v>
      </c>
      <c r="G255" s="239">
        <f>+F255</f>
        <v>0</v>
      </c>
      <c r="H255" s="239">
        <f t="shared" ref="H255:M255" si="252">+G255</f>
        <v>0</v>
      </c>
      <c r="I255" s="239">
        <f t="shared" si="252"/>
        <v>0</v>
      </c>
      <c r="J255" s="239">
        <f t="shared" si="252"/>
        <v>0</v>
      </c>
      <c r="K255" s="239">
        <f t="shared" si="252"/>
        <v>0</v>
      </c>
      <c r="L255" s="239">
        <f t="shared" si="252"/>
        <v>0</v>
      </c>
      <c r="M255" s="239">
        <f t="shared" si="252"/>
        <v>0</v>
      </c>
      <c r="N255" s="240">
        <f>+'Plan de culture 114'!$AE$37</f>
        <v>0</v>
      </c>
    </row>
    <row r="256" spans="1:14" x14ac:dyDescent="0.35">
      <c r="A256" s="270" t="s">
        <v>146</v>
      </c>
      <c r="B256" s="90">
        <f>250*B255</f>
        <v>0</v>
      </c>
      <c r="C256" s="90">
        <f>B256</f>
        <v>0</v>
      </c>
      <c r="D256" s="90">
        <f t="shared" ref="D256:L256" si="253">C256</f>
        <v>0</v>
      </c>
      <c r="E256" s="90">
        <f t="shared" si="253"/>
        <v>0</v>
      </c>
      <c r="F256" s="90">
        <f t="shared" si="253"/>
        <v>0</v>
      </c>
      <c r="G256" s="90">
        <f t="shared" si="253"/>
        <v>0</v>
      </c>
      <c r="H256" s="90">
        <f t="shared" si="253"/>
        <v>0</v>
      </c>
      <c r="I256" s="90">
        <f t="shared" si="253"/>
        <v>0</v>
      </c>
      <c r="J256" s="90">
        <f t="shared" si="253"/>
        <v>0</v>
      </c>
      <c r="K256" s="90">
        <f t="shared" si="253"/>
        <v>0</v>
      </c>
      <c r="L256" s="90">
        <f t="shared" si="253"/>
        <v>0</v>
      </c>
      <c r="M256" s="90"/>
      <c r="N256" s="271">
        <f t="shared" ref="N256:N260" si="254">SUM(B256:M256)</f>
        <v>0</v>
      </c>
    </row>
    <row r="257" spans="1:14" x14ac:dyDescent="0.35">
      <c r="A257" s="270" t="s">
        <v>147</v>
      </c>
      <c r="B257" s="90"/>
      <c r="C257" s="90">
        <f>250*C255</f>
        <v>0</v>
      </c>
      <c r="D257" s="90">
        <f>250*D255</f>
        <v>0</v>
      </c>
      <c r="E257" s="90"/>
      <c r="F257" s="90"/>
      <c r="G257" s="90">
        <f t="shared" ref="G257:H257" si="255">250*G255</f>
        <v>0</v>
      </c>
      <c r="H257" s="90">
        <f t="shared" si="255"/>
        <v>0</v>
      </c>
      <c r="I257" s="90"/>
      <c r="J257" s="90">
        <f t="shared" ref="J257:K257" si="256">250*J255</f>
        <v>0</v>
      </c>
      <c r="K257" s="90">
        <f t="shared" si="256"/>
        <v>0</v>
      </c>
      <c r="L257" s="90"/>
      <c r="M257" s="90"/>
      <c r="N257" s="271">
        <f t="shared" si="254"/>
        <v>0</v>
      </c>
    </row>
    <row r="258" spans="1:14" x14ac:dyDescent="0.35">
      <c r="A258" s="270" t="s">
        <v>154</v>
      </c>
      <c r="B258" s="90"/>
      <c r="C258" s="90">
        <f>4000*C255</f>
        <v>0</v>
      </c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271">
        <f t="shared" si="254"/>
        <v>0</v>
      </c>
    </row>
    <row r="259" spans="1:14" x14ac:dyDescent="0.35">
      <c r="A259" s="270" t="s">
        <v>148</v>
      </c>
      <c r="B259" s="90">
        <v>1000</v>
      </c>
      <c r="C259" s="90">
        <v>1000</v>
      </c>
      <c r="D259" s="90">
        <v>1000</v>
      </c>
      <c r="E259" s="90">
        <v>1000</v>
      </c>
      <c r="F259" s="90">
        <v>1000</v>
      </c>
      <c r="G259" s="90">
        <v>1000</v>
      </c>
      <c r="H259" s="90">
        <v>1000</v>
      </c>
      <c r="I259" s="90">
        <v>1000</v>
      </c>
      <c r="J259" s="90">
        <v>1000</v>
      </c>
      <c r="K259" s="90">
        <v>1000</v>
      </c>
      <c r="L259" s="90">
        <v>1000</v>
      </c>
      <c r="M259" s="90"/>
      <c r="N259" s="271">
        <f t="shared" si="254"/>
        <v>11000</v>
      </c>
    </row>
    <row r="260" spans="1:14" x14ac:dyDescent="0.35">
      <c r="A260" s="272" t="s">
        <v>145</v>
      </c>
      <c r="B260" s="91">
        <f t="shared" ref="B260:M260" si="257">SUM(B256:B259)</f>
        <v>1000</v>
      </c>
      <c r="C260" s="91">
        <f t="shared" si="257"/>
        <v>1000</v>
      </c>
      <c r="D260" s="91">
        <f t="shared" si="257"/>
        <v>1000</v>
      </c>
      <c r="E260" s="91">
        <f t="shared" si="257"/>
        <v>1000</v>
      </c>
      <c r="F260" s="91">
        <f t="shared" si="257"/>
        <v>1000</v>
      </c>
      <c r="G260" s="91">
        <f t="shared" si="257"/>
        <v>1000</v>
      </c>
      <c r="H260" s="91">
        <f t="shared" si="257"/>
        <v>1000</v>
      </c>
      <c r="I260" s="91">
        <f t="shared" si="257"/>
        <v>1000</v>
      </c>
      <c r="J260" s="91">
        <f t="shared" si="257"/>
        <v>1000</v>
      </c>
      <c r="K260" s="91">
        <f t="shared" si="257"/>
        <v>1000</v>
      </c>
      <c r="L260" s="91">
        <f t="shared" si="257"/>
        <v>1000</v>
      </c>
      <c r="M260" s="91">
        <f t="shared" si="257"/>
        <v>0</v>
      </c>
      <c r="N260" s="271">
        <f t="shared" si="254"/>
        <v>11000</v>
      </c>
    </row>
    <row r="261" spans="1:14" ht="12" thickBot="1" x14ac:dyDescent="0.4">
      <c r="A261" s="241" t="s">
        <v>144</v>
      </c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74" t="e">
        <f>+N254/N255</f>
        <v>#DIV/0!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N261"/>
  <sheetViews>
    <sheetView topLeftCell="A88" zoomScale="110" zoomScaleNormal="110" workbookViewId="0">
      <selection activeCell="B110" sqref="B110:N110"/>
    </sheetView>
  </sheetViews>
  <sheetFormatPr baseColWidth="10" defaultColWidth="11.46484375" defaultRowHeight="11.65" x14ac:dyDescent="0.35"/>
  <cols>
    <col min="1" max="1" width="30" style="32" customWidth="1"/>
    <col min="2" max="2" width="7.265625" style="32" bestFit="1" customWidth="1"/>
    <col min="3" max="3" width="7.796875" style="32" bestFit="1" customWidth="1"/>
    <col min="4" max="4" width="7" style="32" bestFit="1" customWidth="1"/>
    <col min="5" max="8" width="7.796875" style="32" bestFit="1" customWidth="1"/>
    <col min="9" max="9" width="7" style="32" bestFit="1" customWidth="1"/>
    <col min="10" max="11" width="7.796875" style="32" bestFit="1" customWidth="1"/>
    <col min="12" max="12" width="7" style="32" bestFit="1" customWidth="1"/>
    <col min="13" max="13" width="7.796875" style="32" bestFit="1" customWidth="1"/>
    <col min="14" max="14" width="8.73046875" style="32" bestFit="1" customWidth="1"/>
    <col min="15" max="16384" width="11.46484375" style="32"/>
  </cols>
  <sheetData>
    <row r="1" spans="1:14" ht="35.25" thickBot="1" x14ac:dyDescent="0.4">
      <c r="A1" s="68" t="s">
        <v>317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255" t="s">
        <v>445</v>
      </c>
      <c r="B4" s="256">
        <f>B7+B28+B49+B70+B91</f>
        <v>169039.21568627452</v>
      </c>
      <c r="C4" s="256">
        <f t="shared" ref="C4:N5" si="1">C7+C28+C49+C70+C91</f>
        <v>169039.21568627452</v>
      </c>
      <c r="D4" s="256">
        <f t="shared" si="1"/>
        <v>169039.21568627452</v>
      </c>
      <c r="E4" s="256">
        <f t="shared" si="1"/>
        <v>169039.21568627452</v>
      </c>
      <c r="F4" s="256">
        <f t="shared" si="1"/>
        <v>169039.21568627452</v>
      </c>
      <c r="G4" s="256">
        <f t="shared" si="1"/>
        <v>169039.21568627452</v>
      </c>
      <c r="H4" s="256">
        <f t="shared" si="1"/>
        <v>169039.21568627452</v>
      </c>
      <c r="I4" s="256">
        <f t="shared" si="1"/>
        <v>169039.21568627452</v>
      </c>
      <c r="J4" s="256">
        <f t="shared" si="1"/>
        <v>169039.21568627452</v>
      </c>
      <c r="K4" s="256">
        <f t="shared" si="1"/>
        <v>169039.21568627452</v>
      </c>
      <c r="L4" s="256">
        <f t="shared" si="1"/>
        <v>169039.21568627452</v>
      </c>
      <c r="M4" s="256">
        <f t="shared" si="1"/>
        <v>169039.21568627452</v>
      </c>
      <c r="N4" s="256">
        <f t="shared" si="1"/>
        <v>2028470.588235294</v>
      </c>
    </row>
    <row r="5" spans="1:14" s="57" customFormat="1" x14ac:dyDescent="0.35">
      <c r="A5" s="255" t="s">
        <v>93</v>
      </c>
      <c r="B5" s="263">
        <f>B8+B29+B50+B71+B92</f>
        <v>68.968000000000004</v>
      </c>
      <c r="C5" s="263">
        <f t="shared" si="1"/>
        <v>68.968000000000004</v>
      </c>
      <c r="D5" s="263">
        <f t="shared" si="1"/>
        <v>68.968000000000004</v>
      </c>
      <c r="E5" s="263">
        <f t="shared" si="1"/>
        <v>68.968000000000004</v>
      </c>
      <c r="F5" s="263">
        <f t="shared" si="1"/>
        <v>68.968000000000004</v>
      </c>
      <c r="G5" s="263">
        <f t="shared" si="1"/>
        <v>68.968000000000004</v>
      </c>
      <c r="H5" s="263">
        <f t="shared" si="1"/>
        <v>68.968000000000004</v>
      </c>
      <c r="I5" s="263">
        <f t="shared" si="1"/>
        <v>68.968000000000004</v>
      </c>
      <c r="J5" s="263">
        <f t="shared" si="1"/>
        <v>68.968000000000004</v>
      </c>
      <c r="K5" s="263">
        <f t="shared" si="1"/>
        <v>68.968000000000004</v>
      </c>
      <c r="L5" s="263">
        <f t="shared" si="1"/>
        <v>68.968000000000004</v>
      </c>
      <c r="M5" s="263">
        <f t="shared" si="1"/>
        <v>68.968000000000004</v>
      </c>
      <c r="N5" s="263">
        <f t="shared" si="1"/>
        <v>68.968000000000004</v>
      </c>
    </row>
    <row r="6" spans="1:14" s="57" customFormat="1" ht="12" thickBot="1" x14ac:dyDescent="0.4">
      <c r="A6" s="255" t="s">
        <v>103</v>
      </c>
      <c r="B6" s="258">
        <f>+B4/B5</f>
        <v>2450.9803921568628</v>
      </c>
      <c r="C6" s="258">
        <f t="shared" ref="C6:M6" si="2">+C4/C5</f>
        <v>2450.9803921568628</v>
      </c>
      <c r="D6" s="258">
        <f t="shared" si="2"/>
        <v>2450.9803921568628</v>
      </c>
      <c r="E6" s="258">
        <f t="shared" si="2"/>
        <v>2450.9803921568628</v>
      </c>
      <c r="F6" s="258">
        <f t="shared" si="2"/>
        <v>2450.9803921568628</v>
      </c>
      <c r="G6" s="258">
        <f t="shared" si="2"/>
        <v>2450.9803921568628</v>
      </c>
      <c r="H6" s="258">
        <f t="shared" si="2"/>
        <v>2450.9803921568628</v>
      </c>
      <c r="I6" s="258">
        <f t="shared" si="2"/>
        <v>2450.9803921568628</v>
      </c>
      <c r="J6" s="258">
        <f t="shared" si="2"/>
        <v>2450.9803921568628</v>
      </c>
      <c r="K6" s="258">
        <f t="shared" si="2"/>
        <v>2450.9803921568628</v>
      </c>
      <c r="L6" s="258">
        <f t="shared" si="2"/>
        <v>2450.9803921568628</v>
      </c>
      <c r="M6" s="258">
        <f t="shared" si="2"/>
        <v>2450.9803921568628</v>
      </c>
      <c r="N6" s="258">
        <f>+N4/N5</f>
        <v>29411.76470588235</v>
      </c>
    </row>
    <row r="7" spans="1:14" s="57" customFormat="1" x14ac:dyDescent="0.35">
      <c r="A7" s="233" t="s">
        <v>446</v>
      </c>
      <c r="B7" s="242">
        <f>+B10+B13+B16+B19+B22+B25</f>
        <v>37622.549019607854</v>
      </c>
      <c r="C7" s="242">
        <f t="shared" ref="C7:N8" si="3">+C10+C13+C16+C19+C22+C25</f>
        <v>37622.549019607854</v>
      </c>
      <c r="D7" s="242">
        <f t="shared" si="3"/>
        <v>37622.549019607854</v>
      </c>
      <c r="E7" s="242">
        <f t="shared" si="3"/>
        <v>37622.549019607854</v>
      </c>
      <c r="F7" s="242">
        <f t="shared" si="3"/>
        <v>37622.549019607854</v>
      </c>
      <c r="G7" s="242">
        <f t="shared" si="3"/>
        <v>37622.549019607854</v>
      </c>
      <c r="H7" s="242">
        <f t="shared" si="3"/>
        <v>37622.549019607854</v>
      </c>
      <c r="I7" s="242">
        <f t="shared" si="3"/>
        <v>37622.549019607854</v>
      </c>
      <c r="J7" s="242">
        <f t="shared" si="3"/>
        <v>37622.549019607854</v>
      </c>
      <c r="K7" s="242">
        <f t="shared" si="3"/>
        <v>37622.549019607854</v>
      </c>
      <c r="L7" s="242">
        <f t="shared" si="3"/>
        <v>37622.549019607854</v>
      </c>
      <c r="M7" s="242">
        <f t="shared" si="3"/>
        <v>37622.549019607854</v>
      </c>
      <c r="N7" s="275">
        <f t="shared" si="3"/>
        <v>451470.58823529416</v>
      </c>
    </row>
    <row r="8" spans="1:14" s="57" customFormat="1" x14ac:dyDescent="0.35">
      <c r="A8" s="234" t="s">
        <v>93</v>
      </c>
      <c r="B8" s="81">
        <f>+B11+B14+B17+B20+B23+B26</f>
        <v>15.350000000000003</v>
      </c>
      <c r="C8" s="81">
        <f t="shared" si="3"/>
        <v>15.350000000000003</v>
      </c>
      <c r="D8" s="81">
        <f t="shared" si="3"/>
        <v>15.350000000000003</v>
      </c>
      <c r="E8" s="81">
        <f t="shared" si="3"/>
        <v>15.350000000000003</v>
      </c>
      <c r="F8" s="81">
        <f t="shared" si="3"/>
        <v>15.350000000000003</v>
      </c>
      <c r="G8" s="81">
        <f t="shared" si="3"/>
        <v>15.350000000000003</v>
      </c>
      <c r="H8" s="81">
        <f t="shared" si="3"/>
        <v>15.350000000000003</v>
      </c>
      <c r="I8" s="81">
        <f t="shared" si="3"/>
        <v>15.350000000000003</v>
      </c>
      <c r="J8" s="81">
        <f t="shared" si="3"/>
        <v>15.350000000000003</v>
      </c>
      <c r="K8" s="81">
        <f t="shared" si="3"/>
        <v>15.350000000000003</v>
      </c>
      <c r="L8" s="81">
        <f t="shared" si="3"/>
        <v>15.350000000000003</v>
      </c>
      <c r="M8" s="81">
        <f t="shared" si="3"/>
        <v>15.350000000000003</v>
      </c>
      <c r="N8" s="276">
        <f t="shared" si="3"/>
        <v>15.350000000000003</v>
      </c>
    </row>
    <row r="9" spans="1:14" s="57" customFormat="1" x14ac:dyDescent="0.35">
      <c r="A9" s="234" t="s">
        <v>103</v>
      </c>
      <c r="B9" s="83">
        <f>+B7/B8</f>
        <v>2450.9803921568628</v>
      </c>
      <c r="C9" s="83">
        <f>+C7/C8</f>
        <v>2450.9803921568628</v>
      </c>
      <c r="D9" s="83">
        <f>+D7/D8</f>
        <v>2450.9803921568628</v>
      </c>
      <c r="E9" s="83">
        <f t="shared" ref="E9:N9" si="4">+E7/E8</f>
        <v>2450.9803921568628</v>
      </c>
      <c r="F9" s="83">
        <f t="shared" si="4"/>
        <v>2450.9803921568628</v>
      </c>
      <c r="G9" s="83">
        <f t="shared" si="4"/>
        <v>2450.9803921568628</v>
      </c>
      <c r="H9" s="83">
        <f t="shared" si="4"/>
        <v>2450.9803921568628</v>
      </c>
      <c r="I9" s="83">
        <f t="shared" si="4"/>
        <v>2450.9803921568628</v>
      </c>
      <c r="J9" s="83">
        <f t="shared" si="4"/>
        <v>2450.9803921568628</v>
      </c>
      <c r="K9" s="83">
        <f t="shared" si="4"/>
        <v>2450.9803921568628</v>
      </c>
      <c r="L9" s="83">
        <f t="shared" si="4"/>
        <v>2450.9803921568628</v>
      </c>
      <c r="M9" s="83">
        <f t="shared" si="4"/>
        <v>2450.9803921568628</v>
      </c>
      <c r="N9" s="249">
        <f t="shared" si="4"/>
        <v>29411.76470588235</v>
      </c>
    </row>
    <row r="10" spans="1:14" x14ac:dyDescent="0.35">
      <c r="A10" s="235" t="s">
        <v>90</v>
      </c>
      <c r="B10" s="80">
        <f>(B12*B11)</f>
        <v>37622.549019607854</v>
      </c>
      <c r="C10" s="80">
        <f t="shared" ref="C10:M10" si="5">(C12*C11)</f>
        <v>37622.549019607854</v>
      </c>
      <c r="D10" s="80">
        <f t="shared" si="5"/>
        <v>37622.549019607854</v>
      </c>
      <c r="E10" s="80">
        <f t="shared" si="5"/>
        <v>37622.549019607854</v>
      </c>
      <c r="F10" s="80">
        <f t="shared" si="5"/>
        <v>37622.549019607854</v>
      </c>
      <c r="G10" s="80">
        <f t="shared" si="5"/>
        <v>37622.549019607854</v>
      </c>
      <c r="H10" s="80">
        <f t="shared" si="5"/>
        <v>37622.549019607854</v>
      </c>
      <c r="I10" s="80">
        <f t="shared" si="5"/>
        <v>37622.549019607854</v>
      </c>
      <c r="J10" s="80">
        <f t="shared" si="5"/>
        <v>37622.549019607854</v>
      </c>
      <c r="K10" s="80">
        <f t="shared" si="5"/>
        <v>37622.549019607854</v>
      </c>
      <c r="L10" s="80">
        <f t="shared" si="5"/>
        <v>37622.549019607854</v>
      </c>
      <c r="M10" s="80">
        <f t="shared" si="5"/>
        <v>37622.549019607854</v>
      </c>
      <c r="N10" s="244">
        <f>SUM(B10:M10)</f>
        <v>451470.58823529416</v>
      </c>
    </row>
    <row r="11" spans="1:14" x14ac:dyDescent="0.35">
      <c r="A11" s="238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6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6"/>
        <v>15.350000000000003</v>
      </c>
      <c r="I11" s="239">
        <f t="shared" si="6"/>
        <v>15.350000000000003</v>
      </c>
      <c r="J11" s="239">
        <f t="shared" si="6"/>
        <v>15.350000000000003</v>
      </c>
      <c r="K11" s="239">
        <f t="shared" si="6"/>
        <v>15.350000000000003</v>
      </c>
      <c r="L11" s="239">
        <f t="shared" si="6"/>
        <v>15.350000000000003</v>
      </c>
      <c r="M11" s="239">
        <f t="shared" si="6"/>
        <v>15.350000000000003</v>
      </c>
      <c r="N11" s="240">
        <f>+'Plan de culture 104 '!X7</f>
        <v>15.350000000000003</v>
      </c>
    </row>
    <row r="12" spans="1:14" x14ac:dyDescent="0.35">
      <c r="A12" s="238" t="s">
        <v>103</v>
      </c>
      <c r="B12" s="62">
        <v>2450.9803921568628</v>
      </c>
      <c r="C12" s="62">
        <v>2450.9803921568628</v>
      </c>
      <c r="D12" s="62">
        <v>2450.9803921568628</v>
      </c>
      <c r="E12" s="62">
        <v>2450.9803921568628</v>
      </c>
      <c r="F12" s="62">
        <v>2450.9803921568628</v>
      </c>
      <c r="G12" s="62">
        <v>2450.9803921568628</v>
      </c>
      <c r="H12" s="62">
        <v>2450.9803921568628</v>
      </c>
      <c r="I12" s="62">
        <v>2450.9803921568628</v>
      </c>
      <c r="J12" s="62">
        <v>2450.9803921568628</v>
      </c>
      <c r="K12" s="62">
        <v>2450.9803921568628</v>
      </c>
      <c r="L12" s="62">
        <v>2450.9803921568628</v>
      </c>
      <c r="M12" s="62">
        <v>2450.9803921568628</v>
      </c>
      <c r="N12" s="269">
        <f>+N10/N11</f>
        <v>29411.76470588235</v>
      </c>
    </row>
    <row r="13" spans="1:14" x14ac:dyDescent="0.35">
      <c r="A13" s="235" t="s">
        <v>91</v>
      </c>
      <c r="B13" s="80">
        <f>(B15*B14)</f>
        <v>0</v>
      </c>
      <c r="C13" s="80">
        <f t="shared" ref="C13:M13" si="7">(C15*C14)</f>
        <v>0</v>
      </c>
      <c r="D13" s="80">
        <f t="shared" si="7"/>
        <v>0</v>
      </c>
      <c r="E13" s="80">
        <f t="shared" si="7"/>
        <v>0</v>
      </c>
      <c r="F13" s="80">
        <f t="shared" si="7"/>
        <v>0</v>
      </c>
      <c r="G13" s="80">
        <f t="shared" si="7"/>
        <v>0</v>
      </c>
      <c r="H13" s="80">
        <f t="shared" si="7"/>
        <v>0</v>
      </c>
      <c r="I13" s="80">
        <f t="shared" si="7"/>
        <v>0</v>
      </c>
      <c r="J13" s="80">
        <f t="shared" si="7"/>
        <v>0</v>
      </c>
      <c r="K13" s="80">
        <f t="shared" si="7"/>
        <v>0</v>
      </c>
      <c r="L13" s="80">
        <f t="shared" si="7"/>
        <v>0</v>
      </c>
      <c r="M13" s="80">
        <f t="shared" si="7"/>
        <v>0</v>
      </c>
      <c r="N13" s="244">
        <f>SUM(B13:M13)</f>
        <v>0</v>
      </c>
    </row>
    <row r="14" spans="1:14" x14ac:dyDescent="0.35">
      <c r="A14" s="238" t="s">
        <v>93</v>
      </c>
      <c r="B14" s="239">
        <f>+'Plan de culture 104 '!$X$13</f>
        <v>0</v>
      </c>
      <c r="C14" s="239">
        <f>+B14</f>
        <v>0</v>
      </c>
      <c r="D14" s="239">
        <f t="shared" ref="D14:M14" si="8">+C14</f>
        <v>0</v>
      </c>
      <c r="E14" s="239">
        <f t="shared" si="8"/>
        <v>0</v>
      </c>
      <c r="F14" s="239">
        <f t="shared" si="8"/>
        <v>0</v>
      </c>
      <c r="G14" s="239">
        <f t="shared" si="8"/>
        <v>0</v>
      </c>
      <c r="H14" s="239">
        <f t="shared" si="8"/>
        <v>0</v>
      </c>
      <c r="I14" s="239">
        <f t="shared" si="8"/>
        <v>0</v>
      </c>
      <c r="J14" s="239">
        <f t="shared" si="8"/>
        <v>0</v>
      </c>
      <c r="K14" s="239">
        <f t="shared" si="8"/>
        <v>0</v>
      </c>
      <c r="L14" s="239">
        <f t="shared" si="8"/>
        <v>0</v>
      </c>
      <c r="M14" s="239">
        <f t="shared" si="8"/>
        <v>0</v>
      </c>
      <c r="N14" s="240">
        <f>+'Plan de culture 104 '!$X$13</f>
        <v>0</v>
      </c>
    </row>
    <row r="15" spans="1:14" x14ac:dyDescent="0.35">
      <c r="A15" s="238" t="s">
        <v>103</v>
      </c>
      <c r="B15" s="62">
        <f>+B12</f>
        <v>2450.9803921568628</v>
      </c>
      <c r="C15" s="62">
        <f t="shared" ref="C15:M15" si="9">+C12</f>
        <v>2450.9803921568628</v>
      </c>
      <c r="D15" s="62">
        <f t="shared" si="9"/>
        <v>2450.9803921568628</v>
      </c>
      <c r="E15" s="62">
        <f t="shared" si="9"/>
        <v>2450.9803921568628</v>
      </c>
      <c r="F15" s="62">
        <f t="shared" si="9"/>
        <v>2450.9803921568628</v>
      </c>
      <c r="G15" s="62">
        <f t="shared" si="9"/>
        <v>2450.9803921568628</v>
      </c>
      <c r="H15" s="62">
        <f t="shared" si="9"/>
        <v>2450.9803921568628</v>
      </c>
      <c r="I15" s="62">
        <f t="shared" si="9"/>
        <v>2450.9803921568628</v>
      </c>
      <c r="J15" s="62">
        <f t="shared" si="9"/>
        <v>2450.9803921568628</v>
      </c>
      <c r="K15" s="62">
        <f t="shared" si="9"/>
        <v>2450.9803921568628</v>
      </c>
      <c r="L15" s="62">
        <f t="shared" si="9"/>
        <v>2450.9803921568628</v>
      </c>
      <c r="M15" s="62">
        <f t="shared" si="9"/>
        <v>2450.9803921568628</v>
      </c>
      <c r="N15" s="245" t="e">
        <f>+N13/N14/1000</f>
        <v>#DIV/0!</v>
      </c>
    </row>
    <row r="16" spans="1:14" x14ac:dyDescent="0.35">
      <c r="A16" s="235" t="s">
        <v>376</v>
      </c>
      <c r="B16" s="80">
        <f>(B18*B17)</f>
        <v>0</v>
      </c>
      <c r="C16" s="80">
        <f t="shared" ref="C16:M16" si="10">(C18*C17)</f>
        <v>0</v>
      </c>
      <c r="D16" s="80">
        <f t="shared" si="10"/>
        <v>0</v>
      </c>
      <c r="E16" s="80">
        <f t="shared" si="10"/>
        <v>0</v>
      </c>
      <c r="F16" s="80">
        <f t="shared" si="10"/>
        <v>0</v>
      </c>
      <c r="G16" s="80">
        <f t="shared" si="10"/>
        <v>0</v>
      </c>
      <c r="H16" s="80">
        <f t="shared" si="10"/>
        <v>0</v>
      </c>
      <c r="I16" s="80">
        <f t="shared" si="10"/>
        <v>0</v>
      </c>
      <c r="J16" s="80">
        <f t="shared" si="10"/>
        <v>0</v>
      </c>
      <c r="K16" s="80">
        <f t="shared" si="10"/>
        <v>0</v>
      </c>
      <c r="L16" s="80">
        <f t="shared" si="10"/>
        <v>0</v>
      </c>
      <c r="M16" s="80">
        <f t="shared" si="10"/>
        <v>0</v>
      </c>
      <c r="N16" s="244">
        <f>SUM(B16:M16)</f>
        <v>0</v>
      </c>
    </row>
    <row r="17" spans="1:14" x14ac:dyDescent="0.35">
      <c r="A17" s="238" t="s">
        <v>93</v>
      </c>
      <c r="B17" s="239">
        <f>+'Plan de culture 104 '!$X$19</f>
        <v>0</v>
      </c>
      <c r="C17" s="239">
        <f>+B17</f>
        <v>0</v>
      </c>
      <c r="D17" s="239">
        <f t="shared" ref="D17" si="11">+C17</f>
        <v>0</v>
      </c>
      <c r="E17" s="239">
        <f>+'Plan de culture 104 '!C13</f>
        <v>0</v>
      </c>
      <c r="F17" s="239">
        <f>+E17+'Plan de culture 104 '!D13+'Plan de culture 104 '!E13</f>
        <v>0</v>
      </c>
      <c r="G17" s="239">
        <f>+F17</f>
        <v>0</v>
      </c>
      <c r="H17" s="239">
        <f t="shared" ref="H17:M17" si="12">+G17</f>
        <v>0</v>
      </c>
      <c r="I17" s="239">
        <f t="shared" si="12"/>
        <v>0</v>
      </c>
      <c r="J17" s="239">
        <f t="shared" si="12"/>
        <v>0</v>
      </c>
      <c r="K17" s="239">
        <f t="shared" si="12"/>
        <v>0</v>
      </c>
      <c r="L17" s="239">
        <f t="shared" si="12"/>
        <v>0</v>
      </c>
      <c r="M17" s="239">
        <f t="shared" si="12"/>
        <v>0</v>
      </c>
      <c r="N17" s="240">
        <f>+'Plan de culture 104 '!$X$19</f>
        <v>0</v>
      </c>
    </row>
    <row r="18" spans="1:14" x14ac:dyDescent="0.35">
      <c r="A18" s="238" t="s">
        <v>103</v>
      </c>
      <c r="B18" s="62">
        <f>+B15</f>
        <v>2450.9803921568628</v>
      </c>
      <c r="C18" s="62">
        <f t="shared" ref="C18:M18" si="13">+C15</f>
        <v>2450.9803921568628</v>
      </c>
      <c r="D18" s="62">
        <f t="shared" si="13"/>
        <v>2450.9803921568628</v>
      </c>
      <c r="E18" s="62">
        <f t="shared" si="13"/>
        <v>2450.9803921568628</v>
      </c>
      <c r="F18" s="62">
        <f t="shared" si="13"/>
        <v>2450.9803921568628</v>
      </c>
      <c r="G18" s="62">
        <f t="shared" si="13"/>
        <v>2450.9803921568628</v>
      </c>
      <c r="H18" s="62">
        <f t="shared" si="13"/>
        <v>2450.9803921568628</v>
      </c>
      <c r="I18" s="62">
        <f t="shared" si="13"/>
        <v>2450.9803921568628</v>
      </c>
      <c r="J18" s="62">
        <f t="shared" si="13"/>
        <v>2450.9803921568628</v>
      </c>
      <c r="K18" s="62">
        <f t="shared" si="13"/>
        <v>2450.9803921568628</v>
      </c>
      <c r="L18" s="62">
        <f t="shared" si="13"/>
        <v>2450.9803921568628</v>
      </c>
      <c r="M18" s="62">
        <f t="shared" si="13"/>
        <v>2450.9803921568628</v>
      </c>
      <c r="N18" s="245" t="e">
        <f>+N16/N17/1000</f>
        <v>#DIV/0!</v>
      </c>
    </row>
    <row r="19" spans="1:14" x14ac:dyDescent="0.35">
      <c r="A19" s="235" t="s">
        <v>92</v>
      </c>
      <c r="B19" s="80">
        <f>(B21*B20)</f>
        <v>0</v>
      </c>
      <c r="C19" s="80">
        <f t="shared" ref="C19:M19" si="14">(C21*C20)</f>
        <v>0</v>
      </c>
      <c r="D19" s="80">
        <f t="shared" si="14"/>
        <v>0</v>
      </c>
      <c r="E19" s="80">
        <f t="shared" si="14"/>
        <v>0</v>
      </c>
      <c r="F19" s="80">
        <f t="shared" si="14"/>
        <v>0</v>
      </c>
      <c r="G19" s="80">
        <f t="shared" si="14"/>
        <v>0</v>
      </c>
      <c r="H19" s="80">
        <f t="shared" si="14"/>
        <v>0</v>
      </c>
      <c r="I19" s="80">
        <f t="shared" si="14"/>
        <v>0</v>
      </c>
      <c r="J19" s="80">
        <f t="shared" si="14"/>
        <v>0</v>
      </c>
      <c r="K19" s="80">
        <f t="shared" si="14"/>
        <v>0</v>
      </c>
      <c r="L19" s="80">
        <f t="shared" si="14"/>
        <v>0</v>
      </c>
      <c r="M19" s="80">
        <f t="shared" si="14"/>
        <v>0</v>
      </c>
      <c r="N19" s="244">
        <f>SUM(B19:M19)</f>
        <v>0</v>
      </c>
    </row>
    <row r="20" spans="1:14" x14ac:dyDescent="0.35">
      <c r="A20" s="238" t="s">
        <v>93</v>
      </c>
      <c r="B20" s="239">
        <f>+'Plan de culture 104 '!$X$25</f>
        <v>0</v>
      </c>
      <c r="C20" s="239">
        <f>+B20</f>
        <v>0</v>
      </c>
      <c r="D20" s="239">
        <f t="shared" ref="D20" si="15">+C20</f>
        <v>0</v>
      </c>
      <c r="E20" s="239">
        <f>+'Plan de culture 104 '!C16</f>
        <v>0</v>
      </c>
      <c r="F20" s="239">
        <f>+E20+'Plan de culture 104 '!D16+'Plan de culture 104 '!E16</f>
        <v>0</v>
      </c>
      <c r="G20" s="239">
        <f>+F20</f>
        <v>0</v>
      </c>
      <c r="H20" s="239">
        <f t="shared" ref="H20:M20" si="16">+G20</f>
        <v>0</v>
      </c>
      <c r="I20" s="239">
        <f t="shared" si="16"/>
        <v>0</v>
      </c>
      <c r="J20" s="239">
        <f t="shared" si="16"/>
        <v>0</v>
      </c>
      <c r="K20" s="239">
        <f t="shared" si="16"/>
        <v>0</v>
      </c>
      <c r="L20" s="239">
        <f t="shared" si="16"/>
        <v>0</v>
      </c>
      <c r="M20" s="239">
        <f t="shared" si="16"/>
        <v>0</v>
      </c>
      <c r="N20" s="240">
        <f>+'Plan de culture 104 '!$X$25</f>
        <v>0</v>
      </c>
    </row>
    <row r="21" spans="1:14" x14ac:dyDescent="0.35">
      <c r="A21" s="238" t="s">
        <v>103</v>
      </c>
      <c r="B21" s="62">
        <f>+B18</f>
        <v>2450.9803921568628</v>
      </c>
      <c r="C21" s="62">
        <f t="shared" ref="C21:M21" si="17">+C18</f>
        <v>2450.9803921568628</v>
      </c>
      <c r="D21" s="62">
        <f t="shared" si="17"/>
        <v>2450.9803921568628</v>
      </c>
      <c r="E21" s="62">
        <f t="shared" si="17"/>
        <v>2450.9803921568628</v>
      </c>
      <c r="F21" s="62">
        <f t="shared" si="17"/>
        <v>2450.9803921568628</v>
      </c>
      <c r="G21" s="62">
        <f t="shared" si="17"/>
        <v>2450.9803921568628</v>
      </c>
      <c r="H21" s="62">
        <f t="shared" si="17"/>
        <v>2450.9803921568628</v>
      </c>
      <c r="I21" s="62">
        <f t="shared" si="17"/>
        <v>2450.9803921568628</v>
      </c>
      <c r="J21" s="62">
        <f t="shared" si="17"/>
        <v>2450.9803921568628</v>
      </c>
      <c r="K21" s="62">
        <f t="shared" si="17"/>
        <v>2450.9803921568628</v>
      </c>
      <c r="L21" s="62">
        <f t="shared" si="17"/>
        <v>2450.9803921568628</v>
      </c>
      <c r="M21" s="62">
        <f t="shared" si="17"/>
        <v>2450.9803921568628</v>
      </c>
      <c r="N21" s="245" t="e">
        <f>+N19/N20/1000</f>
        <v>#DIV/0!</v>
      </c>
    </row>
    <row r="22" spans="1:14" x14ac:dyDescent="0.35">
      <c r="A22" s="235" t="s">
        <v>377</v>
      </c>
      <c r="B22" s="80">
        <f>(B24*B23)</f>
        <v>0</v>
      </c>
      <c r="C22" s="80">
        <f t="shared" ref="C22:M22" si="18">(C24*C23)</f>
        <v>0</v>
      </c>
      <c r="D22" s="80">
        <f t="shared" si="18"/>
        <v>0</v>
      </c>
      <c r="E22" s="80">
        <f t="shared" si="18"/>
        <v>0</v>
      </c>
      <c r="F22" s="80">
        <f t="shared" si="18"/>
        <v>0</v>
      </c>
      <c r="G22" s="80">
        <f t="shared" si="18"/>
        <v>0</v>
      </c>
      <c r="H22" s="80">
        <f t="shared" si="18"/>
        <v>0</v>
      </c>
      <c r="I22" s="80">
        <f t="shared" si="18"/>
        <v>0</v>
      </c>
      <c r="J22" s="80">
        <f t="shared" si="18"/>
        <v>0</v>
      </c>
      <c r="K22" s="80">
        <f t="shared" si="18"/>
        <v>0</v>
      </c>
      <c r="L22" s="80">
        <f t="shared" si="18"/>
        <v>0</v>
      </c>
      <c r="M22" s="80">
        <f t="shared" si="18"/>
        <v>0</v>
      </c>
      <c r="N22" s="244">
        <f>SUM(B22:M22)</f>
        <v>0</v>
      </c>
    </row>
    <row r="23" spans="1:14" x14ac:dyDescent="0.35">
      <c r="A23" s="238" t="s">
        <v>93</v>
      </c>
      <c r="B23" s="239">
        <f>+'Plan de culture 104 '!$X$31</f>
        <v>0</v>
      </c>
      <c r="C23" s="239">
        <f>+B23</f>
        <v>0</v>
      </c>
      <c r="D23" s="239">
        <f t="shared" ref="D23" si="19">+C23</f>
        <v>0</v>
      </c>
      <c r="E23" s="239">
        <f>+'Plan de culture 104 '!C19</f>
        <v>0</v>
      </c>
      <c r="F23" s="239">
        <f>+E23+'Plan de culture 104 '!D19+'Plan de culture 104 '!E19</f>
        <v>0</v>
      </c>
      <c r="G23" s="239">
        <f>+F23</f>
        <v>0</v>
      </c>
      <c r="H23" s="239">
        <f t="shared" ref="H23:M23" si="20">+G23</f>
        <v>0</v>
      </c>
      <c r="I23" s="239">
        <f t="shared" si="20"/>
        <v>0</v>
      </c>
      <c r="J23" s="239">
        <f t="shared" si="20"/>
        <v>0</v>
      </c>
      <c r="K23" s="239">
        <f t="shared" si="20"/>
        <v>0</v>
      </c>
      <c r="L23" s="239">
        <f t="shared" si="20"/>
        <v>0</v>
      </c>
      <c r="M23" s="239">
        <f t="shared" si="20"/>
        <v>0</v>
      </c>
      <c r="N23" s="240">
        <f>+'Plan de culture 104 '!$X$31</f>
        <v>0</v>
      </c>
    </row>
    <row r="24" spans="1:14" x14ac:dyDescent="0.35">
      <c r="A24" s="238" t="s">
        <v>103</v>
      </c>
      <c r="B24" s="62">
        <f>+B21</f>
        <v>2450.9803921568628</v>
      </c>
      <c r="C24" s="62">
        <f t="shared" ref="C24:M24" si="21">+C21</f>
        <v>2450.9803921568628</v>
      </c>
      <c r="D24" s="62">
        <f t="shared" si="21"/>
        <v>2450.9803921568628</v>
      </c>
      <c r="E24" s="62">
        <f t="shared" si="21"/>
        <v>2450.9803921568628</v>
      </c>
      <c r="F24" s="62">
        <f t="shared" si="21"/>
        <v>2450.9803921568628</v>
      </c>
      <c r="G24" s="62">
        <f t="shared" si="21"/>
        <v>2450.9803921568628</v>
      </c>
      <c r="H24" s="62">
        <f t="shared" si="21"/>
        <v>2450.9803921568628</v>
      </c>
      <c r="I24" s="62">
        <f t="shared" si="21"/>
        <v>2450.9803921568628</v>
      </c>
      <c r="J24" s="62">
        <f t="shared" si="21"/>
        <v>2450.9803921568628</v>
      </c>
      <c r="K24" s="62">
        <f t="shared" si="21"/>
        <v>2450.9803921568628</v>
      </c>
      <c r="L24" s="62">
        <f t="shared" si="21"/>
        <v>2450.9803921568628</v>
      </c>
      <c r="M24" s="62">
        <f t="shared" si="21"/>
        <v>2450.9803921568628</v>
      </c>
      <c r="N24" s="245" t="e">
        <f>+N22/N23/1000</f>
        <v>#DIV/0!</v>
      </c>
    </row>
    <row r="25" spans="1:14" x14ac:dyDescent="0.35">
      <c r="A25" s="235" t="s">
        <v>378</v>
      </c>
      <c r="B25" s="80">
        <f>(B27*B26)</f>
        <v>0</v>
      </c>
      <c r="C25" s="80">
        <f t="shared" ref="C25:M25" si="22">(C27*C26)</f>
        <v>0</v>
      </c>
      <c r="D25" s="80">
        <f t="shared" si="22"/>
        <v>0</v>
      </c>
      <c r="E25" s="80">
        <f t="shared" si="22"/>
        <v>0</v>
      </c>
      <c r="F25" s="80">
        <f t="shared" si="22"/>
        <v>0</v>
      </c>
      <c r="G25" s="80">
        <f t="shared" si="22"/>
        <v>0</v>
      </c>
      <c r="H25" s="80">
        <f t="shared" si="22"/>
        <v>0</v>
      </c>
      <c r="I25" s="80">
        <f t="shared" si="22"/>
        <v>0</v>
      </c>
      <c r="J25" s="80">
        <f t="shared" si="22"/>
        <v>0</v>
      </c>
      <c r="K25" s="80">
        <f t="shared" si="22"/>
        <v>0</v>
      </c>
      <c r="L25" s="80">
        <f t="shared" si="22"/>
        <v>0</v>
      </c>
      <c r="M25" s="80">
        <f t="shared" si="22"/>
        <v>0</v>
      </c>
      <c r="N25" s="244">
        <f>SUM(B25:M25)</f>
        <v>0</v>
      </c>
    </row>
    <row r="26" spans="1:14" x14ac:dyDescent="0.35">
      <c r="A26" s="238" t="s">
        <v>93</v>
      </c>
      <c r="B26" s="239">
        <f>+'Plan de culture 104 '!$X$37</f>
        <v>0</v>
      </c>
      <c r="C26" s="239">
        <f>+B26</f>
        <v>0</v>
      </c>
      <c r="D26" s="239">
        <f t="shared" ref="D26" si="23">+C26</f>
        <v>0</v>
      </c>
      <c r="E26" s="239">
        <f>+'Plan de culture 104 '!C22</f>
        <v>0</v>
      </c>
      <c r="F26" s="239">
        <f>+E26+'Plan de culture 104 '!D22+'Plan de culture 104 '!E22</f>
        <v>0</v>
      </c>
      <c r="G26" s="239">
        <f>+F26</f>
        <v>0</v>
      </c>
      <c r="H26" s="239">
        <f t="shared" ref="H26:M26" si="24">+G26</f>
        <v>0</v>
      </c>
      <c r="I26" s="239">
        <f t="shared" si="24"/>
        <v>0</v>
      </c>
      <c r="J26" s="239">
        <f t="shared" si="24"/>
        <v>0</v>
      </c>
      <c r="K26" s="239">
        <f t="shared" si="24"/>
        <v>0</v>
      </c>
      <c r="L26" s="239">
        <f t="shared" si="24"/>
        <v>0</v>
      </c>
      <c r="M26" s="239">
        <f t="shared" si="24"/>
        <v>0</v>
      </c>
      <c r="N26" s="240">
        <f>+'Plan de culture 104 '!$X$37</f>
        <v>0</v>
      </c>
    </row>
    <row r="27" spans="1:14" ht="12" thickBot="1" x14ac:dyDescent="0.4">
      <c r="A27" s="241" t="s">
        <v>103</v>
      </c>
      <c r="B27" s="246">
        <f>+B24</f>
        <v>2450.9803921568628</v>
      </c>
      <c r="C27" s="246">
        <f t="shared" ref="C27:M27" si="25">+C24</f>
        <v>2450.9803921568628</v>
      </c>
      <c r="D27" s="246">
        <f t="shared" si="25"/>
        <v>2450.9803921568628</v>
      </c>
      <c r="E27" s="246">
        <f t="shared" si="25"/>
        <v>2450.9803921568628</v>
      </c>
      <c r="F27" s="246">
        <f t="shared" si="25"/>
        <v>2450.9803921568628</v>
      </c>
      <c r="G27" s="246">
        <f t="shared" si="25"/>
        <v>2450.9803921568628</v>
      </c>
      <c r="H27" s="246">
        <f t="shared" si="25"/>
        <v>2450.9803921568628</v>
      </c>
      <c r="I27" s="246">
        <f t="shared" si="25"/>
        <v>2450.9803921568628</v>
      </c>
      <c r="J27" s="246">
        <f t="shared" si="25"/>
        <v>2450.9803921568628</v>
      </c>
      <c r="K27" s="246">
        <f t="shared" si="25"/>
        <v>2450.9803921568628</v>
      </c>
      <c r="L27" s="246">
        <f t="shared" si="25"/>
        <v>2450.9803921568628</v>
      </c>
      <c r="M27" s="246">
        <f t="shared" si="25"/>
        <v>2450.9803921568628</v>
      </c>
      <c r="N27" s="247" t="e">
        <f>+N25/N26/1000</f>
        <v>#DIV/0!</v>
      </c>
    </row>
    <row r="28" spans="1:14" x14ac:dyDescent="0.35">
      <c r="A28" s="233" t="s">
        <v>447</v>
      </c>
      <c r="B28" s="242">
        <f>+B31+B34+B37+B40+B43+B46</f>
        <v>13223.039215686276</v>
      </c>
      <c r="C28" s="242">
        <f t="shared" ref="C28:N29" si="26">+C31+C34+C37+C40+C43+C46</f>
        <v>13223.039215686276</v>
      </c>
      <c r="D28" s="242">
        <f t="shared" si="26"/>
        <v>13223.039215686276</v>
      </c>
      <c r="E28" s="242">
        <f t="shared" si="26"/>
        <v>13223.039215686276</v>
      </c>
      <c r="F28" s="242">
        <f t="shared" si="26"/>
        <v>13223.039215686276</v>
      </c>
      <c r="G28" s="242">
        <f t="shared" si="26"/>
        <v>13223.039215686276</v>
      </c>
      <c r="H28" s="242">
        <f t="shared" si="26"/>
        <v>13223.039215686276</v>
      </c>
      <c r="I28" s="242">
        <f t="shared" si="26"/>
        <v>13223.039215686276</v>
      </c>
      <c r="J28" s="242">
        <f t="shared" si="26"/>
        <v>13223.039215686276</v>
      </c>
      <c r="K28" s="242">
        <f t="shared" si="26"/>
        <v>13223.039215686276</v>
      </c>
      <c r="L28" s="242">
        <f t="shared" si="26"/>
        <v>13223.039215686276</v>
      </c>
      <c r="M28" s="242">
        <f t="shared" si="26"/>
        <v>13223.039215686276</v>
      </c>
      <c r="N28" s="275">
        <f t="shared" si="26"/>
        <v>158676.4705882353</v>
      </c>
    </row>
    <row r="29" spans="1:14" x14ac:dyDescent="0.35">
      <c r="A29" s="234" t="s">
        <v>93</v>
      </c>
      <c r="B29" s="81">
        <f>+B32+B35+B38+B41+B44+B47</f>
        <v>5.3950000000000005</v>
      </c>
      <c r="C29" s="81">
        <f t="shared" si="26"/>
        <v>5.3950000000000005</v>
      </c>
      <c r="D29" s="81">
        <f t="shared" si="26"/>
        <v>5.3950000000000005</v>
      </c>
      <c r="E29" s="81">
        <f t="shared" si="26"/>
        <v>5.3950000000000005</v>
      </c>
      <c r="F29" s="81">
        <f t="shared" si="26"/>
        <v>5.3950000000000005</v>
      </c>
      <c r="G29" s="81">
        <f t="shared" si="26"/>
        <v>5.3950000000000005</v>
      </c>
      <c r="H29" s="81">
        <f t="shared" si="26"/>
        <v>5.3950000000000005</v>
      </c>
      <c r="I29" s="81">
        <f t="shared" si="26"/>
        <v>5.3950000000000005</v>
      </c>
      <c r="J29" s="81">
        <f t="shared" si="26"/>
        <v>5.3950000000000005</v>
      </c>
      <c r="K29" s="81">
        <f t="shared" si="26"/>
        <v>5.3950000000000005</v>
      </c>
      <c r="L29" s="81">
        <f t="shared" si="26"/>
        <v>5.3950000000000005</v>
      </c>
      <c r="M29" s="81">
        <f t="shared" si="26"/>
        <v>5.3950000000000005</v>
      </c>
      <c r="N29" s="276">
        <f t="shared" si="26"/>
        <v>5.3950000000000005</v>
      </c>
    </row>
    <row r="30" spans="1:14" x14ac:dyDescent="0.35">
      <c r="A30" s="234" t="s">
        <v>103</v>
      </c>
      <c r="B30" s="83">
        <f>+B28/B29</f>
        <v>2450.9803921568628</v>
      </c>
      <c r="C30" s="83">
        <f>+C28/C29</f>
        <v>2450.9803921568628</v>
      </c>
      <c r="D30" s="83">
        <f>+D28/D29</f>
        <v>2450.9803921568628</v>
      </c>
      <c r="E30" s="83">
        <f t="shared" ref="E30:N30" si="27">+E28/E29</f>
        <v>2450.9803921568628</v>
      </c>
      <c r="F30" s="83">
        <f t="shared" si="27"/>
        <v>2450.9803921568628</v>
      </c>
      <c r="G30" s="83">
        <f t="shared" si="27"/>
        <v>2450.9803921568628</v>
      </c>
      <c r="H30" s="83">
        <f t="shared" si="27"/>
        <v>2450.9803921568628</v>
      </c>
      <c r="I30" s="83">
        <f t="shared" si="27"/>
        <v>2450.9803921568628</v>
      </c>
      <c r="J30" s="83">
        <f t="shared" si="27"/>
        <v>2450.9803921568628</v>
      </c>
      <c r="K30" s="83">
        <f t="shared" si="27"/>
        <v>2450.9803921568628</v>
      </c>
      <c r="L30" s="83">
        <f t="shared" si="27"/>
        <v>2450.9803921568628</v>
      </c>
      <c r="M30" s="83">
        <f t="shared" si="27"/>
        <v>2450.9803921568628</v>
      </c>
      <c r="N30" s="249">
        <f t="shared" si="27"/>
        <v>29411.764705882353</v>
      </c>
    </row>
    <row r="31" spans="1:14" x14ac:dyDescent="0.35">
      <c r="A31" s="235" t="s">
        <v>90</v>
      </c>
      <c r="B31" s="80">
        <f>(B33*B32)</f>
        <v>0</v>
      </c>
      <c r="C31" s="80">
        <f t="shared" ref="C31:M31" si="28">(C33*C32)</f>
        <v>0</v>
      </c>
      <c r="D31" s="80">
        <f t="shared" si="28"/>
        <v>0</v>
      </c>
      <c r="E31" s="80">
        <f t="shared" si="28"/>
        <v>0</v>
      </c>
      <c r="F31" s="80">
        <f t="shared" si="28"/>
        <v>0</v>
      </c>
      <c r="G31" s="80">
        <f t="shared" si="28"/>
        <v>0</v>
      </c>
      <c r="H31" s="80">
        <f t="shared" si="28"/>
        <v>0</v>
      </c>
      <c r="I31" s="80">
        <f t="shared" si="28"/>
        <v>0</v>
      </c>
      <c r="J31" s="80">
        <f t="shared" si="28"/>
        <v>0</v>
      </c>
      <c r="K31" s="80">
        <f t="shared" si="28"/>
        <v>0</v>
      </c>
      <c r="L31" s="80">
        <f t="shared" si="28"/>
        <v>0</v>
      </c>
      <c r="M31" s="80">
        <f t="shared" si="28"/>
        <v>0</v>
      </c>
      <c r="N31" s="244">
        <f>SUM(B31:M31)</f>
        <v>0</v>
      </c>
    </row>
    <row r="32" spans="1:14" x14ac:dyDescent="0.35">
      <c r="A32" s="238" t="s">
        <v>93</v>
      </c>
      <c r="B32" s="239">
        <f>+'Plan de culture 105'!$I$7</f>
        <v>0</v>
      </c>
      <c r="C32" s="239">
        <f>+B32</f>
        <v>0</v>
      </c>
      <c r="D32" s="239">
        <f t="shared" ref="D32" si="29">+C32</f>
        <v>0</v>
      </c>
      <c r="E32" s="239">
        <f>+D32</f>
        <v>0</v>
      </c>
      <c r="F32" s="239">
        <f>+E32</f>
        <v>0</v>
      </c>
      <c r="G32" s="239">
        <f>+F32</f>
        <v>0</v>
      </c>
      <c r="H32" s="239">
        <f t="shared" ref="H32:M32" si="30">+G32</f>
        <v>0</v>
      </c>
      <c r="I32" s="239">
        <f t="shared" si="30"/>
        <v>0</v>
      </c>
      <c r="J32" s="239">
        <f t="shared" si="30"/>
        <v>0</v>
      </c>
      <c r="K32" s="239">
        <f t="shared" si="30"/>
        <v>0</v>
      </c>
      <c r="L32" s="239">
        <f t="shared" si="30"/>
        <v>0</v>
      </c>
      <c r="M32" s="239">
        <f t="shared" si="30"/>
        <v>0</v>
      </c>
      <c r="N32" s="240">
        <f>+'Plan de culture 105'!$I$7</f>
        <v>0</v>
      </c>
    </row>
    <row r="33" spans="1:14" x14ac:dyDescent="0.35">
      <c r="A33" s="238" t="s">
        <v>103</v>
      </c>
      <c r="B33" s="62">
        <v>2450.9803921568628</v>
      </c>
      <c r="C33" s="62">
        <v>2450.9803921568628</v>
      </c>
      <c r="D33" s="62">
        <v>2450.9803921568628</v>
      </c>
      <c r="E33" s="62">
        <v>2450.9803921568628</v>
      </c>
      <c r="F33" s="62">
        <v>2450.9803921568628</v>
      </c>
      <c r="G33" s="62">
        <v>2450.9803921568628</v>
      </c>
      <c r="H33" s="62">
        <v>2450.9803921568628</v>
      </c>
      <c r="I33" s="62">
        <v>2450.9803921568628</v>
      </c>
      <c r="J33" s="62">
        <v>2450.9803921568628</v>
      </c>
      <c r="K33" s="62">
        <v>2450.9803921568628</v>
      </c>
      <c r="L33" s="62">
        <v>2450.9803921568628</v>
      </c>
      <c r="M33" s="62">
        <v>2450.9803921568628</v>
      </c>
      <c r="N33" s="269" t="e">
        <f>+N31/N32</f>
        <v>#DIV/0!</v>
      </c>
    </row>
    <row r="34" spans="1:14" x14ac:dyDescent="0.35">
      <c r="A34" s="235" t="s">
        <v>91</v>
      </c>
      <c r="B34" s="80">
        <f>(B36*B35)</f>
        <v>13223.039215686276</v>
      </c>
      <c r="C34" s="80">
        <f t="shared" ref="C34:M34" si="31">(C36*C35)</f>
        <v>13223.039215686276</v>
      </c>
      <c r="D34" s="80">
        <f t="shared" si="31"/>
        <v>13223.039215686276</v>
      </c>
      <c r="E34" s="80">
        <f t="shared" si="31"/>
        <v>13223.039215686276</v>
      </c>
      <c r="F34" s="80">
        <f t="shared" si="31"/>
        <v>13223.039215686276</v>
      </c>
      <c r="G34" s="80">
        <f t="shared" si="31"/>
        <v>13223.039215686276</v>
      </c>
      <c r="H34" s="80">
        <f t="shared" si="31"/>
        <v>13223.039215686276</v>
      </c>
      <c r="I34" s="80">
        <f t="shared" si="31"/>
        <v>13223.039215686276</v>
      </c>
      <c r="J34" s="80">
        <f t="shared" si="31"/>
        <v>13223.039215686276</v>
      </c>
      <c r="K34" s="80">
        <f t="shared" si="31"/>
        <v>13223.039215686276</v>
      </c>
      <c r="L34" s="80">
        <f t="shared" si="31"/>
        <v>13223.039215686276</v>
      </c>
      <c r="M34" s="80">
        <f t="shared" si="31"/>
        <v>13223.039215686276</v>
      </c>
      <c r="N34" s="244">
        <f>SUM(B34:M34)</f>
        <v>158676.4705882353</v>
      </c>
    </row>
    <row r="35" spans="1:14" x14ac:dyDescent="0.35">
      <c r="A35" s="238" t="s">
        <v>93</v>
      </c>
      <c r="B35" s="239">
        <f>+'Plan de culture 105'!$I$13</f>
        <v>5.3950000000000005</v>
      </c>
      <c r="C35" s="239">
        <f>+B35</f>
        <v>5.3950000000000005</v>
      </c>
      <c r="D35" s="239">
        <f t="shared" ref="D35:M35" si="32">+C35</f>
        <v>5.3950000000000005</v>
      </c>
      <c r="E35" s="239">
        <f t="shared" si="32"/>
        <v>5.3950000000000005</v>
      </c>
      <c r="F35" s="239">
        <f t="shared" si="32"/>
        <v>5.3950000000000005</v>
      </c>
      <c r="G35" s="239">
        <f t="shared" si="32"/>
        <v>5.3950000000000005</v>
      </c>
      <c r="H35" s="239">
        <f t="shared" si="32"/>
        <v>5.3950000000000005</v>
      </c>
      <c r="I35" s="239">
        <f t="shared" si="32"/>
        <v>5.3950000000000005</v>
      </c>
      <c r="J35" s="239">
        <f t="shared" si="32"/>
        <v>5.3950000000000005</v>
      </c>
      <c r="K35" s="239">
        <f t="shared" si="32"/>
        <v>5.3950000000000005</v>
      </c>
      <c r="L35" s="239">
        <f t="shared" si="32"/>
        <v>5.3950000000000005</v>
      </c>
      <c r="M35" s="239">
        <f t="shared" si="32"/>
        <v>5.3950000000000005</v>
      </c>
      <c r="N35" s="240">
        <f>+'Plan de culture 105'!$I$13</f>
        <v>5.3950000000000005</v>
      </c>
    </row>
    <row r="36" spans="1:14" x14ac:dyDescent="0.35">
      <c r="A36" s="238" t="s">
        <v>103</v>
      </c>
      <c r="B36" s="62">
        <f>+B33</f>
        <v>2450.9803921568628</v>
      </c>
      <c r="C36" s="62">
        <f t="shared" ref="C36:M36" si="33">+C33</f>
        <v>2450.9803921568628</v>
      </c>
      <c r="D36" s="62">
        <f t="shared" si="33"/>
        <v>2450.9803921568628</v>
      </c>
      <c r="E36" s="62">
        <f t="shared" si="33"/>
        <v>2450.9803921568628</v>
      </c>
      <c r="F36" s="62">
        <f t="shared" si="33"/>
        <v>2450.9803921568628</v>
      </c>
      <c r="G36" s="62">
        <f t="shared" si="33"/>
        <v>2450.9803921568628</v>
      </c>
      <c r="H36" s="62">
        <f t="shared" si="33"/>
        <v>2450.9803921568628</v>
      </c>
      <c r="I36" s="62">
        <f t="shared" si="33"/>
        <v>2450.9803921568628</v>
      </c>
      <c r="J36" s="62">
        <f t="shared" si="33"/>
        <v>2450.9803921568628</v>
      </c>
      <c r="K36" s="62">
        <f t="shared" si="33"/>
        <v>2450.9803921568628</v>
      </c>
      <c r="L36" s="62">
        <f t="shared" si="33"/>
        <v>2450.9803921568628</v>
      </c>
      <c r="M36" s="62">
        <f t="shared" si="33"/>
        <v>2450.9803921568628</v>
      </c>
      <c r="N36" s="245">
        <f>+N34/N35/1000</f>
        <v>29.411764705882351</v>
      </c>
    </row>
    <row r="37" spans="1:14" x14ac:dyDescent="0.35">
      <c r="A37" s="235" t="s">
        <v>376</v>
      </c>
      <c r="B37" s="80">
        <f>(B39*B38)</f>
        <v>0</v>
      </c>
      <c r="C37" s="80">
        <f t="shared" ref="C37:M37" si="34">(C39*C38)</f>
        <v>0</v>
      </c>
      <c r="D37" s="80">
        <f t="shared" si="34"/>
        <v>0</v>
      </c>
      <c r="E37" s="80">
        <f t="shared" si="34"/>
        <v>0</v>
      </c>
      <c r="F37" s="80">
        <f t="shared" si="34"/>
        <v>0</v>
      </c>
      <c r="G37" s="80">
        <f t="shared" si="34"/>
        <v>0</v>
      </c>
      <c r="H37" s="80">
        <f t="shared" si="34"/>
        <v>0</v>
      </c>
      <c r="I37" s="80">
        <f t="shared" si="34"/>
        <v>0</v>
      </c>
      <c r="J37" s="80">
        <f t="shared" si="34"/>
        <v>0</v>
      </c>
      <c r="K37" s="80">
        <f t="shared" si="34"/>
        <v>0</v>
      </c>
      <c r="L37" s="80">
        <f t="shared" si="34"/>
        <v>0</v>
      </c>
      <c r="M37" s="80">
        <f t="shared" si="34"/>
        <v>0</v>
      </c>
      <c r="N37" s="244">
        <f>SUM(B37:M37)</f>
        <v>0</v>
      </c>
    </row>
    <row r="38" spans="1:14" x14ac:dyDescent="0.35">
      <c r="A38" s="238" t="s">
        <v>93</v>
      </c>
      <c r="B38" s="239">
        <f>+'Plan de culture 105'!$I$19</f>
        <v>0</v>
      </c>
      <c r="C38" s="239">
        <f>+B38</f>
        <v>0</v>
      </c>
      <c r="D38" s="239">
        <f t="shared" ref="D38" si="35">+C38</f>
        <v>0</v>
      </c>
      <c r="E38" s="239">
        <f>+'Plan de culture 104 '!C34</f>
        <v>0</v>
      </c>
      <c r="F38" s="239">
        <f>+E38+'Plan de culture 104 '!D34+'Plan de culture 104 '!E34</f>
        <v>0</v>
      </c>
      <c r="G38" s="239">
        <f>+F38</f>
        <v>0</v>
      </c>
      <c r="H38" s="239">
        <f t="shared" ref="H38:M38" si="36">+G38</f>
        <v>0</v>
      </c>
      <c r="I38" s="239">
        <f t="shared" si="36"/>
        <v>0</v>
      </c>
      <c r="J38" s="239">
        <f t="shared" si="36"/>
        <v>0</v>
      </c>
      <c r="K38" s="239">
        <f t="shared" si="36"/>
        <v>0</v>
      </c>
      <c r="L38" s="239">
        <f t="shared" si="36"/>
        <v>0</v>
      </c>
      <c r="M38" s="239">
        <f t="shared" si="36"/>
        <v>0</v>
      </c>
      <c r="N38" s="240">
        <f>+'Plan de culture 105'!$I$19</f>
        <v>0</v>
      </c>
    </row>
    <row r="39" spans="1:14" x14ac:dyDescent="0.35">
      <c r="A39" s="238" t="s">
        <v>103</v>
      </c>
      <c r="B39" s="62">
        <f>+B36</f>
        <v>2450.9803921568628</v>
      </c>
      <c r="C39" s="62">
        <f t="shared" ref="C39:M39" si="37">+C36</f>
        <v>2450.9803921568628</v>
      </c>
      <c r="D39" s="62">
        <f t="shared" si="37"/>
        <v>2450.9803921568628</v>
      </c>
      <c r="E39" s="62">
        <f t="shared" si="37"/>
        <v>2450.9803921568628</v>
      </c>
      <c r="F39" s="62">
        <f t="shared" si="37"/>
        <v>2450.9803921568628</v>
      </c>
      <c r="G39" s="62">
        <f t="shared" si="37"/>
        <v>2450.9803921568628</v>
      </c>
      <c r="H39" s="62">
        <f t="shared" si="37"/>
        <v>2450.9803921568628</v>
      </c>
      <c r="I39" s="62">
        <f t="shared" si="37"/>
        <v>2450.9803921568628</v>
      </c>
      <c r="J39" s="62">
        <f t="shared" si="37"/>
        <v>2450.9803921568628</v>
      </c>
      <c r="K39" s="62">
        <f t="shared" si="37"/>
        <v>2450.9803921568628</v>
      </c>
      <c r="L39" s="62">
        <f t="shared" si="37"/>
        <v>2450.9803921568628</v>
      </c>
      <c r="M39" s="62">
        <f t="shared" si="37"/>
        <v>2450.9803921568628</v>
      </c>
      <c r="N39" s="245" t="e">
        <f>+N37/N38/1000</f>
        <v>#DIV/0!</v>
      </c>
    </row>
    <row r="40" spans="1:14" x14ac:dyDescent="0.35">
      <c r="A40" s="235" t="s">
        <v>92</v>
      </c>
      <c r="B40" s="80">
        <f>(B42*B41)</f>
        <v>0</v>
      </c>
      <c r="C40" s="80">
        <f t="shared" ref="C40:M40" si="38">(C42*C41)</f>
        <v>0</v>
      </c>
      <c r="D40" s="80">
        <f t="shared" si="38"/>
        <v>0</v>
      </c>
      <c r="E40" s="80">
        <f t="shared" si="38"/>
        <v>0</v>
      </c>
      <c r="F40" s="80">
        <f t="shared" si="38"/>
        <v>0</v>
      </c>
      <c r="G40" s="80">
        <f t="shared" si="38"/>
        <v>0</v>
      </c>
      <c r="H40" s="80">
        <f t="shared" si="38"/>
        <v>0</v>
      </c>
      <c r="I40" s="80">
        <f t="shared" si="38"/>
        <v>0</v>
      </c>
      <c r="J40" s="80">
        <f t="shared" si="38"/>
        <v>0</v>
      </c>
      <c r="K40" s="80">
        <f t="shared" si="38"/>
        <v>0</v>
      </c>
      <c r="L40" s="80">
        <f t="shared" si="38"/>
        <v>0</v>
      </c>
      <c r="M40" s="80">
        <f t="shared" si="38"/>
        <v>0</v>
      </c>
      <c r="N40" s="244">
        <f>SUM(B40:M40)</f>
        <v>0</v>
      </c>
    </row>
    <row r="41" spans="1:14" x14ac:dyDescent="0.35">
      <c r="A41" s="238" t="s">
        <v>93</v>
      </c>
      <c r="B41" s="239">
        <f>+'Plan de culture 105'!$I$25</f>
        <v>0</v>
      </c>
      <c r="C41" s="239">
        <f>+B41</f>
        <v>0</v>
      </c>
      <c r="D41" s="239">
        <f t="shared" ref="D41" si="39">+C41</f>
        <v>0</v>
      </c>
      <c r="E41" s="239">
        <f>+'Plan de culture 104 '!C37</f>
        <v>0</v>
      </c>
      <c r="F41" s="239">
        <f>+E41+'Plan de culture 104 '!D37+'Plan de culture 104 '!E37</f>
        <v>0</v>
      </c>
      <c r="G41" s="239">
        <f>+F41</f>
        <v>0</v>
      </c>
      <c r="H41" s="239">
        <f t="shared" ref="H41:M41" si="40">+G41</f>
        <v>0</v>
      </c>
      <c r="I41" s="239">
        <f t="shared" si="40"/>
        <v>0</v>
      </c>
      <c r="J41" s="239">
        <f t="shared" si="40"/>
        <v>0</v>
      </c>
      <c r="K41" s="239">
        <f t="shared" si="40"/>
        <v>0</v>
      </c>
      <c r="L41" s="239">
        <f t="shared" si="40"/>
        <v>0</v>
      </c>
      <c r="M41" s="239">
        <f t="shared" si="40"/>
        <v>0</v>
      </c>
      <c r="N41" s="240">
        <f>+'Plan de culture 105'!$I$25</f>
        <v>0</v>
      </c>
    </row>
    <row r="42" spans="1:14" x14ac:dyDescent="0.35">
      <c r="A42" s="238" t="s">
        <v>103</v>
      </c>
      <c r="B42" s="62">
        <f>+B39</f>
        <v>2450.9803921568628</v>
      </c>
      <c r="C42" s="62">
        <f t="shared" ref="C42:M42" si="41">+C39</f>
        <v>2450.9803921568628</v>
      </c>
      <c r="D42" s="62">
        <f t="shared" si="41"/>
        <v>2450.9803921568628</v>
      </c>
      <c r="E42" s="62">
        <f t="shared" si="41"/>
        <v>2450.9803921568628</v>
      </c>
      <c r="F42" s="62">
        <f t="shared" si="41"/>
        <v>2450.9803921568628</v>
      </c>
      <c r="G42" s="62">
        <f t="shared" si="41"/>
        <v>2450.9803921568628</v>
      </c>
      <c r="H42" s="62">
        <f t="shared" si="41"/>
        <v>2450.9803921568628</v>
      </c>
      <c r="I42" s="62">
        <f t="shared" si="41"/>
        <v>2450.9803921568628</v>
      </c>
      <c r="J42" s="62">
        <f t="shared" si="41"/>
        <v>2450.9803921568628</v>
      </c>
      <c r="K42" s="62">
        <f t="shared" si="41"/>
        <v>2450.9803921568628</v>
      </c>
      <c r="L42" s="62">
        <f t="shared" si="41"/>
        <v>2450.9803921568628</v>
      </c>
      <c r="M42" s="62">
        <f t="shared" si="41"/>
        <v>2450.9803921568628</v>
      </c>
      <c r="N42" s="245" t="e">
        <f>+N40/N41/1000</f>
        <v>#DIV/0!</v>
      </c>
    </row>
    <row r="43" spans="1:14" x14ac:dyDescent="0.35">
      <c r="A43" s="235" t="s">
        <v>377</v>
      </c>
      <c r="B43" s="80">
        <f>(B45*B44)</f>
        <v>0</v>
      </c>
      <c r="C43" s="80">
        <f t="shared" ref="C43:M43" si="42">(C45*C44)</f>
        <v>0</v>
      </c>
      <c r="D43" s="80">
        <f t="shared" si="42"/>
        <v>0</v>
      </c>
      <c r="E43" s="80">
        <f t="shared" si="42"/>
        <v>0</v>
      </c>
      <c r="F43" s="80">
        <f t="shared" si="42"/>
        <v>0</v>
      </c>
      <c r="G43" s="80">
        <f t="shared" si="42"/>
        <v>0</v>
      </c>
      <c r="H43" s="80">
        <f t="shared" si="42"/>
        <v>0</v>
      </c>
      <c r="I43" s="80">
        <f t="shared" si="42"/>
        <v>0</v>
      </c>
      <c r="J43" s="80">
        <f t="shared" si="42"/>
        <v>0</v>
      </c>
      <c r="K43" s="80">
        <f t="shared" si="42"/>
        <v>0</v>
      </c>
      <c r="L43" s="80">
        <f t="shared" si="42"/>
        <v>0</v>
      </c>
      <c r="M43" s="80">
        <f t="shared" si="42"/>
        <v>0</v>
      </c>
      <c r="N43" s="244">
        <f>SUM(B43:M43)</f>
        <v>0</v>
      </c>
    </row>
    <row r="44" spans="1:14" x14ac:dyDescent="0.35">
      <c r="A44" s="238" t="s">
        <v>93</v>
      </c>
      <c r="B44" s="239">
        <f>+'Plan de culture 105'!$I$31</f>
        <v>0</v>
      </c>
      <c r="C44" s="239">
        <f>+B44</f>
        <v>0</v>
      </c>
      <c r="D44" s="239">
        <f t="shared" ref="D44" si="43">+C44</f>
        <v>0</v>
      </c>
      <c r="E44" s="239">
        <f>+'Plan de culture 104 '!C40</f>
        <v>0</v>
      </c>
      <c r="F44" s="239">
        <f>+E44+'Plan de culture 104 '!D40+'Plan de culture 104 '!E40</f>
        <v>0</v>
      </c>
      <c r="G44" s="239">
        <f>+F44</f>
        <v>0</v>
      </c>
      <c r="H44" s="239">
        <f t="shared" ref="H44:M44" si="44">+G44</f>
        <v>0</v>
      </c>
      <c r="I44" s="239">
        <f t="shared" si="44"/>
        <v>0</v>
      </c>
      <c r="J44" s="239">
        <f t="shared" si="44"/>
        <v>0</v>
      </c>
      <c r="K44" s="239">
        <f t="shared" si="44"/>
        <v>0</v>
      </c>
      <c r="L44" s="239">
        <f t="shared" si="44"/>
        <v>0</v>
      </c>
      <c r="M44" s="239">
        <f t="shared" si="44"/>
        <v>0</v>
      </c>
      <c r="N44" s="240">
        <f>+'Plan de culture 105'!$I$31</f>
        <v>0</v>
      </c>
    </row>
    <row r="45" spans="1:14" x14ac:dyDescent="0.35">
      <c r="A45" s="238" t="s">
        <v>103</v>
      </c>
      <c r="B45" s="62">
        <f>+B42</f>
        <v>2450.9803921568628</v>
      </c>
      <c r="C45" s="62">
        <f t="shared" ref="C45:M45" si="45">+C42</f>
        <v>2450.9803921568628</v>
      </c>
      <c r="D45" s="62">
        <f t="shared" si="45"/>
        <v>2450.9803921568628</v>
      </c>
      <c r="E45" s="62">
        <f t="shared" si="45"/>
        <v>2450.9803921568628</v>
      </c>
      <c r="F45" s="62">
        <f t="shared" si="45"/>
        <v>2450.9803921568628</v>
      </c>
      <c r="G45" s="62">
        <f t="shared" si="45"/>
        <v>2450.9803921568628</v>
      </c>
      <c r="H45" s="62">
        <f t="shared" si="45"/>
        <v>2450.9803921568628</v>
      </c>
      <c r="I45" s="62">
        <f t="shared" si="45"/>
        <v>2450.9803921568628</v>
      </c>
      <c r="J45" s="62">
        <f t="shared" si="45"/>
        <v>2450.9803921568628</v>
      </c>
      <c r="K45" s="62">
        <f t="shared" si="45"/>
        <v>2450.9803921568628</v>
      </c>
      <c r="L45" s="62">
        <f t="shared" si="45"/>
        <v>2450.9803921568628</v>
      </c>
      <c r="M45" s="62">
        <f t="shared" si="45"/>
        <v>2450.9803921568628</v>
      </c>
      <c r="N45" s="245" t="e">
        <f>+N43/N44/1000</f>
        <v>#DIV/0!</v>
      </c>
    </row>
    <row r="46" spans="1:14" x14ac:dyDescent="0.35">
      <c r="A46" s="235" t="s">
        <v>378</v>
      </c>
      <c r="B46" s="80">
        <f>(B48*B47)</f>
        <v>0</v>
      </c>
      <c r="C46" s="80">
        <f t="shared" ref="C46:M46" si="46">(C48*C47)</f>
        <v>0</v>
      </c>
      <c r="D46" s="80">
        <f t="shared" si="46"/>
        <v>0</v>
      </c>
      <c r="E46" s="80">
        <f t="shared" si="46"/>
        <v>0</v>
      </c>
      <c r="F46" s="80">
        <f t="shared" si="46"/>
        <v>0</v>
      </c>
      <c r="G46" s="80">
        <f t="shared" si="46"/>
        <v>0</v>
      </c>
      <c r="H46" s="80">
        <f t="shared" si="46"/>
        <v>0</v>
      </c>
      <c r="I46" s="80">
        <f t="shared" si="46"/>
        <v>0</v>
      </c>
      <c r="J46" s="80">
        <f t="shared" si="46"/>
        <v>0</v>
      </c>
      <c r="K46" s="80">
        <f t="shared" si="46"/>
        <v>0</v>
      </c>
      <c r="L46" s="80">
        <f t="shared" si="46"/>
        <v>0</v>
      </c>
      <c r="M46" s="80">
        <f t="shared" si="46"/>
        <v>0</v>
      </c>
      <c r="N46" s="244">
        <f>SUM(B46:M46)</f>
        <v>0</v>
      </c>
    </row>
    <row r="47" spans="1:14" x14ac:dyDescent="0.35">
      <c r="A47" s="238" t="s">
        <v>93</v>
      </c>
      <c r="B47" s="239">
        <f>+'Plan de culture 105'!$I$37</f>
        <v>0</v>
      </c>
      <c r="C47" s="239">
        <f>+B47</f>
        <v>0</v>
      </c>
      <c r="D47" s="239">
        <f t="shared" ref="D47" si="47">+C47</f>
        <v>0</v>
      </c>
      <c r="E47" s="239">
        <f>+'Plan de culture 104 '!C43</f>
        <v>0</v>
      </c>
      <c r="F47" s="239">
        <f>+E47+'Plan de culture 104 '!D43+'Plan de culture 104 '!E43</f>
        <v>0</v>
      </c>
      <c r="G47" s="239">
        <f>+F47</f>
        <v>0</v>
      </c>
      <c r="H47" s="239">
        <f t="shared" ref="H47:M47" si="48">+G47</f>
        <v>0</v>
      </c>
      <c r="I47" s="239">
        <f t="shared" si="48"/>
        <v>0</v>
      </c>
      <c r="J47" s="239">
        <f t="shared" si="48"/>
        <v>0</v>
      </c>
      <c r="K47" s="239">
        <f t="shared" si="48"/>
        <v>0</v>
      </c>
      <c r="L47" s="239">
        <f t="shared" si="48"/>
        <v>0</v>
      </c>
      <c r="M47" s="239">
        <f t="shared" si="48"/>
        <v>0</v>
      </c>
      <c r="N47" s="240">
        <f>+'Plan de culture 105'!$I$37</f>
        <v>0</v>
      </c>
    </row>
    <row r="48" spans="1:14" ht="12" thickBot="1" x14ac:dyDescent="0.4">
      <c r="A48" s="241" t="s">
        <v>103</v>
      </c>
      <c r="B48" s="246">
        <f>+B45</f>
        <v>2450.9803921568628</v>
      </c>
      <c r="C48" s="246">
        <f t="shared" ref="C48:M48" si="49">+C45</f>
        <v>2450.9803921568628</v>
      </c>
      <c r="D48" s="246">
        <f t="shared" si="49"/>
        <v>2450.9803921568628</v>
      </c>
      <c r="E48" s="246">
        <f t="shared" si="49"/>
        <v>2450.9803921568628</v>
      </c>
      <c r="F48" s="246">
        <f t="shared" si="49"/>
        <v>2450.9803921568628</v>
      </c>
      <c r="G48" s="246">
        <f t="shared" si="49"/>
        <v>2450.9803921568628</v>
      </c>
      <c r="H48" s="246">
        <f t="shared" si="49"/>
        <v>2450.9803921568628</v>
      </c>
      <c r="I48" s="246">
        <f t="shared" si="49"/>
        <v>2450.9803921568628</v>
      </c>
      <c r="J48" s="246">
        <f t="shared" si="49"/>
        <v>2450.9803921568628</v>
      </c>
      <c r="K48" s="246">
        <f t="shared" si="49"/>
        <v>2450.9803921568628</v>
      </c>
      <c r="L48" s="246">
        <f t="shared" si="49"/>
        <v>2450.9803921568628</v>
      </c>
      <c r="M48" s="246">
        <f t="shared" si="49"/>
        <v>2450.9803921568628</v>
      </c>
      <c r="N48" s="247" t="e">
        <f>+N46/N47/1000</f>
        <v>#DIV/0!</v>
      </c>
    </row>
    <row r="49" spans="1:14" x14ac:dyDescent="0.35">
      <c r="A49" s="233" t="s">
        <v>448</v>
      </c>
      <c r="B49" s="242">
        <f>+B52+B55+B58+B61+B64+B67</f>
        <v>13664.215686274511</v>
      </c>
      <c r="C49" s="242">
        <f t="shared" ref="C49:N50" si="50">+C52+C55+C58+C61+C64+C67</f>
        <v>13664.215686274511</v>
      </c>
      <c r="D49" s="242">
        <f t="shared" si="50"/>
        <v>13664.215686274511</v>
      </c>
      <c r="E49" s="242">
        <f t="shared" si="50"/>
        <v>13664.215686274511</v>
      </c>
      <c r="F49" s="242">
        <f t="shared" si="50"/>
        <v>13664.215686274511</v>
      </c>
      <c r="G49" s="242">
        <f t="shared" si="50"/>
        <v>13664.215686274511</v>
      </c>
      <c r="H49" s="242">
        <f t="shared" si="50"/>
        <v>13664.215686274511</v>
      </c>
      <c r="I49" s="242">
        <f t="shared" si="50"/>
        <v>13664.215686274511</v>
      </c>
      <c r="J49" s="242">
        <f t="shared" si="50"/>
        <v>13664.215686274511</v>
      </c>
      <c r="K49" s="242">
        <f t="shared" si="50"/>
        <v>13664.215686274511</v>
      </c>
      <c r="L49" s="242">
        <f t="shared" si="50"/>
        <v>13664.215686274511</v>
      </c>
      <c r="M49" s="242">
        <f t="shared" si="50"/>
        <v>13664.215686274511</v>
      </c>
      <c r="N49" s="275">
        <f t="shared" si="50"/>
        <v>163970.58823529418</v>
      </c>
    </row>
    <row r="50" spans="1:14" x14ac:dyDescent="0.35">
      <c r="A50" s="234" t="s">
        <v>93</v>
      </c>
      <c r="B50" s="81">
        <f>+B53+B56+B59+B62+B65+B68</f>
        <v>5.5750000000000002</v>
      </c>
      <c r="C50" s="81">
        <f t="shared" si="50"/>
        <v>5.5750000000000002</v>
      </c>
      <c r="D50" s="81">
        <f t="shared" si="50"/>
        <v>5.5750000000000002</v>
      </c>
      <c r="E50" s="81">
        <f t="shared" si="50"/>
        <v>5.5750000000000002</v>
      </c>
      <c r="F50" s="81">
        <f t="shared" si="50"/>
        <v>5.5750000000000002</v>
      </c>
      <c r="G50" s="81">
        <f t="shared" si="50"/>
        <v>5.5750000000000002</v>
      </c>
      <c r="H50" s="81">
        <f t="shared" si="50"/>
        <v>5.5750000000000002</v>
      </c>
      <c r="I50" s="81">
        <f t="shared" si="50"/>
        <v>5.5750000000000002</v>
      </c>
      <c r="J50" s="81">
        <f t="shared" si="50"/>
        <v>5.5750000000000002</v>
      </c>
      <c r="K50" s="81">
        <f t="shared" si="50"/>
        <v>5.5750000000000002</v>
      </c>
      <c r="L50" s="81">
        <f t="shared" si="50"/>
        <v>5.5750000000000002</v>
      </c>
      <c r="M50" s="81">
        <f t="shared" si="50"/>
        <v>5.5750000000000002</v>
      </c>
      <c r="N50" s="276">
        <f t="shared" si="50"/>
        <v>5.5750000000000002</v>
      </c>
    </row>
    <row r="51" spans="1:14" x14ac:dyDescent="0.35">
      <c r="A51" s="234" t="s">
        <v>103</v>
      </c>
      <c r="B51" s="83">
        <f>+B49/B50</f>
        <v>2450.9803921568628</v>
      </c>
      <c r="C51" s="83">
        <f>+C49/C50</f>
        <v>2450.9803921568628</v>
      </c>
      <c r="D51" s="83">
        <f>+D49/D50</f>
        <v>2450.9803921568628</v>
      </c>
      <c r="E51" s="83">
        <f t="shared" ref="E51:N51" si="51">+E49/E50</f>
        <v>2450.9803921568628</v>
      </c>
      <c r="F51" s="83">
        <f t="shared" si="51"/>
        <v>2450.9803921568628</v>
      </c>
      <c r="G51" s="83">
        <f t="shared" si="51"/>
        <v>2450.9803921568628</v>
      </c>
      <c r="H51" s="83">
        <f t="shared" si="51"/>
        <v>2450.9803921568628</v>
      </c>
      <c r="I51" s="83">
        <f t="shared" si="51"/>
        <v>2450.9803921568628</v>
      </c>
      <c r="J51" s="83">
        <f t="shared" si="51"/>
        <v>2450.9803921568628</v>
      </c>
      <c r="K51" s="83">
        <f t="shared" si="51"/>
        <v>2450.9803921568628</v>
      </c>
      <c r="L51" s="83">
        <f t="shared" si="51"/>
        <v>2450.9803921568628</v>
      </c>
      <c r="M51" s="83">
        <f t="shared" si="51"/>
        <v>2450.9803921568628</v>
      </c>
      <c r="N51" s="249">
        <f t="shared" si="51"/>
        <v>29411.764705882364</v>
      </c>
    </row>
    <row r="52" spans="1:14" x14ac:dyDescent="0.35">
      <c r="A52" s="235" t="s">
        <v>90</v>
      </c>
      <c r="B52" s="80">
        <f>(B54*B53)</f>
        <v>0</v>
      </c>
      <c r="C52" s="80">
        <f t="shared" ref="C52:M52" si="52">(C54*C53)</f>
        <v>0</v>
      </c>
      <c r="D52" s="80">
        <f t="shared" si="52"/>
        <v>0</v>
      </c>
      <c r="E52" s="80">
        <f t="shared" si="52"/>
        <v>0</v>
      </c>
      <c r="F52" s="80">
        <f t="shared" si="52"/>
        <v>0</v>
      </c>
      <c r="G52" s="80">
        <f t="shared" si="52"/>
        <v>0</v>
      </c>
      <c r="H52" s="80">
        <f t="shared" si="52"/>
        <v>0</v>
      </c>
      <c r="I52" s="80">
        <f t="shared" si="52"/>
        <v>0</v>
      </c>
      <c r="J52" s="80">
        <f t="shared" si="52"/>
        <v>0</v>
      </c>
      <c r="K52" s="80">
        <f t="shared" si="52"/>
        <v>0</v>
      </c>
      <c r="L52" s="80">
        <f t="shared" si="52"/>
        <v>0</v>
      </c>
      <c r="M52" s="80">
        <f t="shared" si="52"/>
        <v>0</v>
      </c>
      <c r="N52" s="244">
        <f>SUM(B52:M52)</f>
        <v>0</v>
      </c>
    </row>
    <row r="53" spans="1:14" x14ac:dyDescent="0.35">
      <c r="A53" s="238" t="s">
        <v>93</v>
      </c>
      <c r="B53" s="239">
        <f>+'Plan de culture 106'!$J$7</f>
        <v>0</v>
      </c>
      <c r="C53" s="239">
        <f>+B53</f>
        <v>0</v>
      </c>
      <c r="D53" s="239">
        <f t="shared" ref="D53" si="53">+C53</f>
        <v>0</v>
      </c>
      <c r="E53" s="239">
        <f>+D53</f>
        <v>0</v>
      </c>
      <c r="F53" s="239">
        <f>+E53</f>
        <v>0</v>
      </c>
      <c r="G53" s="239">
        <f>+F53</f>
        <v>0</v>
      </c>
      <c r="H53" s="239">
        <f t="shared" ref="H53:M53" si="54">+G53</f>
        <v>0</v>
      </c>
      <c r="I53" s="239">
        <f t="shared" si="54"/>
        <v>0</v>
      </c>
      <c r="J53" s="239">
        <f t="shared" si="54"/>
        <v>0</v>
      </c>
      <c r="K53" s="239">
        <f t="shared" si="54"/>
        <v>0</v>
      </c>
      <c r="L53" s="239">
        <f t="shared" si="54"/>
        <v>0</v>
      </c>
      <c r="M53" s="239">
        <f t="shared" si="54"/>
        <v>0</v>
      </c>
      <c r="N53" s="240">
        <f>+'Plan de culture 106'!$J$7</f>
        <v>0</v>
      </c>
    </row>
    <row r="54" spans="1:14" x14ac:dyDescent="0.35">
      <c r="A54" s="238" t="s">
        <v>103</v>
      </c>
      <c r="B54" s="62">
        <v>2450.9803921568628</v>
      </c>
      <c r="C54" s="62">
        <v>2450.9803921568628</v>
      </c>
      <c r="D54" s="62">
        <v>2450.9803921568628</v>
      </c>
      <c r="E54" s="62">
        <v>2450.9803921568628</v>
      </c>
      <c r="F54" s="62">
        <v>2450.9803921568628</v>
      </c>
      <c r="G54" s="62">
        <v>2450.9803921568628</v>
      </c>
      <c r="H54" s="62">
        <v>2450.9803921568628</v>
      </c>
      <c r="I54" s="62">
        <v>2450.9803921568628</v>
      </c>
      <c r="J54" s="62">
        <v>2450.9803921568628</v>
      </c>
      <c r="K54" s="62">
        <v>2450.9803921568628</v>
      </c>
      <c r="L54" s="62">
        <v>2450.9803921568628</v>
      </c>
      <c r="M54" s="62">
        <v>2450.9803921568628</v>
      </c>
      <c r="N54" s="269" t="e">
        <f>+N52/N53</f>
        <v>#DIV/0!</v>
      </c>
    </row>
    <row r="55" spans="1:14" x14ac:dyDescent="0.35">
      <c r="A55" s="235" t="s">
        <v>91</v>
      </c>
      <c r="B55" s="80">
        <f>(B57*B56)</f>
        <v>0</v>
      </c>
      <c r="C55" s="80">
        <f t="shared" ref="C55:M55" si="55">(C57*C56)</f>
        <v>0</v>
      </c>
      <c r="D55" s="80">
        <f t="shared" si="55"/>
        <v>0</v>
      </c>
      <c r="E55" s="80">
        <f t="shared" si="55"/>
        <v>0</v>
      </c>
      <c r="F55" s="80">
        <f t="shared" si="55"/>
        <v>0</v>
      </c>
      <c r="G55" s="80">
        <f t="shared" si="55"/>
        <v>0</v>
      </c>
      <c r="H55" s="80">
        <f t="shared" si="55"/>
        <v>0</v>
      </c>
      <c r="I55" s="80">
        <f t="shared" si="55"/>
        <v>0</v>
      </c>
      <c r="J55" s="80">
        <f t="shared" si="55"/>
        <v>0</v>
      </c>
      <c r="K55" s="80">
        <f t="shared" si="55"/>
        <v>0</v>
      </c>
      <c r="L55" s="80">
        <f t="shared" si="55"/>
        <v>0</v>
      </c>
      <c r="M55" s="80">
        <f t="shared" si="55"/>
        <v>0</v>
      </c>
      <c r="N55" s="244">
        <f>SUM(B55:M55)</f>
        <v>0</v>
      </c>
    </row>
    <row r="56" spans="1:14" x14ac:dyDescent="0.35">
      <c r="A56" s="238" t="s">
        <v>93</v>
      </c>
      <c r="B56" s="239">
        <f>+'Plan de culture 106'!$J$13</f>
        <v>0</v>
      </c>
      <c r="C56" s="239">
        <f>+B56</f>
        <v>0</v>
      </c>
      <c r="D56" s="239">
        <f t="shared" ref="D56:M56" si="56">+C56</f>
        <v>0</v>
      </c>
      <c r="E56" s="239">
        <f t="shared" si="56"/>
        <v>0</v>
      </c>
      <c r="F56" s="239">
        <f t="shared" si="56"/>
        <v>0</v>
      </c>
      <c r="G56" s="239">
        <f t="shared" si="56"/>
        <v>0</v>
      </c>
      <c r="H56" s="239">
        <f t="shared" si="56"/>
        <v>0</v>
      </c>
      <c r="I56" s="239">
        <f t="shared" si="56"/>
        <v>0</v>
      </c>
      <c r="J56" s="239">
        <f t="shared" si="56"/>
        <v>0</v>
      </c>
      <c r="K56" s="239">
        <f t="shared" si="56"/>
        <v>0</v>
      </c>
      <c r="L56" s="239">
        <f t="shared" si="56"/>
        <v>0</v>
      </c>
      <c r="M56" s="239">
        <f t="shared" si="56"/>
        <v>0</v>
      </c>
      <c r="N56" s="240">
        <f>+'Plan de culture 106'!$J$13</f>
        <v>0</v>
      </c>
    </row>
    <row r="57" spans="1:14" x14ac:dyDescent="0.35">
      <c r="A57" s="238" t="s">
        <v>103</v>
      </c>
      <c r="B57" s="62">
        <f>+B54</f>
        <v>2450.9803921568628</v>
      </c>
      <c r="C57" s="62">
        <f t="shared" ref="C57:M57" si="57">+C54</f>
        <v>2450.9803921568628</v>
      </c>
      <c r="D57" s="62">
        <f t="shared" si="57"/>
        <v>2450.9803921568628</v>
      </c>
      <c r="E57" s="62">
        <f t="shared" si="57"/>
        <v>2450.9803921568628</v>
      </c>
      <c r="F57" s="62">
        <f t="shared" si="57"/>
        <v>2450.9803921568628</v>
      </c>
      <c r="G57" s="62">
        <f t="shared" si="57"/>
        <v>2450.9803921568628</v>
      </c>
      <c r="H57" s="62">
        <f t="shared" si="57"/>
        <v>2450.9803921568628</v>
      </c>
      <c r="I57" s="62">
        <f t="shared" si="57"/>
        <v>2450.9803921568628</v>
      </c>
      <c r="J57" s="62">
        <f t="shared" si="57"/>
        <v>2450.9803921568628</v>
      </c>
      <c r="K57" s="62">
        <f t="shared" si="57"/>
        <v>2450.9803921568628</v>
      </c>
      <c r="L57" s="62">
        <f t="shared" si="57"/>
        <v>2450.9803921568628</v>
      </c>
      <c r="M57" s="62">
        <f t="shared" si="57"/>
        <v>2450.9803921568628</v>
      </c>
      <c r="N57" s="245" t="e">
        <f>+N55/N56/1000</f>
        <v>#DIV/0!</v>
      </c>
    </row>
    <row r="58" spans="1:14" x14ac:dyDescent="0.35">
      <c r="A58" s="235" t="s">
        <v>376</v>
      </c>
      <c r="B58" s="80">
        <f>(B60*B59)</f>
        <v>13664.215686274511</v>
      </c>
      <c r="C58" s="80">
        <f t="shared" ref="C58:M58" si="58">(C60*C59)</f>
        <v>13664.215686274511</v>
      </c>
      <c r="D58" s="80">
        <f t="shared" si="58"/>
        <v>13664.215686274511</v>
      </c>
      <c r="E58" s="80">
        <f t="shared" si="58"/>
        <v>13664.215686274511</v>
      </c>
      <c r="F58" s="80">
        <f t="shared" si="58"/>
        <v>13664.215686274511</v>
      </c>
      <c r="G58" s="80">
        <f t="shared" si="58"/>
        <v>13664.215686274511</v>
      </c>
      <c r="H58" s="80">
        <f t="shared" si="58"/>
        <v>13664.215686274511</v>
      </c>
      <c r="I58" s="80">
        <f t="shared" si="58"/>
        <v>13664.215686274511</v>
      </c>
      <c r="J58" s="80">
        <f t="shared" si="58"/>
        <v>13664.215686274511</v>
      </c>
      <c r="K58" s="80">
        <f t="shared" si="58"/>
        <v>13664.215686274511</v>
      </c>
      <c r="L58" s="80">
        <f t="shared" si="58"/>
        <v>13664.215686274511</v>
      </c>
      <c r="M58" s="80">
        <f t="shared" si="58"/>
        <v>13664.215686274511</v>
      </c>
      <c r="N58" s="244">
        <f>SUM(B58:M58)</f>
        <v>163970.58823529418</v>
      </c>
    </row>
    <row r="59" spans="1:14" x14ac:dyDescent="0.35">
      <c r="A59" s="238" t="s">
        <v>93</v>
      </c>
      <c r="B59" s="239">
        <f>+'Plan de culture 106'!$J$19</f>
        <v>5.5750000000000002</v>
      </c>
      <c r="C59" s="239">
        <f>+B59</f>
        <v>5.5750000000000002</v>
      </c>
      <c r="D59" s="239">
        <f t="shared" ref="D59:M59" si="59">+C59</f>
        <v>5.5750000000000002</v>
      </c>
      <c r="E59" s="239">
        <f t="shared" si="59"/>
        <v>5.5750000000000002</v>
      </c>
      <c r="F59" s="239">
        <f t="shared" si="59"/>
        <v>5.5750000000000002</v>
      </c>
      <c r="G59" s="239">
        <f t="shared" si="59"/>
        <v>5.5750000000000002</v>
      </c>
      <c r="H59" s="239">
        <f t="shared" si="59"/>
        <v>5.5750000000000002</v>
      </c>
      <c r="I59" s="239">
        <f t="shared" si="59"/>
        <v>5.5750000000000002</v>
      </c>
      <c r="J59" s="239">
        <f t="shared" si="59"/>
        <v>5.5750000000000002</v>
      </c>
      <c r="K59" s="239">
        <f t="shared" si="59"/>
        <v>5.5750000000000002</v>
      </c>
      <c r="L59" s="239">
        <f t="shared" si="59"/>
        <v>5.5750000000000002</v>
      </c>
      <c r="M59" s="239">
        <f t="shared" si="59"/>
        <v>5.5750000000000002</v>
      </c>
      <c r="N59" s="240">
        <f>+'Plan de culture 106'!$J$19</f>
        <v>5.5750000000000002</v>
      </c>
    </row>
    <row r="60" spans="1:14" x14ac:dyDescent="0.35">
      <c r="A60" s="238" t="s">
        <v>103</v>
      </c>
      <c r="B60" s="62">
        <f>+B57</f>
        <v>2450.9803921568628</v>
      </c>
      <c r="C60" s="62">
        <f t="shared" ref="C60:M60" si="60">+C57</f>
        <v>2450.9803921568628</v>
      </c>
      <c r="D60" s="62">
        <f t="shared" si="60"/>
        <v>2450.9803921568628</v>
      </c>
      <c r="E60" s="62">
        <f t="shared" si="60"/>
        <v>2450.9803921568628</v>
      </c>
      <c r="F60" s="62">
        <f t="shared" si="60"/>
        <v>2450.9803921568628</v>
      </c>
      <c r="G60" s="62">
        <f t="shared" si="60"/>
        <v>2450.9803921568628</v>
      </c>
      <c r="H60" s="62">
        <f t="shared" si="60"/>
        <v>2450.9803921568628</v>
      </c>
      <c r="I60" s="62">
        <f t="shared" si="60"/>
        <v>2450.9803921568628</v>
      </c>
      <c r="J60" s="62">
        <f t="shared" si="60"/>
        <v>2450.9803921568628</v>
      </c>
      <c r="K60" s="62">
        <f t="shared" si="60"/>
        <v>2450.9803921568628</v>
      </c>
      <c r="L60" s="62">
        <f t="shared" si="60"/>
        <v>2450.9803921568628</v>
      </c>
      <c r="M60" s="62">
        <f t="shared" si="60"/>
        <v>2450.9803921568628</v>
      </c>
      <c r="N60" s="245">
        <f>+N58/N59/1000</f>
        <v>29.411764705882366</v>
      </c>
    </row>
    <row r="61" spans="1:14" x14ac:dyDescent="0.35">
      <c r="A61" s="235" t="s">
        <v>92</v>
      </c>
      <c r="B61" s="80">
        <f>(B63*B62)</f>
        <v>0</v>
      </c>
      <c r="C61" s="80">
        <f t="shared" ref="C61:M61" si="61">(C63*C62)</f>
        <v>0</v>
      </c>
      <c r="D61" s="80">
        <f t="shared" si="61"/>
        <v>0</v>
      </c>
      <c r="E61" s="80">
        <f t="shared" si="61"/>
        <v>0</v>
      </c>
      <c r="F61" s="80">
        <f t="shared" si="61"/>
        <v>0</v>
      </c>
      <c r="G61" s="80">
        <f t="shared" si="61"/>
        <v>0</v>
      </c>
      <c r="H61" s="80">
        <f t="shared" si="61"/>
        <v>0</v>
      </c>
      <c r="I61" s="80">
        <f t="shared" si="61"/>
        <v>0</v>
      </c>
      <c r="J61" s="80">
        <f t="shared" si="61"/>
        <v>0</v>
      </c>
      <c r="K61" s="80">
        <f t="shared" si="61"/>
        <v>0</v>
      </c>
      <c r="L61" s="80">
        <f t="shared" si="61"/>
        <v>0</v>
      </c>
      <c r="M61" s="80">
        <f t="shared" si="61"/>
        <v>0</v>
      </c>
      <c r="N61" s="244">
        <f>SUM(B61:M61)</f>
        <v>0</v>
      </c>
    </row>
    <row r="62" spans="1:14" x14ac:dyDescent="0.35">
      <c r="A62" s="238" t="s">
        <v>93</v>
      </c>
      <c r="B62" s="239">
        <f>+'Plan de culture 106'!$J$25</f>
        <v>0</v>
      </c>
      <c r="C62" s="239">
        <f>+B62</f>
        <v>0</v>
      </c>
      <c r="D62" s="239">
        <f t="shared" ref="D62" si="62">+C62</f>
        <v>0</v>
      </c>
      <c r="E62" s="239">
        <f>+'Plan de culture 104 '!C58</f>
        <v>0</v>
      </c>
      <c r="F62" s="239">
        <f>+E62+'Plan de culture 104 '!D58+'Plan de culture 104 '!E58</f>
        <v>0</v>
      </c>
      <c r="G62" s="239">
        <f>+F62</f>
        <v>0</v>
      </c>
      <c r="H62" s="239">
        <f t="shared" ref="H62:M62" si="63">+G62</f>
        <v>0</v>
      </c>
      <c r="I62" s="239">
        <f t="shared" si="63"/>
        <v>0</v>
      </c>
      <c r="J62" s="239">
        <f t="shared" si="63"/>
        <v>0</v>
      </c>
      <c r="K62" s="239">
        <f t="shared" si="63"/>
        <v>0</v>
      </c>
      <c r="L62" s="239">
        <f t="shared" si="63"/>
        <v>0</v>
      </c>
      <c r="M62" s="239">
        <f t="shared" si="63"/>
        <v>0</v>
      </c>
      <c r="N62" s="240">
        <f>+'Plan de culture 106'!$J$25</f>
        <v>0</v>
      </c>
    </row>
    <row r="63" spans="1:14" x14ac:dyDescent="0.35">
      <c r="A63" s="238" t="s">
        <v>103</v>
      </c>
      <c r="B63" s="62">
        <f>+B60</f>
        <v>2450.9803921568628</v>
      </c>
      <c r="C63" s="62">
        <f t="shared" ref="C63:M63" si="64">+C60</f>
        <v>2450.9803921568628</v>
      </c>
      <c r="D63" s="62">
        <f t="shared" si="64"/>
        <v>2450.9803921568628</v>
      </c>
      <c r="E63" s="62">
        <f t="shared" si="64"/>
        <v>2450.9803921568628</v>
      </c>
      <c r="F63" s="62">
        <f t="shared" si="64"/>
        <v>2450.9803921568628</v>
      </c>
      <c r="G63" s="62">
        <f t="shared" si="64"/>
        <v>2450.9803921568628</v>
      </c>
      <c r="H63" s="62">
        <f t="shared" si="64"/>
        <v>2450.9803921568628</v>
      </c>
      <c r="I63" s="62">
        <f t="shared" si="64"/>
        <v>2450.9803921568628</v>
      </c>
      <c r="J63" s="62">
        <f t="shared" si="64"/>
        <v>2450.9803921568628</v>
      </c>
      <c r="K63" s="62">
        <f t="shared" si="64"/>
        <v>2450.9803921568628</v>
      </c>
      <c r="L63" s="62">
        <f t="shared" si="64"/>
        <v>2450.9803921568628</v>
      </c>
      <c r="M63" s="62">
        <f t="shared" si="64"/>
        <v>2450.9803921568628</v>
      </c>
      <c r="N63" s="245" t="e">
        <f>+N61/N62/1000</f>
        <v>#DIV/0!</v>
      </c>
    </row>
    <row r="64" spans="1:14" x14ac:dyDescent="0.35">
      <c r="A64" s="235" t="s">
        <v>377</v>
      </c>
      <c r="B64" s="80">
        <f>(B66*B65)</f>
        <v>0</v>
      </c>
      <c r="C64" s="80">
        <f t="shared" ref="C64:M64" si="65">(C66*C65)</f>
        <v>0</v>
      </c>
      <c r="D64" s="80">
        <f t="shared" si="65"/>
        <v>0</v>
      </c>
      <c r="E64" s="80">
        <f t="shared" si="65"/>
        <v>0</v>
      </c>
      <c r="F64" s="80">
        <f t="shared" si="65"/>
        <v>0</v>
      </c>
      <c r="G64" s="80">
        <f t="shared" si="65"/>
        <v>0</v>
      </c>
      <c r="H64" s="80">
        <f t="shared" si="65"/>
        <v>0</v>
      </c>
      <c r="I64" s="80">
        <f t="shared" si="65"/>
        <v>0</v>
      </c>
      <c r="J64" s="80">
        <f t="shared" si="65"/>
        <v>0</v>
      </c>
      <c r="K64" s="80">
        <f t="shared" si="65"/>
        <v>0</v>
      </c>
      <c r="L64" s="80">
        <f t="shared" si="65"/>
        <v>0</v>
      </c>
      <c r="M64" s="80">
        <f t="shared" si="65"/>
        <v>0</v>
      </c>
      <c r="N64" s="244">
        <f>SUM(B64:M64)</f>
        <v>0</v>
      </c>
    </row>
    <row r="65" spans="1:14" x14ac:dyDescent="0.35">
      <c r="A65" s="238" t="s">
        <v>93</v>
      </c>
      <c r="B65" s="239">
        <f>+'Plan de culture 106'!$J$31</f>
        <v>0</v>
      </c>
      <c r="C65" s="239">
        <f>+B65</f>
        <v>0</v>
      </c>
      <c r="D65" s="239">
        <f t="shared" ref="D65" si="66">+C65</f>
        <v>0</v>
      </c>
      <c r="E65" s="239">
        <f>+'Plan de culture 104 '!C61</f>
        <v>0</v>
      </c>
      <c r="F65" s="239">
        <f>+E65+'Plan de culture 104 '!D61+'Plan de culture 104 '!E61</f>
        <v>0</v>
      </c>
      <c r="G65" s="239">
        <f>+F65</f>
        <v>0</v>
      </c>
      <c r="H65" s="239">
        <f t="shared" ref="H65:M65" si="67">+G65</f>
        <v>0</v>
      </c>
      <c r="I65" s="239">
        <f t="shared" si="67"/>
        <v>0</v>
      </c>
      <c r="J65" s="239">
        <f t="shared" si="67"/>
        <v>0</v>
      </c>
      <c r="K65" s="239">
        <f t="shared" si="67"/>
        <v>0</v>
      </c>
      <c r="L65" s="239">
        <f t="shared" si="67"/>
        <v>0</v>
      </c>
      <c r="M65" s="239">
        <f t="shared" si="67"/>
        <v>0</v>
      </c>
      <c r="N65" s="240">
        <f>+'Plan de culture 106'!$J$31</f>
        <v>0</v>
      </c>
    </row>
    <row r="66" spans="1:14" x14ac:dyDescent="0.35">
      <c r="A66" s="238" t="s">
        <v>103</v>
      </c>
      <c r="B66" s="62">
        <f>+B63</f>
        <v>2450.9803921568628</v>
      </c>
      <c r="C66" s="62">
        <f t="shared" ref="C66:M66" si="68">+C63</f>
        <v>2450.9803921568628</v>
      </c>
      <c r="D66" s="62">
        <f t="shared" si="68"/>
        <v>2450.9803921568628</v>
      </c>
      <c r="E66" s="62">
        <f t="shared" si="68"/>
        <v>2450.9803921568628</v>
      </c>
      <c r="F66" s="62">
        <f t="shared" si="68"/>
        <v>2450.9803921568628</v>
      </c>
      <c r="G66" s="62">
        <f t="shared" si="68"/>
        <v>2450.9803921568628</v>
      </c>
      <c r="H66" s="62">
        <f t="shared" si="68"/>
        <v>2450.9803921568628</v>
      </c>
      <c r="I66" s="62">
        <f t="shared" si="68"/>
        <v>2450.9803921568628</v>
      </c>
      <c r="J66" s="62">
        <f t="shared" si="68"/>
        <v>2450.9803921568628</v>
      </c>
      <c r="K66" s="62">
        <f t="shared" si="68"/>
        <v>2450.9803921568628</v>
      </c>
      <c r="L66" s="62">
        <f t="shared" si="68"/>
        <v>2450.9803921568628</v>
      </c>
      <c r="M66" s="62">
        <f t="shared" si="68"/>
        <v>2450.9803921568628</v>
      </c>
      <c r="N66" s="245" t="e">
        <f>+N64/N65/1000</f>
        <v>#DIV/0!</v>
      </c>
    </row>
    <row r="67" spans="1:14" x14ac:dyDescent="0.35">
      <c r="A67" s="235" t="s">
        <v>378</v>
      </c>
      <c r="B67" s="80">
        <f>(B69*B68)</f>
        <v>0</v>
      </c>
      <c r="C67" s="80">
        <f t="shared" ref="C67:M67" si="69">(C69*C68)</f>
        <v>0</v>
      </c>
      <c r="D67" s="80">
        <f t="shared" si="69"/>
        <v>0</v>
      </c>
      <c r="E67" s="80">
        <f t="shared" si="69"/>
        <v>0</v>
      </c>
      <c r="F67" s="80">
        <f t="shared" si="69"/>
        <v>0</v>
      </c>
      <c r="G67" s="80">
        <f t="shared" si="69"/>
        <v>0</v>
      </c>
      <c r="H67" s="80">
        <f t="shared" si="69"/>
        <v>0</v>
      </c>
      <c r="I67" s="80">
        <f t="shared" si="69"/>
        <v>0</v>
      </c>
      <c r="J67" s="80">
        <f t="shared" si="69"/>
        <v>0</v>
      </c>
      <c r="K67" s="80">
        <f t="shared" si="69"/>
        <v>0</v>
      </c>
      <c r="L67" s="80">
        <f t="shared" si="69"/>
        <v>0</v>
      </c>
      <c r="M67" s="80">
        <f t="shared" si="69"/>
        <v>0</v>
      </c>
      <c r="N67" s="244">
        <f>SUM(B67:M67)</f>
        <v>0</v>
      </c>
    </row>
    <row r="68" spans="1:14" x14ac:dyDescent="0.35">
      <c r="A68" s="238" t="s">
        <v>93</v>
      </c>
      <c r="B68" s="239">
        <f>+'Plan de culture 106'!$J$37</f>
        <v>0</v>
      </c>
      <c r="C68" s="239">
        <f>+B68</f>
        <v>0</v>
      </c>
      <c r="D68" s="239">
        <f t="shared" ref="D68" si="70">+C68</f>
        <v>0</v>
      </c>
      <c r="E68" s="239">
        <f>+'Plan de culture 104 '!C64</f>
        <v>0</v>
      </c>
      <c r="F68" s="239">
        <f>+E68+'Plan de culture 104 '!D64+'Plan de culture 104 '!E64</f>
        <v>0</v>
      </c>
      <c r="G68" s="239">
        <f>+F68</f>
        <v>0</v>
      </c>
      <c r="H68" s="239">
        <f t="shared" ref="H68:M68" si="71">+G68</f>
        <v>0</v>
      </c>
      <c r="I68" s="239">
        <f t="shared" si="71"/>
        <v>0</v>
      </c>
      <c r="J68" s="239">
        <f t="shared" si="71"/>
        <v>0</v>
      </c>
      <c r="K68" s="239">
        <f t="shared" si="71"/>
        <v>0</v>
      </c>
      <c r="L68" s="239">
        <f t="shared" si="71"/>
        <v>0</v>
      </c>
      <c r="M68" s="239">
        <f t="shared" si="71"/>
        <v>0</v>
      </c>
      <c r="N68" s="240">
        <f>+'Plan de culture 106'!$J$37</f>
        <v>0</v>
      </c>
    </row>
    <row r="69" spans="1:14" ht="12" thickBot="1" x14ac:dyDescent="0.4">
      <c r="A69" s="241" t="s">
        <v>103</v>
      </c>
      <c r="B69" s="246">
        <f>+B66</f>
        <v>2450.9803921568628</v>
      </c>
      <c r="C69" s="246">
        <f t="shared" ref="C69:M69" si="72">+C66</f>
        <v>2450.9803921568628</v>
      </c>
      <c r="D69" s="246">
        <f t="shared" si="72"/>
        <v>2450.9803921568628</v>
      </c>
      <c r="E69" s="246">
        <f t="shared" si="72"/>
        <v>2450.9803921568628</v>
      </c>
      <c r="F69" s="246">
        <f t="shared" si="72"/>
        <v>2450.9803921568628</v>
      </c>
      <c r="G69" s="246">
        <f t="shared" si="72"/>
        <v>2450.9803921568628</v>
      </c>
      <c r="H69" s="246">
        <f t="shared" si="72"/>
        <v>2450.9803921568628</v>
      </c>
      <c r="I69" s="246">
        <f t="shared" si="72"/>
        <v>2450.9803921568628</v>
      </c>
      <c r="J69" s="246">
        <f t="shared" si="72"/>
        <v>2450.9803921568628</v>
      </c>
      <c r="K69" s="246">
        <f t="shared" si="72"/>
        <v>2450.9803921568628</v>
      </c>
      <c r="L69" s="246">
        <f t="shared" si="72"/>
        <v>2450.9803921568628</v>
      </c>
      <c r="M69" s="246">
        <f t="shared" si="72"/>
        <v>2450.9803921568628</v>
      </c>
      <c r="N69" s="247" t="e">
        <f>+N67/N68/1000</f>
        <v>#DIV/0!</v>
      </c>
    </row>
    <row r="70" spans="1:14" x14ac:dyDescent="0.35">
      <c r="A70" s="233" t="s">
        <v>449</v>
      </c>
      <c r="B70" s="242">
        <f>+B73+B76+B79+B82+B85+B88</f>
        <v>40583.333333333336</v>
      </c>
      <c r="C70" s="242">
        <f t="shared" ref="C70:N71" si="73">+C73+C76+C79+C82+C85+C88</f>
        <v>40583.333333333336</v>
      </c>
      <c r="D70" s="242">
        <f t="shared" si="73"/>
        <v>40583.333333333336</v>
      </c>
      <c r="E70" s="242">
        <f t="shared" si="73"/>
        <v>40583.333333333336</v>
      </c>
      <c r="F70" s="242">
        <f t="shared" si="73"/>
        <v>40583.333333333336</v>
      </c>
      <c r="G70" s="242">
        <f t="shared" si="73"/>
        <v>40583.333333333336</v>
      </c>
      <c r="H70" s="242">
        <f t="shared" si="73"/>
        <v>40583.333333333336</v>
      </c>
      <c r="I70" s="242">
        <f t="shared" si="73"/>
        <v>40583.333333333336</v>
      </c>
      <c r="J70" s="242">
        <f t="shared" si="73"/>
        <v>40583.333333333336</v>
      </c>
      <c r="K70" s="242">
        <f t="shared" si="73"/>
        <v>40583.333333333336</v>
      </c>
      <c r="L70" s="242">
        <f t="shared" si="73"/>
        <v>40583.333333333336</v>
      </c>
      <c r="M70" s="242">
        <f t="shared" si="73"/>
        <v>40583.333333333336</v>
      </c>
      <c r="N70" s="275">
        <f t="shared" si="73"/>
        <v>486999.99999999994</v>
      </c>
    </row>
    <row r="71" spans="1:14" x14ac:dyDescent="0.35">
      <c r="A71" s="234" t="s">
        <v>93</v>
      </c>
      <c r="B71" s="81">
        <f>+B74+B77+B80+B83+B86+B89</f>
        <v>16.558</v>
      </c>
      <c r="C71" s="81">
        <f t="shared" si="73"/>
        <v>16.558</v>
      </c>
      <c r="D71" s="81">
        <f t="shared" si="73"/>
        <v>16.558</v>
      </c>
      <c r="E71" s="81">
        <f t="shared" si="73"/>
        <v>16.558</v>
      </c>
      <c r="F71" s="81">
        <f t="shared" si="73"/>
        <v>16.558</v>
      </c>
      <c r="G71" s="81">
        <f t="shared" si="73"/>
        <v>16.558</v>
      </c>
      <c r="H71" s="81">
        <f t="shared" si="73"/>
        <v>16.558</v>
      </c>
      <c r="I71" s="81">
        <f t="shared" si="73"/>
        <v>16.558</v>
      </c>
      <c r="J71" s="81">
        <f t="shared" si="73"/>
        <v>16.558</v>
      </c>
      <c r="K71" s="81">
        <f t="shared" si="73"/>
        <v>16.558</v>
      </c>
      <c r="L71" s="81">
        <f t="shared" si="73"/>
        <v>16.558</v>
      </c>
      <c r="M71" s="81">
        <f t="shared" si="73"/>
        <v>16.558</v>
      </c>
      <c r="N71" s="276">
        <f t="shared" si="73"/>
        <v>16.558</v>
      </c>
    </row>
    <row r="72" spans="1:14" x14ac:dyDescent="0.35">
      <c r="A72" s="234" t="s">
        <v>103</v>
      </c>
      <c r="B72" s="83">
        <f>+B70/B71</f>
        <v>2450.9803921568628</v>
      </c>
      <c r="C72" s="83">
        <f>+C70/C71</f>
        <v>2450.9803921568628</v>
      </c>
      <c r="D72" s="83">
        <f>+D70/D71</f>
        <v>2450.9803921568628</v>
      </c>
      <c r="E72" s="83">
        <f t="shared" ref="E72:N72" si="74">+E70/E71</f>
        <v>2450.9803921568628</v>
      </c>
      <c r="F72" s="83">
        <f t="shared" si="74"/>
        <v>2450.9803921568628</v>
      </c>
      <c r="G72" s="83">
        <f t="shared" si="74"/>
        <v>2450.9803921568628</v>
      </c>
      <c r="H72" s="83">
        <f t="shared" si="74"/>
        <v>2450.9803921568628</v>
      </c>
      <c r="I72" s="83">
        <f t="shared" si="74"/>
        <v>2450.9803921568628</v>
      </c>
      <c r="J72" s="83">
        <f t="shared" si="74"/>
        <v>2450.9803921568628</v>
      </c>
      <c r="K72" s="83">
        <f t="shared" si="74"/>
        <v>2450.9803921568628</v>
      </c>
      <c r="L72" s="83">
        <f t="shared" si="74"/>
        <v>2450.9803921568628</v>
      </c>
      <c r="M72" s="83">
        <f t="shared" si="74"/>
        <v>2450.9803921568628</v>
      </c>
      <c r="N72" s="249">
        <f t="shared" si="74"/>
        <v>29411.76470588235</v>
      </c>
    </row>
    <row r="73" spans="1:14" x14ac:dyDescent="0.35">
      <c r="A73" s="235" t="s">
        <v>90</v>
      </c>
      <c r="B73" s="80">
        <f>(B75*B74)</f>
        <v>0</v>
      </c>
      <c r="C73" s="80">
        <f t="shared" ref="C73:M73" si="75">(C75*C74)</f>
        <v>0</v>
      </c>
      <c r="D73" s="80">
        <f t="shared" si="75"/>
        <v>0</v>
      </c>
      <c r="E73" s="80">
        <f t="shared" si="75"/>
        <v>0</v>
      </c>
      <c r="F73" s="80">
        <f t="shared" si="75"/>
        <v>0</v>
      </c>
      <c r="G73" s="80">
        <f t="shared" si="75"/>
        <v>0</v>
      </c>
      <c r="H73" s="80">
        <f t="shared" si="75"/>
        <v>0</v>
      </c>
      <c r="I73" s="80">
        <f t="shared" si="75"/>
        <v>0</v>
      </c>
      <c r="J73" s="80">
        <f t="shared" si="75"/>
        <v>0</v>
      </c>
      <c r="K73" s="80">
        <f t="shared" si="75"/>
        <v>0</v>
      </c>
      <c r="L73" s="80">
        <f t="shared" si="75"/>
        <v>0</v>
      </c>
      <c r="M73" s="80">
        <f t="shared" si="75"/>
        <v>0</v>
      </c>
      <c r="N73" s="244">
        <f>SUM(B73:M73)</f>
        <v>0</v>
      </c>
    </row>
    <row r="74" spans="1:14" x14ac:dyDescent="0.35">
      <c r="A74" s="238" t="s">
        <v>93</v>
      </c>
      <c r="B74" s="239">
        <f>+'Plan de culture 107'!$Z$7</f>
        <v>0</v>
      </c>
      <c r="C74" s="239">
        <f>+B74</f>
        <v>0</v>
      </c>
      <c r="D74" s="239">
        <f t="shared" ref="D74" si="76">+C74</f>
        <v>0</v>
      </c>
      <c r="E74" s="239">
        <f>+D74</f>
        <v>0</v>
      </c>
      <c r="F74" s="239">
        <f>+E74</f>
        <v>0</v>
      </c>
      <c r="G74" s="239">
        <f>+F74</f>
        <v>0</v>
      </c>
      <c r="H74" s="239">
        <f t="shared" ref="H74:M74" si="77">+G74</f>
        <v>0</v>
      </c>
      <c r="I74" s="239">
        <f t="shared" si="77"/>
        <v>0</v>
      </c>
      <c r="J74" s="239">
        <f t="shared" si="77"/>
        <v>0</v>
      </c>
      <c r="K74" s="239">
        <f t="shared" si="77"/>
        <v>0</v>
      </c>
      <c r="L74" s="239">
        <f t="shared" si="77"/>
        <v>0</v>
      </c>
      <c r="M74" s="239">
        <f t="shared" si="77"/>
        <v>0</v>
      </c>
      <c r="N74" s="240">
        <f>+'Plan de culture 107'!$Z$7</f>
        <v>0</v>
      </c>
    </row>
    <row r="75" spans="1:14" x14ac:dyDescent="0.35">
      <c r="A75" s="238" t="s">
        <v>103</v>
      </c>
      <c r="B75" s="62">
        <v>2450.9803921568628</v>
      </c>
      <c r="C75" s="62">
        <v>2450.9803921568628</v>
      </c>
      <c r="D75" s="62">
        <v>2450.9803921568628</v>
      </c>
      <c r="E75" s="62">
        <v>2450.9803921568628</v>
      </c>
      <c r="F75" s="62">
        <v>2450.9803921568628</v>
      </c>
      <c r="G75" s="62">
        <v>2450.9803921568628</v>
      </c>
      <c r="H75" s="62">
        <v>2450.9803921568628</v>
      </c>
      <c r="I75" s="62">
        <v>2450.9803921568628</v>
      </c>
      <c r="J75" s="62">
        <v>2450.9803921568628</v>
      </c>
      <c r="K75" s="62">
        <v>2450.9803921568628</v>
      </c>
      <c r="L75" s="62">
        <v>2450.9803921568628</v>
      </c>
      <c r="M75" s="62">
        <v>2450.9803921568628</v>
      </c>
      <c r="N75" s="269" t="e">
        <f>+N73/N74</f>
        <v>#DIV/0!</v>
      </c>
    </row>
    <row r="76" spans="1:14" x14ac:dyDescent="0.35">
      <c r="A76" s="235" t="s">
        <v>91</v>
      </c>
      <c r="B76" s="80">
        <f>(B78*B77)</f>
        <v>0</v>
      </c>
      <c r="C76" s="80">
        <f t="shared" ref="C76:M76" si="78">(C78*C77)</f>
        <v>0</v>
      </c>
      <c r="D76" s="80">
        <f t="shared" si="78"/>
        <v>0</v>
      </c>
      <c r="E76" s="80">
        <f t="shared" si="78"/>
        <v>0</v>
      </c>
      <c r="F76" s="80">
        <f t="shared" si="78"/>
        <v>0</v>
      </c>
      <c r="G76" s="80">
        <f t="shared" si="78"/>
        <v>0</v>
      </c>
      <c r="H76" s="80">
        <f t="shared" si="78"/>
        <v>0</v>
      </c>
      <c r="I76" s="80">
        <f t="shared" si="78"/>
        <v>0</v>
      </c>
      <c r="J76" s="80">
        <f t="shared" si="78"/>
        <v>0</v>
      </c>
      <c r="K76" s="80">
        <f t="shared" si="78"/>
        <v>0</v>
      </c>
      <c r="L76" s="80">
        <f t="shared" si="78"/>
        <v>0</v>
      </c>
      <c r="M76" s="80">
        <f t="shared" si="78"/>
        <v>0</v>
      </c>
      <c r="N76" s="244">
        <f>SUM(B76:M76)</f>
        <v>0</v>
      </c>
    </row>
    <row r="77" spans="1:14" x14ac:dyDescent="0.35">
      <c r="A77" s="238" t="s">
        <v>93</v>
      </c>
      <c r="B77" s="239">
        <f>+'Plan de culture 107'!$Z$13</f>
        <v>0</v>
      </c>
      <c r="C77" s="239">
        <f>+B77</f>
        <v>0</v>
      </c>
      <c r="D77" s="239">
        <f t="shared" ref="D77:M77" si="79">+C77</f>
        <v>0</v>
      </c>
      <c r="E77" s="239">
        <f t="shared" si="79"/>
        <v>0</v>
      </c>
      <c r="F77" s="239">
        <f t="shared" si="79"/>
        <v>0</v>
      </c>
      <c r="G77" s="239">
        <f t="shared" si="79"/>
        <v>0</v>
      </c>
      <c r="H77" s="239">
        <f t="shared" si="79"/>
        <v>0</v>
      </c>
      <c r="I77" s="239">
        <f t="shared" si="79"/>
        <v>0</v>
      </c>
      <c r="J77" s="239">
        <f t="shared" si="79"/>
        <v>0</v>
      </c>
      <c r="K77" s="239">
        <f t="shared" si="79"/>
        <v>0</v>
      </c>
      <c r="L77" s="239">
        <f t="shared" si="79"/>
        <v>0</v>
      </c>
      <c r="M77" s="239">
        <f t="shared" si="79"/>
        <v>0</v>
      </c>
      <c r="N77" s="240">
        <f>+'Plan de culture 107'!$Z$13</f>
        <v>0</v>
      </c>
    </row>
    <row r="78" spans="1:14" x14ac:dyDescent="0.35">
      <c r="A78" s="238" t="s">
        <v>103</v>
      </c>
      <c r="B78" s="62">
        <f>+B75</f>
        <v>2450.9803921568628</v>
      </c>
      <c r="C78" s="62">
        <f t="shared" ref="C78:M78" si="80">+C75</f>
        <v>2450.9803921568628</v>
      </c>
      <c r="D78" s="62">
        <f t="shared" si="80"/>
        <v>2450.9803921568628</v>
      </c>
      <c r="E78" s="62">
        <f t="shared" si="80"/>
        <v>2450.9803921568628</v>
      </c>
      <c r="F78" s="62">
        <f t="shared" si="80"/>
        <v>2450.9803921568628</v>
      </c>
      <c r="G78" s="62">
        <f t="shared" si="80"/>
        <v>2450.9803921568628</v>
      </c>
      <c r="H78" s="62">
        <f t="shared" si="80"/>
        <v>2450.9803921568628</v>
      </c>
      <c r="I78" s="62">
        <f t="shared" si="80"/>
        <v>2450.9803921568628</v>
      </c>
      <c r="J78" s="62">
        <f t="shared" si="80"/>
        <v>2450.9803921568628</v>
      </c>
      <c r="K78" s="62">
        <f t="shared" si="80"/>
        <v>2450.9803921568628</v>
      </c>
      <c r="L78" s="62">
        <f t="shared" si="80"/>
        <v>2450.9803921568628</v>
      </c>
      <c r="M78" s="62">
        <f t="shared" si="80"/>
        <v>2450.9803921568628</v>
      </c>
      <c r="N78" s="245" t="e">
        <f>+N76/N77/1000</f>
        <v>#DIV/0!</v>
      </c>
    </row>
    <row r="79" spans="1:14" x14ac:dyDescent="0.35">
      <c r="A79" s="235" t="s">
        <v>376</v>
      </c>
      <c r="B79" s="80">
        <f>(B81*B80)</f>
        <v>0</v>
      </c>
      <c r="C79" s="80">
        <f t="shared" ref="C79:M79" si="81">(C81*C80)</f>
        <v>0</v>
      </c>
      <c r="D79" s="80">
        <f t="shared" si="81"/>
        <v>0</v>
      </c>
      <c r="E79" s="80">
        <f t="shared" si="81"/>
        <v>0</v>
      </c>
      <c r="F79" s="80">
        <f t="shared" si="81"/>
        <v>0</v>
      </c>
      <c r="G79" s="80">
        <f t="shared" si="81"/>
        <v>0</v>
      </c>
      <c r="H79" s="80">
        <f t="shared" si="81"/>
        <v>0</v>
      </c>
      <c r="I79" s="80">
        <f t="shared" si="81"/>
        <v>0</v>
      </c>
      <c r="J79" s="80">
        <f t="shared" si="81"/>
        <v>0</v>
      </c>
      <c r="K79" s="80">
        <f t="shared" si="81"/>
        <v>0</v>
      </c>
      <c r="L79" s="80">
        <f t="shared" si="81"/>
        <v>0</v>
      </c>
      <c r="M79" s="80">
        <f t="shared" si="81"/>
        <v>0</v>
      </c>
      <c r="N79" s="244">
        <f>SUM(B79:M79)</f>
        <v>0</v>
      </c>
    </row>
    <row r="80" spans="1:14" x14ac:dyDescent="0.35">
      <c r="A80" s="238" t="s">
        <v>93</v>
      </c>
      <c r="B80" s="239">
        <f>+'Plan de culture 107'!$Z$19</f>
        <v>0</v>
      </c>
      <c r="C80" s="239">
        <f>+B80</f>
        <v>0</v>
      </c>
      <c r="D80" s="239">
        <f t="shared" ref="D80" si="82">+C80</f>
        <v>0</v>
      </c>
      <c r="E80" s="239">
        <f>+'Plan de culture 104 '!C76</f>
        <v>0</v>
      </c>
      <c r="F80" s="239">
        <f>+E80+'Plan de culture 104 '!D76+'Plan de culture 104 '!E76</f>
        <v>0</v>
      </c>
      <c r="G80" s="239">
        <f>+F80</f>
        <v>0</v>
      </c>
      <c r="H80" s="239">
        <f t="shared" ref="H80:M80" si="83">+G80</f>
        <v>0</v>
      </c>
      <c r="I80" s="239">
        <f t="shared" si="83"/>
        <v>0</v>
      </c>
      <c r="J80" s="239">
        <f t="shared" si="83"/>
        <v>0</v>
      </c>
      <c r="K80" s="239">
        <f t="shared" si="83"/>
        <v>0</v>
      </c>
      <c r="L80" s="239">
        <f t="shared" si="83"/>
        <v>0</v>
      </c>
      <c r="M80" s="239">
        <f t="shared" si="83"/>
        <v>0</v>
      </c>
      <c r="N80" s="240">
        <f>+'Plan de culture 107'!$Z$19</f>
        <v>0</v>
      </c>
    </row>
    <row r="81" spans="1:14" x14ac:dyDescent="0.35">
      <c r="A81" s="238" t="s">
        <v>103</v>
      </c>
      <c r="B81" s="62">
        <f>+B78</f>
        <v>2450.9803921568628</v>
      </c>
      <c r="C81" s="62">
        <f t="shared" ref="C81:M81" si="84">+C78</f>
        <v>2450.9803921568628</v>
      </c>
      <c r="D81" s="62">
        <f t="shared" si="84"/>
        <v>2450.9803921568628</v>
      </c>
      <c r="E81" s="62">
        <f t="shared" si="84"/>
        <v>2450.9803921568628</v>
      </c>
      <c r="F81" s="62">
        <f t="shared" si="84"/>
        <v>2450.9803921568628</v>
      </c>
      <c r="G81" s="62">
        <f t="shared" si="84"/>
        <v>2450.9803921568628</v>
      </c>
      <c r="H81" s="62">
        <f t="shared" si="84"/>
        <v>2450.9803921568628</v>
      </c>
      <c r="I81" s="62">
        <f t="shared" si="84"/>
        <v>2450.9803921568628</v>
      </c>
      <c r="J81" s="62">
        <f t="shared" si="84"/>
        <v>2450.9803921568628</v>
      </c>
      <c r="K81" s="62">
        <f t="shared" si="84"/>
        <v>2450.9803921568628</v>
      </c>
      <c r="L81" s="62">
        <f t="shared" si="84"/>
        <v>2450.9803921568628</v>
      </c>
      <c r="M81" s="62">
        <f t="shared" si="84"/>
        <v>2450.9803921568628</v>
      </c>
      <c r="N81" s="245" t="e">
        <f>+N79/N80/1000</f>
        <v>#DIV/0!</v>
      </c>
    </row>
    <row r="82" spans="1:14" x14ac:dyDescent="0.35">
      <c r="A82" s="235" t="s">
        <v>92</v>
      </c>
      <c r="B82" s="80">
        <f>(B84*B83)</f>
        <v>40583.333333333336</v>
      </c>
      <c r="C82" s="80">
        <f t="shared" ref="C82:M82" si="85">(C84*C83)</f>
        <v>40583.333333333336</v>
      </c>
      <c r="D82" s="80">
        <f t="shared" si="85"/>
        <v>40583.333333333336</v>
      </c>
      <c r="E82" s="80">
        <f t="shared" si="85"/>
        <v>40583.333333333336</v>
      </c>
      <c r="F82" s="80">
        <f t="shared" si="85"/>
        <v>40583.333333333336</v>
      </c>
      <c r="G82" s="80">
        <f t="shared" si="85"/>
        <v>40583.333333333336</v>
      </c>
      <c r="H82" s="80">
        <f t="shared" si="85"/>
        <v>40583.333333333336</v>
      </c>
      <c r="I82" s="80">
        <f t="shared" si="85"/>
        <v>40583.333333333336</v>
      </c>
      <c r="J82" s="80">
        <f t="shared" si="85"/>
        <v>40583.333333333336</v>
      </c>
      <c r="K82" s="80">
        <f t="shared" si="85"/>
        <v>40583.333333333336</v>
      </c>
      <c r="L82" s="80">
        <f t="shared" si="85"/>
        <v>40583.333333333336</v>
      </c>
      <c r="M82" s="80">
        <f t="shared" si="85"/>
        <v>40583.333333333336</v>
      </c>
      <c r="N82" s="244">
        <f>SUM(B82:M82)</f>
        <v>486999.99999999994</v>
      </c>
    </row>
    <row r="83" spans="1:14" x14ac:dyDescent="0.35">
      <c r="A83" s="238" t="s">
        <v>93</v>
      </c>
      <c r="B83" s="239">
        <f>+'Plan de culture 107'!$Z$25</f>
        <v>16.558</v>
      </c>
      <c r="C83" s="239">
        <f>+B83</f>
        <v>16.558</v>
      </c>
      <c r="D83" s="239">
        <f t="shared" ref="D83:M83" si="86">+C83</f>
        <v>16.558</v>
      </c>
      <c r="E83" s="239">
        <f t="shared" si="86"/>
        <v>16.558</v>
      </c>
      <c r="F83" s="239">
        <f t="shared" si="86"/>
        <v>16.558</v>
      </c>
      <c r="G83" s="239">
        <f t="shared" si="86"/>
        <v>16.558</v>
      </c>
      <c r="H83" s="239">
        <f t="shared" si="86"/>
        <v>16.558</v>
      </c>
      <c r="I83" s="239">
        <f t="shared" si="86"/>
        <v>16.558</v>
      </c>
      <c r="J83" s="239">
        <f t="shared" si="86"/>
        <v>16.558</v>
      </c>
      <c r="K83" s="239">
        <f t="shared" si="86"/>
        <v>16.558</v>
      </c>
      <c r="L83" s="239">
        <f t="shared" si="86"/>
        <v>16.558</v>
      </c>
      <c r="M83" s="239">
        <f t="shared" si="86"/>
        <v>16.558</v>
      </c>
      <c r="N83" s="240">
        <f>+'Plan de culture 107'!$Z$25</f>
        <v>16.558</v>
      </c>
    </row>
    <row r="84" spans="1:14" x14ac:dyDescent="0.35">
      <c r="A84" s="238" t="s">
        <v>103</v>
      </c>
      <c r="B84" s="62">
        <f>+B81</f>
        <v>2450.9803921568628</v>
      </c>
      <c r="C84" s="62">
        <f t="shared" ref="C84:M84" si="87">+C81</f>
        <v>2450.9803921568628</v>
      </c>
      <c r="D84" s="62">
        <f t="shared" si="87"/>
        <v>2450.9803921568628</v>
      </c>
      <c r="E84" s="62">
        <f t="shared" si="87"/>
        <v>2450.9803921568628</v>
      </c>
      <c r="F84" s="62">
        <f t="shared" si="87"/>
        <v>2450.9803921568628</v>
      </c>
      <c r="G84" s="62">
        <f t="shared" si="87"/>
        <v>2450.9803921568628</v>
      </c>
      <c r="H84" s="62">
        <f t="shared" si="87"/>
        <v>2450.9803921568628</v>
      </c>
      <c r="I84" s="62">
        <f t="shared" si="87"/>
        <v>2450.9803921568628</v>
      </c>
      <c r="J84" s="62">
        <f t="shared" si="87"/>
        <v>2450.9803921568628</v>
      </c>
      <c r="K84" s="62">
        <f t="shared" si="87"/>
        <v>2450.9803921568628</v>
      </c>
      <c r="L84" s="62">
        <f t="shared" si="87"/>
        <v>2450.9803921568628</v>
      </c>
      <c r="M84" s="62">
        <f t="shared" si="87"/>
        <v>2450.9803921568628</v>
      </c>
      <c r="N84" s="245">
        <f>+N82/N83/1000</f>
        <v>29.411764705882348</v>
      </c>
    </row>
    <row r="85" spans="1:14" x14ac:dyDescent="0.35">
      <c r="A85" s="235" t="s">
        <v>377</v>
      </c>
      <c r="B85" s="80">
        <f>(B87*B86)</f>
        <v>0</v>
      </c>
      <c r="C85" s="80">
        <f t="shared" ref="C85:M85" si="88">(C87*C86)</f>
        <v>0</v>
      </c>
      <c r="D85" s="80">
        <f t="shared" si="88"/>
        <v>0</v>
      </c>
      <c r="E85" s="80">
        <f t="shared" si="88"/>
        <v>0</v>
      </c>
      <c r="F85" s="80">
        <f t="shared" si="88"/>
        <v>0</v>
      </c>
      <c r="G85" s="80">
        <f t="shared" si="88"/>
        <v>0</v>
      </c>
      <c r="H85" s="80">
        <f t="shared" si="88"/>
        <v>0</v>
      </c>
      <c r="I85" s="80">
        <f t="shared" si="88"/>
        <v>0</v>
      </c>
      <c r="J85" s="80">
        <f t="shared" si="88"/>
        <v>0</v>
      </c>
      <c r="K85" s="80">
        <f t="shared" si="88"/>
        <v>0</v>
      </c>
      <c r="L85" s="80">
        <f t="shared" si="88"/>
        <v>0</v>
      </c>
      <c r="M85" s="80">
        <f t="shared" si="88"/>
        <v>0</v>
      </c>
      <c r="N85" s="244">
        <f>SUM(B85:M85)</f>
        <v>0</v>
      </c>
    </row>
    <row r="86" spans="1:14" x14ac:dyDescent="0.35">
      <c r="A86" s="238" t="s">
        <v>93</v>
      </c>
      <c r="B86" s="239">
        <f>+'Plan de culture 107'!$Z$31</f>
        <v>0</v>
      </c>
      <c r="C86" s="239">
        <f>+B86</f>
        <v>0</v>
      </c>
      <c r="D86" s="239">
        <f t="shared" ref="D86" si="89">+C86</f>
        <v>0</v>
      </c>
      <c r="E86" s="239">
        <f>+'Plan de culture 104 '!C82</f>
        <v>0</v>
      </c>
      <c r="F86" s="239">
        <f>+E86+'Plan de culture 104 '!D82+'Plan de culture 104 '!E82</f>
        <v>0</v>
      </c>
      <c r="G86" s="239">
        <f>+F86</f>
        <v>0</v>
      </c>
      <c r="H86" s="239">
        <f t="shared" ref="H86:M86" si="90">+G86</f>
        <v>0</v>
      </c>
      <c r="I86" s="239">
        <f t="shared" si="90"/>
        <v>0</v>
      </c>
      <c r="J86" s="239">
        <f t="shared" si="90"/>
        <v>0</v>
      </c>
      <c r="K86" s="239">
        <f t="shared" si="90"/>
        <v>0</v>
      </c>
      <c r="L86" s="239">
        <f t="shared" si="90"/>
        <v>0</v>
      </c>
      <c r="M86" s="239">
        <f t="shared" si="90"/>
        <v>0</v>
      </c>
      <c r="N86" s="240">
        <f>+'Plan de culture 107'!$Z$31</f>
        <v>0</v>
      </c>
    </row>
    <row r="87" spans="1:14" x14ac:dyDescent="0.35">
      <c r="A87" s="238" t="s">
        <v>103</v>
      </c>
      <c r="B87" s="62">
        <f>+B84</f>
        <v>2450.9803921568628</v>
      </c>
      <c r="C87" s="62">
        <f t="shared" ref="C87:M87" si="91">+C84</f>
        <v>2450.9803921568628</v>
      </c>
      <c r="D87" s="62">
        <f t="shared" si="91"/>
        <v>2450.9803921568628</v>
      </c>
      <c r="E87" s="62">
        <f t="shared" si="91"/>
        <v>2450.9803921568628</v>
      </c>
      <c r="F87" s="62">
        <f t="shared" si="91"/>
        <v>2450.9803921568628</v>
      </c>
      <c r="G87" s="62">
        <f t="shared" si="91"/>
        <v>2450.9803921568628</v>
      </c>
      <c r="H87" s="62">
        <f t="shared" si="91"/>
        <v>2450.9803921568628</v>
      </c>
      <c r="I87" s="62">
        <f t="shared" si="91"/>
        <v>2450.9803921568628</v>
      </c>
      <c r="J87" s="62">
        <f t="shared" si="91"/>
        <v>2450.9803921568628</v>
      </c>
      <c r="K87" s="62">
        <f t="shared" si="91"/>
        <v>2450.9803921568628</v>
      </c>
      <c r="L87" s="62">
        <f t="shared" si="91"/>
        <v>2450.9803921568628</v>
      </c>
      <c r="M87" s="62">
        <f t="shared" si="91"/>
        <v>2450.9803921568628</v>
      </c>
      <c r="N87" s="245" t="e">
        <f>+N85/N86/1000</f>
        <v>#DIV/0!</v>
      </c>
    </row>
    <row r="88" spans="1:14" x14ac:dyDescent="0.35">
      <c r="A88" s="235" t="s">
        <v>378</v>
      </c>
      <c r="B88" s="80">
        <f>(B90*B89)</f>
        <v>0</v>
      </c>
      <c r="C88" s="80">
        <f t="shared" ref="C88:M88" si="92">(C90*C89)</f>
        <v>0</v>
      </c>
      <c r="D88" s="80">
        <f t="shared" si="92"/>
        <v>0</v>
      </c>
      <c r="E88" s="80">
        <f t="shared" si="92"/>
        <v>0</v>
      </c>
      <c r="F88" s="80">
        <f t="shared" si="92"/>
        <v>0</v>
      </c>
      <c r="G88" s="80">
        <f t="shared" si="92"/>
        <v>0</v>
      </c>
      <c r="H88" s="80">
        <f t="shared" si="92"/>
        <v>0</v>
      </c>
      <c r="I88" s="80">
        <f t="shared" si="92"/>
        <v>0</v>
      </c>
      <c r="J88" s="80">
        <f t="shared" si="92"/>
        <v>0</v>
      </c>
      <c r="K88" s="80">
        <f t="shared" si="92"/>
        <v>0</v>
      </c>
      <c r="L88" s="80">
        <f t="shared" si="92"/>
        <v>0</v>
      </c>
      <c r="M88" s="80">
        <f t="shared" si="92"/>
        <v>0</v>
      </c>
      <c r="N88" s="244">
        <f>SUM(B88:M88)</f>
        <v>0</v>
      </c>
    </row>
    <row r="89" spans="1:14" x14ac:dyDescent="0.35">
      <c r="A89" s="238" t="s">
        <v>93</v>
      </c>
      <c r="B89" s="239">
        <f>+'Plan de culture 107'!$Z$37</f>
        <v>0</v>
      </c>
      <c r="C89" s="239">
        <f>+B89</f>
        <v>0</v>
      </c>
      <c r="D89" s="239">
        <f t="shared" ref="D89" si="93">+C89</f>
        <v>0</v>
      </c>
      <c r="E89" s="239">
        <f>+'Plan de culture 104 '!C85</f>
        <v>0</v>
      </c>
      <c r="F89" s="239">
        <f>+E89+'Plan de culture 104 '!D85+'Plan de culture 104 '!E85</f>
        <v>0</v>
      </c>
      <c r="G89" s="239">
        <f>+F89</f>
        <v>0</v>
      </c>
      <c r="H89" s="239">
        <f t="shared" ref="H89:M89" si="94">+G89</f>
        <v>0</v>
      </c>
      <c r="I89" s="239">
        <f t="shared" si="94"/>
        <v>0</v>
      </c>
      <c r="J89" s="239">
        <f t="shared" si="94"/>
        <v>0</v>
      </c>
      <c r="K89" s="239">
        <f t="shared" si="94"/>
        <v>0</v>
      </c>
      <c r="L89" s="239">
        <f t="shared" si="94"/>
        <v>0</v>
      </c>
      <c r="M89" s="239">
        <f t="shared" si="94"/>
        <v>0</v>
      </c>
      <c r="N89" s="240">
        <f>+'Plan de culture 107'!$Z$37</f>
        <v>0</v>
      </c>
    </row>
    <row r="90" spans="1:14" ht="12" thickBot="1" x14ac:dyDescent="0.4">
      <c r="A90" s="241" t="s">
        <v>103</v>
      </c>
      <c r="B90" s="246">
        <f>+B87</f>
        <v>2450.9803921568628</v>
      </c>
      <c r="C90" s="246">
        <f t="shared" ref="C90:M90" si="95">+C87</f>
        <v>2450.9803921568628</v>
      </c>
      <c r="D90" s="246">
        <f t="shared" si="95"/>
        <v>2450.9803921568628</v>
      </c>
      <c r="E90" s="246">
        <f t="shared" si="95"/>
        <v>2450.9803921568628</v>
      </c>
      <c r="F90" s="246">
        <f t="shared" si="95"/>
        <v>2450.9803921568628</v>
      </c>
      <c r="G90" s="246">
        <f t="shared" si="95"/>
        <v>2450.9803921568628</v>
      </c>
      <c r="H90" s="246">
        <f t="shared" si="95"/>
        <v>2450.9803921568628</v>
      </c>
      <c r="I90" s="246">
        <f t="shared" si="95"/>
        <v>2450.9803921568628</v>
      </c>
      <c r="J90" s="246">
        <f t="shared" si="95"/>
        <v>2450.9803921568628</v>
      </c>
      <c r="K90" s="246">
        <f t="shared" si="95"/>
        <v>2450.9803921568628</v>
      </c>
      <c r="L90" s="246">
        <f t="shared" si="95"/>
        <v>2450.9803921568628</v>
      </c>
      <c r="M90" s="246">
        <f t="shared" si="95"/>
        <v>2450.9803921568628</v>
      </c>
      <c r="N90" s="247" t="e">
        <f>+N88/N89/1000</f>
        <v>#DIV/0!</v>
      </c>
    </row>
    <row r="91" spans="1:14" x14ac:dyDescent="0.35">
      <c r="A91" s="233" t="s">
        <v>450</v>
      </c>
      <c r="B91" s="242">
        <f>+B94+B97+B100+B103+B106+B109</f>
        <v>63946.078431372553</v>
      </c>
      <c r="C91" s="242">
        <f t="shared" ref="C91:N91" si="96">+C94+C97+C100+C103+C106+C109</f>
        <v>63946.078431372553</v>
      </c>
      <c r="D91" s="242">
        <f t="shared" si="96"/>
        <v>63946.078431372553</v>
      </c>
      <c r="E91" s="242">
        <f t="shared" si="96"/>
        <v>63946.078431372553</v>
      </c>
      <c r="F91" s="242">
        <f t="shared" si="96"/>
        <v>63946.078431372553</v>
      </c>
      <c r="G91" s="242">
        <f t="shared" si="96"/>
        <v>63946.078431372553</v>
      </c>
      <c r="H91" s="242">
        <f t="shared" si="96"/>
        <v>63946.078431372553</v>
      </c>
      <c r="I91" s="242">
        <f t="shared" si="96"/>
        <v>63946.078431372553</v>
      </c>
      <c r="J91" s="242">
        <f t="shared" si="96"/>
        <v>63946.078431372553</v>
      </c>
      <c r="K91" s="242">
        <f t="shared" si="96"/>
        <v>63946.078431372553</v>
      </c>
      <c r="L91" s="242">
        <f t="shared" si="96"/>
        <v>63946.078431372553</v>
      </c>
      <c r="M91" s="242">
        <f t="shared" si="96"/>
        <v>63946.078431372553</v>
      </c>
      <c r="N91" s="275">
        <f t="shared" si="96"/>
        <v>767352.94117647049</v>
      </c>
    </row>
    <row r="92" spans="1:14" x14ac:dyDescent="0.35">
      <c r="A92" s="234" t="s">
        <v>93</v>
      </c>
      <c r="B92" s="81">
        <f>+B95+B98+B101+B104+B107+B110</f>
        <v>26.09</v>
      </c>
      <c r="C92" s="81">
        <f t="shared" ref="C92:N92" si="97">+C95+C98+C101+C104+C107+C110</f>
        <v>26.09</v>
      </c>
      <c r="D92" s="81">
        <f t="shared" si="97"/>
        <v>26.09</v>
      </c>
      <c r="E92" s="81">
        <f t="shared" si="97"/>
        <v>26.09</v>
      </c>
      <c r="F92" s="81">
        <f t="shared" si="97"/>
        <v>26.09</v>
      </c>
      <c r="G92" s="81">
        <f t="shared" si="97"/>
        <v>26.09</v>
      </c>
      <c r="H92" s="81">
        <f t="shared" si="97"/>
        <v>26.09</v>
      </c>
      <c r="I92" s="81">
        <f t="shared" si="97"/>
        <v>26.09</v>
      </c>
      <c r="J92" s="81">
        <f t="shared" si="97"/>
        <v>26.09</v>
      </c>
      <c r="K92" s="81">
        <f t="shared" si="97"/>
        <v>26.09</v>
      </c>
      <c r="L92" s="81">
        <f t="shared" si="97"/>
        <v>26.09</v>
      </c>
      <c r="M92" s="81">
        <f t="shared" si="97"/>
        <v>26.09</v>
      </c>
      <c r="N92" s="276">
        <f t="shared" si="97"/>
        <v>26.09</v>
      </c>
    </row>
    <row r="93" spans="1:14" x14ac:dyDescent="0.35">
      <c r="A93" s="234" t="s">
        <v>103</v>
      </c>
      <c r="B93" s="83">
        <f>+B91/B92</f>
        <v>2450.9803921568628</v>
      </c>
      <c r="C93" s="83">
        <f>+C91/C92</f>
        <v>2450.9803921568628</v>
      </c>
      <c r="D93" s="83">
        <f>+D91/D92</f>
        <v>2450.9803921568628</v>
      </c>
      <c r="E93" s="83">
        <f t="shared" ref="E93:N93" si="98">+E91/E92</f>
        <v>2450.9803921568628</v>
      </c>
      <c r="F93" s="83">
        <f t="shared" si="98"/>
        <v>2450.9803921568628</v>
      </c>
      <c r="G93" s="83">
        <f t="shared" si="98"/>
        <v>2450.9803921568628</v>
      </c>
      <c r="H93" s="83">
        <f t="shared" si="98"/>
        <v>2450.9803921568628</v>
      </c>
      <c r="I93" s="83">
        <f t="shared" si="98"/>
        <v>2450.9803921568628</v>
      </c>
      <c r="J93" s="83">
        <f t="shared" si="98"/>
        <v>2450.9803921568628</v>
      </c>
      <c r="K93" s="83">
        <f t="shared" si="98"/>
        <v>2450.9803921568628</v>
      </c>
      <c r="L93" s="83">
        <f t="shared" si="98"/>
        <v>2450.9803921568628</v>
      </c>
      <c r="M93" s="83">
        <f t="shared" si="98"/>
        <v>2450.9803921568628</v>
      </c>
      <c r="N93" s="249">
        <f t="shared" si="98"/>
        <v>29411.76470588235</v>
      </c>
    </row>
    <row r="94" spans="1:14" x14ac:dyDescent="0.35">
      <c r="A94" s="235" t="s">
        <v>90</v>
      </c>
      <c r="B94" s="80">
        <f>(B96*B95)</f>
        <v>0</v>
      </c>
      <c r="C94" s="80">
        <f t="shared" ref="C94:M94" si="99">(C96*C95)</f>
        <v>0</v>
      </c>
      <c r="D94" s="80">
        <f t="shared" si="99"/>
        <v>0</v>
      </c>
      <c r="E94" s="80">
        <f t="shared" si="99"/>
        <v>0</v>
      </c>
      <c r="F94" s="80">
        <f t="shared" si="99"/>
        <v>0</v>
      </c>
      <c r="G94" s="80">
        <f t="shared" si="99"/>
        <v>0</v>
      </c>
      <c r="H94" s="80">
        <f t="shared" si="99"/>
        <v>0</v>
      </c>
      <c r="I94" s="80">
        <f t="shared" si="99"/>
        <v>0</v>
      </c>
      <c r="J94" s="80">
        <f t="shared" si="99"/>
        <v>0</v>
      </c>
      <c r="K94" s="80">
        <f t="shared" si="99"/>
        <v>0</v>
      </c>
      <c r="L94" s="80">
        <f t="shared" si="99"/>
        <v>0</v>
      </c>
      <c r="M94" s="80">
        <f t="shared" si="99"/>
        <v>0</v>
      </c>
      <c r="N94" s="244">
        <f>SUM(B94:M94)</f>
        <v>0</v>
      </c>
    </row>
    <row r="95" spans="1:14" x14ac:dyDescent="0.35">
      <c r="A95" s="238" t="s">
        <v>93</v>
      </c>
      <c r="B95" s="239">
        <f>+'Plan de culture 114'!$AE$7</f>
        <v>0</v>
      </c>
      <c r="C95" s="239">
        <f>+B95</f>
        <v>0</v>
      </c>
      <c r="D95" s="239">
        <f t="shared" ref="D95" si="100">+C95</f>
        <v>0</v>
      </c>
      <c r="E95" s="239">
        <f>+D95</f>
        <v>0</v>
      </c>
      <c r="F95" s="239">
        <f>+E95</f>
        <v>0</v>
      </c>
      <c r="G95" s="239">
        <f>+F95</f>
        <v>0</v>
      </c>
      <c r="H95" s="239">
        <f t="shared" ref="H95:M95" si="101">+G95</f>
        <v>0</v>
      </c>
      <c r="I95" s="239">
        <f t="shared" si="101"/>
        <v>0</v>
      </c>
      <c r="J95" s="239">
        <f t="shared" si="101"/>
        <v>0</v>
      </c>
      <c r="K95" s="239">
        <f t="shared" si="101"/>
        <v>0</v>
      </c>
      <c r="L95" s="239">
        <f t="shared" si="101"/>
        <v>0</v>
      </c>
      <c r="M95" s="239">
        <f t="shared" si="101"/>
        <v>0</v>
      </c>
      <c r="N95" s="240">
        <f>+'Plan de culture 114'!$AE$7</f>
        <v>0</v>
      </c>
    </row>
    <row r="96" spans="1:14" x14ac:dyDescent="0.35">
      <c r="A96" s="238" t="s">
        <v>103</v>
      </c>
      <c r="B96" s="62">
        <v>2450.9803921568628</v>
      </c>
      <c r="C96" s="62">
        <v>2450.9803921568628</v>
      </c>
      <c r="D96" s="62">
        <v>2450.9803921568628</v>
      </c>
      <c r="E96" s="62">
        <v>2450.9803921568628</v>
      </c>
      <c r="F96" s="62">
        <v>2450.9803921568628</v>
      </c>
      <c r="G96" s="62">
        <v>2450.9803921568628</v>
      </c>
      <c r="H96" s="62">
        <v>2450.9803921568628</v>
      </c>
      <c r="I96" s="62">
        <v>2450.9803921568628</v>
      </c>
      <c r="J96" s="62">
        <v>2450.9803921568628</v>
      </c>
      <c r="K96" s="62">
        <v>2450.9803921568628</v>
      </c>
      <c r="L96" s="62">
        <v>2450.9803921568628</v>
      </c>
      <c r="M96" s="62">
        <v>2450.9803921568628</v>
      </c>
      <c r="N96" s="269" t="e">
        <f>+N94/N95</f>
        <v>#DIV/0!</v>
      </c>
    </row>
    <row r="97" spans="1:14" x14ac:dyDescent="0.35">
      <c r="A97" s="235" t="s">
        <v>91</v>
      </c>
      <c r="B97" s="80">
        <f>(B99*B98)</f>
        <v>63946.078431372553</v>
      </c>
      <c r="C97" s="80">
        <f t="shared" ref="C97:M97" si="102">(C99*C98)</f>
        <v>63946.078431372553</v>
      </c>
      <c r="D97" s="80">
        <f t="shared" si="102"/>
        <v>63946.078431372553</v>
      </c>
      <c r="E97" s="80">
        <f t="shared" si="102"/>
        <v>63946.078431372553</v>
      </c>
      <c r="F97" s="80">
        <f t="shared" si="102"/>
        <v>63946.078431372553</v>
      </c>
      <c r="G97" s="80">
        <f t="shared" si="102"/>
        <v>63946.078431372553</v>
      </c>
      <c r="H97" s="80">
        <f t="shared" si="102"/>
        <v>63946.078431372553</v>
      </c>
      <c r="I97" s="80">
        <f t="shared" si="102"/>
        <v>63946.078431372553</v>
      </c>
      <c r="J97" s="80">
        <f t="shared" si="102"/>
        <v>63946.078431372553</v>
      </c>
      <c r="K97" s="80">
        <f t="shared" si="102"/>
        <v>63946.078431372553</v>
      </c>
      <c r="L97" s="80">
        <f t="shared" si="102"/>
        <v>63946.078431372553</v>
      </c>
      <c r="M97" s="80">
        <f t="shared" si="102"/>
        <v>63946.078431372553</v>
      </c>
      <c r="N97" s="244">
        <f>SUM(B97:M97)</f>
        <v>767352.94117647049</v>
      </c>
    </row>
    <row r="98" spans="1:14" x14ac:dyDescent="0.35">
      <c r="A98" s="238" t="s">
        <v>93</v>
      </c>
      <c r="B98" s="239">
        <f>+'Plan de culture 114'!$AE$13</f>
        <v>26.09</v>
      </c>
      <c r="C98" s="239">
        <f>+B98</f>
        <v>26.09</v>
      </c>
      <c r="D98" s="239">
        <f t="shared" ref="D98:M98" si="103">+C98</f>
        <v>26.09</v>
      </c>
      <c r="E98" s="239">
        <f t="shared" si="103"/>
        <v>26.09</v>
      </c>
      <c r="F98" s="239">
        <f t="shared" si="103"/>
        <v>26.09</v>
      </c>
      <c r="G98" s="239">
        <f t="shared" si="103"/>
        <v>26.09</v>
      </c>
      <c r="H98" s="239">
        <f t="shared" si="103"/>
        <v>26.09</v>
      </c>
      <c r="I98" s="239">
        <f t="shared" si="103"/>
        <v>26.09</v>
      </c>
      <c r="J98" s="239">
        <f t="shared" si="103"/>
        <v>26.09</v>
      </c>
      <c r="K98" s="239">
        <f t="shared" si="103"/>
        <v>26.09</v>
      </c>
      <c r="L98" s="239">
        <f t="shared" si="103"/>
        <v>26.09</v>
      </c>
      <c r="M98" s="239">
        <f t="shared" si="103"/>
        <v>26.09</v>
      </c>
      <c r="N98" s="240">
        <f>+'Plan de culture 114'!$AE$13</f>
        <v>26.09</v>
      </c>
    </row>
    <row r="99" spans="1:14" x14ac:dyDescent="0.35">
      <c r="A99" s="238" t="s">
        <v>103</v>
      </c>
      <c r="B99" s="62">
        <f>+B96</f>
        <v>2450.9803921568628</v>
      </c>
      <c r="C99" s="62">
        <f t="shared" ref="C99:M99" si="104">+C96</f>
        <v>2450.9803921568628</v>
      </c>
      <c r="D99" s="62">
        <f t="shared" si="104"/>
        <v>2450.9803921568628</v>
      </c>
      <c r="E99" s="62">
        <f t="shared" si="104"/>
        <v>2450.9803921568628</v>
      </c>
      <c r="F99" s="62">
        <f t="shared" si="104"/>
        <v>2450.9803921568628</v>
      </c>
      <c r="G99" s="62">
        <f t="shared" si="104"/>
        <v>2450.9803921568628</v>
      </c>
      <c r="H99" s="62">
        <f t="shared" si="104"/>
        <v>2450.9803921568628</v>
      </c>
      <c r="I99" s="62">
        <f t="shared" si="104"/>
        <v>2450.9803921568628</v>
      </c>
      <c r="J99" s="62">
        <f t="shared" si="104"/>
        <v>2450.9803921568628</v>
      </c>
      <c r="K99" s="62">
        <f t="shared" si="104"/>
        <v>2450.9803921568628</v>
      </c>
      <c r="L99" s="62">
        <f t="shared" si="104"/>
        <v>2450.9803921568628</v>
      </c>
      <c r="M99" s="62">
        <f t="shared" si="104"/>
        <v>2450.9803921568628</v>
      </c>
      <c r="N99" s="245">
        <f>+N97/N98/1000</f>
        <v>29.411764705882348</v>
      </c>
    </row>
    <row r="100" spans="1:14" x14ac:dyDescent="0.35">
      <c r="A100" s="235" t="s">
        <v>376</v>
      </c>
      <c r="B100" s="80">
        <f>(B102*B101)</f>
        <v>0</v>
      </c>
      <c r="C100" s="80">
        <f t="shared" ref="C100:M100" si="105">(C102*C101)</f>
        <v>0</v>
      </c>
      <c r="D100" s="80">
        <f t="shared" si="105"/>
        <v>0</v>
      </c>
      <c r="E100" s="80">
        <f t="shared" si="105"/>
        <v>0</v>
      </c>
      <c r="F100" s="80">
        <f t="shared" si="105"/>
        <v>0</v>
      </c>
      <c r="G100" s="80">
        <f t="shared" si="105"/>
        <v>0</v>
      </c>
      <c r="H100" s="80">
        <f t="shared" si="105"/>
        <v>0</v>
      </c>
      <c r="I100" s="80">
        <f t="shared" si="105"/>
        <v>0</v>
      </c>
      <c r="J100" s="80">
        <f t="shared" si="105"/>
        <v>0</v>
      </c>
      <c r="K100" s="80">
        <f t="shared" si="105"/>
        <v>0</v>
      </c>
      <c r="L100" s="80">
        <f t="shared" si="105"/>
        <v>0</v>
      </c>
      <c r="M100" s="80">
        <f t="shared" si="105"/>
        <v>0</v>
      </c>
      <c r="N100" s="244">
        <f>SUM(B100:M100)</f>
        <v>0</v>
      </c>
    </row>
    <row r="101" spans="1:14" x14ac:dyDescent="0.35">
      <c r="A101" s="238" t="s">
        <v>93</v>
      </c>
      <c r="B101" s="239">
        <f>+'Plan de culture 114'!$AE$19</f>
        <v>0</v>
      </c>
      <c r="C101" s="239">
        <f>+B101</f>
        <v>0</v>
      </c>
      <c r="D101" s="239">
        <f t="shared" ref="D101" si="106">+C101</f>
        <v>0</v>
      </c>
      <c r="E101" s="239">
        <f>+'Plan de culture 104 '!C97</f>
        <v>0</v>
      </c>
      <c r="F101" s="239">
        <f>+E101+'Plan de culture 104 '!D97+'Plan de culture 104 '!E97</f>
        <v>0</v>
      </c>
      <c r="G101" s="239">
        <f>+F101</f>
        <v>0</v>
      </c>
      <c r="H101" s="239">
        <f t="shared" ref="H101:M101" si="107">+G101</f>
        <v>0</v>
      </c>
      <c r="I101" s="239">
        <f t="shared" si="107"/>
        <v>0</v>
      </c>
      <c r="J101" s="239">
        <f t="shared" si="107"/>
        <v>0</v>
      </c>
      <c r="K101" s="239">
        <f t="shared" si="107"/>
        <v>0</v>
      </c>
      <c r="L101" s="239">
        <f t="shared" si="107"/>
        <v>0</v>
      </c>
      <c r="M101" s="239">
        <f t="shared" si="107"/>
        <v>0</v>
      </c>
      <c r="N101" s="240">
        <f>+'Plan de culture 114'!$AE$19</f>
        <v>0</v>
      </c>
    </row>
    <row r="102" spans="1:14" x14ac:dyDescent="0.35">
      <c r="A102" s="238" t="s">
        <v>103</v>
      </c>
      <c r="B102" s="62">
        <f>+B99</f>
        <v>2450.9803921568628</v>
      </c>
      <c r="C102" s="62">
        <f t="shared" ref="C102:M102" si="108">+C99</f>
        <v>2450.9803921568628</v>
      </c>
      <c r="D102" s="62">
        <f t="shared" si="108"/>
        <v>2450.9803921568628</v>
      </c>
      <c r="E102" s="62">
        <f t="shared" si="108"/>
        <v>2450.9803921568628</v>
      </c>
      <c r="F102" s="62">
        <f t="shared" si="108"/>
        <v>2450.9803921568628</v>
      </c>
      <c r="G102" s="62">
        <f t="shared" si="108"/>
        <v>2450.9803921568628</v>
      </c>
      <c r="H102" s="62">
        <f t="shared" si="108"/>
        <v>2450.9803921568628</v>
      </c>
      <c r="I102" s="62">
        <f t="shared" si="108"/>
        <v>2450.9803921568628</v>
      </c>
      <c r="J102" s="62">
        <f t="shared" si="108"/>
        <v>2450.9803921568628</v>
      </c>
      <c r="K102" s="62">
        <f t="shared" si="108"/>
        <v>2450.9803921568628</v>
      </c>
      <c r="L102" s="62">
        <f t="shared" si="108"/>
        <v>2450.9803921568628</v>
      </c>
      <c r="M102" s="62">
        <f t="shared" si="108"/>
        <v>2450.9803921568628</v>
      </c>
      <c r="N102" s="245" t="e">
        <f>+N100/N101/1000</f>
        <v>#DIV/0!</v>
      </c>
    </row>
    <row r="103" spans="1:14" x14ac:dyDescent="0.35">
      <c r="A103" s="235" t="s">
        <v>92</v>
      </c>
      <c r="B103" s="80">
        <f>(B105*B104)</f>
        <v>0</v>
      </c>
      <c r="C103" s="80">
        <f t="shared" ref="C103:M103" si="109">(C105*C104)</f>
        <v>0</v>
      </c>
      <c r="D103" s="80">
        <f t="shared" si="109"/>
        <v>0</v>
      </c>
      <c r="E103" s="80">
        <f t="shared" si="109"/>
        <v>0</v>
      </c>
      <c r="F103" s="80">
        <f t="shared" si="109"/>
        <v>0</v>
      </c>
      <c r="G103" s="80">
        <f t="shared" si="109"/>
        <v>0</v>
      </c>
      <c r="H103" s="80">
        <f t="shared" si="109"/>
        <v>0</v>
      </c>
      <c r="I103" s="80">
        <f t="shared" si="109"/>
        <v>0</v>
      </c>
      <c r="J103" s="80">
        <f t="shared" si="109"/>
        <v>0</v>
      </c>
      <c r="K103" s="80">
        <f t="shared" si="109"/>
        <v>0</v>
      </c>
      <c r="L103" s="80">
        <f t="shared" si="109"/>
        <v>0</v>
      </c>
      <c r="M103" s="80">
        <f t="shared" si="109"/>
        <v>0</v>
      </c>
      <c r="N103" s="244">
        <f>SUM(B103:M103)</f>
        <v>0</v>
      </c>
    </row>
    <row r="104" spans="1:14" x14ac:dyDescent="0.35">
      <c r="A104" s="238" t="s">
        <v>93</v>
      </c>
      <c r="B104" s="239">
        <f>+'Plan de culture 114'!$AE$25</f>
        <v>0</v>
      </c>
      <c r="C104" s="239">
        <f>+B104</f>
        <v>0</v>
      </c>
      <c r="D104" s="239">
        <f t="shared" ref="D104" si="110">+C104</f>
        <v>0</v>
      </c>
      <c r="E104" s="239">
        <f>+'Plan de culture 104 '!C100</f>
        <v>0</v>
      </c>
      <c r="F104" s="239">
        <f>+E104+'Plan de culture 104 '!D100+'Plan de culture 104 '!E100</f>
        <v>0</v>
      </c>
      <c r="G104" s="239">
        <f>+F104</f>
        <v>0</v>
      </c>
      <c r="H104" s="239">
        <f t="shared" ref="H104:M104" si="111">+G104</f>
        <v>0</v>
      </c>
      <c r="I104" s="239">
        <f t="shared" si="111"/>
        <v>0</v>
      </c>
      <c r="J104" s="239">
        <f t="shared" si="111"/>
        <v>0</v>
      </c>
      <c r="K104" s="239">
        <f t="shared" si="111"/>
        <v>0</v>
      </c>
      <c r="L104" s="239">
        <f t="shared" si="111"/>
        <v>0</v>
      </c>
      <c r="M104" s="239">
        <f t="shared" si="111"/>
        <v>0</v>
      </c>
      <c r="N104" s="240">
        <f>+'Plan de culture 114'!$AE$25</f>
        <v>0</v>
      </c>
    </row>
    <row r="105" spans="1:14" x14ac:dyDescent="0.35">
      <c r="A105" s="238" t="s">
        <v>103</v>
      </c>
      <c r="B105" s="62">
        <f>+B102</f>
        <v>2450.9803921568628</v>
      </c>
      <c r="C105" s="62">
        <f t="shared" ref="C105:M105" si="112">+C102</f>
        <v>2450.9803921568628</v>
      </c>
      <c r="D105" s="62">
        <f t="shared" si="112"/>
        <v>2450.9803921568628</v>
      </c>
      <c r="E105" s="62">
        <f t="shared" si="112"/>
        <v>2450.9803921568628</v>
      </c>
      <c r="F105" s="62">
        <f t="shared" si="112"/>
        <v>2450.9803921568628</v>
      </c>
      <c r="G105" s="62">
        <f t="shared" si="112"/>
        <v>2450.9803921568628</v>
      </c>
      <c r="H105" s="62">
        <f t="shared" si="112"/>
        <v>2450.9803921568628</v>
      </c>
      <c r="I105" s="62">
        <f t="shared" si="112"/>
        <v>2450.9803921568628</v>
      </c>
      <c r="J105" s="62">
        <f t="shared" si="112"/>
        <v>2450.9803921568628</v>
      </c>
      <c r="K105" s="62">
        <f t="shared" si="112"/>
        <v>2450.9803921568628</v>
      </c>
      <c r="L105" s="62">
        <f t="shared" si="112"/>
        <v>2450.9803921568628</v>
      </c>
      <c r="M105" s="62">
        <f t="shared" si="112"/>
        <v>2450.9803921568628</v>
      </c>
      <c r="N105" s="245" t="e">
        <f>+N103/N104/1000</f>
        <v>#DIV/0!</v>
      </c>
    </row>
    <row r="106" spans="1:14" x14ac:dyDescent="0.35">
      <c r="A106" s="235" t="s">
        <v>377</v>
      </c>
      <c r="B106" s="80">
        <f>(B108*B107)</f>
        <v>0</v>
      </c>
      <c r="C106" s="80">
        <f t="shared" ref="C106:M106" si="113">(C108*C107)</f>
        <v>0</v>
      </c>
      <c r="D106" s="80">
        <f t="shared" si="113"/>
        <v>0</v>
      </c>
      <c r="E106" s="80">
        <f t="shared" si="113"/>
        <v>0</v>
      </c>
      <c r="F106" s="80">
        <f t="shared" si="113"/>
        <v>0</v>
      </c>
      <c r="G106" s="80">
        <f t="shared" si="113"/>
        <v>0</v>
      </c>
      <c r="H106" s="80">
        <f t="shared" si="113"/>
        <v>0</v>
      </c>
      <c r="I106" s="80">
        <f t="shared" si="113"/>
        <v>0</v>
      </c>
      <c r="J106" s="80">
        <f t="shared" si="113"/>
        <v>0</v>
      </c>
      <c r="K106" s="80">
        <f t="shared" si="113"/>
        <v>0</v>
      </c>
      <c r="L106" s="80">
        <f t="shared" si="113"/>
        <v>0</v>
      </c>
      <c r="M106" s="80">
        <f t="shared" si="113"/>
        <v>0</v>
      </c>
      <c r="N106" s="244">
        <f>SUM(B106:M106)</f>
        <v>0</v>
      </c>
    </row>
    <row r="107" spans="1:14" x14ac:dyDescent="0.35">
      <c r="A107" s="238" t="s">
        <v>93</v>
      </c>
      <c r="B107" s="239">
        <f>+'Plan de culture 114'!$AE$31</f>
        <v>0</v>
      </c>
      <c r="C107" s="239">
        <f>+B107</f>
        <v>0</v>
      </c>
      <c r="D107" s="239">
        <f t="shared" ref="D107" si="114">+C107</f>
        <v>0</v>
      </c>
      <c r="E107" s="239">
        <f>+'Plan de culture 104 '!C103</f>
        <v>0</v>
      </c>
      <c r="F107" s="239">
        <f>+E107+'Plan de culture 104 '!D103+'Plan de culture 104 '!E103</f>
        <v>0</v>
      </c>
      <c r="G107" s="239">
        <f>+F107</f>
        <v>0</v>
      </c>
      <c r="H107" s="239">
        <f t="shared" ref="H107:M107" si="115">+G107</f>
        <v>0</v>
      </c>
      <c r="I107" s="239">
        <f t="shared" si="115"/>
        <v>0</v>
      </c>
      <c r="J107" s="239">
        <f t="shared" si="115"/>
        <v>0</v>
      </c>
      <c r="K107" s="239">
        <f t="shared" si="115"/>
        <v>0</v>
      </c>
      <c r="L107" s="239">
        <f t="shared" si="115"/>
        <v>0</v>
      </c>
      <c r="M107" s="239">
        <f t="shared" si="115"/>
        <v>0</v>
      </c>
      <c r="N107" s="240">
        <f>+'Plan de culture 114'!$AE$31</f>
        <v>0</v>
      </c>
    </row>
    <row r="108" spans="1:14" x14ac:dyDescent="0.35">
      <c r="A108" s="238" t="s">
        <v>103</v>
      </c>
      <c r="B108" s="62">
        <f>+B105</f>
        <v>2450.9803921568628</v>
      </c>
      <c r="C108" s="62">
        <f t="shared" ref="C108:M108" si="116">+C105</f>
        <v>2450.9803921568628</v>
      </c>
      <c r="D108" s="62">
        <f t="shared" si="116"/>
        <v>2450.9803921568628</v>
      </c>
      <c r="E108" s="62">
        <f t="shared" si="116"/>
        <v>2450.9803921568628</v>
      </c>
      <c r="F108" s="62">
        <f t="shared" si="116"/>
        <v>2450.9803921568628</v>
      </c>
      <c r="G108" s="62">
        <f t="shared" si="116"/>
        <v>2450.9803921568628</v>
      </c>
      <c r="H108" s="62">
        <f t="shared" si="116"/>
        <v>2450.9803921568628</v>
      </c>
      <c r="I108" s="62">
        <f t="shared" si="116"/>
        <v>2450.9803921568628</v>
      </c>
      <c r="J108" s="62">
        <f t="shared" si="116"/>
        <v>2450.9803921568628</v>
      </c>
      <c r="K108" s="62">
        <f t="shared" si="116"/>
        <v>2450.9803921568628</v>
      </c>
      <c r="L108" s="62">
        <f t="shared" si="116"/>
        <v>2450.9803921568628</v>
      </c>
      <c r="M108" s="62">
        <f t="shared" si="116"/>
        <v>2450.9803921568628</v>
      </c>
      <c r="N108" s="245" t="e">
        <f>+N106/N107/1000</f>
        <v>#DIV/0!</v>
      </c>
    </row>
    <row r="109" spans="1:14" x14ac:dyDescent="0.35">
      <c r="A109" s="235" t="s">
        <v>378</v>
      </c>
      <c r="B109" s="80">
        <f>(B111*B110)</f>
        <v>0</v>
      </c>
      <c r="C109" s="80">
        <f t="shared" ref="C109:M109" si="117">(C111*C110)</f>
        <v>0</v>
      </c>
      <c r="D109" s="80">
        <f t="shared" si="117"/>
        <v>0</v>
      </c>
      <c r="E109" s="80">
        <f t="shared" si="117"/>
        <v>0</v>
      </c>
      <c r="F109" s="80">
        <f t="shared" si="117"/>
        <v>0</v>
      </c>
      <c r="G109" s="80">
        <f t="shared" si="117"/>
        <v>0</v>
      </c>
      <c r="H109" s="80">
        <f t="shared" si="117"/>
        <v>0</v>
      </c>
      <c r="I109" s="80">
        <f t="shared" si="117"/>
        <v>0</v>
      </c>
      <c r="J109" s="80">
        <f t="shared" si="117"/>
        <v>0</v>
      </c>
      <c r="K109" s="80">
        <f t="shared" si="117"/>
        <v>0</v>
      </c>
      <c r="L109" s="80">
        <f t="shared" si="117"/>
        <v>0</v>
      </c>
      <c r="M109" s="80">
        <f t="shared" si="117"/>
        <v>0</v>
      </c>
      <c r="N109" s="244">
        <f>SUM(B109:M109)</f>
        <v>0</v>
      </c>
    </row>
    <row r="110" spans="1:14" x14ac:dyDescent="0.35">
      <c r="A110" s="238" t="s">
        <v>93</v>
      </c>
      <c r="B110" s="239">
        <f>+'Plan de culture 114'!$AE$37</f>
        <v>0</v>
      </c>
      <c r="C110" s="239">
        <f>+B110</f>
        <v>0</v>
      </c>
      <c r="D110" s="239">
        <f t="shared" ref="D110" si="118">+C110</f>
        <v>0</v>
      </c>
      <c r="E110" s="239">
        <f>+'Plan de culture 104 '!C106</f>
        <v>0</v>
      </c>
      <c r="F110" s="239">
        <f>+E110+'Plan de culture 104 '!D106+'Plan de culture 104 '!E106</f>
        <v>0</v>
      </c>
      <c r="G110" s="239">
        <f>+F110</f>
        <v>0</v>
      </c>
      <c r="H110" s="239">
        <f t="shared" ref="H110:M110" si="119">+G110</f>
        <v>0</v>
      </c>
      <c r="I110" s="239">
        <f t="shared" si="119"/>
        <v>0</v>
      </c>
      <c r="J110" s="239">
        <f t="shared" si="119"/>
        <v>0</v>
      </c>
      <c r="K110" s="239">
        <f t="shared" si="119"/>
        <v>0</v>
      </c>
      <c r="L110" s="239">
        <f t="shared" si="119"/>
        <v>0</v>
      </c>
      <c r="M110" s="239">
        <f t="shared" si="119"/>
        <v>0</v>
      </c>
      <c r="N110" s="240">
        <f>+'Plan de culture 114'!$AE$37</f>
        <v>0</v>
      </c>
    </row>
    <row r="111" spans="1:14" ht="12" thickBot="1" x14ac:dyDescent="0.4">
      <c r="A111" s="241" t="s">
        <v>103</v>
      </c>
      <c r="B111" s="246">
        <f>+B108</f>
        <v>2450.9803921568628</v>
      </c>
      <c r="C111" s="246">
        <f t="shared" ref="C111:M111" si="120">+C108</f>
        <v>2450.9803921568628</v>
      </c>
      <c r="D111" s="246">
        <f t="shared" si="120"/>
        <v>2450.9803921568628</v>
      </c>
      <c r="E111" s="246">
        <f t="shared" si="120"/>
        <v>2450.9803921568628</v>
      </c>
      <c r="F111" s="246">
        <f t="shared" si="120"/>
        <v>2450.9803921568628</v>
      </c>
      <c r="G111" s="246">
        <f t="shared" si="120"/>
        <v>2450.9803921568628</v>
      </c>
      <c r="H111" s="246">
        <f t="shared" si="120"/>
        <v>2450.9803921568628</v>
      </c>
      <c r="I111" s="246">
        <f t="shared" si="120"/>
        <v>2450.9803921568628</v>
      </c>
      <c r="J111" s="246">
        <f t="shared" si="120"/>
        <v>2450.9803921568628</v>
      </c>
      <c r="K111" s="246">
        <f t="shared" si="120"/>
        <v>2450.9803921568628</v>
      </c>
      <c r="L111" s="246">
        <f t="shared" si="120"/>
        <v>2450.9803921568628</v>
      </c>
      <c r="M111" s="246">
        <f t="shared" si="120"/>
        <v>2450.9803921568628</v>
      </c>
      <c r="N111" s="247" t="e">
        <f>+N109/N110/1000</f>
        <v>#DIV/0!</v>
      </c>
    </row>
    <row r="113" s="32" customFormat="1" x14ac:dyDescent="0.35"/>
    <row r="114" s="32" customFormat="1" x14ac:dyDescent="0.35"/>
    <row r="115" s="32" customFormat="1" x14ac:dyDescent="0.35"/>
    <row r="116" s="32" customFormat="1" x14ac:dyDescent="0.35"/>
    <row r="117" s="32" customFormat="1" x14ac:dyDescent="0.35"/>
    <row r="118" s="32" customFormat="1" x14ac:dyDescent="0.35"/>
    <row r="119" s="32" customFormat="1" x14ac:dyDescent="0.35"/>
    <row r="120" s="32" customFormat="1" x14ac:dyDescent="0.35"/>
    <row r="121" s="32" customFormat="1" x14ac:dyDescent="0.35"/>
    <row r="122" s="32" customFormat="1" x14ac:dyDescent="0.35"/>
    <row r="123" s="32" customFormat="1" x14ac:dyDescent="0.35"/>
    <row r="124" s="32" customFormat="1" x14ac:dyDescent="0.35"/>
    <row r="125" s="32" customFormat="1" x14ac:dyDescent="0.35"/>
    <row r="126" s="32" customFormat="1" x14ac:dyDescent="0.35"/>
    <row r="127" s="32" customFormat="1" x14ac:dyDescent="0.35"/>
    <row r="128" s="32" customFormat="1" x14ac:dyDescent="0.35"/>
    <row r="129" s="32" customFormat="1" x14ac:dyDescent="0.35"/>
    <row r="130" s="32" customFormat="1" x14ac:dyDescent="0.35"/>
    <row r="131" s="32" customFormat="1" x14ac:dyDescent="0.35"/>
    <row r="132" s="32" customFormat="1" x14ac:dyDescent="0.35"/>
    <row r="133" s="32" customFormat="1" x14ac:dyDescent="0.35"/>
    <row r="134" s="32" customFormat="1" x14ac:dyDescent="0.35"/>
    <row r="135" s="32" customFormat="1" x14ac:dyDescent="0.35"/>
    <row r="136" s="32" customFormat="1" x14ac:dyDescent="0.35"/>
    <row r="137" s="32" customFormat="1" x14ac:dyDescent="0.35"/>
    <row r="138" s="32" customFormat="1" x14ac:dyDescent="0.35"/>
    <row r="139" s="32" customFormat="1" x14ac:dyDescent="0.35"/>
    <row r="140" s="32" customFormat="1" x14ac:dyDescent="0.35"/>
    <row r="141" s="32" customFormat="1" x14ac:dyDescent="0.35"/>
    <row r="142" s="32" customFormat="1" x14ac:dyDescent="0.35"/>
    <row r="143" s="32" customFormat="1" x14ac:dyDescent="0.35"/>
    <row r="144" s="32" customFormat="1" x14ac:dyDescent="0.35"/>
    <row r="145" s="32" customFormat="1" x14ac:dyDescent="0.35"/>
    <row r="146" s="32" customFormat="1" x14ac:dyDescent="0.35"/>
    <row r="147" s="32" customFormat="1" x14ac:dyDescent="0.35"/>
    <row r="148" s="32" customFormat="1" x14ac:dyDescent="0.35"/>
    <row r="149" s="32" customFormat="1" x14ac:dyDescent="0.35"/>
    <row r="150" s="32" customFormat="1" x14ac:dyDescent="0.35"/>
    <row r="151" s="32" customFormat="1" x14ac:dyDescent="0.35"/>
    <row r="152" s="32" customFormat="1" x14ac:dyDescent="0.35"/>
    <row r="153" s="32" customFormat="1" x14ac:dyDescent="0.35"/>
    <row r="154" s="32" customFormat="1" x14ac:dyDescent="0.35"/>
    <row r="155" s="32" customFormat="1" x14ac:dyDescent="0.35"/>
    <row r="156" s="32" customFormat="1" x14ac:dyDescent="0.35"/>
    <row r="157" s="32" customFormat="1" x14ac:dyDescent="0.35"/>
    <row r="158" s="32" customFormat="1" x14ac:dyDescent="0.35"/>
    <row r="159" s="32" customFormat="1" x14ac:dyDescent="0.35"/>
    <row r="160" s="32" customFormat="1" x14ac:dyDescent="0.35"/>
    <row r="161" s="32" customFormat="1" x14ac:dyDescent="0.35"/>
    <row r="162" s="32" customFormat="1" x14ac:dyDescent="0.35"/>
    <row r="163" s="32" customFormat="1" x14ac:dyDescent="0.35"/>
    <row r="164" s="32" customFormat="1" x14ac:dyDescent="0.35"/>
    <row r="165" s="32" customFormat="1" x14ac:dyDescent="0.35"/>
    <row r="166" s="32" customFormat="1" x14ac:dyDescent="0.35"/>
    <row r="167" s="32" customFormat="1" x14ac:dyDescent="0.35"/>
    <row r="168" s="32" customFormat="1" x14ac:dyDescent="0.35"/>
    <row r="169" s="32" customFormat="1" x14ac:dyDescent="0.35"/>
    <row r="170" s="32" customFormat="1" x14ac:dyDescent="0.35"/>
    <row r="171" s="32" customFormat="1" x14ac:dyDescent="0.35"/>
    <row r="172" s="32" customFormat="1" x14ac:dyDescent="0.35"/>
    <row r="173" s="32" customFormat="1" x14ac:dyDescent="0.35"/>
    <row r="174" s="32" customFormat="1" x14ac:dyDescent="0.35"/>
    <row r="175" s="32" customFormat="1" x14ac:dyDescent="0.35"/>
    <row r="176" s="32" customFormat="1" x14ac:dyDescent="0.35"/>
    <row r="177" s="32" customFormat="1" x14ac:dyDescent="0.35"/>
    <row r="178" s="32" customFormat="1" x14ac:dyDescent="0.35"/>
    <row r="179" s="32" customFormat="1" x14ac:dyDescent="0.35"/>
    <row r="180" s="32" customFormat="1" x14ac:dyDescent="0.35"/>
    <row r="181" s="32" customFormat="1" x14ac:dyDescent="0.35"/>
    <row r="182" s="32" customFormat="1" x14ac:dyDescent="0.35"/>
    <row r="183" s="32" customFormat="1" x14ac:dyDescent="0.35"/>
    <row r="184" s="32" customFormat="1" x14ac:dyDescent="0.35"/>
    <row r="185" s="32" customFormat="1" x14ac:dyDescent="0.35"/>
    <row r="186" s="32" customFormat="1" x14ac:dyDescent="0.35"/>
    <row r="187" s="32" customFormat="1" x14ac:dyDescent="0.35"/>
    <row r="188" s="32" customFormat="1" x14ac:dyDescent="0.35"/>
    <row r="189" s="32" customFormat="1" x14ac:dyDescent="0.35"/>
    <row r="190" s="32" customFormat="1" x14ac:dyDescent="0.35"/>
    <row r="191" s="32" customFormat="1" x14ac:dyDescent="0.35"/>
    <row r="192" s="32" customFormat="1" x14ac:dyDescent="0.35"/>
    <row r="193" s="32" customFormat="1" x14ac:dyDescent="0.35"/>
    <row r="194" s="32" customFormat="1" x14ac:dyDescent="0.35"/>
    <row r="195" s="32" customFormat="1" x14ac:dyDescent="0.35"/>
    <row r="196" s="32" customFormat="1" x14ac:dyDescent="0.35"/>
    <row r="197" s="32" customFormat="1" x14ac:dyDescent="0.35"/>
    <row r="198" s="32" customFormat="1" x14ac:dyDescent="0.35"/>
    <row r="199" s="32" customFormat="1" x14ac:dyDescent="0.35"/>
    <row r="200" s="32" customFormat="1" x14ac:dyDescent="0.35"/>
    <row r="201" s="32" customFormat="1" x14ac:dyDescent="0.35"/>
    <row r="202" s="32" customFormat="1" x14ac:dyDescent="0.35"/>
    <row r="203" s="32" customFormat="1" x14ac:dyDescent="0.35"/>
    <row r="204" s="32" customFormat="1" x14ac:dyDescent="0.35"/>
    <row r="205" s="32" customFormat="1" x14ac:dyDescent="0.35"/>
    <row r="206" s="32" customFormat="1" x14ac:dyDescent="0.35"/>
    <row r="207" s="32" customFormat="1" x14ac:dyDescent="0.35"/>
    <row r="208" s="32" customFormat="1" x14ac:dyDescent="0.35"/>
    <row r="209" s="32" customFormat="1" x14ac:dyDescent="0.35"/>
    <row r="210" s="32" customFormat="1" x14ac:dyDescent="0.35"/>
    <row r="211" s="32" customFormat="1" x14ac:dyDescent="0.35"/>
    <row r="212" s="32" customFormat="1" x14ac:dyDescent="0.35"/>
    <row r="213" s="32" customFormat="1" x14ac:dyDescent="0.35"/>
    <row r="214" s="32" customFormat="1" x14ac:dyDescent="0.35"/>
    <row r="215" s="32" customFormat="1" x14ac:dyDescent="0.35"/>
    <row r="216" s="32" customFormat="1" x14ac:dyDescent="0.35"/>
    <row r="217" s="32" customFormat="1" x14ac:dyDescent="0.35"/>
    <row r="218" s="32" customFormat="1" x14ac:dyDescent="0.35"/>
    <row r="219" s="32" customFormat="1" x14ac:dyDescent="0.35"/>
    <row r="220" s="32" customFormat="1" x14ac:dyDescent="0.35"/>
    <row r="221" s="32" customFormat="1" x14ac:dyDescent="0.35"/>
    <row r="222" s="32" customFormat="1" x14ac:dyDescent="0.35"/>
    <row r="223" s="32" customFormat="1" x14ac:dyDescent="0.35"/>
    <row r="224" s="32" customFormat="1" x14ac:dyDescent="0.35"/>
    <row r="225" s="32" customFormat="1" x14ac:dyDescent="0.35"/>
    <row r="226" s="32" customFormat="1" x14ac:dyDescent="0.35"/>
    <row r="227" s="32" customFormat="1" x14ac:dyDescent="0.35"/>
    <row r="228" s="32" customFormat="1" x14ac:dyDescent="0.35"/>
    <row r="229" s="32" customFormat="1" x14ac:dyDescent="0.35"/>
    <row r="230" s="32" customFormat="1" x14ac:dyDescent="0.35"/>
    <row r="231" s="32" customFormat="1" x14ac:dyDescent="0.35"/>
    <row r="232" s="32" customFormat="1" x14ac:dyDescent="0.35"/>
    <row r="233" s="32" customFormat="1" x14ac:dyDescent="0.35"/>
    <row r="234" s="32" customFormat="1" x14ac:dyDescent="0.35"/>
    <row r="235" s="32" customFormat="1" x14ac:dyDescent="0.35"/>
    <row r="236" s="32" customFormat="1" x14ac:dyDescent="0.35"/>
    <row r="237" s="32" customFormat="1" x14ac:dyDescent="0.35"/>
    <row r="238" s="32" customFormat="1" x14ac:dyDescent="0.35"/>
    <row r="239" s="32" customFormat="1" x14ac:dyDescent="0.35"/>
    <row r="240" s="32" customFormat="1" x14ac:dyDescent="0.35"/>
    <row r="241" s="32" customFormat="1" x14ac:dyDescent="0.35"/>
    <row r="242" s="32" customFormat="1" x14ac:dyDescent="0.35"/>
    <row r="243" s="32" customFormat="1" x14ac:dyDescent="0.35"/>
    <row r="244" s="32" customFormat="1" x14ac:dyDescent="0.35"/>
    <row r="245" s="32" customFormat="1" x14ac:dyDescent="0.35"/>
    <row r="246" s="32" customFormat="1" x14ac:dyDescent="0.35"/>
    <row r="247" s="32" customFormat="1" x14ac:dyDescent="0.35"/>
    <row r="248" s="32" customFormat="1" x14ac:dyDescent="0.35"/>
    <row r="249" s="32" customFormat="1" x14ac:dyDescent="0.35"/>
    <row r="250" s="32" customFormat="1" x14ac:dyDescent="0.35"/>
    <row r="251" s="32" customFormat="1" x14ac:dyDescent="0.35"/>
    <row r="252" s="32" customFormat="1" x14ac:dyDescent="0.35"/>
    <row r="253" s="32" customFormat="1" x14ac:dyDescent="0.35"/>
    <row r="254" s="32" customFormat="1" x14ac:dyDescent="0.35"/>
    <row r="255" s="32" customFormat="1" x14ac:dyDescent="0.35"/>
    <row r="256" s="32" customFormat="1" x14ac:dyDescent="0.35"/>
    <row r="257" s="32" customFormat="1" x14ac:dyDescent="0.35"/>
    <row r="258" s="32" customFormat="1" x14ac:dyDescent="0.35"/>
    <row r="259" s="32" customFormat="1" x14ac:dyDescent="0.35"/>
    <row r="260" s="32" customFormat="1" x14ac:dyDescent="0.35"/>
    <row r="261" s="32" customFormat="1" x14ac:dyDescent="0.35"/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Q261"/>
  <sheetViews>
    <sheetView topLeftCell="A34" zoomScaleNormal="100" workbookViewId="0">
      <selection activeCell="M78" sqref="M78"/>
    </sheetView>
  </sheetViews>
  <sheetFormatPr baseColWidth="10" defaultColWidth="11.46484375" defaultRowHeight="11.65" x14ac:dyDescent="0.35"/>
  <cols>
    <col min="1" max="1" width="28.73046875" style="32" bestFit="1" customWidth="1"/>
    <col min="2" max="2" width="10.59765625" style="32" bestFit="1" customWidth="1"/>
    <col min="3" max="4" width="8.73046875" style="32" bestFit="1" customWidth="1"/>
    <col min="5" max="6" width="10" style="32" bestFit="1" customWidth="1"/>
    <col min="7" max="9" width="8.73046875" style="32" bestFit="1" customWidth="1"/>
    <col min="10" max="10" width="10" style="32" bestFit="1" customWidth="1"/>
    <col min="11" max="13" width="8.73046875" style="32" bestFit="1" customWidth="1"/>
    <col min="14" max="14" width="10" style="32" bestFit="1" customWidth="1"/>
    <col min="15" max="16384" width="11.46484375" style="32"/>
  </cols>
  <sheetData>
    <row r="1" spans="1:17" ht="35.25" thickBot="1" x14ac:dyDescent="0.4">
      <c r="A1" s="68" t="s">
        <v>318</v>
      </c>
    </row>
    <row r="3" spans="1:17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7" s="57" customFormat="1" x14ac:dyDescent="0.35">
      <c r="A4" s="255" t="s">
        <v>452</v>
      </c>
      <c r="B4" s="256">
        <f>B7+B58+B109+B160+B211</f>
        <v>1307472.2937787189</v>
      </c>
      <c r="C4" s="256">
        <f t="shared" ref="C4:N5" si="1">C7+C58+C109+C160+C211</f>
        <v>1141978.4588282011</v>
      </c>
      <c r="D4" s="256">
        <f t="shared" si="1"/>
        <v>1029015.7911975196</v>
      </c>
      <c r="E4" s="256">
        <f t="shared" si="1"/>
        <v>1025091.7805284602</v>
      </c>
      <c r="F4" s="256">
        <f t="shared" si="1"/>
        <v>1001752.6540400655</v>
      </c>
      <c r="G4" s="256">
        <f t="shared" si="1"/>
        <v>967829.59409614489</v>
      </c>
      <c r="H4" s="256">
        <f t="shared" si="1"/>
        <v>959887.84988102014</v>
      </c>
      <c r="I4" s="256">
        <f t="shared" si="1"/>
        <v>960416.67800511362</v>
      </c>
      <c r="J4" s="256">
        <f t="shared" si="1"/>
        <v>1004778.2133424121</v>
      </c>
      <c r="K4" s="256">
        <f t="shared" si="1"/>
        <v>724049.00583329448</v>
      </c>
      <c r="L4" s="256">
        <f t="shared" si="1"/>
        <v>724049.00583329448</v>
      </c>
      <c r="M4" s="256">
        <f t="shared" si="1"/>
        <v>739651.00583329436</v>
      </c>
      <c r="N4" s="256">
        <f t="shared" si="1"/>
        <v>11585972.331197541</v>
      </c>
    </row>
    <row r="5" spans="1:17" s="57" customFormat="1" x14ac:dyDescent="0.35">
      <c r="A5" s="255" t="s">
        <v>93</v>
      </c>
      <c r="B5" s="263">
        <f>B8+B59+B110+B161+B212</f>
        <v>68.968000000000004</v>
      </c>
      <c r="C5" s="263">
        <f t="shared" si="1"/>
        <v>68.968000000000004</v>
      </c>
      <c r="D5" s="263">
        <f t="shared" si="1"/>
        <v>68.968000000000004</v>
      </c>
      <c r="E5" s="263">
        <f t="shared" si="1"/>
        <v>68.968000000000004</v>
      </c>
      <c r="F5" s="263">
        <f t="shared" si="1"/>
        <v>68.968000000000004</v>
      </c>
      <c r="G5" s="263">
        <f t="shared" si="1"/>
        <v>68.968000000000004</v>
      </c>
      <c r="H5" s="263">
        <f t="shared" si="1"/>
        <v>68.968000000000004</v>
      </c>
      <c r="I5" s="263">
        <f t="shared" si="1"/>
        <v>68.968000000000004</v>
      </c>
      <c r="J5" s="263">
        <f t="shared" si="1"/>
        <v>68.968000000000004</v>
      </c>
      <c r="K5" s="263">
        <f t="shared" si="1"/>
        <v>68.968000000000004</v>
      </c>
      <c r="L5" s="263">
        <f t="shared" si="1"/>
        <v>68.968000000000004</v>
      </c>
      <c r="M5" s="263">
        <f t="shared" si="1"/>
        <v>68.968000000000004</v>
      </c>
      <c r="N5" s="263">
        <f t="shared" si="1"/>
        <v>827.61599999999999</v>
      </c>
    </row>
    <row r="6" spans="1:17" s="57" customFormat="1" x14ac:dyDescent="0.35">
      <c r="A6" s="255" t="s">
        <v>109</v>
      </c>
      <c r="B6" s="258">
        <f>+B4/B5</f>
        <v>18957.665783823206</v>
      </c>
      <c r="C6" s="258">
        <f t="shared" ref="C6:M6" si="2">+C4/C5</f>
        <v>16558.091561712692</v>
      </c>
      <c r="D6" s="258">
        <f t="shared" si="2"/>
        <v>14920.191845457597</v>
      </c>
      <c r="E6" s="258">
        <f t="shared" si="2"/>
        <v>14863.295739016066</v>
      </c>
      <c r="F6" s="258">
        <f t="shared" si="2"/>
        <v>14524.890587519798</v>
      </c>
      <c r="G6" s="258">
        <f t="shared" si="2"/>
        <v>14033.023925532782</v>
      </c>
      <c r="H6" s="258">
        <f t="shared" si="2"/>
        <v>13917.872779854717</v>
      </c>
      <c r="I6" s="258">
        <f t="shared" si="2"/>
        <v>13925.540511615729</v>
      </c>
      <c r="J6" s="258">
        <f t="shared" si="2"/>
        <v>14568.759618118724</v>
      </c>
      <c r="K6" s="258">
        <f t="shared" si="2"/>
        <v>10498.332644607564</v>
      </c>
      <c r="L6" s="258">
        <f t="shared" si="2"/>
        <v>10498.332644607564</v>
      </c>
      <c r="M6" s="258">
        <f t="shared" si="2"/>
        <v>10724.553500656744</v>
      </c>
      <c r="N6" s="258">
        <f>+N4/N5</f>
        <v>13999.212595210269</v>
      </c>
    </row>
    <row r="7" spans="1:17" s="57" customFormat="1" x14ac:dyDescent="0.35">
      <c r="A7" s="72" t="s">
        <v>451</v>
      </c>
      <c r="B7" s="77">
        <f>+B10+B18+B26+B34+B42+B50</f>
        <v>354391.6876892061</v>
      </c>
      <c r="C7" s="77">
        <f t="shared" ref="C7:M8" si="3">+C10+C18+C26+C34+C42+C50</f>
        <v>309277.47388370597</v>
      </c>
      <c r="D7" s="77">
        <f t="shared" si="3"/>
        <v>277874.45828561776</v>
      </c>
      <c r="E7" s="77">
        <f t="shared" si="3"/>
        <v>277413.74556170596</v>
      </c>
      <c r="F7" s="77">
        <f t="shared" si="3"/>
        <v>271051.41585470585</v>
      </c>
      <c r="G7" s="77">
        <f t="shared" si="3"/>
        <v>261194.88119561778</v>
      </c>
      <c r="H7" s="77">
        <f t="shared" si="3"/>
        <v>259638.91987670597</v>
      </c>
      <c r="I7" s="77">
        <f t="shared" si="3"/>
        <v>259783.08032270591</v>
      </c>
      <c r="J7" s="77">
        <f t="shared" si="3"/>
        <v>271267.20750911772</v>
      </c>
      <c r="K7" s="77">
        <f t="shared" si="3"/>
        <v>0</v>
      </c>
      <c r="L7" s="77">
        <f t="shared" si="3"/>
        <v>0</v>
      </c>
      <c r="M7" s="77">
        <f t="shared" si="3"/>
        <v>6140.0000000000009</v>
      </c>
      <c r="N7" s="78">
        <f>SUM(B7:M7)</f>
        <v>2548032.8701790893</v>
      </c>
    </row>
    <row r="8" spans="1:17" s="57" customFormat="1" x14ac:dyDescent="0.35">
      <c r="A8" s="72" t="s">
        <v>93</v>
      </c>
      <c r="B8" s="81">
        <f>+B11+B19+B27+B35+B43+B51</f>
        <v>15.350000000000003</v>
      </c>
      <c r="C8" s="81">
        <f t="shared" si="3"/>
        <v>15.350000000000003</v>
      </c>
      <c r="D8" s="81">
        <f t="shared" si="3"/>
        <v>15.350000000000003</v>
      </c>
      <c r="E8" s="81">
        <f t="shared" si="3"/>
        <v>15.350000000000003</v>
      </c>
      <c r="F8" s="81">
        <f t="shared" si="3"/>
        <v>15.350000000000003</v>
      </c>
      <c r="G8" s="81">
        <f t="shared" si="3"/>
        <v>15.350000000000003</v>
      </c>
      <c r="H8" s="81">
        <f t="shared" si="3"/>
        <v>15.350000000000003</v>
      </c>
      <c r="I8" s="81">
        <f t="shared" si="3"/>
        <v>15.350000000000003</v>
      </c>
      <c r="J8" s="81">
        <f t="shared" si="3"/>
        <v>15.350000000000003</v>
      </c>
      <c r="K8" s="81">
        <f t="shared" si="3"/>
        <v>15.350000000000003</v>
      </c>
      <c r="L8" s="81">
        <f t="shared" si="3"/>
        <v>15.350000000000003</v>
      </c>
      <c r="M8" s="81">
        <f t="shared" si="3"/>
        <v>15.350000000000003</v>
      </c>
      <c r="N8" s="78">
        <f>SUM(B8:M8)</f>
        <v>184.20000000000002</v>
      </c>
    </row>
    <row r="9" spans="1:17" s="57" customFormat="1" x14ac:dyDescent="0.35">
      <c r="A9" s="72" t="s">
        <v>109</v>
      </c>
      <c r="B9" s="83">
        <f>+B7/B8</f>
        <v>23087.406364117654</v>
      </c>
      <c r="C9" s="83">
        <f>+C7/C8</f>
        <v>20148.369634117647</v>
      </c>
      <c r="D9" s="83">
        <f>+D7/D8</f>
        <v>18102.570572352946</v>
      </c>
      <c r="E9" s="83">
        <f t="shared" ref="E9:N9" si="4">+E7/E8</f>
        <v>18072.556714117647</v>
      </c>
      <c r="F9" s="83">
        <f t="shared" si="4"/>
        <v>17658.07269411764</v>
      </c>
      <c r="G9" s="83">
        <f t="shared" si="4"/>
        <v>17015.953172352947</v>
      </c>
      <c r="H9" s="83">
        <f t="shared" si="4"/>
        <v>16914.587614117649</v>
      </c>
      <c r="I9" s="83">
        <f t="shared" si="4"/>
        <v>16923.979174117645</v>
      </c>
      <c r="J9" s="83">
        <f t="shared" si="4"/>
        <v>17672.130782352942</v>
      </c>
      <c r="K9" s="83">
        <f t="shared" si="4"/>
        <v>0</v>
      </c>
      <c r="L9" s="83">
        <f t="shared" si="4"/>
        <v>0</v>
      </c>
      <c r="M9" s="83">
        <f t="shared" si="4"/>
        <v>400</v>
      </c>
      <c r="N9" s="83">
        <f t="shared" si="4"/>
        <v>13832.968893480396</v>
      </c>
    </row>
    <row r="10" spans="1:17" x14ac:dyDescent="0.35">
      <c r="A10" s="65" t="s">
        <v>90</v>
      </c>
      <c r="B10" s="80">
        <f t="shared" ref="B10:M10" si="5">+(B16*B11)</f>
        <v>354391.6876892061</v>
      </c>
      <c r="C10" s="80">
        <f t="shared" si="5"/>
        <v>309277.47388370597</v>
      </c>
      <c r="D10" s="80">
        <f t="shared" si="5"/>
        <v>277874.45828561776</v>
      </c>
      <c r="E10" s="80">
        <f t="shared" si="5"/>
        <v>277413.74556170596</v>
      </c>
      <c r="F10" s="80">
        <f t="shared" si="5"/>
        <v>271051.41585470585</v>
      </c>
      <c r="G10" s="80">
        <f t="shared" si="5"/>
        <v>261194.88119561778</v>
      </c>
      <c r="H10" s="80">
        <f t="shared" si="5"/>
        <v>259638.91987670597</v>
      </c>
      <c r="I10" s="80">
        <f t="shared" si="5"/>
        <v>259783.08032270591</v>
      </c>
      <c r="J10" s="80">
        <f t="shared" si="5"/>
        <v>271267.20750911772</v>
      </c>
      <c r="K10" s="80">
        <f t="shared" si="5"/>
        <v>0</v>
      </c>
      <c r="L10" s="80">
        <f t="shared" si="5"/>
        <v>0</v>
      </c>
      <c r="M10" s="80">
        <f t="shared" si="5"/>
        <v>6140.0000000000009</v>
      </c>
      <c r="N10" s="80">
        <f>SUM(B10:M10)</f>
        <v>2548032.8701790893</v>
      </c>
    </row>
    <row r="11" spans="1:17" x14ac:dyDescent="0.35">
      <c r="A11" s="32" t="s">
        <v>93</v>
      </c>
      <c r="B11" s="239">
        <f>+'Plan de culture 104 '!X7</f>
        <v>15.350000000000003</v>
      </c>
      <c r="C11" s="239">
        <f>+B11</f>
        <v>15.350000000000003</v>
      </c>
      <c r="D11" s="239">
        <f t="shared" ref="D11:M11" si="6">+C11</f>
        <v>15.350000000000003</v>
      </c>
      <c r="E11" s="239">
        <f>+D11</f>
        <v>15.350000000000003</v>
      </c>
      <c r="F11" s="239">
        <f>+E11</f>
        <v>15.350000000000003</v>
      </c>
      <c r="G11" s="239">
        <f>+F11</f>
        <v>15.350000000000003</v>
      </c>
      <c r="H11" s="239">
        <f t="shared" si="6"/>
        <v>15.350000000000003</v>
      </c>
      <c r="I11" s="239">
        <f t="shared" si="6"/>
        <v>15.350000000000003</v>
      </c>
      <c r="J11" s="239">
        <f t="shared" si="6"/>
        <v>15.350000000000003</v>
      </c>
      <c r="K11" s="239">
        <f t="shared" si="6"/>
        <v>15.350000000000003</v>
      </c>
      <c r="L11" s="239">
        <f t="shared" si="6"/>
        <v>15.350000000000003</v>
      </c>
      <c r="M11" s="239">
        <f t="shared" si="6"/>
        <v>15.350000000000003</v>
      </c>
      <c r="N11" s="240">
        <f>+'Plan de culture 104 '!X7</f>
        <v>15.350000000000003</v>
      </c>
    </row>
    <row r="12" spans="1:17" x14ac:dyDescent="0.35">
      <c r="A12" s="89" t="s">
        <v>110</v>
      </c>
      <c r="B12" s="90">
        <f>4000/ 6.8</f>
        <v>588.23529411764707</v>
      </c>
      <c r="C12" s="90">
        <f>+B12</f>
        <v>588.23529411764707</v>
      </c>
      <c r="D12" s="90">
        <f t="shared" ref="D12:M12" si="7">+C12</f>
        <v>588.23529411764707</v>
      </c>
      <c r="E12" s="90">
        <f t="shared" si="7"/>
        <v>588.23529411764707</v>
      </c>
      <c r="F12" s="90">
        <f t="shared" si="7"/>
        <v>588.23529411764707</v>
      </c>
      <c r="G12" s="90">
        <f t="shared" si="7"/>
        <v>588.23529411764707</v>
      </c>
      <c r="H12" s="90">
        <f t="shared" si="7"/>
        <v>588.23529411764707</v>
      </c>
      <c r="I12" s="90">
        <f t="shared" si="7"/>
        <v>588.23529411764707</v>
      </c>
      <c r="J12" s="90">
        <f t="shared" si="7"/>
        <v>588.23529411764707</v>
      </c>
      <c r="K12" s="90"/>
      <c r="L12" s="90">
        <f t="shared" si="7"/>
        <v>0</v>
      </c>
      <c r="M12" s="90">
        <f t="shared" si="7"/>
        <v>0</v>
      </c>
      <c r="N12" s="91">
        <f t="shared" ref="N12:N16" si="8">SUM(B12:M12)</f>
        <v>5294.1176470588225</v>
      </c>
    </row>
    <row r="13" spans="1:17" x14ac:dyDescent="0.35">
      <c r="A13" s="89" t="s">
        <v>111</v>
      </c>
      <c r="B13" s="90"/>
      <c r="C13" s="90"/>
      <c r="D13" s="90">
        <f>1200/ 6.8</f>
        <v>176.47058823529412</v>
      </c>
      <c r="E13" s="90"/>
      <c r="F13" s="90"/>
      <c r="G13" s="90">
        <f>1200/ 6.8</f>
        <v>176.47058823529412</v>
      </c>
      <c r="H13" s="90"/>
      <c r="I13" s="90"/>
      <c r="J13" s="90">
        <f>1200/ 6.8</f>
        <v>176.47058823529412</v>
      </c>
      <c r="K13" s="90"/>
      <c r="L13" s="90"/>
      <c r="M13" s="90">
        <v>400</v>
      </c>
      <c r="N13" s="91">
        <f t="shared" si="8"/>
        <v>929.41176470588232</v>
      </c>
    </row>
    <row r="14" spans="1:17" x14ac:dyDescent="0.35">
      <c r="A14" s="89" t="s">
        <v>112</v>
      </c>
      <c r="B14" s="90">
        <v>18441.943500000005</v>
      </c>
      <c r="C14" s="90">
        <v>16032.897000000001</v>
      </c>
      <c r="D14" s="90">
        <v>14211.364500000003</v>
      </c>
      <c r="E14" s="90">
        <v>14331.411</v>
      </c>
      <c r="F14" s="90">
        <v>13991.669999999993</v>
      </c>
      <c r="G14" s="90">
        <v>13320.694500000005</v>
      </c>
      <c r="H14" s="90">
        <v>13382.256000000001</v>
      </c>
      <c r="I14" s="90">
        <v>13389.954</v>
      </c>
      <c r="J14" s="90">
        <v>13858.545000000002</v>
      </c>
      <c r="K14" s="90"/>
      <c r="L14" s="90"/>
      <c r="M14" s="90"/>
      <c r="N14" s="91">
        <f t="shared" si="8"/>
        <v>130960.7355</v>
      </c>
      <c r="O14" s="62"/>
      <c r="P14" s="164"/>
      <c r="Q14" s="62"/>
    </row>
    <row r="15" spans="1:17" x14ac:dyDescent="0.35">
      <c r="A15" s="89" t="s">
        <v>113</v>
      </c>
      <c r="B15" s="90">
        <f>+(B14)*22%</f>
        <v>4057.2275700000009</v>
      </c>
      <c r="C15" s="90">
        <f t="shared" ref="C15:M15" si="9">+(C14)*22%</f>
        <v>3527.2373400000001</v>
      </c>
      <c r="D15" s="90">
        <f t="shared" si="9"/>
        <v>3126.5001900000007</v>
      </c>
      <c r="E15" s="90">
        <f t="shared" si="9"/>
        <v>3152.9104200000002</v>
      </c>
      <c r="F15" s="90">
        <f t="shared" si="9"/>
        <v>3078.1673999999985</v>
      </c>
      <c r="G15" s="90">
        <f t="shared" si="9"/>
        <v>2930.5527900000011</v>
      </c>
      <c r="H15" s="90">
        <f t="shared" si="9"/>
        <v>2944.0963200000001</v>
      </c>
      <c r="I15" s="90">
        <f t="shared" si="9"/>
        <v>2945.7898799999998</v>
      </c>
      <c r="J15" s="90">
        <f t="shared" si="9"/>
        <v>3048.8799000000004</v>
      </c>
      <c r="K15" s="90">
        <f t="shared" si="9"/>
        <v>0</v>
      </c>
      <c r="L15" s="90">
        <f t="shared" si="9"/>
        <v>0</v>
      </c>
      <c r="M15" s="90">
        <f t="shared" si="9"/>
        <v>0</v>
      </c>
      <c r="N15" s="91">
        <f t="shared" si="8"/>
        <v>28811.361810000002</v>
      </c>
      <c r="O15" s="62"/>
    </row>
    <row r="16" spans="1:17" x14ac:dyDescent="0.35">
      <c r="A16" s="17" t="s">
        <v>114</v>
      </c>
      <c r="B16" s="91">
        <f t="shared" ref="B16:M16" si="10">SUM(B12:B15)</f>
        <v>23087.406364117654</v>
      </c>
      <c r="C16" s="91">
        <f t="shared" si="10"/>
        <v>20148.369634117647</v>
      </c>
      <c r="D16" s="91">
        <f t="shared" si="10"/>
        <v>18102.570572352946</v>
      </c>
      <c r="E16" s="91">
        <f t="shared" si="10"/>
        <v>18072.556714117647</v>
      </c>
      <c r="F16" s="91">
        <f t="shared" si="10"/>
        <v>17658.07269411764</v>
      </c>
      <c r="G16" s="91">
        <f t="shared" si="10"/>
        <v>17015.953172352947</v>
      </c>
      <c r="H16" s="91">
        <f t="shared" si="10"/>
        <v>16914.587614117649</v>
      </c>
      <c r="I16" s="91">
        <f t="shared" si="10"/>
        <v>16923.979174117645</v>
      </c>
      <c r="J16" s="91">
        <f t="shared" si="10"/>
        <v>17672.130782352942</v>
      </c>
      <c r="K16" s="91">
        <f t="shared" si="10"/>
        <v>0</v>
      </c>
      <c r="L16" s="91">
        <f t="shared" si="10"/>
        <v>0</v>
      </c>
      <c r="M16" s="91">
        <f t="shared" si="10"/>
        <v>400</v>
      </c>
      <c r="N16" s="91">
        <f t="shared" si="8"/>
        <v>165995.62672176471</v>
      </c>
    </row>
    <row r="17" spans="1:14" x14ac:dyDescent="0.35">
      <c r="A17" s="32" t="s">
        <v>109</v>
      </c>
      <c r="B17" s="62">
        <f>+B16/B11</f>
        <v>1504.0655611803029</v>
      </c>
      <c r="C17" s="62">
        <f t="shared" ref="C17:N17" si="11">+C10/C11</f>
        <v>20148.369634117647</v>
      </c>
      <c r="D17" s="62">
        <f t="shared" si="11"/>
        <v>18102.570572352946</v>
      </c>
      <c r="E17" s="62">
        <f t="shared" si="11"/>
        <v>18072.556714117647</v>
      </c>
      <c r="F17" s="62">
        <f t="shared" si="11"/>
        <v>17658.07269411764</v>
      </c>
      <c r="G17" s="62">
        <f t="shared" si="11"/>
        <v>17015.953172352947</v>
      </c>
      <c r="H17" s="62">
        <f t="shared" si="11"/>
        <v>16914.587614117649</v>
      </c>
      <c r="I17" s="62">
        <f t="shared" si="11"/>
        <v>16923.979174117645</v>
      </c>
      <c r="J17" s="62">
        <f t="shared" si="11"/>
        <v>17672.130782352942</v>
      </c>
      <c r="K17" s="62">
        <f t="shared" si="11"/>
        <v>0</v>
      </c>
      <c r="L17" s="62">
        <f t="shared" si="11"/>
        <v>0</v>
      </c>
      <c r="M17" s="62">
        <f t="shared" si="11"/>
        <v>400</v>
      </c>
      <c r="N17" s="84">
        <f t="shared" si="11"/>
        <v>165995.62672176474</v>
      </c>
    </row>
    <row r="18" spans="1:14" x14ac:dyDescent="0.35">
      <c r="A18" s="65" t="s">
        <v>91</v>
      </c>
      <c r="B18" s="80">
        <f t="shared" ref="B18:M18" si="12">+(B24*B19)</f>
        <v>0</v>
      </c>
      <c r="C18" s="80">
        <f t="shared" si="12"/>
        <v>0</v>
      </c>
      <c r="D18" s="80">
        <f t="shared" si="12"/>
        <v>0</v>
      </c>
      <c r="E18" s="80">
        <f t="shared" si="12"/>
        <v>0</v>
      </c>
      <c r="F18" s="80">
        <f t="shared" si="12"/>
        <v>0</v>
      </c>
      <c r="G18" s="80">
        <f t="shared" si="12"/>
        <v>0</v>
      </c>
      <c r="H18" s="80">
        <f t="shared" si="12"/>
        <v>0</v>
      </c>
      <c r="I18" s="80">
        <f t="shared" si="12"/>
        <v>0</v>
      </c>
      <c r="J18" s="80">
        <f t="shared" si="12"/>
        <v>0</v>
      </c>
      <c r="K18" s="80">
        <f t="shared" si="12"/>
        <v>0</v>
      </c>
      <c r="L18" s="80">
        <f t="shared" si="12"/>
        <v>0</v>
      </c>
      <c r="M18" s="80">
        <f t="shared" si="12"/>
        <v>0</v>
      </c>
      <c r="N18" s="92">
        <f>SUM(B18:M18)</f>
        <v>0</v>
      </c>
    </row>
    <row r="19" spans="1:14" x14ac:dyDescent="0.35">
      <c r="A19" s="32" t="s">
        <v>93</v>
      </c>
      <c r="B19" s="239">
        <f>+'Plan de culture 104 '!$X$13</f>
        <v>0</v>
      </c>
      <c r="C19" s="239">
        <f>+B19</f>
        <v>0</v>
      </c>
      <c r="D19" s="239">
        <f t="shared" ref="D19:M19" si="13">+C19</f>
        <v>0</v>
      </c>
      <c r="E19" s="239">
        <f t="shared" si="13"/>
        <v>0</v>
      </c>
      <c r="F19" s="239">
        <f t="shared" si="13"/>
        <v>0</v>
      </c>
      <c r="G19" s="239">
        <f t="shared" si="13"/>
        <v>0</v>
      </c>
      <c r="H19" s="239">
        <f t="shared" si="13"/>
        <v>0</v>
      </c>
      <c r="I19" s="239">
        <f t="shared" si="13"/>
        <v>0</v>
      </c>
      <c r="J19" s="239">
        <f t="shared" si="13"/>
        <v>0</v>
      </c>
      <c r="K19" s="239">
        <f t="shared" si="13"/>
        <v>0</v>
      </c>
      <c r="L19" s="239">
        <f t="shared" si="13"/>
        <v>0</v>
      </c>
      <c r="M19" s="239">
        <f t="shared" si="13"/>
        <v>0</v>
      </c>
      <c r="N19" s="240">
        <f>+'Plan de culture 104 '!$X$13</f>
        <v>0</v>
      </c>
    </row>
    <row r="20" spans="1:14" x14ac:dyDescent="0.35">
      <c r="A20" s="89" t="s">
        <v>110</v>
      </c>
      <c r="B20" s="90">
        <f>4000/ 6.8</f>
        <v>588.23529411764707</v>
      </c>
      <c r="C20" s="90">
        <f>+B20</f>
        <v>588.23529411764707</v>
      </c>
      <c r="D20" s="90">
        <f t="shared" ref="D20:M20" si="14">+C20</f>
        <v>588.23529411764707</v>
      </c>
      <c r="E20" s="90">
        <f t="shared" si="14"/>
        <v>588.23529411764707</v>
      </c>
      <c r="F20" s="90">
        <f t="shared" si="14"/>
        <v>588.23529411764707</v>
      </c>
      <c r="G20" s="90">
        <f t="shared" si="14"/>
        <v>588.23529411764707</v>
      </c>
      <c r="H20" s="90">
        <f t="shared" si="14"/>
        <v>588.23529411764707</v>
      </c>
      <c r="I20" s="90">
        <f t="shared" si="14"/>
        <v>588.23529411764707</v>
      </c>
      <c r="J20" s="90">
        <f t="shared" si="14"/>
        <v>588.23529411764707</v>
      </c>
      <c r="K20" s="90">
        <f t="shared" si="14"/>
        <v>588.23529411764707</v>
      </c>
      <c r="L20" s="90">
        <f t="shared" si="14"/>
        <v>588.23529411764707</v>
      </c>
      <c r="M20" s="90">
        <f t="shared" si="14"/>
        <v>588.23529411764707</v>
      </c>
      <c r="N20" s="91">
        <f t="shared" ref="N20:N24" si="15">SUM(B20:M20)</f>
        <v>7058.823529411763</v>
      </c>
    </row>
    <row r="21" spans="1:14" x14ac:dyDescent="0.35">
      <c r="A21" s="89" t="s">
        <v>111</v>
      </c>
      <c r="B21" s="90"/>
      <c r="C21" s="90"/>
      <c r="D21" s="90">
        <f>1200/ 6.8</f>
        <v>176.47058823529412</v>
      </c>
      <c r="E21" s="90"/>
      <c r="F21" s="90"/>
      <c r="G21" s="90">
        <f>1200/ 6.8</f>
        <v>176.47058823529412</v>
      </c>
      <c r="H21" s="90"/>
      <c r="I21" s="90"/>
      <c r="J21" s="90">
        <f>1200/ 6.8</f>
        <v>176.47058823529412</v>
      </c>
      <c r="K21" s="90"/>
      <c r="L21" s="90"/>
      <c r="M21" s="90">
        <f>1200/ 6.8</f>
        <v>176.47058823529412</v>
      </c>
      <c r="N21" s="91">
        <f t="shared" si="15"/>
        <v>705.88235294117646</v>
      </c>
    </row>
    <row r="22" spans="1:14" x14ac:dyDescent="0.35">
      <c r="A22" s="89" t="s">
        <v>112</v>
      </c>
      <c r="B22" s="90">
        <f>+B14*0.85</f>
        <v>15675.651975000004</v>
      </c>
      <c r="C22" s="90">
        <f t="shared" ref="C22:J22" si="16">+C14*0.85</f>
        <v>13627.962450000001</v>
      </c>
      <c r="D22" s="90">
        <f t="shared" si="16"/>
        <v>12079.659825000002</v>
      </c>
      <c r="E22" s="90">
        <f t="shared" si="16"/>
        <v>12181.699349999999</v>
      </c>
      <c r="F22" s="90">
        <f t="shared" si="16"/>
        <v>11892.919499999993</v>
      </c>
      <c r="G22" s="90">
        <f t="shared" si="16"/>
        <v>11322.590325000005</v>
      </c>
      <c r="H22" s="90">
        <f t="shared" si="16"/>
        <v>11374.917600000001</v>
      </c>
      <c r="I22" s="90">
        <f t="shared" si="16"/>
        <v>11381.4609</v>
      </c>
      <c r="J22" s="90">
        <f t="shared" si="16"/>
        <v>11779.763250000002</v>
      </c>
      <c r="K22" s="90">
        <f>+J22</f>
        <v>11779.763250000002</v>
      </c>
      <c r="L22" s="90">
        <f>+K22</f>
        <v>11779.763250000002</v>
      </c>
      <c r="M22" s="90">
        <f>+L22</f>
        <v>11779.763250000002</v>
      </c>
      <c r="N22" s="91">
        <f t="shared" si="15"/>
        <v>146655.91492500002</v>
      </c>
    </row>
    <row r="23" spans="1:14" x14ac:dyDescent="0.35">
      <c r="A23" s="89" t="s">
        <v>113</v>
      </c>
      <c r="B23" s="90">
        <f>+(B22)*22%</f>
        <v>3448.6434345000011</v>
      </c>
      <c r="C23" s="90">
        <f t="shared" ref="C23:M23" si="17">+(C22)*22%</f>
        <v>2998.1517390000004</v>
      </c>
      <c r="D23" s="90">
        <f t="shared" si="17"/>
        <v>2657.5251615000006</v>
      </c>
      <c r="E23" s="90">
        <f t="shared" si="17"/>
        <v>2679.973857</v>
      </c>
      <c r="F23" s="90">
        <f t="shared" si="17"/>
        <v>2616.4422899999986</v>
      </c>
      <c r="G23" s="90">
        <f t="shared" si="17"/>
        <v>2490.9698715000009</v>
      </c>
      <c r="H23" s="90">
        <f t="shared" si="17"/>
        <v>2502.4818720000003</v>
      </c>
      <c r="I23" s="90">
        <f t="shared" si="17"/>
        <v>2503.921398</v>
      </c>
      <c r="J23" s="90">
        <f t="shared" si="17"/>
        <v>2591.5479150000006</v>
      </c>
      <c r="K23" s="90">
        <f t="shared" si="17"/>
        <v>2591.5479150000006</v>
      </c>
      <c r="L23" s="90">
        <f t="shared" si="17"/>
        <v>2591.5479150000006</v>
      </c>
      <c r="M23" s="90">
        <f t="shared" si="17"/>
        <v>2591.5479150000006</v>
      </c>
      <c r="N23" s="91">
        <f t="shared" si="15"/>
        <v>32264.301283499997</v>
      </c>
    </row>
    <row r="24" spans="1:14" x14ac:dyDescent="0.35">
      <c r="A24" s="17" t="s">
        <v>114</v>
      </c>
      <c r="B24" s="91">
        <f t="shared" ref="B24:M24" si="18">SUM(B20:B23)</f>
        <v>19712.530703617653</v>
      </c>
      <c r="C24" s="91">
        <f t="shared" si="18"/>
        <v>17214.349483117647</v>
      </c>
      <c r="D24" s="91">
        <f t="shared" si="18"/>
        <v>15501.890868852945</v>
      </c>
      <c r="E24" s="91">
        <f t="shared" si="18"/>
        <v>15449.908501117647</v>
      </c>
      <c r="F24" s="91">
        <f t="shared" si="18"/>
        <v>15097.597084117639</v>
      </c>
      <c r="G24" s="91">
        <f t="shared" si="18"/>
        <v>14578.266078852947</v>
      </c>
      <c r="H24" s="91">
        <f t="shared" si="18"/>
        <v>14465.634766117648</v>
      </c>
      <c r="I24" s="91">
        <f t="shared" si="18"/>
        <v>14473.617592117647</v>
      </c>
      <c r="J24" s="91">
        <f t="shared" si="18"/>
        <v>15136.017047352943</v>
      </c>
      <c r="K24" s="91">
        <f t="shared" si="18"/>
        <v>14959.54645911765</v>
      </c>
      <c r="L24" s="91">
        <f t="shared" si="18"/>
        <v>14959.54645911765</v>
      </c>
      <c r="M24" s="91">
        <f t="shared" si="18"/>
        <v>15136.017047352943</v>
      </c>
      <c r="N24" s="91">
        <f t="shared" si="15"/>
        <v>186684.92209085295</v>
      </c>
    </row>
    <row r="25" spans="1:14" x14ac:dyDescent="0.35">
      <c r="A25" s="32" t="s">
        <v>109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84" t="e">
        <f>+N18/N19</f>
        <v>#DIV/0!</v>
      </c>
    </row>
    <row r="26" spans="1:14" x14ac:dyDescent="0.35">
      <c r="A26" s="65" t="s">
        <v>376</v>
      </c>
      <c r="B26" s="80">
        <f t="shared" ref="B26:M26" si="19">+(B32*B27)</f>
        <v>0</v>
      </c>
      <c r="C26" s="80">
        <f t="shared" si="19"/>
        <v>0</v>
      </c>
      <c r="D26" s="80">
        <f t="shared" si="19"/>
        <v>0</v>
      </c>
      <c r="E26" s="80">
        <f t="shared" si="19"/>
        <v>0</v>
      </c>
      <c r="F26" s="80">
        <f t="shared" si="19"/>
        <v>0</v>
      </c>
      <c r="G26" s="80">
        <f t="shared" si="19"/>
        <v>0</v>
      </c>
      <c r="H26" s="80">
        <f t="shared" si="19"/>
        <v>0</v>
      </c>
      <c r="I26" s="80">
        <f t="shared" si="19"/>
        <v>0</v>
      </c>
      <c r="J26" s="80">
        <f t="shared" si="19"/>
        <v>0</v>
      </c>
      <c r="K26" s="80">
        <f t="shared" si="19"/>
        <v>0</v>
      </c>
      <c r="L26" s="80">
        <f t="shared" si="19"/>
        <v>0</v>
      </c>
      <c r="M26" s="80">
        <f t="shared" si="19"/>
        <v>0</v>
      </c>
      <c r="N26" s="92">
        <f>SUM(B26:M26)</f>
        <v>0</v>
      </c>
    </row>
    <row r="27" spans="1:14" x14ac:dyDescent="0.35">
      <c r="A27" s="32" t="s">
        <v>93</v>
      </c>
      <c r="B27" s="239">
        <f>+'Plan de culture 104 '!$X$19</f>
        <v>0</v>
      </c>
      <c r="C27" s="239">
        <f>+B27</f>
        <v>0</v>
      </c>
      <c r="D27" s="239">
        <f t="shared" ref="D27" si="20">+C27</f>
        <v>0</v>
      </c>
      <c r="E27" s="239">
        <f>+'Plan de culture 104 '!C23</f>
        <v>0</v>
      </c>
      <c r="F27" s="239">
        <f>+E27+'Plan de culture 104 '!D23+'Plan de culture 104 '!E23</f>
        <v>0</v>
      </c>
      <c r="G27" s="239">
        <f>+F27</f>
        <v>0</v>
      </c>
      <c r="H27" s="239">
        <f t="shared" ref="H27:M27" si="21">+G27</f>
        <v>0</v>
      </c>
      <c r="I27" s="239">
        <f t="shared" si="21"/>
        <v>0</v>
      </c>
      <c r="J27" s="239">
        <f t="shared" si="21"/>
        <v>0</v>
      </c>
      <c r="K27" s="239">
        <f t="shared" si="21"/>
        <v>0</v>
      </c>
      <c r="L27" s="239">
        <f t="shared" si="21"/>
        <v>0</v>
      </c>
      <c r="M27" s="239">
        <f t="shared" si="21"/>
        <v>0</v>
      </c>
      <c r="N27" s="240">
        <f>+'Plan de culture 104 '!$X$19</f>
        <v>0</v>
      </c>
    </row>
    <row r="28" spans="1:14" x14ac:dyDescent="0.35">
      <c r="A28" s="89" t="s">
        <v>110</v>
      </c>
      <c r="B28" s="90">
        <f>4000/ 6.8</f>
        <v>588.23529411764707</v>
      </c>
      <c r="C28" s="90">
        <f>+B28</f>
        <v>588.23529411764707</v>
      </c>
      <c r="D28" s="90">
        <f t="shared" ref="D28:M28" si="22">+C28</f>
        <v>588.23529411764707</v>
      </c>
      <c r="E28" s="90">
        <f t="shared" si="22"/>
        <v>588.23529411764707</v>
      </c>
      <c r="F28" s="90">
        <f t="shared" si="22"/>
        <v>588.23529411764707</v>
      </c>
      <c r="G28" s="90">
        <f t="shared" si="22"/>
        <v>588.23529411764707</v>
      </c>
      <c r="H28" s="90">
        <f t="shared" si="22"/>
        <v>588.23529411764707</v>
      </c>
      <c r="I28" s="90">
        <f t="shared" si="22"/>
        <v>588.23529411764707</v>
      </c>
      <c r="J28" s="90">
        <f t="shared" si="22"/>
        <v>588.23529411764707</v>
      </c>
      <c r="K28" s="90">
        <f t="shared" si="22"/>
        <v>588.23529411764707</v>
      </c>
      <c r="L28" s="90">
        <f t="shared" si="22"/>
        <v>588.23529411764707</v>
      </c>
      <c r="M28" s="90">
        <f t="shared" si="22"/>
        <v>588.23529411764707</v>
      </c>
      <c r="N28" s="91">
        <f t="shared" ref="N28:N32" si="23">SUM(B28:M28)</f>
        <v>7058.823529411763</v>
      </c>
    </row>
    <row r="29" spans="1:14" x14ac:dyDescent="0.35">
      <c r="A29" s="89" t="s">
        <v>111</v>
      </c>
      <c r="B29" s="90"/>
      <c r="C29" s="90"/>
      <c r="D29" s="90">
        <f>1200/ 6.8</f>
        <v>176.47058823529412</v>
      </c>
      <c r="E29" s="90"/>
      <c r="F29" s="90"/>
      <c r="G29" s="90">
        <f>1200/ 6.8</f>
        <v>176.47058823529412</v>
      </c>
      <c r="H29" s="90"/>
      <c r="I29" s="90"/>
      <c r="J29" s="90">
        <f>1200/ 6.8</f>
        <v>176.47058823529412</v>
      </c>
      <c r="K29" s="90"/>
      <c r="L29" s="90"/>
      <c r="M29" s="90">
        <f>1200/ 6.8</f>
        <v>176.47058823529412</v>
      </c>
      <c r="N29" s="91">
        <f t="shared" si="23"/>
        <v>705.88235294117646</v>
      </c>
    </row>
    <row r="30" spans="1:14" x14ac:dyDescent="0.35">
      <c r="A30" s="89" t="s">
        <v>112</v>
      </c>
      <c r="B30" s="90">
        <f>+B22*0.85</f>
        <v>13324.304178750004</v>
      </c>
      <c r="C30" s="90">
        <f t="shared" ref="C30:J30" si="24">+C22*0.85</f>
        <v>11583.768082500001</v>
      </c>
      <c r="D30" s="90">
        <f t="shared" si="24"/>
        <v>10267.710851250002</v>
      </c>
      <c r="E30" s="90">
        <f t="shared" si="24"/>
        <v>10354.444447499998</v>
      </c>
      <c r="F30" s="90">
        <f t="shared" si="24"/>
        <v>10108.981574999994</v>
      </c>
      <c r="G30" s="90">
        <f t="shared" si="24"/>
        <v>9624.2017762500036</v>
      </c>
      <c r="H30" s="90">
        <f t="shared" si="24"/>
        <v>9668.6799599999995</v>
      </c>
      <c r="I30" s="90">
        <f t="shared" si="24"/>
        <v>9674.2417650000007</v>
      </c>
      <c r="J30" s="90">
        <f t="shared" si="24"/>
        <v>10012.798762500001</v>
      </c>
      <c r="K30" s="90">
        <f>+J30</f>
        <v>10012.798762500001</v>
      </c>
      <c r="L30" s="90">
        <f>+K30</f>
        <v>10012.798762500001</v>
      </c>
      <c r="M30" s="90">
        <f>+L30</f>
        <v>10012.798762500001</v>
      </c>
      <c r="N30" s="91">
        <f t="shared" si="23"/>
        <v>124657.52768624997</v>
      </c>
    </row>
    <row r="31" spans="1:14" x14ac:dyDescent="0.35">
      <c r="A31" s="89" t="s">
        <v>113</v>
      </c>
      <c r="B31" s="90">
        <f>+(B30)*22%</f>
        <v>2931.3469193250007</v>
      </c>
      <c r="C31" s="90">
        <f t="shared" ref="C31:M31" si="25">+(C30)*22%</f>
        <v>2548.4289781500001</v>
      </c>
      <c r="D31" s="90">
        <f t="shared" si="25"/>
        <v>2258.8963872750005</v>
      </c>
      <c r="E31" s="90">
        <f t="shared" si="25"/>
        <v>2277.9777784499997</v>
      </c>
      <c r="F31" s="90">
        <f t="shared" si="25"/>
        <v>2223.9759464999988</v>
      </c>
      <c r="G31" s="90">
        <f t="shared" si="25"/>
        <v>2117.3243907750007</v>
      </c>
      <c r="H31" s="90">
        <f t="shared" si="25"/>
        <v>2127.1095912000001</v>
      </c>
      <c r="I31" s="90">
        <f t="shared" si="25"/>
        <v>2128.3331883000001</v>
      </c>
      <c r="J31" s="90">
        <f t="shared" si="25"/>
        <v>2202.81572775</v>
      </c>
      <c r="K31" s="90">
        <f t="shared" si="25"/>
        <v>2202.81572775</v>
      </c>
      <c r="L31" s="90">
        <f t="shared" si="25"/>
        <v>2202.81572775</v>
      </c>
      <c r="M31" s="90">
        <f t="shared" si="25"/>
        <v>2202.81572775</v>
      </c>
      <c r="N31" s="91">
        <f t="shared" si="23"/>
        <v>27424.656090974997</v>
      </c>
    </row>
    <row r="32" spans="1:14" x14ac:dyDescent="0.35">
      <c r="A32" s="17" t="s">
        <v>114</v>
      </c>
      <c r="B32" s="91">
        <f t="shared" ref="B32:M32" si="26">SUM(B28:B31)</f>
        <v>16843.886392192653</v>
      </c>
      <c r="C32" s="91">
        <f t="shared" si="26"/>
        <v>14720.432354767647</v>
      </c>
      <c r="D32" s="91">
        <f t="shared" si="26"/>
        <v>13291.313120877943</v>
      </c>
      <c r="E32" s="91">
        <f t="shared" si="26"/>
        <v>13220.657520067645</v>
      </c>
      <c r="F32" s="91">
        <f t="shared" si="26"/>
        <v>12921.19281561764</v>
      </c>
      <c r="G32" s="91">
        <f t="shared" si="26"/>
        <v>12506.232049377944</v>
      </c>
      <c r="H32" s="91">
        <f t="shared" si="26"/>
        <v>12384.024845317646</v>
      </c>
      <c r="I32" s="91">
        <f t="shared" si="26"/>
        <v>12390.810247417648</v>
      </c>
      <c r="J32" s="91">
        <f t="shared" si="26"/>
        <v>12980.320372602941</v>
      </c>
      <c r="K32" s="91">
        <f t="shared" si="26"/>
        <v>12803.849784367647</v>
      </c>
      <c r="L32" s="91">
        <f t="shared" si="26"/>
        <v>12803.849784367647</v>
      </c>
      <c r="M32" s="91">
        <f t="shared" si="26"/>
        <v>12980.320372602941</v>
      </c>
      <c r="N32" s="91">
        <f t="shared" si="23"/>
        <v>159846.88965957795</v>
      </c>
    </row>
    <row r="33" spans="1:14" x14ac:dyDescent="0.35">
      <c r="A33" s="32" t="s">
        <v>109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84" t="e">
        <f>+N26/N27</f>
        <v>#DIV/0!</v>
      </c>
    </row>
    <row r="34" spans="1:14" x14ac:dyDescent="0.35">
      <c r="A34" s="65" t="s">
        <v>92</v>
      </c>
      <c r="B34" s="80">
        <f t="shared" ref="B34:M34" si="27">+(B40*B35)</f>
        <v>0</v>
      </c>
      <c r="C34" s="80">
        <f t="shared" si="27"/>
        <v>0</v>
      </c>
      <c r="D34" s="80">
        <f t="shared" si="27"/>
        <v>0</v>
      </c>
      <c r="E34" s="80">
        <f t="shared" si="27"/>
        <v>0</v>
      </c>
      <c r="F34" s="80">
        <f t="shared" si="27"/>
        <v>0</v>
      </c>
      <c r="G34" s="80">
        <f t="shared" si="27"/>
        <v>0</v>
      </c>
      <c r="H34" s="80">
        <f t="shared" si="27"/>
        <v>0</v>
      </c>
      <c r="I34" s="80">
        <f t="shared" si="27"/>
        <v>0</v>
      </c>
      <c r="J34" s="80">
        <f t="shared" si="27"/>
        <v>0</v>
      </c>
      <c r="K34" s="80">
        <f t="shared" si="27"/>
        <v>0</v>
      </c>
      <c r="L34" s="80">
        <f t="shared" si="27"/>
        <v>0</v>
      </c>
      <c r="M34" s="80">
        <f t="shared" si="27"/>
        <v>0</v>
      </c>
      <c r="N34" s="92">
        <f>SUM(B34:M34)</f>
        <v>0</v>
      </c>
    </row>
    <row r="35" spans="1:14" x14ac:dyDescent="0.35">
      <c r="A35" s="32" t="s">
        <v>93</v>
      </c>
      <c r="B35" s="239">
        <f>+'Plan de culture 104 '!$X$25</f>
        <v>0</v>
      </c>
      <c r="C35" s="239">
        <f>+B35</f>
        <v>0</v>
      </c>
      <c r="D35" s="239">
        <f t="shared" ref="D35" si="28">+C35</f>
        <v>0</v>
      </c>
      <c r="E35" s="239">
        <f>+'Plan de culture 104 '!C31</f>
        <v>0</v>
      </c>
      <c r="F35" s="239">
        <f>+E35+'Plan de culture 104 '!D31+'Plan de culture 104 '!E31</f>
        <v>0</v>
      </c>
      <c r="G35" s="239">
        <f>+F35</f>
        <v>0</v>
      </c>
      <c r="H35" s="239">
        <f t="shared" ref="H35:M35" si="29">+G35</f>
        <v>0</v>
      </c>
      <c r="I35" s="239">
        <f t="shared" si="29"/>
        <v>0</v>
      </c>
      <c r="J35" s="239">
        <f t="shared" si="29"/>
        <v>0</v>
      </c>
      <c r="K35" s="239">
        <f t="shared" si="29"/>
        <v>0</v>
      </c>
      <c r="L35" s="239">
        <f t="shared" si="29"/>
        <v>0</v>
      </c>
      <c r="M35" s="239">
        <f t="shared" si="29"/>
        <v>0</v>
      </c>
      <c r="N35" s="240">
        <f>+'Plan de culture 104 '!$X$25</f>
        <v>0</v>
      </c>
    </row>
    <row r="36" spans="1:14" x14ac:dyDescent="0.35">
      <c r="A36" s="89" t="s">
        <v>110</v>
      </c>
      <c r="B36" s="90">
        <f>4000/ 6.8</f>
        <v>588.23529411764707</v>
      </c>
      <c r="C36" s="90">
        <f>+B36</f>
        <v>588.23529411764707</v>
      </c>
      <c r="D36" s="90">
        <f t="shared" ref="D36:M36" si="30">+C36</f>
        <v>588.23529411764707</v>
      </c>
      <c r="E36" s="90">
        <f t="shared" si="30"/>
        <v>588.23529411764707</v>
      </c>
      <c r="F36" s="90">
        <f t="shared" si="30"/>
        <v>588.23529411764707</v>
      </c>
      <c r="G36" s="90">
        <f t="shared" si="30"/>
        <v>588.23529411764707</v>
      </c>
      <c r="H36" s="90">
        <f t="shared" si="30"/>
        <v>588.23529411764707</v>
      </c>
      <c r="I36" s="90">
        <f t="shared" si="30"/>
        <v>588.23529411764707</v>
      </c>
      <c r="J36" s="90">
        <f t="shared" si="30"/>
        <v>588.23529411764707</v>
      </c>
      <c r="K36" s="90">
        <f t="shared" si="30"/>
        <v>588.23529411764707</v>
      </c>
      <c r="L36" s="90">
        <f t="shared" si="30"/>
        <v>588.23529411764707</v>
      </c>
      <c r="M36" s="90">
        <f t="shared" si="30"/>
        <v>588.23529411764707</v>
      </c>
      <c r="N36" s="91">
        <f t="shared" ref="N36:N40" si="31">SUM(B36:M36)</f>
        <v>7058.823529411763</v>
      </c>
    </row>
    <row r="37" spans="1:14" x14ac:dyDescent="0.35">
      <c r="A37" s="89" t="s">
        <v>111</v>
      </c>
      <c r="B37" s="90"/>
      <c r="C37" s="90"/>
      <c r="D37" s="90">
        <f>1200/ 6.8</f>
        <v>176.47058823529412</v>
      </c>
      <c r="E37" s="90"/>
      <c r="F37" s="90"/>
      <c r="G37" s="90">
        <f>1200/ 6.8</f>
        <v>176.47058823529412</v>
      </c>
      <c r="H37" s="90"/>
      <c r="I37" s="90"/>
      <c r="J37" s="90">
        <f>1200/ 6.8</f>
        <v>176.47058823529412</v>
      </c>
      <c r="K37" s="90"/>
      <c r="L37" s="90"/>
      <c r="M37" s="90">
        <f>1200/ 6.8</f>
        <v>176.47058823529412</v>
      </c>
      <c r="N37" s="91">
        <f t="shared" si="31"/>
        <v>705.88235294117646</v>
      </c>
    </row>
    <row r="38" spans="1:14" x14ac:dyDescent="0.35">
      <c r="A38" s="89" t="s">
        <v>112</v>
      </c>
      <c r="B38" s="90">
        <f>+B30*0.85</f>
        <v>11325.658551937504</v>
      </c>
      <c r="C38" s="90">
        <f t="shared" ref="C38:J38" si="32">+C30*0.85</f>
        <v>9846.2028701250001</v>
      </c>
      <c r="D38" s="90">
        <f t="shared" si="32"/>
        <v>8727.5542235625016</v>
      </c>
      <c r="E38" s="90">
        <f t="shared" si="32"/>
        <v>8801.2777803749977</v>
      </c>
      <c r="F38" s="90">
        <f t="shared" si="32"/>
        <v>8592.6343387499946</v>
      </c>
      <c r="G38" s="90">
        <f t="shared" si="32"/>
        <v>8180.5715098125029</v>
      </c>
      <c r="H38" s="90">
        <f t="shared" si="32"/>
        <v>8218.377966</v>
      </c>
      <c r="I38" s="90">
        <f t="shared" si="32"/>
        <v>8223.1055002499997</v>
      </c>
      <c r="J38" s="90">
        <f t="shared" si="32"/>
        <v>8510.8789481250005</v>
      </c>
      <c r="K38" s="90">
        <f>+J38</f>
        <v>8510.8789481250005</v>
      </c>
      <c r="L38" s="90">
        <f>+K38</f>
        <v>8510.8789481250005</v>
      </c>
      <c r="M38" s="90">
        <f>+L38</f>
        <v>8510.8789481250005</v>
      </c>
      <c r="N38" s="91">
        <f t="shared" si="31"/>
        <v>105958.89853331249</v>
      </c>
    </row>
    <row r="39" spans="1:14" x14ac:dyDescent="0.35">
      <c r="A39" s="89" t="s">
        <v>113</v>
      </c>
      <c r="B39" s="90">
        <f>+(B38)*22%</f>
        <v>2491.6448814262508</v>
      </c>
      <c r="C39" s="90">
        <f t="shared" ref="C39:M39" si="33">+(C38)*22%</f>
        <v>2166.1646314274999</v>
      </c>
      <c r="D39" s="90">
        <f t="shared" si="33"/>
        <v>1920.0619291837504</v>
      </c>
      <c r="E39" s="90">
        <f t="shared" si="33"/>
        <v>1936.2811116824996</v>
      </c>
      <c r="F39" s="90">
        <f t="shared" si="33"/>
        <v>1890.3795545249989</v>
      </c>
      <c r="G39" s="90">
        <f t="shared" si="33"/>
        <v>1799.7257321587506</v>
      </c>
      <c r="H39" s="90">
        <f t="shared" si="33"/>
        <v>1808.0431525199999</v>
      </c>
      <c r="I39" s="90">
        <f t="shared" si="33"/>
        <v>1809.0832100549999</v>
      </c>
      <c r="J39" s="90">
        <f t="shared" si="33"/>
        <v>1872.3933685875002</v>
      </c>
      <c r="K39" s="90">
        <f t="shared" si="33"/>
        <v>1872.3933685875002</v>
      </c>
      <c r="L39" s="90">
        <f t="shared" si="33"/>
        <v>1872.3933685875002</v>
      </c>
      <c r="M39" s="90">
        <f t="shared" si="33"/>
        <v>1872.3933685875002</v>
      </c>
      <c r="N39" s="91">
        <f t="shared" si="31"/>
        <v>23310.957677328755</v>
      </c>
    </row>
    <row r="40" spans="1:14" x14ac:dyDescent="0.35">
      <c r="A40" s="17" t="s">
        <v>114</v>
      </c>
      <c r="B40" s="91">
        <f t="shared" ref="B40:M40" si="34">SUM(B36:B39)</f>
        <v>14405.538727481402</v>
      </c>
      <c r="C40" s="91">
        <f t="shared" si="34"/>
        <v>12600.602795670147</v>
      </c>
      <c r="D40" s="91">
        <f t="shared" si="34"/>
        <v>11412.322035099192</v>
      </c>
      <c r="E40" s="91">
        <f t="shared" si="34"/>
        <v>11325.794186175144</v>
      </c>
      <c r="F40" s="91">
        <f t="shared" si="34"/>
        <v>11071.249187392641</v>
      </c>
      <c r="G40" s="91">
        <f t="shared" si="34"/>
        <v>10745.003124324196</v>
      </c>
      <c r="H40" s="91">
        <f t="shared" si="34"/>
        <v>10614.656412637647</v>
      </c>
      <c r="I40" s="91">
        <f t="shared" si="34"/>
        <v>10620.424004422646</v>
      </c>
      <c r="J40" s="91">
        <f t="shared" si="34"/>
        <v>11147.978199065441</v>
      </c>
      <c r="K40" s="91">
        <f t="shared" si="34"/>
        <v>10971.507610830147</v>
      </c>
      <c r="L40" s="91">
        <f t="shared" si="34"/>
        <v>10971.507610830147</v>
      </c>
      <c r="M40" s="91">
        <f t="shared" si="34"/>
        <v>11147.978199065441</v>
      </c>
      <c r="N40" s="91">
        <f t="shared" si="31"/>
        <v>137034.56209299419</v>
      </c>
    </row>
    <row r="41" spans="1:14" x14ac:dyDescent="0.35">
      <c r="A41" s="32" t="s">
        <v>109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84" t="e">
        <f>+N34/N35</f>
        <v>#DIV/0!</v>
      </c>
    </row>
    <row r="42" spans="1:14" x14ac:dyDescent="0.35">
      <c r="A42" s="65" t="s">
        <v>377</v>
      </c>
      <c r="B42" s="80">
        <f t="shared" ref="B42:M42" si="35">+(B48*B43)</f>
        <v>0</v>
      </c>
      <c r="C42" s="80">
        <f t="shared" si="35"/>
        <v>0</v>
      </c>
      <c r="D42" s="80">
        <f t="shared" si="35"/>
        <v>0</v>
      </c>
      <c r="E42" s="80">
        <f t="shared" si="35"/>
        <v>0</v>
      </c>
      <c r="F42" s="80">
        <f t="shared" si="35"/>
        <v>0</v>
      </c>
      <c r="G42" s="80">
        <f t="shared" si="35"/>
        <v>0</v>
      </c>
      <c r="H42" s="80">
        <f t="shared" si="35"/>
        <v>0</v>
      </c>
      <c r="I42" s="80">
        <f t="shared" si="35"/>
        <v>0</v>
      </c>
      <c r="J42" s="80">
        <f t="shared" si="35"/>
        <v>0</v>
      </c>
      <c r="K42" s="80">
        <f t="shared" si="35"/>
        <v>0</v>
      </c>
      <c r="L42" s="80">
        <f t="shared" si="35"/>
        <v>0</v>
      </c>
      <c r="M42" s="80">
        <f t="shared" si="35"/>
        <v>0</v>
      </c>
      <c r="N42" s="92">
        <f>SUM(B42:M42)</f>
        <v>0</v>
      </c>
    </row>
    <row r="43" spans="1:14" x14ac:dyDescent="0.35">
      <c r="A43" s="32" t="s">
        <v>93</v>
      </c>
      <c r="B43" s="239">
        <f>+'Plan de culture 104 '!$X$31</f>
        <v>0</v>
      </c>
      <c r="C43" s="239">
        <f>+B43</f>
        <v>0</v>
      </c>
      <c r="D43" s="239">
        <f t="shared" ref="D43" si="36">+C43</f>
        <v>0</v>
      </c>
      <c r="E43" s="239">
        <f>+'Plan de culture 104 '!C39</f>
        <v>0</v>
      </c>
      <c r="F43" s="239">
        <f>+E43+'Plan de culture 104 '!D39+'Plan de culture 104 '!E39</f>
        <v>0</v>
      </c>
      <c r="G43" s="239">
        <f>+F43</f>
        <v>0</v>
      </c>
      <c r="H43" s="239">
        <f t="shared" ref="H43:M43" si="37">+G43</f>
        <v>0</v>
      </c>
      <c r="I43" s="239">
        <f t="shared" si="37"/>
        <v>0</v>
      </c>
      <c r="J43" s="239">
        <f t="shared" si="37"/>
        <v>0</v>
      </c>
      <c r="K43" s="239">
        <f t="shared" si="37"/>
        <v>0</v>
      </c>
      <c r="L43" s="239">
        <f t="shared" si="37"/>
        <v>0</v>
      </c>
      <c r="M43" s="239">
        <f t="shared" si="37"/>
        <v>0</v>
      </c>
      <c r="N43" s="240">
        <f>+'Plan de culture 104 '!$X$31</f>
        <v>0</v>
      </c>
    </row>
    <row r="44" spans="1:14" x14ac:dyDescent="0.35">
      <c r="A44" s="89" t="s">
        <v>110</v>
      </c>
      <c r="B44" s="90">
        <f>4000/ 6.8</f>
        <v>588.23529411764707</v>
      </c>
      <c r="C44" s="90">
        <f>+B44</f>
        <v>588.23529411764707</v>
      </c>
      <c r="D44" s="90">
        <f t="shared" ref="D44:M44" si="38">+C44</f>
        <v>588.23529411764707</v>
      </c>
      <c r="E44" s="90">
        <f t="shared" si="38"/>
        <v>588.23529411764707</v>
      </c>
      <c r="F44" s="90">
        <f t="shared" si="38"/>
        <v>588.23529411764707</v>
      </c>
      <c r="G44" s="90">
        <f t="shared" si="38"/>
        <v>588.23529411764707</v>
      </c>
      <c r="H44" s="90">
        <f t="shared" si="38"/>
        <v>588.23529411764707</v>
      </c>
      <c r="I44" s="90">
        <f t="shared" si="38"/>
        <v>588.23529411764707</v>
      </c>
      <c r="J44" s="90">
        <f t="shared" si="38"/>
        <v>588.23529411764707</v>
      </c>
      <c r="K44" s="90">
        <f t="shared" si="38"/>
        <v>588.23529411764707</v>
      </c>
      <c r="L44" s="90">
        <f t="shared" si="38"/>
        <v>588.23529411764707</v>
      </c>
      <c r="M44" s="90">
        <f t="shared" si="38"/>
        <v>588.23529411764707</v>
      </c>
      <c r="N44" s="91">
        <f t="shared" ref="N44:N48" si="39">SUM(B44:M44)</f>
        <v>7058.823529411763</v>
      </c>
    </row>
    <row r="45" spans="1:14" x14ac:dyDescent="0.35">
      <c r="A45" s="89" t="s">
        <v>111</v>
      </c>
      <c r="B45" s="90"/>
      <c r="C45" s="90"/>
      <c r="D45" s="90">
        <f>1200/ 6.8</f>
        <v>176.47058823529412</v>
      </c>
      <c r="E45" s="90"/>
      <c r="F45" s="90"/>
      <c r="G45" s="90">
        <f>1200/ 6.8</f>
        <v>176.47058823529412</v>
      </c>
      <c r="H45" s="90"/>
      <c r="I45" s="90"/>
      <c r="J45" s="90">
        <f>1200/ 6.8</f>
        <v>176.47058823529412</v>
      </c>
      <c r="K45" s="90"/>
      <c r="L45" s="90"/>
      <c r="M45" s="90">
        <f>1200/ 6.8</f>
        <v>176.47058823529412</v>
      </c>
      <c r="N45" s="91">
        <f t="shared" si="39"/>
        <v>705.88235294117646</v>
      </c>
    </row>
    <row r="46" spans="1:14" x14ac:dyDescent="0.35">
      <c r="A46" s="89" t="s">
        <v>112</v>
      </c>
      <c r="B46" s="90">
        <f>+B38*0.85</f>
        <v>9626.8097691468774</v>
      </c>
      <c r="C46" s="90">
        <f t="shared" ref="C46:J46" si="40">+C38*0.85</f>
        <v>8369.2724396062495</v>
      </c>
      <c r="D46" s="90">
        <f t="shared" si="40"/>
        <v>7418.4210900281259</v>
      </c>
      <c r="E46" s="90">
        <f t="shared" si="40"/>
        <v>7481.0861133187482</v>
      </c>
      <c r="F46" s="90">
        <f t="shared" si="40"/>
        <v>7303.7391879374954</v>
      </c>
      <c r="G46" s="90">
        <f t="shared" si="40"/>
        <v>6953.4857833406277</v>
      </c>
      <c r="H46" s="90">
        <f t="shared" si="40"/>
        <v>6985.6212710999998</v>
      </c>
      <c r="I46" s="90">
        <f t="shared" si="40"/>
        <v>6989.6396752124992</v>
      </c>
      <c r="J46" s="90">
        <f t="shared" si="40"/>
        <v>7234.24710590625</v>
      </c>
      <c r="K46" s="90">
        <f>+J46</f>
        <v>7234.24710590625</v>
      </c>
      <c r="L46" s="90">
        <f>+K46</f>
        <v>7234.24710590625</v>
      </c>
      <c r="M46" s="90">
        <f>+L46</f>
        <v>7234.24710590625</v>
      </c>
      <c r="N46" s="91">
        <f t="shared" si="39"/>
        <v>90065.063753315626</v>
      </c>
    </row>
    <row r="47" spans="1:14" x14ac:dyDescent="0.35">
      <c r="A47" s="89" t="s">
        <v>113</v>
      </c>
      <c r="B47" s="90">
        <f>+(B46)*22%</f>
        <v>2117.898149212313</v>
      </c>
      <c r="C47" s="90">
        <f t="shared" ref="C47:M47" si="41">+(C46)*22%</f>
        <v>1841.2399367133748</v>
      </c>
      <c r="D47" s="90">
        <f t="shared" si="41"/>
        <v>1632.0526398061877</v>
      </c>
      <c r="E47" s="90">
        <f t="shared" si="41"/>
        <v>1645.8389449301246</v>
      </c>
      <c r="F47" s="90">
        <f t="shared" si="41"/>
        <v>1606.822621346249</v>
      </c>
      <c r="G47" s="90">
        <f t="shared" si="41"/>
        <v>1529.7668723349382</v>
      </c>
      <c r="H47" s="90">
        <f t="shared" si="41"/>
        <v>1536.836679642</v>
      </c>
      <c r="I47" s="90">
        <f t="shared" si="41"/>
        <v>1537.7207285467498</v>
      </c>
      <c r="J47" s="90">
        <f t="shared" si="41"/>
        <v>1591.5343632993749</v>
      </c>
      <c r="K47" s="90">
        <f t="shared" si="41"/>
        <v>1591.5343632993749</v>
      </c>
      <c r="L47" s="90">
        <f t="shared" si="41"/>
        <v>1591.5343632993749</v>
      </c>
      <c r="M47" s="90">
        <f t="shared" si="41"/>
        <v>1591.5343632993749</v>
      </c>
      <c r="N47" s="91">
        <f t="shared" si="39"/>
        <v>19814.314025729436</v>
      </c>
    </row>
    <row r="48" spans="1:14" x14ac:dyDescent="0.35">
      <c r="A48" s="17" t="s">
        <v>114</v>
      </c>
      <c r="B48" s="91">
        <f t="shared" ref="B48:M48" si="42">SUM(B44:B47)</f>
        <v>12332.943212476837</v>
      </c>
      <c r="C48" s="91">
        <f t="shared" si="42"/>
        <v>10798.747670437271</v>
      </c>
      <c r="D48" s="91">
        <f t="shared" si="42"/>
        <v>9815.1796121872558</v>
      </c>
      <c r="E48" s="91">
        <f t="shared" si="42"/>
        <v>9715.1603523665199</v>
      </c>
      <c r="F48" s="91">
        <f t="shared" si="42"/>
        <v>9498.7971034013917</v>
      </c>
      <c r="G48" s="91">
        <f t="shared" si="42"/>
        <v>9247.958538028508</v>
      </c>
      <c r="H48" s="91">
        <f t="shared" si="42"/>
        <v>9110.6932448596472</v>
      </c>
      <c r="I48" s="91">
        <f t="shared" si="42"/>
        <v>9115.5956978768954</v>
      </c>
      <c r="J48" s="91">
        <f t="shared" si="42"/>
        <v>9590.4873515585659</v>
      </c>
      <c r="K48" s="91">
        <f t="shared" si="42"/>
        <v>9414.0167633232722</v>
      </c>
      <c r="L48" s="91">
        <f t="shared" si="42"/>
        <v>9414.0167633232722</v>
      </c>
      <c r="M48" s="91">
        <f t="shared" si="42"/>
        <v>9590.4873515585659</v>
      </c>
      <c r="N48" s="91">
        <f t="shared" si="39"/>
        <v>117644.08366139801</v>
      </c>
    </row>
    <row r="49" spans="1:14" x14ac:dyDescent="0.35">
      <c r="A49" s="32" t="s">
        <v>109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84" t="e">
        <f>+N42/N43</f>
        <v>#DIV/0!</v>
      </c>
    </row>
    <row r="50" spans="1:14" x14ac:dyDescent="0.35">
      <c r="A50" s="65" t="s">
        <v>378</v>
      </c>
      <c r="B50" s="80">
        <f t="shared" ref="B50:M50" si="43">+(B56*B51)</f>
        <v>0</v>
      </c>
      <c r="C50" s="80">
        <f t="shared" si="43"/>
        <v>0</v>
      </c>
      <c r="D50" s="80">
        <f t="shared" si="43"/>
        <v>0</v>
      </c>
      <c r="E50" s="80">
        <f t="shared" si="43"/>
        <v>0</v>
      </c>
      <c r="F50" s="80">
        <f t="shared" si="43"/>
        <v>0</v>
      </c>
      <c r="G50" s="80">
        <f t="shared" si="43"/>
        <v>0</v>
      </c>
      <c r="H50" s="80">
        <f t="shared" si="43"/>
        <v>0</v>
      </c>
      <c r="I50" s="80">
        <f t="shared" si="43"/>
        <v>0</v>
      </c>
      <c r="J50" s="80">
        <f t="shared" si="43"/>
        <v>0</v>
      </c>
      <c r="K50" s="80">
        <f t="shared" si="43"/>
        <v>0</v>
      </c>
      <c r="L50" s="80">
        <f t="shared" si="43"/>
        <v>0</v>
      </c>
      <c r="M50" s="80">
        <f t="shared" si="43"/>
        <v>0</v>
      </c>
      <c r="N50" s="92">
        <f>SUM(B50:M50)</f>
        <v>0</v>
      </c>
    </row>
    <row r="51" spans="1:14" x14ac:dyDescent="0.35">
      <c r="A51" s="32" t="s">
        <v>93</v>
      </c>
      <c r="B51" s="239">
        <f>+'Plan de culture 104 '!$X$37</f>
        <v>0</v>
      </c>
      <c r="C51" s="239">
        <f>+B51</f>
        <v>0</v>
      </c>
      <c r="D51" s="239">
        <f t="shared" ref="D51" si="44">+C51</f>
        <v>0</v>
      </c>
      <c r="E51" s="239">
        <f>+'Plan de culture 104 '!C47</f>
        <v>0</v>
      </c>
      <c r="F51" s="239">
        <f>+E51+'Plan de culture 104 '!D47+'Plan de culture 104 '!E47</f>
        <v>0</v>
      </c>
      <c r="G51" s="239">
        <f>+F51</f>
        <v>0</v>
      </c>
      <c r="H51" s="239">
        <f t="shared" ref="H51:M51" si="45">+G51</f>
        <v>0</v>
      </c>
      <c r="I51" s="239">
        <f t="shared" si="45"/>
        <v>0</v>
      </c>
      <c r="J51" s="239">
        <f t="shared" si="45"/>
        <v>0</v>
      </c>
      <c r="K51" s="239">
        <f t="shared" si="45"/>
        <v>0</v>
      </c>
      <c r="L51" s="239">
        <f t="shared" si="45"/>
        <v>0</v>
      </c>
      <c r="M51" s="239">
        <f t="shared" si="45"/>
        <v>0</v>
      </c>
      <c r="N51" s="240">
        <f>+'Plan de culture 104 '!$X$37</f>
        <v>0</v>
      </c>
    </row>
    <row r="52" spans="1:14" x14ac:dyDescent="0.35">
      <c r="A52" s="89" t="s">
        <v>110</v>
      </c>
      <c r="B52" s="90">
        <f>4000/ 6.8</f>
        <v>588.23529411764707</v>
      </c>
      <c r="C52" s="90">
        <f>+B52</f>
        <v>588.23529411764707</v>
      </c>
      <c r="D52" s="90">
        <f t="shared" ref="D52:M52" si="46">+C52</f>
        <v>588.23529411764707</v>
      </c>
      <c r="E52" s="90">
        <f t="shared" si="46"/>
        <v>588.23529411764707</v>
      </c>
      <c r="F52" s="90">
        <f t="shared" si="46"/>
        <v>588.23529411764707</v>
      </c>
      <c r="G52" s="90">
        <f t="shared" si="46"/>
        <v>588.23529411764707</v>
      </c>
      <c r="H52" s="90">
        <f t="shared" si="46"/>
        <v>588.23529411764707</v>
      </c>
      <c r="I52" s="90">
        <f t="shared" si="46"/>
        <v>588.23529411764707</v>
      </c>
      <c r="J52" s="90">
        <f t="shared" si="46"/>
        <v>588.23529411764707</v>
      </c>
      <c r="K52" s="90">
        <f t="shared" si="46"/>
        <v>588.23529411764707</v>
      </c>
      <c r="L52" s="90">
        <f t="shared" si="46"/>
        <v>588.23529411764707</v>
      </c>
      <c r="M52" s="90">
        <f t="shared" si="46"/>
        <v>588.23529411764707</v>
      </c>
      <c r="N52" s="91">
        <f t="shared" ref="N52:N56" si="47">SUM(B52:M52)</f>
        <v>7058.823529411763</v>
      </c>
    </row>
    <row r="53" spans="1:14" x14ac:dyDescent="0.35">
      <c r="A53" s="89" t="s">
        <v>111</v>
      </c>
      <c r="B53" s="90"/>
      <c r="C53" s="90"/>
      <c r="D53" s="90">
        <f>1200/ 6.8</f>
        <v>176.47058823529412</v>
      </c>
      <c r="E53" s="90"/>
      <c r="F53" s="90"/>
      <c r="G53" s="90">
        <f>1200/ 6.8</f>
        <v>176.47058823529412</v>
      </c>
      <c r="H53" s="90"/>
      <c r="I53" s="90"/>
      <c r="J53" s="90">
        <f>1200/ 6.8</f>
        <v>176.47058823529412</v>
      </c>
      <c r="K53" s="90"/>
      <c r="L53" s="90"/>
      <c r="M53" s="90">
        <f>1200/ 6.8</f>
        <v>176.47058823529412</v>
      </c>
      <c r="N53" s="91">
        <f t="shared" si="47"/>
        <v>705.88235294117646</v>
      </c>
    </row>
    <row r="54" spans="1:14" x14ac:dyDescent="0.35">
      <c r="A54" s="89" t="s">
        <v>112</v>
      </c>
      <c r="B54" s="90">
        <f>+B46*0.85</f>
        <v>8182.7883037748452</v>
      </c>
      <c r="C54" s="90">
        <f t="shared" ref="C54:J54" si="48">+C46*0.85</f>
        <v>7113.8815736653114</v>
      </c>
      <c r="D54" s="90">
        <f t="shared" si="48"/>
        <v>6305.657926523907</v>
      </c>
      <c r="E54" s="90">
        <f t="shared" si="48"/>
        <v>6358.9231963209359</v>
      </c>
      <c r="F54" s="90">
        <f t="shared" si="48"/>
        <v>6208.1783097468706</v>
      </c>
      <c r="G54" s="90">
        <f t="shared" si="48"/>
        <v>5910.4629158395337</v>
      </c>
      <c r="H54" s="90">
        <f t="shared" si="48"/>
        <v>5937.7780804349995</v>
      </c>
      <c r="I54" s="90">
        <f t="shared" si="48"/>
        <v>5941.1937239306244</v>
      </c>
      <c r="J54" s="90">
        <f t="shared" si="48"/>
        <v>6149.1100400203122</v>
      </c>
      <c r="K54" s="90">
        <f>+J54</f>
        <v>6149.1100400203122</v>
      </c>
      <c r="L54" s="90">
        <f>+K54</f>
        <v>6149.1100400203122</v>
      </c>
      <c r="M54" s="90">
        <f>+L54</f>
        <v>6149.1100400203122</v>
      </c>
      <c r="N54" s="91">
        <f t="shared" si="47"/>
        <v>76555.304190318275</v>
      </c>
    </row>
    <row r="55" spans="1:14" x14ac:dyDescent="0.35">
      <c r="A55" s="89" t="s">
        <v>113</v>
      </c>
      <c r="B55" s="90">
        <f>+(B54)*22%</f>
        <v>1800.213426830466</v>
      </c>
      <c r="C55" s="90">
        <f t="shared" ref="C55:M55" si="49">+(C54)*22%</f>
        <v>1565.0539462063684</v>
      </c>
      <c r="D55" s="90">
        <f t="shared" si="49"/>
        <v>1387.2447438352594</v>
      </c>
      <c r="E55" s="90">
        <f t="shared" si="49"/>
        <v>1398.9631031906058</v>
      </c>
      <c r="F55" s="90">
        <f t="shared" si="49"/>
        <v>1365.7992281443114</v>
      </c>
      <c r="G55" s="90">
        <f t="shared" si="49"/>
        <v>1300.3018414846974</v>
      </c>
      <c r="H55" s="90">
        <f t="shared" si="49"/>
        <v>1306.3111776956998</v>
      </c>
      <c r="I55" s="90">
        <f t="shared" si="49"/>
        <v>1307.0626192647374</v>
      </c>
      <c r="J55" s="90">
        <f t="shared" si="49"/>
        <v>1352.8042088044688</v>
      </c>
      <c r="K55" s="90">
        <f t="shared" si="49"/>
        <v>1352.8042088044688</v>
      </c>
      <c r="L55" s="90">
        <f t="shared" si="49"/>
        <v>1352.8042088044688</v>
      </c>
      <c r="M55" s="90">
        <f t="shared" si="49"/>
        <v>1352.8042088044688</v>
      </c>
      <c r="N55" s="91">
        <f t="shared" si="47"/>
        <v>16842.166921870023</v>
      </c>
    </row>
    <row r="56" spans="1:14" x14ac:dyDescent="0.35">
      <c r="A56" s="17" t="s">
        <v>114</v>
      </c>
      <c r="B56" s="91">
        <f t="shared" ref="B56:M56" si="50">SUM(B52:B55)</f>
        <v>10571.237024722957</v>
      </c>
      <c r="C56" s="91">
        <f t="shared" si="50"/>
        <v>9267.1708139893271</v>
      </c>
      <c r="D56" s="91">
        <f t="shared" si="50"/>
        <v>8457.6085527121086</v>
      </c>
      <c r="E56" s="91">
        <f t="shared" si="50"/>
        <v>8346.1215936291883</v>
      </c>
      <c r="F56" s="91">
        <f t="shared" si="50"/>
        <v>8162.2128320088286</v>
      </c>
      <c r="G56" s="91">
        <f t="shared" si="50"/>
        <v>7975.4706396771726</v>
      </c>
      <c r="H56" s="91">
        <f t="shared" si="50"/>
        <v>7832.3245522483467</v>
      </c>
      <c r="I56" s="91">
        <f t="shared" si="50"/>
        <v>7836.4916373130091</v>
      </c>
      <c r="J56" s="91">
        <f t="shared" si="50"/>
        <v>8266.6201311777222</v>
      </c>
      <c r="K56" s="91">
        <f t="shared" si="50"/>
        <v>8090.1495429424276</v>
      </c>
      <c r="L56" s="91">
        <f t="shared" si="50"/>
        <v>8090.1495429424276</v>
      </c>
      <c r="M56" s="91">
        <f t="shared" si="50"/>
        <v>8266.6201311777222</v>
      </c>
      <c r="N56" s="91">
        <f t="shared" si="47"/>
        <v>101162.17699454125</v>
      </c>
    </row>
    <row r="57" spans="1:14" x14ac:dyDescent="0.35">
      <c r="A57" s="32" t="s">
        <v>109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84" t="e">
        <f>+N50/N51</f>
        <v>#DIV/0!</v>
      </c>
    </row>
    <row r="58" spans="1:14" s="57" customFormat="1" x14ac:dyDescent="0.35">
      <c r="A58" s="72" t="s">
        <v>453</v>
      </c>
      <c r="B58" s="77">
        <f>+B61+B69+B77+B85+B93+B101</f>
        <v>106349.10314601725</v>
      </c>
      <c r="C58" s="77">
        <f t="shared" ref="C58:M59" si="51">+C61+C69+C77+C85+C93+C101</f>
        <v>92871.415461419718</v>
      </c>
      <c r="D58" s="77">
        <f t="shared" si="51"/>
        <v>83632.701237461646</v>
      </c>
      <c r="E58" s="77">
        <f t="shared" si="51"/>
        <v>83352.256363529712</v>
      </c>
      <c r="F58" s="77">
        <f t="shared" si="51"/>
        <v>81451.536268814671</v>
      </c>
      <c r="G58" s="77">
        <f t="shared" si="51"/>
        <v>78649.745495411655</v>
      </c>
      <c r="H58" s="77">
        <f t="shared" si="51"/>
        <v>78042.099563204712</v>
      </c>
      <c r="I58" s="77">
        <f t="shared" si="51"/>
        <v>78085.166909474719</v>
      </c>
      <c r="J58" s="77">
        <f t="shared" si="51"/>
        <v>81658.811970469134</v>
      </c>
      <c r="K58" s="77">
        <f t="shared" si="51"/>
        <v>80706.753146939722</v>
      </c>
      <c r="L58" s="77">
        <f t="shared" si="51"/>
        <v>80706.753146939722</v>
      </c>
      <c r="M58" s="77">
        <f t="shared" si="51"/>
        <v>81658.811970469134</v>
      </c>
      <c r="N58" s="78">
        <f>SUM(B58:M58)</f>
        <v>1007165.1546801517</v>
      </c>
    </row>
    <row r="59" spans="1:14" s="57" customFormat="1" x14ac:dyDescent="0.35">
      <c r="A59" s="72" t="s">
        <v>93</v>
      </c>
      <c r="B59" s="81">
        <f>+B62+B70+B78+B86+B94+B102</f>
        <v>5.3950000000000005</v>
      </c>
      <c r="C59" s="81">
        <f t="shared" si="51"/>
        <v>5.3950000000000005</v>
      </c>
      <c r="D59" s="81">
        <f t="shared" si="51"/>
        <v>5.3950000000000005</v>
      </c>
      <c r="E59" s="81">
        <f t="shared" si="51"/>
        <v>5.3950000000000005</v>
      </c>
      <c r="F59" s="81">
        <f t="shared" si="51"/>
        <v>5.3950000000000005</v>
      </c>
      <c r="G59" s="81">
        <f t="shared" si="51"/>
        <v>5.3950000000000005</v>
      </c>
      <c r="H59" s="81">
        <f t="shared" si="51"/>
        <v>5.3950000000000005</v>
      </c>
      <c r="I59" s="81">
        <f t="shared" si="51"/>
        <v>5.3950000000000005</v>
      </c>
      <c r="J59" s="81">
        <f t="shared" si="51"/>
        <v>5.3950000000000005</v>
      </c>
      <c r="K59" s="81">
        <f t="shared" si="51"/>
        <v>5.3950000000000005</v>
      </c>
      <c r="L59" s="81">
        <f t="shared" si="51"/>
        <v>5.3950000000000005</v>
      </c>
      <c r="M59" s="81">
        <f t="shared" si="51"/>
        <v>5.3950000000000005</v>
      </c>
      <c r="N59" s="78">
        <f>SUM(B59:M59)</f>
        <v>64.740000000000023</v>
      </c>
    </row>
    <row r="60" spans="1:14" s="57" customFormat="1" x14ac:dyDescent="0.35">
      <c r="A60" s="72" t="s">
        <v>109</v>
      </c>
      <c r="B60" s="83">
        <f>+B58/B59</f>
        <v>19712.530703617653</v>
      </c>
      <c r="C60" s="83">
        <f>+C58/C59</f>
        <v>17214.349483117647</v>
      </c>
      <c r="D60" s="83">
        <f>+D58/D59</f>
        <v>15501.890868852945</v>
      </c>
      <c r="E60" s="83">
        <f t="shared" ref="E60:N60" si="52">+E58/E59</f>
        <v>15449.908501117647</v>
      </c>
      <c r="F60" s="83">
        <f t="shared" si="52"/>
        <v>15097.597084117639</v>
      </c>
      <c r="G60" s="83">
        <f t="shared" si="52"/>
        <v>14578.266078852947</v>
      </c>
      <c r="H60" s="83">
        <f t="shared" si="52"/>
        <v>14465.634766117648</v>
      </c>
      <c r="I60" s="83">
        <f t="shared" si="52"/>
        <v>14473.617592117649</v>
      </c>
      <c r="J60" s="83">
        <f t="shared" si="52"/>
        <v>15136.017047352943</v>
      </c>
      <c r="K60" s="83">
        <f t="shared" si="52"/>
        <v>14959.546459117648</v>
      </c>
      <c r="L60" s="83">
        <f t="shared" si="52"/>
        <v>14959.546459117648</v>
      </c>
      <c r="M60" s="83">
        <f t="shared" si="52"/>
        <v>15136.017047352943</v>
      </c>
      <c r="N60" s="83">
        <f t="shared" si="52"/>
        <v>15557.076840904409</v>
      </c>
    </row>
    <row r="61" spans="1:14" x14ac:dyDescent="0.35">
      <c r="A61" s="65" t="s">
        <v>90</v>
      </c>
      <c r="B61" s="80">
        <f t="shared" ref="B61:M61" si="53">+(B67*B62)</f>
        <v>0</v>
      </c>
      <c r="C61" s="80">
        <f t="shared" si="53"/>
        <v>0</v>
      </c>
      <c r="D61" s="80">
        <f t="shared" si="53"/>
        <v>0</v>
      </c>
      <c r="E61" s="80">
        <f t="shared" si="53"/>
        <v>0</v>
      </c>
      <c r="F61" s="80">
        <f t="shared" si="53"/>
        <v>0</v>
      </c>
      <c r="G61" s="80">
        <f t="shared" si="53"/>
        <v>0</v>
      </c>
      <c r="H61" s="80">
        <f t="shared" si="53"/>
        <v>0</v>
      </c>
      <c r="I61" s="80">
        <f t="shared" si="53"/>
        <v>0</v>
      </c>
      <c r="J61" s="80">
        <f t="shared" si="53"/>
        <v>0</v>
      </c>
      <c r="K61" s="80">
        <f t="shared" si="53"/>
        <v>0</v>
      </c>
      <c r="L61" s="80">
        <f t="shared" si="53"/>
        <v>0</v>
      </c>
      <c r="M61" s="80">
        <f t="shared" si="53"/>
        <v>0</v>
      </c>
      <c r="N61" s="80">
        <f>SUM(B61:M61)</f>
        <v>0</v>
      </c>
    </row>
    <row r="62" spans="1:14" x14ac:dyDescent="0.35">
      <c r="A62" s="32" t="s">
        <v>93</v>
      </c>
      <c r="B62" s="239">
        <f>+'Plan de culture 105'!$I$7</f>
        <v>0</v>
      </c>
      <c r="C62" s="239">
        <f>+B62</f>
        <v>0</v>
      </c>
      <c r="D62" s="239">
        <f t="shared" ref="D62" si="54">+C62</f>
        <v>0</v>
      </c>
      <c r="E62" s="239">
        <f>+D62</f>
        <v>0</v>
      </c>
      <c r="F62" s="239">
        <f>+E62</f>
        <v>0</v>
      </c>
      <c r="G62" s="239">
        <f>+F62</f>
        <v>0</v>
      </c>
      <c r="H62" s="239">
        <f t="shared" ref="H62:M62" si="55">+G62</f>
        <v>0</v>
      </c>
      <c r="I62" s="239">
        <f t="shared" si="55"/>
        <v>0</v>
      </c>
      <c r="J62" s="239">
        <f t="shared" si="55"/>
        <v>0</v>
      </c>
      <c r="K62" s="239">
        <f t="shared" si="55"/>
        <v>0</v>
      </c>
      <c r="L62" s="239">
        <f t="shared" si="55"/>
        <v>0</v>
      </c>
      <c r="M62" s="239">
        <f t="shared" si="55"/>
        <v>0</v>
      </c>
      <c r="N62" s="240">
        <f>+'Plan de culture 105'!$I$7</f>
        <v>0</v>
      </c>
    </row>
    <row r="63" spans="1:14" x14ac:dyDescent="0.35">
      <c r="A63" s="89" t="s">
        <v>110</v>
      </c>
      <c r="B63" s="90">
        <f>4000/ 6.8</f>
        <v>588.23529411764707</v>
      </c>
      <c r="C63" s="90">
        <f>+B63</f>
        <v>588.23529411764707</v>
      </c>
      <c r="D63" s="90">
        <f t="shared" ref="D63:J63" si="56">+C63</f>
        <v>588.23529411764707</v>
      </c>
      <c r="E63" s="90">
        <f t="shared" si="56"/>
        <v>588.23529411764707</v>
      </c>
      <c r="F63" s="90">
        <f t="shared" si="56"/>
        <v>588.23529411764707</v>
      </c>
      <c r="G63" s="90">
        <f t="shared" si="56"/>
        <v>588.23529411764707</v>
      </c>
      <c r="H63" s="90">
        <f t="shared" si="56"/>
        <v>588.23529411764707</v>
      </c>
      <c r="I63" s="90">
        <f t="shared" si="56"/>
        <v>588.23529411764707</v>
      </c>
      <c r="J63" s="90">
        <f t="shared" si="56"/>
        <v>588.23529411764707</v>
      </c>
      <c r="K63" s="90"/>
      <c r="L63" s="90">
        <f t="shared" ref="L63:M63" si="57">+K63</f>
        <v>0</v>
      </c>
      <c r="M63" s="90">
        <f t="shared" si="57"/>
        <v>0</v>
      </c>
      <c r="N63" s="91">
        <f t="shared" ref="N63:N67" si="58">SUM(B63:M63)</f>
        <v>5294.1176470588225</v>
      </c>
    </row>
    <row r="64" spans="1:14" x14ac:dyDescent="0.35">
      <c r="A64" s="89" t="s">
        <v>111</v>
      </c>
      <c r="B64" s="90"/>
      <c r="C64" s="90"/>
      <c r="D64" s="90">
        <f>1200/ 6.8</f>
        <v>176.47058823529412</v>
      </c>
      <c r="E64" s="90"/>
      <c r="F64" s="90"/>
      <c r="G64" s="90">
        <f>1200/ 6.8</f>
        <v>176.47058823529412</v>
      </c>
      <c r="H64" s="90"/>
      <c r="I64" s="90"/>
      <c r="J64" s="90">
        <f>1200/ 6.8</f>
        <v>176.47058823529412</v>
      </c>
      <c r="K64" s="90"/>
      <c r="L64" s="90"/>
      <c r="M64" s="90">
        <v>400</v>
      </c>
      <c r="N64" s="91">
        <f t="shared" si="58"/>
        <v>929.41176470588232</v>
      </c>
    </row>
    <row r="65" spans="1:17" x14ac:dyDescent="0.35">
      <c r="A65" s="89" t="s">
        <v>112</v>
      </c>
      <c r="B65" s="90">
        <v>18441.943500000005</v>
      </c>
      <c r="C65" s="90">
        <v>16032.897000000001</v>
      </c>
      <c r="D65" s="90">
        <v>14211.364500000003</v>
      </c>
      <c r="E65" s="90">
        <v>14331.411</v>
      </c>
      <c r="F65" s="90">
        <v>13991.669999999993</v>
      </c>
      <c r="G65" s="90">
        <v>13320.694500000005</v>
      </c>
      <c r="H65" s="90">
        <v>13382.256000000001</v>
      </c>
      <c r="I65" s="90">
        <v>13389.954</v>
      </c>
      <c r="J65" s="90">
        <v>13858.545000000002</v>
      </c>
      <c r="K65" s="90"/>
      <c r="L65" s="90"/>
      <c r="M65" s="90"/>
      <c r="N65" s="91">
        <f t="shared" si="58"/>
        <v>130960.7355</v>
      </c>
      <c r="O65" s="62"/>
      <c r="P65" s="164"/>
      <c r="Q65" s="62"/>
    </row>
    <row r="66" spans="1:17" x14ac:dyDescent="0.35">
      <c r="A66" s="89" t="s">
        <v>113</v>
      </c>
      <c r="B66" s="90">
        <f>+(B65)*22%</f>
        <v>4057.2275700000009</v>
      </c>
      <c r="C66" s="90">
        <f t="shared" ref="C66:M66" si="59">+(C65)*22%</f>
        <v>3527.2373400000001</v>
      </c>
      <c r="D66" s="90">
        <f t="shared" si="59"/>
        <v>3126.5001900000007</v>
      </c>
      <c r="E66" s="90">
        <f t="shared" si="59"/>
        <v>3152.9104200000002</v>
      </c>
      <c r="F66" s="90">
        <f t="shared" si="59"/>
        <v>3078.1673999999985</v>
      </c>
      <c r="G66" s="90">
        <f t="shared" si="59"/>
        <v>2930.5527900000011</v>
      </c>
      <c r="H66" s="90">
        <f t="shared" si="59"/>
        <v>2944.0963200000001</v>
      </c>
      <c r="I66" s="90">
        <f t="shared" si="59"/>
        <v>2945.7898799999998</v>
      </c>
      <c r="J66" s="90">
        <f t="shared" si="59"/>
        <v>3048.8799000000004</v>
      </c>
      <c r="K66" s="90">
        <f t="shared" si="59"/>
        <v>0</v>
      </c>
      <c r="L66" s="90">
        <f t="shared" si="59"/>
        <v>0</v>
      </c>
      <c r="M66" s="90">
        <f t="shared" si="59"/>
        <v>0</v>
      </c>
      <c r="N66" s="91">
        <f t="shared" si="58"/>
        <v>28811.361810000002</v>
      </c>
      <c r="O66" s="62"/>
    </row>
    <row r="67" spans="1:17" x14ac:dyDescent="0.35">
      <c r="A67" s="17" t="s">
        <v>114</v>
      </c>
      <c r="B67" s="91">
        <f t="shared" ref="B67:M67" si="60">SUM(B63:B66)</f>
        <v>23087.406364117654</v>
      </c>
      <c r="C67" s="91">
        <f t="shared" si="60"/>
        <v>20148.369634117647</v>
      </c>
      <c r="D67" s="91">
        <f t="shared" si="60"/>
        <v>18102.570572352946</v>
      </c>
      <c r="E67" s="91">
        <f t="shared" si="60"/>
        <v>18072.556714117647</v>
      </c>
      <c r="F67" s="91">
        <f t="shared" si="60"/>
        <v>17658.07269411764</v>
      </c>
      <c r="G67" s="91">
        <f t="shared" si="60"/>
        <v>17015.953172352947</v>
      </c>
      <c r="H67" s="91">
        <f t="shared" si="60"/>
        <v>16914.587614117649</v>
      </c>
      <c r="I67" s="91">
        <f t="shared" si="60"/>
        <v>16923.979174117645</v>
      </c>
      <c r="J67" s="91">
        <f t="shared" si="60"/>
        <v>17672.130782352942</v>
      </c>
      <c r="K67" s="91">
        <f t="shared" si="60"/>
        <v>0</v>
      </c>
      <c r="L67" s="91">
        <f t="shared" si="60"/>
        <v>0</v>
      </c>
      <c r="M67" s="91">
        <f t="shared" si="60"/>
        <v>400</v>
      </c>
      <c r="N67" s="91">
        <f t="shared" si="58"/>
        <v>165995.62672176471</v>
      </c>
    </row>
    <row r="68" spans="1:17" x14ac:dyDescent="0.35">
      <c r="A68" s="32" t="s">
        <v>109</v>
      </c>
      <c r="B68" s="62" t="e">
        <f>+B67/B62</f>
        <v>#DIV/0!</v>
      </c>
      <c r="C68" s="62" t="e">
        <f t="shared" ref="C68:N68" si="61">+C61/C62</f>
        <v>#DIV/0!</v>
      </c>
      <c r="D68" s="62" t="e">
        <f t="shared" si="61"/>
        <v>#DIV/0!</v>
      </c>
      <c r="E68" s="62" t="e">
        <f t="shared" si="61"/>
        <v>#DIV/0!</v>
      </c>
      <c r="F68" s="62" t="e">
        <f t="shared" si="61"/>
        <v>#DIV/0!</v>
      </c>
      <c r="G68" s="62" t="e">
        <f t="shared" si="61"/>
        <v>#DIV/0!</v>
      </c>
      <c r="H68" s="62" t="e">
        <f t="shared" si="61"/>
        <v>#DIV/0!</v>
      </c>
      <c r="I68" s="62" t="e">
        <f t="shared" si="61"/>
        <v>#DIV/0!</v>
      </c>
      <c r="J68" s="62" t="e">
        <f t="shared" si="61"/>
        <v>#DIV/0!</v>
      </c>
      <c r="K68" s="62" t="e">
        <f t="shared" si="61"/>
        <v>#DIV/0!</v>
      </c>
      <c r="L68" s="62" t="e">
        <f t="shared" si="61"/>
        <v>#DIV/0!</v>
      </c>
      <c r="M68" s="62" t="e">
        <f t="shared" si="61"/>
        <v>#DIV/0!</v>
      </c>
      <c r="N68" s="84" t="e">
        <f t="shared" si="61"/>
        <v>#DIV/0!</v>
      </c>
    </row>
    <row r="69" spans="1:17" x14ac:dyDescent="0.35">
      <c r="A69" s="65" t="s">
        <v>91</v>
      </c>
      <c r="B69" s="80">
        <f t="shared" ref="B69:M69" si="62">+(B75*B70)</f>
        <v>106349.10314601725</v>
      </c>
      <c r="C69" s="80">
        <f t="shared" si="62"/>
        <v>92871.415461419718</v>
      </c>
      <c r="D69" s="80">
        <f t="shared" si="62"/>
        <v>83632.701237461646</v>
      </c>
      <c r="E69" s="80">
        <f t="shared" si="62"/>
        <v>83352.256363529712</v>
      </c>
      <c r="F69" s="80">
        <f t="shared" si="62"/>
        <v>81451.536268814671</v>
      </c>
      <c r="G69" s="80">
        <f t="shared" si="62"/>
        <v>78649.745495411655</v>
      </c>
      <c r="H69" s="80">
        <f t="shared" si="62"/>
        <v>78042.099563204712</v>
      </c>
      <c r="I69" s="80">
        <f t="shared" si="62"/>
        <v>78085.166909474719</v>
      </c>
      <c r="J69" s="80">
        <f t="shared" si="62"/>
        <v>81658.811970469134</v>
      </c>
      <c r="K69" s="80">
        <f t="shared" si="62"/>
        <v>80706.753146939722</v>
      </c>
      <c r="L69" s="80">
        <f t="shared" si="62"/>
        <v>80706.753146939722</v>
      </c>
      <c r="M69" s="80">
        <f t="shared" si="62"/>
        <v>81658.811970469134</v>
      </c>
      <c r="N69" s="92">
        <f>SUM(B69:M69)</f>
        <v>1007165.1546801517</v>
      </c>
    </row>
    <row r="70" spans="1:17" x14ac:dyDescent="0.35">
      <c r="A70" s="32" t="s">
        <v>93</v>
      </c>
      <c r="B70" s="239">
        <f>+'Plan de culture 105'!$I$13</f>
        <v>5.3950000000000005</v>
      </c>
      <c r="C70" s="239">
        <f>+B70</f>
        <v>5.3950000000000005</v>
      </c>
      <c r="D70" s="239">
        <f t="shared" ref="D70:M70" si="63">+C70</f>
        <v>5.3950000000000005</v>
      </c>
      <c r="E70" s="239">
        <f t="shared" si="63"/>
        <v>5.3950000000000005</v>
      </c>
      <c r="F70" s="239">
        <f t="shared" si="63"/>
        <v>5.3950000000000005</v>
      </c>
      <c r="G70" s="239">
        <f t="shared" si="63"/>
        <v>5.3950000000000005</v>
      </c>
      <c r="H70" s="239">
        <f t="shared" si="63"/>
        <v>5.3950000000000005</v>
      </c>
      <c r="I70" s="239">
        <f t="shared" si="63"/>
        <v>5.3950000000000005</v>
      </c>
      <c r="J70" s="239">
        <f t="shared" si="63"/>
        <v>5.3950000000000005</v>
      </c>
      <c r="K70" s="239">
        <f t="shared" si="63"/>
        <v>5.3950000000000005</v>
      </c>
      <c r="L70" s="239">
        <f t="shared" si="63"/>
        <v>5.3950000000000005</v>
      </c>
      <c r="M70" s="239">
        <f t="shared" si="63"/>
        <v>5.3950000000000005</v>
      </c>
      <c r="N70" s="240">
        <f>+'Plan de culture 105'!$I$13</f>
        <v>5.3950000000000005</v>
      </c>
    </row>
    <row r="71" spans="1:17" x14ac:dyDescent="0.35">
      <c r="A71" s="89" t="s">
        <v>110</v>
      </c>
      <c r="B71" s="90">
        <f>4000/ 6.8</f>
        <v>588.23529411764707</v>
      </c>
      <c r="C71" s="90">
        <f>+B71</f>
        <v>588.23529411764707</v>
      </c>
      <c r="D71" s="90">
        <f t="shared" ref="D71:M71" si="64">+C71</f>
        <v>588.23529411764707</v>
      </c>
      <c r="E71" s="90">
        <f t="shared" si="64"/>
        <v>588.23529411764707</v>
      </c>
      <c r="F71" s="90">
        <f t="shared" si="64"/>
        <v>588.23529411764707</v>
      </c>
      <c r="G71" s="90">
        <f t="shared" si="64"/>
        <v>588.23529411764707</v>
      </c>
      <c r="H71" s="90">
        <f t="shared" si="64"/>
        <v>588.23529411764707</v>
      </c>
      <c r="I71" s="90">
        <f t="shared" si="64"/>
        <v>588.23529411764707</v>
      </c>
      <c r="J71" s="90">
        <f t="shared" si="64"/>
        <v>588.23529411764707</v>
      </c>
      <c r="K71" s="90">
        <f t="shared" si="64"/>
        <v>588.23529411764707</v>
      </c>
      <c r="L71" s="90">
        <f t="shared" si="64"/>
        <v>588.23529411764707</v>
      </c>
      <c r="M71" s="90">
        <f t="shared" si="64"/>
        <v>588.23529411764707</v>
      </c>
      <c r="N71" s="91">
        <f t="shared" ref="N71:N75" si="65">SUM(B71:M71)</f>
        <v>7058.823529411763</v>
      </c>
    </row>
    <row r="72" spans="1:17" x14ac:dyDescent="0.35">
      <c r="A72" s="89" t="s">
        <v>111</v>
      </c>
      <c r="B72" s="90"/>
      <c r="C72" s="90"/>
      <c r="D72" s="90">
        <f>1200/ 6.8</f>
        <v>176.47058823529412</v>
      </c>
      <c r="E72" s="90"/>
      <c r="F72" s="90"/>
      <c r="G72" s="90">
        <f>1200/ 6.8</f>
        <v>176.47058823529412</v>
      </c>
      <c r="H72" s="90"/>
      <c r="I72" s="90"/>
      <c r="J72" s="90">
        <f>1200/ 6.8</f>
        <v>176.47058823529412</v>
      </c>
      <c r="K72" s="90"/>
      <c r="L72" s="90"/>
      <c r="M72" s="90">
        <f>1200/ 6.8</f>
        <v>176.47058823529412</v>
      </c>
      <c r="N72" s="91">
        <f t="shared" si="65"/>
        <v>705.88235294117646</v>
      </c>
    </row>
    <row r="73" spans="1:17" x14ac:dyDescent="0.35">
      <c r="A73" s="89" t="s">
        <v>112</v>
      </c>
      <c r="B73" s="90">
        <f>+B65*0.85</f>
        <v>15675.651975000004</v>
      </c>
      <c r="C73" s="90">
        <f t="shared" ref="C73:J73" si="66">+C65*0.85</f>
        <v>13627.962450000001</v>
      </c>
      <c r="D73" s="90">
        <f t="shared" si="66"/>
        <v>12079.659825000002</v>
      </c>
      <c r="E73" s="90">
        <f t="shared" si="66"/>
        <v>12181.699349999999</v>
      </c>
      <c r="F73" s="90">
        <f t="shared" si="66"/>
        <v>11892.919499999993</v>
      </c>
      <c r="G73" s="90">
        <f t="shared" si="66"/>
        <v>11322.590325000005</v>
      </c>
      <c r="H73" s="90">
        <f t="shared" si="66"/>
        <v>11374.917600000001</v>
      </c>
      <c r="I73" s="90">
        <f t="shared" si="66"/>
        <v>11381.4609</v>
      </c>
      <c r="J73" s="90">
        <f t="shared" si="66"/>
        <v>11779.763250000002</v>
      </c>
      <c r="K73" s="90">
        <f>+J73</f>
        <v>11779.763250000002</v>
      </c>
      <c r="L73" s="90">
        <f>+K73</f>
        <v>11779.763250000002</v>
      </c>
      <c r="M73" s="90">
        <f>+L73</f>
        <v>11779.763250000002</v>
      </c>
      <c r="N73" s="91">
        <f t="shared" si="65"/>
        <v>146655.91492500002</v>
      </c>
    </row>
    <row r="74" spans="1:17" x14ac:dyDescent="0.35">
      <c r="A74" s="89" t="s">
        <v>113</v>
      </c>
      <c r="B74" s="90">
        <f>+(B73)*22%</f>
        <v>3448.6434345000011</v>
      </c>
      <c r="C74" s="90">
        <f t="shared" ref="C74:M74" si="67">+(C73)*22%</f>
        <v>2998.1517390000004</v>
      </c>
      <c r="D74" s="90">
        <f t="shared" si="67"/>
        <v>2657.5251615000006</v>
      </c>
      <c r="E74" s="90">
        <f t="shared" si="67"/>
        <v>2679.973857</v>
      </c>
      <c r="F74" s="90">
        <f t="shared" si="67"/>
        <v>2616.4422899999986</v>
      </c>
      <c r="G74" s="90">
        <f t="shared" si="67"/>
        <v>2490.9698715000009</v>
      </c>
      <c r="H74" s="90">
        <f t="shared" si="67"/>
        <v>2502.4818720000003</v>
      </c>
      <c r="I74" s="90">
        <f t="shared" si="67"/>
        <v>2503.921398</v>
      </c>
      <c r="J74" s="90">
        <f t="shared" si="67"/>
        <v>2591.5479150000006</v>
      </c>
      <c r="K74" s="90">
        <f t="shared" si="67"/>
        <v>2591.5479150000006</v>
      </c>
      <c r="L74" s="90">
        <f t="shared" si="67"/>
        <v>2591.5479150000006</v>
      </c>
      <c r="M74" s="90">
        <f t="shared" si="67"/>
        <v>2591.5479150000006</v>
      </c>
      <c r="N74" s="91">
        <f t="shared" si="65"/>
        <v>32264.301283499997</v>
      </c>
    </row>
    <row r="75" spans="1:17" x14ac:dyDescent="0.35">
      <c r="A75" s="17" t="s">
        <v>114</v>
      </c>
      <c r="B75" s="91">
        <f t="shared" ref="B75:M75" si="68">SUM(B71:B74)</f>
        <v>19712.530703617653</v>
      </c>
      <c r="C75" s="91">
        <f t="shared" si="68"/>
        <v>17214.349483117647</v>
      </c>
      <c r="D75" s="91">
        <f t="shared" si="68"/>
        <v>15501.890868852945</v>
      </c>
      <c r="E75" s="91">
        <f t="shared" si="68"/>
        <v>15449.908501117647</v>
      </c>
      <c r="F75" s="91">
        <f t="shared" si="68"/>
        <v>15097.597084117639</v>
      </c>
      <c r="G75" s="91">
        <f t="shared" si="68"/>
        <v>14578.266078852947</v>
      </c>
      <c r="H75" s="91">
        <f t="shared" si="68"/>
        <v>14465.634766117648</v>
      </c>
      <c r="I75" s="91">
        <f t="shared" si="68"/>
        <v>14473.617592117647</v>
      </c>
      <c r="J75" s="91">
        <f t="shared" si="68"/>
        <v>15136.017047352943</v>
      </c>
      <c r="K75" s="91">
        <f t="shared" si="68"/>
        <v>14959.54645911765</v>
      </c>
      <c r="L75" s="91">
        <f t="shared" si="68"/>
        <v>14959.54645911765</v>
      </c>
      <c r="M75" s="91">
        <f t="shared" si="68"/>
        <v>15136.017047352943</v>
      </c>
      <c r="N75" s="91">
        <f t="shared" si="65"/>
        <v>186684.92209085295</v>
      </c>
    </row>
    <row r="76" spans="1:17" x14ac:dyDescent="0.35">
      <c r="A76" s="32" t="s">
        <v>109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84">
        <f>+N69/N70</f>
        <v>186684.92209085295</v>
      </c>
    </row>
    <row r="77" spans="1:17" x14ac:dyDescent="0.35">
      <c r="A77" s="65" t="s">
        <v>376</v>
      </c>
      <c r="B77" s="80">
        <f t="shared" ref="B77:M77" si="69">+(B83*B78)</f>
        <v>0</v>
      </c>
      <c r="C77" s="80">
        <f t="shared" si="69"/>
        <v>0</v>
      </c>
      <c r="D77" s="80">
        <f t="shared" si="69"/>
        <v>0</v>
      </c>
      <c r="E77" s="80">
        <f t="shared" si="69"/>
        <v>0</v>
      </c>
      <c r="F77" s="80">
        <f t="shared" si="69"/>
        <v>0</v>
      </c>
      <c r="G77" s="80">
        <f t="shared" si="69"/>
        <v>0</v>
      </c>
      <c r="H77" s="80">
        <f t="shared" si="69"/>
        <v>0</v>
      </c>
      <c r="I77" s="80">
        <f t="shared" si="69"/>
        <v>0</v>
      </c>
      <c r="J77" s="80">
        <f t="shared" si="69"/>
        <v>0</v>
      </c>
      <c r="K77" s="80">
        <f t="shared" si="69"/>
        <v>0</v>
      </c>
      <c r="L77" s="80">
        <f t="shared" si="69"/>
        <v>0</v>
      </c>
      <c r="M77" s="80">
        <f t="shared" si="69"/>
        <v>0</v>
      </c>
      <c r="N77" s="92">
        <f>SUM(B77:M77)</f>
        <v>0</v>
      </c>
    </row>
    <row r="78" spans="1:17" x14ac:dyDescent="0.35">
      <c r="A78" s="32" t="s">
        <v>93</v>
      </c>
      <c r="B78" s="239">
        <f>+'Plan de culture 105'!$I$19</f>
        <v>0</v>
      </c>
      <c r="C78" s="239">
        <f>+B78</f>
        <v>0</v>
      </c>
      <c r="D78" s="239">
        <f t="shared" ref="D78" si="70">+C78</f>
        <v>0</v>
      </c>
      <c r="E78" s="239">
        <f>+'Plan de culture 104 '!C74</f>
        <v>0</v>
      </c>
      <c r="F78" s="239">
        <f>+E78+'Plan de culture 104 '!D74+'Plan de culture 104 '!E74</f>
        <v>0</v>
      </c>
      <c r="G78" s="239">
        <f>+F78</f>
        <v>0</v>
      </c>
      <c r="H78" s="239">
        <f t="shared" ref="H78:M78" si="71">+G78</f>
        <v>0</v>
      </c>
      <c r="I78" s="239">
        <f t="shared" si="71"/>
        <v>0</v>
      </c>
      <c r="J78" s="239">
        <f t="shared" si="71"/>
        <v>0</v>
      </c>
      <c r="K78" s="239">
        <f t="shared" si="71"/>
        <v>0</v>
      </c>
      <c r="L78" s="239">
        <f t="shared" si="71"/>
        <v>0</v>
      </c>
      <c r="M78" s="239">
        <f t="shared" si="71"/>
        <v>0</v>
      </c>
      <c r="N78" s="240">
        <f>+'Plan de culture 105'!$I$19</f>
        <v>0</v>
      </c>
    </row>
    <row r="79" spans="1:17" x14ac:dyDescent="0.35">
      <c r="A79" s="89" t="s">
        <v>110</v>
      </c>
      <c r="B79" s="90">
        <f>4000/ 6.8</f>
        <v>588.23529411764707</v>
      </c>
      <c r="C79" s="90">
        <f>+B79</f>
        <v>588.23529411764707</v>
      </c>
      <c r="D79" s="90">
        <f t="shared" ref="D79:M79" si="72">+C79</f>
        <v>588.23529411764707</v>
      </c>
      <c r="E79" s="90">
        <f t="shared" si="72"/>
        <v>588.23529411764707</v>
      </c>
      <c r="F79" s="90">
        <f t="shared" si="72"/>
        <v>588.23529411764707</v>
      </c>
      <c r="G79" s="90">
        <f t="shared" si="72"/>
        <v>588.23529411764707</v>
      </c>
      <c r="H79" s="90">
        <f t="shared" si="72"/>
        <v>588.23529411764707</v>
      </c>
      <c r="I79" s="90">
        <f t="shared" si="72"/>
        <v>588.23529411764707</v>
      </c>
      <c r="J79" s="90">
        <f t="shared" si="72"/>
        <v>588.23529411764707</v>
      </c>
      <c r="K79" s="90">
        <f t="shared" si="72"/>
        <v>588.23529411764707</v>
      </c>
      <c r="L79" s="90">
        <f t="shared" si="72"/>
        <v>588.23529411764707</v>
      </c>
      <c r="M79" s="90">
        <f t="shared" si="72"/>
        <v>588.23529411764707</v>
      </c>
      <c r="N79" s="91">
        <f t="shared" ref="N79:N83" si="73">SUM(B79:M79)</f>
        <v>7058.823529411763</v>
      </c>
    </row>
    <row r="80" spans="1:17" x14ac:dyDescent="0.35">
      <c r="A80" s="89" t="s">
        <v>111</v>
      </c>
      <c r="B80" s="90"/>
      <c r="C80" s="90"/>
      <c r="D80" s="90">
        <f>1200/ 6.8</f>
        <v>176.47058823529412</v>
      </c>
      <c r="E80" s="90"/>
      <c r="F80" s="90"/>
      <c r="G80" s="90">
        <f>1200/ 6.8</f>
        <v>176.47058823529412</v>
      </c>
      <c r="H80" s="90"/>
      <c r="I80" s="90"/>
      <c r="J80" s="90">
        <f>1200/ 6.8</f>
        <v>176.47058823529412</v>
      </c>
      <c r="K80" s="90"/>
      <c r="L80" s="90"/>
      <c r="M80" s="90">
        <f>1200/ 6.8</f>
        <v>176.47058823529412</v>
      </c>
      <c r="N80" s="91">
        <f t="shared" si="73"/>
        <v>705.88235294117646</v>
      </c>
    </row>
    <row r="81" spans="1:14" x14ac:dyDescent="0.35">
      <c r="A81" s="89" t="s">
        <v>112</v>
      </c>
      <c r="B81" s="90">
        <f>+B73*0.85</f>
        <v>13324.304178750004</v>
      </c>
      <c r="C81" s="90">
        <f t="shared" ref="C81:J81" si="74">+C73*0.85</f>
        <v>11583.768082500001</v>
      </c>
      <c r="D81" s="90">
        <f t="shared" si="74"/>
        <v>10267.710851250002</v>
      </c>
      <c r="E81" s="90">
        <f t="shared" si="74"/>
        <v>10354.444447499998</v>
      </c>
      <c r="F81" s="90">
        <f t="shared" si="74"/>
        <v>10108.981574999994</v>
      </c>
      <c r="G81" s="90">
        <f t="shared" si="74"/>
        <v>9624.2017762500036</v>
      </c>
      <c r="H81" s="90">
        <f t="shared" si="74"/>
        <v>9668.6799599999995</v>
      </c>
      <c r="I81" s="90">
        <f t="shared" si="74"/>
        <v>9674.2417650000007</v>
      </c>
      <c r="J81" s="90">
        <f t="shared" si="74"/>
        <v>10012.798762500001</v>
      </c>
      <c r="K81" s="90">
        <f>+J81</f>
        <v>10012.798762500001</v>
      </c>
      <c r="L81" s="90">
        <f>+K81</f>
        <v>10012.798762500001</v>
      </c>
      <c r="M81" s="90">
        <f>+L81</f>
        <v>10012.798762500001</v>
      </c>
      <c r="N81" s="91">
        <f t="shared" si="73"/>
        <v>124657.52768624997</v>
      </c>
    </row>
    <row r="82" spans="1:14" x14ac:dyDescent="0.35">
      <c r="A82" s="89" t="s">
        <v>113</v>
      </c>
      <c r="B82" s="90">
        <f>+(B81)*22%</f>
        <v>2931.3469193250007</v>
      </c>
      <c r="C82" s="90">
        <f t="shared" ref="C82:M82" si="75">+(C81)*22%</f>
        <v>2548.4289781500001</v>
      </c>
      <c r="D82" s="90">
        <f t="shared" si="75"/>
        <v>2258.8963872750005</v>
      </c>
      <c r="E82" s="90">
        <f t="shared" si="75"/>
        <v>2277.9777784499997</v>
      </c>
      <c r="F82" s="90">
        <f t="shared" si="75"/>
        <v>2223.9759464999988</v>
      </c>
      <c r="G82" s="90">
        <f t="shared" si="75"/>
        <v>2117.3243907750007</v>
      </c>
      <c r="H82" s="90">
        <f t="shared" si="75"/>
        <v>2127.1095912000001</v>
      </c>
      <c r="I82" s="90">
        <f t="shared" si="75"/>
        <v>2128.3331883000001</v>
      </c>
      <c r="J82" s="90">
        <f t="shared" si="75"/>
        <v>2202.81572775</v>
      </c>
      <c r="K82" s="90">
        <f t="shared" si="75"/>
        <v>2202.81572775</v>
      </c>
      <c r="L82" s="90">
        <f t="shared" si="75"/>
        <v>2202.81572775</v>
      </c>
      <c r="M82" s="90">
        <f t="shared" si="75"/>
        <v>2202.81572775</v>
      </c>
      <c r="N82" s="91">
        <f t="shared" si="73"/>
        <v>27424.656090974997</v>
      </c>
    </row>
    <row r="83" spans="1:14" x14ac:dyDescent="0.35">
      <c r="A83" s="17" t="s">
        <v>114</v>
      </c>
      <c r="B83" s="91">
        <f t="shared" ref="B83:M83" si="76">SUM(B79:B82)</f>
        <v>16843.886392192653</v>
      </c>
      <c r="C83" s="91">
        <f t="shared" si="76"/>
        <v>14720.432354767647</v>
      </c>
      <c r="D83" s="91">
        <f t="shared" si="76"/>
        <v>13291.313120877943</v>
      </c>
      <c r="E83" s="91">
        <f t="shared" si="76"/>
        <v>13220.657520067645</v>
      </c>
      <c r="F83" s="91">
        <f t="shared" si="76"/>
        <v>12921.19281561764</v>
      </c>
      <c r="G83" s="91">
        <f t="shared" si="76"/>
        <v>12506.232049377944</v>
      </c>
      <c r="H83" s="91">
        <f t="shared" si="76"/>
        <v>12384.024845317646</v>
      </c>
      <c r="I83" s="91">
        <f t="shared" si="76"/>
        <v>12390.810247417648</v>
      </c>
      <c r="J83" s="91">
        <f t="shared" si="76"/>
        <v>12980.320372602941</v>
      </c>
      <c r="K83" s="91">
        <f t="shared" si="76"/>
        <v>12803.849784367647</v>
      </c>
      <c r="L83" s="91">
        <f t="shared" si="76"/>
        <v>12803.849784367647</v>
      </c>
      <c r="M83" s="91">
        <f t="shared" si="76"/>
        <v>12980.320372602941</v>
      </c>
      <c r="N83" s="91">
        <f t="shared" si="73"/>
        <v>159846.88965957795</v>
      </c>
    </row>
    <row r="84" spans="1:14" x14ac:dyDescent="0.35">
      <c r="A84" s="32" t="s">
        <v>109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84" t="e">
        <f>+N77/N78</f>
        <v>#DIV/0!</v>
      </c>
    </row>
    <row r="85" spans="1:14" x14ac:dyDescent="0.35">
      <c r="A85" s="65" t="s">
        <v>92</v>
      </c>
      <c r="B85" s="80">
        <f t="shared" ref="B85:M85" si="77">+(B91*B86)</f>
        <v>0</v>
      </c>
      <c r="C85" s="80">
        <f t="shared" si="77"/>
        <v>0</v>
      </c>
      <c r="D85" s="80">
        <f t="shared" si="77"/>
        <v>0</v>
      </c>
      <c r="E85" s="80">
        <f t="shared" si="77"/>
        <v>0</v>
      </c>
      <c r="F85" s="80">
        <f t="shared" si="77"/>
        <v>0</v>
      </c>
      <c r="G85" s="80">
        <f t="shared" si="77"/>
        <v>0</v>
      </c>
      <c r="H85" s="80">
        <f t="shared" si="77"/>
        <v>0</v>
      </c>
      <c r="I85" s="80">
        <f t="shared" si="77"/>
        <v>0</v>
      </c>
      <c r="J85" s="80">
        <f t="shared" si="77"/>
        <v>0</v>
      </c>
      <c r="K85" s="80">
        <f t="shared" si="77"/>
        <v>0</v>
      </c>
      <c r="L85" s="80">
        <f t="shared" si="77"/>
        <v>0</v>
      </c>
      <c r="M85" s="80">
        <f t="shared" si="77"/>
        <v>0</v>
      </c>
      <c r="N85" s="92">
        <f>SUM(B85:M85)</f>
        <v>0</v>
      </c>
    </row>
    <row r="86" spans="1:14" x14ac:dyDescent="0.35">
      <c r="A86" s="32" t="s">
        <v>93</v>
      </c>
      <c r="B86" s="239">
        <f>+'Plan de culture 105'!$I$25</f>
        <v>0</v>
      </c>
      <c r="C86" s="239">
        <f>+B86</f>
        <v>0</v>
      </c>
      <c r="D86" s="239">
        <f t="shared" ref="D86" si="78">+C86</f>
        <v>0</v>
      </c>
      <c r="E86" s="239">
        <f>+'Plan de culture 104 '!C82</f>
        <v>0</v>
      </c>
      <c r="F86" s="239">
        <f>+E86+'Plan de culture 104 '!D82+'Plan de culture 104 '!E82</f>
        <v>0</v>
      </c>
      <c r="G86" s="239">
        <f>+F86</f>
        <v>0</v>
      </c>
      <c r="H86" s="239">
        <f t="shared" ref="H86:M86" si="79">+G86</f>
        <v>0</v>
      </c>
      <c r="I86" s="239">
        <f t="shared" si="79"/>
        <v>0</v>
      </c>
      <c r="J86" s="239">
        <f t="shared" si="79"/>
        <v>0</v>
      </c>
      <c r="K86" s="239">
        <f t="shared" si="79"/>
        <v>0</v>
      </c>
      <c r="L86" s="239">
        <f t="shared" si="79"/>
        <v>0</v>
      </c>
      <c r="M86" s="239">
        <f t="shared" si="79"/>
        <v>0</v>
      </c>
      <c r="N86" s="240">
        <f>+'Plan de culture 105'!$I$25</f>
        <v>0</v>
      </c>
    </row>
    <row r="87" spans="1:14" x14ac:dyDescent="0.35">
      <c r="A87" s="89" t="s">
        <v>110</v>
      </c>
      <c r="B87" s="90">
        <f>4000/ 6.8</f>
        <v>588.23529411764707</v>
      </c>
      <c r="C87" s="90">
        <f>+B87</f>
        <v>588.23529411764707</v>
      </c>
      <c r="D87" s="90">
        <f t="shared" ref="D87:M87" si="80">+C87</f>
        <v>588.23529411764707</v>
      </c>
      <c r="E87" s="90">
        <f t="shared" si="80"/>
        <v>588.23529411764707</v>
      </c>
      <c r="F87" s="90">
        <f t="shared" si="80"/>
        <v>588.23529411764707</v>
      </c>
      <c r="G87" s="90">
        <f t="shared" si="80"/>
        <v>588.23529411764707</v>
      </c>
      <c r="H87" s="90">
        <f t="shared" si="80"/>
        <v>588.23529411764707</v>
      </c>
      <c r="I87" s="90">
        <f t="shared" si="80"/>
        <v>588.23529411764707</v>
      </c>
      <c r="J87" s="90">
        <f t="shared" si="80"/>
        <v>588.23529411764707</v>
      </c>
      <c r="K87" s="90">
        <f t="shared" si="80"/>
        <v>588.23529411764707</v>
      </c>
      <c r="L87" s="90">
        <f t="shared" si="80"/>
        <v>588.23529411764707</v>
      </c>
      <c r="M87" s="90">
        <f t="shared" si="80"/>
        <v>588.23529411764707</v>
      </c>
      <c r="N87" s="91">
        <f t="shared" ref="N87:N91" si="81">SUM(B87:M87)</f>
        <v>7058.823529411763</v>
      </c>
    </row>
    <row r="88" spans="1:14" x14ac:dyDescent="0.35">
      <c r="A88" s="89" t="s">
        <v>111</v>
      </c>
      <c r="B88" s="90"/>
      <c r="C88" s="90"/>
      <c r="D88" s="90">
        <f>1200/ 6.8</f>
        <v>176.47058823529412</v>
      </c>
      <c r="E88" s="90"/>
      <c r="F88" s="90"/>
      <c r="G88" s="90">
        <f>1200/ 6.8</f>
        <v>176.47058823529412</v>
      </c>
      <c r="H88" s="90"/>
      <c r="I88" s="90"/>
      <c r="J88" s="90">
        <f>1200/ 6.8</f>
        <v>176.47058823529412</v>
      </c>
      <c r="K88" s="90"/>
      <c r="L88" s="90"/>
      <c r="M88" s="90">
        <f>1200/ 6.8</f>
        <v>176.47058823529412</v>
      </c>
      <c r="N88" s="91">
        <f t="shared" si="81"/>
        <v>705.88235294117646</v>
      </c>
    </row>
    <row r="89" spans="1:14" x14ac:dyDescent="0.35">
      <c r="A89" s="89" t="s">
        <v>112</v>
      </c>
      <c r="B89" s="90">
        <f>+B81*0.85</f>
        <v>11325.658551937504</v>
      </c>
      <c r="C89" s="90">
        <f t="shared" ref="C89:J89" si="82">+C81*0.85</f>
        <v>9846.2028701250001</v>
      </c>
      <c r="D89" s="90">
        <f t="shared" si="82"/>
        <v>8727.5542235625016</v>
      </c>
      <c r="E89" s="90">
        <f t="shared" si="82"/>
        <v>8801.2777803749977</v>
      </c>
      <c r="F89" s="90">
        <f t="shared" si="82"/>
        <v>8592.6343387499946</v>
      </c>
      <c r="G89" s="90">
        <f t="shared" si="82"/>
        <v>8180.5715098125029</v>
      </c>
      <c r="H89" s="90">
        <f t="shared" si="82"/>
        <v>8218.377966</v>
      </c>
      <c r="I89" s="90">
        <f t="shared" si="82"/>
        <v>8223.1055002499997</v>
      </c>
      <c r="J89" s="90">
        <f t="shared" si="82"/>
        <v>8510.8789481250005</v>
      </c>
      <c r="K89" s="90">
        <f>+J89</f>
        <v>8510.8789481250005</v>
      </c>
      <c r="L89" s="90">
        <f>+K89</f>
        <v>8510.8789481250005</v>
      </c>
      <c r="M89" s="90">
        <f>+L89</f>
        <v>8510.8789481250005</v>
      </c>
      <c r="N89" s="91">
        <f t="shared" si="81"/>
        <v>105958.89853331249</v>
      </c>
    </row>
    <row r="90" spans="1:14" x14ac:dyDescent="0.35">
      <c r="A90" s="89" t="s">
        <v>113</v>
      </c>
      <c r="B90" s="90">
        <f>+(B89)*22%</f>
        <v>2491.6448814262508</v>
      </c>
      <c r="C90" s="90">
        <f t="shared" ref="C90:M90" si="83">+(C89)*22%</f>
        <v>2166.1646314274999</v>
      </c>
      <c r="D90" s="90">
        <f t="shared" si="83"/>
        <v>1920.0619291837504</v>
      </c>
      <c r="E90" s="90">
        <f t="shared" si="83"/>
        <v>1936.2811116824996</v>
      </c>
      <c r="F90" s="90">
        <f t="shared" si="83"/>
        <v>1890.3795545249989</v>
      </c>
      <c r="G90" s="90">
        <f t="shared" si="83"/>
        <v>1799.7257321587506</v>
      </c>
      <c r="H90" s="90">
        <f t="shared" si="83"/>
        <v>1808.0431525199999</v>
      </c>
      <c r="I90" s="90">
        <f t="shared" si="83"/>
        <v>1809.0832100549999</v>
      </c>
      <c r="J90" s="90">
        <f t="shared" si="83"/>
        <v>1872.3933685875002</v>
      </c>
      <c r="K90" s="90">
        <f t="shared" si="83"/>
        <v>1872.3933685875002</v>
      </c>
      <c r="L90" s="90">
        <f t="shared" si="83"/>
        <v>1872.3933685875002</v>
      </c>
      <c r="M90" s="90">
        <f t="shared" si="83"/>
        <v>1872.3933685875002</v>
      </c>
      <c r="N90" s="91">
        <f t="shared" si="81"/>
        <v>23310.957677328755</v>
      </c>
    </row>
    <row r="91" spans="1:14" x14ac:dyDescent="0.35">
      <c r="A91" s="17" t="s">
        <v>114</v>
      </c>
      <c r="B91" s="91">
        <f t="shared" ref="B91:M91" si="84">SUM(B87:B90)</f>
        <v>14405.538727481402</v>
      </c>
      <c r="C91" s="91">
        <f t="shared" si="84"/>
        <v>12600.602795670147</v>
      </c>
      <c r="D91" s="91">
        <f t="shared" si="84"/>
        <v>11412.322035099192</v>
      </c>
      <c r="E91" s="91">
        <f t="shared" si="84"/>
        <v>11325.794186175144</v>
      </c>
      <c r="F91" s="91">
        <f t="shared" si="84"/>
        <v>11071.249187392641</v>
      </c>
      <c r="G91" s="91">
        <f t="shared" si="84"/>
        <v>10745.003124324196</v>
      </c>
      <c r="H91" s="91">
        <f t="shared" si="84"/>
        <v>10614.656412637647</v>
      </c>
      <c r="I91" s="91">
        <f t="shared" si="84"/>
        <v>10620.424004422646</v>
      </c>
      <c r="J91" s="91">
        <f t="shared" si="84"/>
        <v>11147.978199065441</v>
      </c>
      <c r="K91" s="91">
        <f t="shared" si="84"/>
        <v>10971.507610830147</v>
      </c>
      <c r="L91" s="91">
        <f t="shared" si="84"/>
        <v>10971.507610830147</v>
      </c>
      <c r="M91" s="91">
        <f t="shared" si="84"/>
        <v>11147.978199065441</v>
      </c>
      <c r="N91" s="91">
        <f t="shared" si="81"/>
        <v>137034.56209299419</v>
      </c>
    </row>
    <row r="92" spans="1:14" x14ac:dyDescent="0.35">
      <c r="A92" s="32" t="s">
        <v>109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84" t="e">
        <f>+N85/N86</f>
        <v>#DIV/0!</v>
      </c>
    </row>
    <row r="93" spans="1:14" x14ac:dyDescent="0.35">
      <c r="A93" s="65" t="s">
        <v>377</v>
      </c>
      <c r="B93" s="80">
        <f t="shared" ref="B93:M93" si="85">+(B99*B94)</f>
        <v>0</v>
      </c>
      <c r="C93" s="80">
        <f t="shared" si="85"/>
        <v>0</v>
      </c>
      <c r="D93" s="80">
        <f t="shared" si="85"/>
        <v>0</v>
      </c>
      <c r="E93" s="80">
        <f t="shared" si="85"/>
        <v>0</v>
      </c>
      <c r="F93" s="80">
        <f t="shared" si="85"/>
        <v>0</v>
      </c>
      <c r="G93" s="80">
        <f t="shared" si="85"/>
        <v>0</v>
      </c>
      <c r="H93" s="80">
        <f t="shared" si="85"/>
        <v>0</v>
      </c>
      <c r="I93" s="80">
        <f t="shared" si="85"/>
        <v>0</v>
      </c>
      <c r="J93" s="80">
        <f t="shared" si="85"/>
        <v>0</v>
      </c>
      <c r="K93" s="80">
        <f t="shared" si="85"/>
        <v>0</v>
      </c>
      <c r="L93" s="80">
        <f t="shared" si="85"/>
        <v>0</v>
      </c>
      <c r="M93" s="80">
        <f t="shared" si="85"/>
        <v>0</v>
      </c>
      <c r="N93" s="92">
        <f>SUM(B93:M93)</f>
        <v>0</v>
      </c>
    </row>
    <row r="94" spans="1:14" x14ac:dyDescent="0.35">
      <c r="A94" s="32" t="s">
        <v>93</v>
      </c>
      <c r="B94" s="239">
        <f>+'Plan de culture 105'!$I$31</f>
        <v>0</v>
      </c>
      <c r="C94" s="239">
        <f>+B94</f>
        <v>0</v>
      </c>
      <c r="D94" s="239">
        <f t="shared" ref="D94" si="86">+C94</f>
        <v>0</v>
      </c>
      <c r="E94" s="239">
        <f>+'Plan de culture 104 '!C90</f>
        <v>0</v>
      </c>
      <c r="F94" s="239">
        <f>+E94+'Plan de culture 104 '!D90+'Plan de culture 104 '!E90</f>
        <v>0</v>
      </c>
      <c r="G94" s="239">
        <f>+F94</f>
        <v>0</v>
      </c>
      <c r="H94" s="239">
        <f t="shared" ref="H94:M94" si="87">+G94</f>
        <v>0</v>
      </c>
      <c r="I94" s="239">
        <f t="shared" si="87"/>
        <v>0</v>
      </c>
      <c r="J94" s="239">
        <f t="shared" si="87"/>
        <v>0</v>
      </c>
      <c r="K94" s="239">
        <f t="shared" si="87"/>
        <v>0</v>
      </c>
      <c r="L94" s="239">
        <f t="shared" si="87"/>
        <v>0</v>
      </c>
      <c r="M94" s="239">
        <f t="shared" si="87"/>
        <v>0</v>
      </c>
      <c r="N94" s="240">
        <f>+'Plan de culture 105'!$I$31</f>
        <v>0</v>
      </c>
    </row>
    <row r="95" spans="1:14" x14ac:dyDescent="0.35">
      <c r="A95" s="89" t="s">
        <v>110</v>
      </c>
      <c r="B95" s="90">
        <f>4000/ 6.8</f>
        <v>588.23529411764707</v>
      </c>
      <c r="C95" s="90">
        <f>+B95</f>
        <v>588.23529411764707</v>
      </c>
      <c r="D95" s="90">
        <f t="shared" ref="D95:M95" si="88">+C95</f>
        <v>588.23529411764707</v>
      </c>
      <c r="E95" s="90">
        <f t="shared" si="88"/>
        <v>588.23529411764707</v>
      </c>
      <c r="F95" s="90">
        <f t="shared" si="88"/>
        <v>588.23529411764707</v>
      </c>
      <c r="G95" s="90">
        <f t="shared" si="88"/>
        <v>588.23529411764707</v>
      </c>
      <c r="H95" s="90">
        <f t="shared" si="88"/>
        <v>588.23529411764707</v>
      </c>
      <c r="I95" s="90">
        <f t="shared" si="88"/>
        <v>588.23529411764707</v>
      </c>
      <c r="J95" s="90">
        <f t="shared" si="88"/>
        <v>588.23529411764707</v>
      </c>
      <c r="K95" s="90">
        <f t="shared" si="88"/>
        <v>588.23529411764707</v>
      </c>
      <c r="L95" s="90">
        <f t="shared" si="88"/>
        <v>588.23529411764707</v>
      </c>
      <c r="M95" s="90">
        <f t="shared" si="88"/>
        <v>588.23529411764707</v>
      </c>
      <c r="N95" s="91">
        <f t="shared" ref="N95:N99" si="89">SUM(B95:M95)</f>
        <v>7058.823529411763</v>
      </c>
    </row>
    <row r="96" spans="1:14" x14ac:dyDescent="0.35">
      <c r="A96" s="89" t="s">
        <v>111</v>
      </c>
      <c r="B96" s="90"/>
      <c r="C96" s="90"/>
      <c r="D96" s="90">
        <f>1200/ 6.8</f>
        <v>176.47058823529412</v>
      </c>
      <c r="E96" s="90"/>
      <c r="F96" s="90"/>
      <c r="G96" s="90">
        <f>1200/ 6.8</f>
        <v>176.47058823529412</v>
      </c>
      <c r="H96" s="90"/>
      <c r="I96" s="90"/>
      <c r="J96" s="90">
        <f>1200/ 6.8</f>
        <v>176.47058823529412</v>
      </c>
      <c r="K96" s="90"/>
      <c r="L96" s="90"/>
      <c r="M96" s="90">
        <f>1200/ 6.8</f>
        <v>176.47058823529412</v>
      </c>
      <c r="N96" s="91">
        <f t="shared" si="89"/>
        <v>705.88235294117646</v>
      </c>
    </row>
    <row r="97" spans="1:14" x14ac:dyDescent="0.35">
      <c r="A97" s="89" t="s">
        <v>112</v>
      </c>
      <c r="B97" s="90">
        <f>+B89*0.85</f>
        <v>9626.8097691468774</v>
      </c>
      <c r="C97" s="90">
        <f t="shared" ref="C97:J97" si="90">+C89*0.85</f>
        <v>8369.2724396062495</v>
      </c>
      <c r="D97" s="90">
        <f t="shared" si="90"/>
        <v>7418.4210900281259</v>
      </c>
      <c r="E97" s="90">
        <f t="shared" si="90"/>
        <v>7481.0861133187482</v>
      </c>
      <c r="F97" s="90">
        <f t="shared" si="90"/>
        <v>7303.7391879374954</v>
      </c>
      <c r="G97" s="90">
        <f t="shared" si="90"/>
        <v>6953.4857833406277</v>
      </c>
      <c r="H97" s="90">
        <f t="shared" si="90"/>
        <v>6985.6212710999998</v>
      </c>
      <c r="I97" s="90">
        <f t="shared" si="90"/>
        <v>6989.6396752124992</v>
      </c>
      <c r="J97" s="90">
        <f t="shared" si="90"/>
        <v>7234.24710590625</v>
      </c>
      <c r="K97" s="90">
        <f>+J97</f>
        <v>7234.24710590625</v>
      </c>
      <c r="L97" s="90">
        <f>+K97</f>
        <v>7234.24710590625</v>
      </c>
      <c r="M97" s="90">
        <f>+L97</f>
        <v>7234.24710590625</v>
      </c>
      <c r="N97" s="91">
        <f t="shared" si="89"/>
        <v>90065.063753315626</v>
      </c>
    </row>
    <row r="98" spans="1:14" x14ac:dyDescent="0.35">
      <c r="A98" s="89" t="s">
        <v>113</v>
      </c>
      <c r="B98" s="90">
        <f>+(B97)*22%</f>
        <v>2117.898149212313</v>
      </c>
      <c r="C98" s="90">
        <f t="shared" ref="C98:M98" si="91">+(C97)*22%</f>
        <v>1841.2399367133748</v>
      </c>
      <c r="D98" s="90">
        <f t="shared" si="91"/>
        <v>1632.0526398061877</v>
      </c>
      <c r="E98" s="90">
        <f t="shared" si="91"/>
        <v>1645.8389449301246</v>
      </c>
      <c r="F98" s="90">
        <f t="shared" si="91"/>
        <v>1606.822621346249</v>
      </c>
      <c r="G98" s="90">
        <f t="shared" si="91"/>
        <v>1529.7668723349382</v>
      </c>
      <c r="H98" s="90">
        <f t="shared" si="91"/>
        <v>1536.836679642</v>
      </c>
      <c r="I98" s="90">
        <f t="shared" si="91"/>
        <v>1537.7207285467498</v>
      </c>
      <c r="J98" s="90">
        <f t="shared" si="91"/>
        <v>1591.5343632993749</v>
      </c>
      <c r="K98" s="90">
        <f t="shared" si="91"/>
        <v>1591.5343632993749</v>
      </c>
      <c r="L98" s="90">
        <f t="shared" si="91"/>
        <v>1591.5343632993749</v>
      </c>
      <c r="M98" s="90">
        <f t="shared" si="91"/>
        <v>1591.5343632993749</v>
      </c>
      <c r="N98" s="91">
        <f t="shared" si="89"/>
        <v>19814.314025729436</v>
      </c>
    </row>
    <row r="99" spans="1:14" x14ac:dyDescent="0.35">
      <c r="A99" s="17" t="s">
        <v>114</v>
      </c>
      <c r="B99" s="91">
        <f t="shared" ref="B99:M99" si="92">SUM(B95:B98)</f>
        <v>12332.943212476837</v>
      </c>
      <c r="C99" s="91">
        <f t="shared" si="92"/>
        <v>10798.747670437271</v>
      </c>
      <c r="D99" s="91">
        <f t="shared" si="92"/>
        <v>9815.1796121872558</v>
      </c>
      <c r="E99" s="91">
        <f t="shared" si="92"/>
        <v>9715.1603523665199</v>
      </c>
      <c r="F99" s="91">
        <f t="shared" si="92"/>
        <v>9498.7971034013917</v>
      </c>
      <c r="G99" s="91">
        <f t="shared" si="92"/>
        <v>9247.958538028508</v>
      </c>
      <c r="H99" s="91">
        <f t="shared" si="92"/>
        <v>9110.6932448596472</v>
      </c>
      <c r="I99" s="91">
        <f t="shared" si="92"/>
        <v>9115.5956978768954</v>
      </c>
      <c r="J99" s="91">
        <f t="shared" si="92"/>
        <v>9590.4873515585659</v>
      </c>
      <c r="K99" s="91">
        <f t="shared" si="92"/>
        <v>9414.0167633232722</v>
      </c>
      <c r="L99" s="91">
        <f t="shared" si="92"/>
        <v>9414.0167633232722</v>
      </c>
      <c r="M99" s="91">
        <f t="shared" si="92"/>
        <v>9590.4873515585659</v>
      </c>
      <c r="N99" s="91">
        <f t="shared" si="89"/>
        <v>117644.08366139801</v>
      </c>
    </row>
    <row r="100" spans="1:14" x14ac:dyDescent="0.35">
      <c r="A100" s="32" t="s">
        <v>109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84" t="e">
        <f>+N93/N94</f>
        <v>#DIV/0!</v>
      </c>
    </row>
    <row r="101" spans="1:14" x14ac:dyDescent="0.35">
      <c r="A101" s="65" t="s">
        <v>378</v>
      </c>
      <c r="B101" s="80">
        <f t="shared" ref="B101:M101" si="93">+(B107*B102)</f>
        <v>0</v>
      </c>
      <c r="C101" s="80">
        <f t="shared" si="93"/>
        <v>0</v>
      </c>
      <c r="D101" s="80">
        <f t="shared" si="93"/>
        <v>0</v>
      </c>
      <c r="E101" s="80">
        <f t="shared" si="93"/>
        <v>0</v>
      </c>
      <c r="F101" s="80">
        <f t="shared" si="93"/>
        <v>0</v>
      </c>
      <c r="G101" s="80">
        <f t="shared" si="93"/>
        <v>0</v>
      </c>
      <c r="H101" s="80">
        <f t="shared" si="93"/>
        <v>0</v>
      </c>
      <c r="I101" s="80">
        <f t="shared" si="93"/>
        <v>0</v>
      </c>
      <c r="J101" s="80">
        <f t="shared" si="93"/>
        <v>0</v>
      </c>
      <c r="K101" s="80">
        <f t="shared" si="93"/>
        <v>0</v>
      </c>
      <c r="L101" s="80">
        <f t="shared" si="93"/>
        <v>0</v>
      </c>
      <c r="M101" s="80">
        <f t="shared" si="93"/>
        <v>0</v>
      </c>
      <c r="N101" s="92">
        <f>SUM(B101:M101)</f>
        <v>0</v>
      </c>
    </row>
    <row r="102" spans="1:14" x14ac:dyDescent="0.35">
      <c r="A102" s="32" t="s">
        <v>93</v>
      </c>
      <c r="B102" s="239">
        <f>+'Plan de culture 105'!$I$37</f>
        <v>0</v>
      </c>
      <c r="C102" s="239">
        <f>+B102</f>
        <v>0</v>
      </c>
      <c r="D102" s="239">
        <f t="shared" ref="D102" si="94">+C102</f>
        <v>0</v>
      </c>
      <c r="E102" s="239">
        <f>+'Plan de culture 104 '!C98</f>
        <v>0</v>
      </c>
      <c r="F102" s="239">
        <f>+E102+'Plan de culture 104 '!D98+'Plan de culture 104 '!E98</f>
        <v>0</v>
      </c>
      <c r="G102" s="239">
        <f>+F102</f>
        <v>0</v>
      </c>
      <c r="H102" s="239">
        <f t="shared" ref="H102:M102" si="95">+G102</f>
        <v>0</v>
      </c>
      <c r="I102" s="239">
        <f t="shared" si="95"/>
        <v>0</v>
      </c>
      <c r="J102" s="239">
        <f t="shared" si="95"/>
        <v>0</v>
      </c>
      <c r="K102" s="239">
        <f t="shared" si="95"/>
        <v>0</v>
      </c>
      <c r="L102" s="239">
        <f t="shared" si="95"/>
        <v>0</v>
      </c>
      <c r="M102" s="239">
        <f t="shared" si="95"/>
        <v>0</v>
      </c>
      <c r="N102" s="240">
        <f>+'Plan de culture 105'!$I$37</f>
        <v>0</v>
      </c>
    </row>
    <row r="103" spans="1:14" x14ac:dyDescent="0.35">
      <c r="A103" s="89" t="s">
        <v>110</v>
      </c>
      <c r="B103" s="90">
        <f>4000/ 6.8</f>
        <v>588.23529411764707</v>
      </c>
      <c r="C103" s="90">
        <f>+B103</f>
        <v>588.23529411764707</v>
      </c>
      <c r="D103" s="90">
        <f t="shared" ref="D103:M103" si="96">+C103</f>
        <v>588.23529411764707</v>
      </c>
      <c r="E103" s="90">
        <f t="shared" si="96"/>
        <v>588.23529411764707</v>
      </c>
      <c r="F103" s="90">
        <f t="shared" si="96"/>
        <v>588.23529411764707</v>
      </c>
      <c r="G103" s="90">
        <f t="shared" si="96"/>
        <v>588.23529411764707</v>
      </c>
      <c r="H103" s="90">
        <f t="shared" si="96"/>
        <v>588.23529411764707</v>
      </c>
      <c r="I103" s="90">
        <f t="shared" si="96"/>
        <v>588.23529411764707</v>
      </c>
      <c r="J103" s="90">
        <f t="shared" si="96"/>
        <v>588.23529411764707</v>
      </c>
      <c r="K103" s="90">
        <f t="shared" si="96"/>
        <v>588.23529411764707</v>
      </c>
      <c r="L103" s="90">
        <f t="shared" si="96"/>
        <v>588.23529411764707</v>
      </c>
      <c r="M103" s="90">
        <f t="shared" si="96"/>
        <v>588.23529411764707</v>
      </c>
      <c r="N103" s="91">
        <f t="shared" ref="N103:N107" si="97">SUM(B103:M103)</f>
        <v>7058.823529411763</v>
      </c>
    </row>
    <row r="104" spans="1:14" x14ac:dyDescent="0.35">
      <c r="A104" s="89" t="s">
        <v>111</v>
      </c>
      <c r="B104" s="90"/>
      <c r="C104" s="90"/>
      <c r="D104" s="90">
        <f>1200/ 6.8</f>
        <v>176.47058823529412</v>
      </c>
      <c r="E104" s="90"/>
      <c r="F104" s="90"/>
      <c r="G104" s="90">
        <f>1200/ 6.8</f>
        <v>176.47058823529412</v>
      </c>
      <c r="H104" s="90"/>
      <c r="I104" s="90"/>
      <c r="J104" s="90">
        <f>1200/ 6.8</f>
        <v>176.47058823529412</v>
      </c>
      <c r="K104" s="90"/>
      <c r="L104" s="90"/>
      <c r="M104" s="90">
        <f>1200/ 6.8</f>
        <v>176.47058823529412</v>
      </c>
      <c r="N104" s="91">
        <f t="shared" si="97"/>
        <v>705.88235294117646</v>
      </c>
    </row>
    <row r="105" spans="1:14" x14ac:dyDescent="0.35">
      <c r="A105" s="89" t="s">
        <v>112</v>
      </c>
      <c r="B105" s="90">
        <f>+B97*0.85</f>
        <v>8182.7883037748452</v>
      </c>
      <c r="C105" s="90">
        <f t="shared" ref="C105:J105" si="98">+C97*0.85</f>
        <v>7113.8815736653114</v>
      </c>
      <c r="D105" s="90">
        <f t="shared" si="98"/>
        <v>6305.657926523907</v>
      </c>
      <c r="E105" s="90">
        <f t="shared" si="98"/>
        <v>6358.9231963209359</v>
      </c>
      <c r="F105" s="90">
        <f t="shared" si="98"/>
        <v>6208.1783097468706</v>
      </c>
      <c r="G105" s="90">
        <f t="shared" si="98"/>
        <v>5910.4629158395337</v>
      </c>
      <c r="H105" s="90">
        <f t="shared" si="98"/>
        <v>5937.7780804349995</v>
      </c>
      <c r="I105" s="90">
        <f t="shared" si="98"/>
        <v>5941.1937239306244</v>
      </c>
      <c r="J105" s="90">
        <f t="shared" si="98"/>
        <v>6149.1100400203122</v>
      </c>
      <c r="K105" s="90">
        <f>+J105</f>
        <v>6149.1100400203122</v>
      </c>
      <c r="L105" s="90">
        <f>+K105</f>
        <v>6149.1100400203122</v>
      </c>
      <c r="M105" s="90">
        <f>+L105</f>
        <v>6149.1100400203122</v>
      </c>
      <c r="N105" s="91">
        <f t="shared" si="97"/>
        <v>76555.304190318275</v>
      </c>
    </row>
    <row r="106" spans="1:14" x14ac:dyDescent="0.35">
      <c r="A106" s="89" t="s">
        <v>113</v>
      </c>
      <c r="B106" s="90">
        <f>+(B105)*22%</f>
        <v>1800.213426830466</v>
      </c>
      <c r="C106" s="90">
        <f t="shared" ref="C106:M106" si="99">+(C105)*22%</f>
        <v>1565.0539462063684</v>
      </c>
      <c r="D106" s="90">
        <f t="shared" si="99"/>
        <v>1387.2447438352594</v>
      </c>
      <c r="E106" s="90">
        <f t="shared" si="99"/>
        <v>1398.9631031906058</v>
      </c>
      <c r="F106" s="90">
        <f t="shared" si="99"/>
        <v>1365.7992281443114</v>
      </c>
      <c r="G106" s="90">
        <f t="shared" si="99"/>
        <v>1300.3018414846974</v>
      </c>
      <c r="H106" s="90">
        <f t="shared" si="99"/>
        <v>1306.3111776956998</v>
      </c>
      <c r="I106" s="90">
        <f t="shared" si="99"/>
        <v>1307.0626192647374</v>
      </c>
      <c r="J106" s="90">
        <f t="shared" si="99"/>
        <v>1352.8042088044688</v>
      </c>
      <c r="K106" s="90">
        <f t="shared" si="99"/>
        <v>1352.8042088044688</v>
      </c>
      <c r="L106" s="90">
        <f t="shared" si="99"/>
        <v>1352.8042088044688</v>
      </c>
      <c r="M106" s="90">
        <f t="shared" si="99"/>
        <v>1352.8042088044688</v>
      </c>
      <c r="N106" s="91">
        <f t="shared" si="97"/>
        <v>16842.166921870023</v>
      </c>
    </row>
    <row r="107" spans="1:14" x14ac:dyDescent="0.35">
      <c r="A107" s="17" t="s">
        <v>114</v>
      </c>
      <c r="B107" s="91">
        <f t="shared" ref="B107:M107" si="100">SUM(B103:B106)</f>
        <v>10571.237024722957</v>
      </c>
      <c r="C107" s="91">
        <f t="shared" si="100"/>
        <v>9267.1708139893271</v>
      </c>
      <c r="D107" s="91">
        <f t="shared" si="100"/>
        <v>8457.6085527121086</v>
      </c>
      <c r="E107" s="91">
        <f t="shared" si="100"/>
        <v>8346.1215936291883</v>
      </c>
      <c r="F107" s="91">
        <f t="shared" si="100"/>
        <v>8162.2128320088286</v>
      </c>
      <c r="G107" s="91">
        <f t="shared" si="100"/>
        <v>7975.4706396771726</v>
      </c>
      <c r="H107" s="91">
        <f t="shared" si="100"/>
        <v>7832.3245522483467</v>
      </c>
      <c r="I107" s="91">
        <f t="shared" si="100"/>
        <v>7836.4916373130091</v>
      </c>
      <c r="J107" s="91">
        <f t="shared" si="100"/>
        <v>8266.6201311777222</v>
      </c>
      <c r="K107" s="91">
        <f t="shared" si="100"/>
        <v>8090.1495429424276</v>
      </c>
      <c r="L107" s="91">
        <f t="shared" si="100"/>
        <v>8090.1495429424276</v>
      </c>
      <c r="M107" s="91">
        <f t="shared" si="100"/>
        <v>8266.6201311777222</v>
      </c>
      <c r="N107" s="91">
        <f t="shared" si="97"/>
        <v>101162.17699454125</v>
      </c>
    </row>
    <row r="108" spans="1:14" x14ac:dyDescent="0.35">
      <c r="A108" s="32" t="s">
        <v>109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84" t="e">
        <f>+N101/N102</f>
        <v>#DIV/0!</v>
      </c>
    </row>
    <row r="109" spans="1:14" s="57" customFormat="1" x14ac:dyDescent="0.35">
      <c r="A109" s="72" t="s">
        <v>454</v>
      </c>
      <c r="B109" s="77">
        <f>+B112+B120+B128+B136+B144+B152</f>
        <v>93904.666636474038</v>
      </c>
      <c r="C109" s="77">
        <f t="shared" ref="C109:M110" si="101">+C112+C120+C128+C136+C144+C152</f>
        <v>82066.410377829627</v>
      </c>
      <c r="D109" s="77">
        <f t="shared" si="101"/>
        <v>74099.070648894529</v>
      </c>
      <c r="E109" s="77">
        <f t="shared" si="101"/>
        <v>73705.165674377131</v>
      </c>
      <c r="F109" s="77">
        <f t="shared" si="101"/>
        <v>72035.649947068348</v>
      </c>
      <c r="G109" s="77">
        <f t="shared" si="101"/>
        <v>69722.243675282036</v>
      </c>
      <c r="H109" s="77">
        <f t="shared" si="101"/>
        <v>69040.93851264588</v>
      </c>
      <c r="I109" s="77">
        <f t="shared" si="101"/>
        <v>69078.767129353393</v>
      </c>
      <c r="J109" s="77">
        <f t="shared" si="101"/>
        <v>72365.286077261393</v>
      </c>
      <c r="K109" s="77">
        <f t="shared" si="101"/>
        <v>71381.462547849631</v>
      </c>
      <c r="L109" s="77">
        <f t="shared" si="101"/>
        <v>71381.462547849631</v>
      </c>
      <c r="M109" s="77">
        <f t="shared" si="101"/>
        <v>72365.286077261393</v>
      </c>
      <c r="N109" s="78">
        <f>SUM(B109:M109)</f>
        <v>891146.4098521471</v>
      </c>
    </row>
    <row r="110" spans="1:14" s="57" customFormat="1" x14ac:dyDescent="0.35">
      <c r="A110" s="72" t="s">
        <v>93</v>
      </c>
      <c r="B110" s="81">
        <f>+B113+B121+B129+B137+B145+B153</f>
        <v>5.5750000000000002</v>
      </c>
      <c r="C110" s="81">
        <f t="shared" si="101"/>
        <v>5.5750000000000002</v>
      </c>
      <c r="D110" s="81">
        <f t="shared" si="101"/>
        <v>5.5750000000000002</v>
      </c>
      <c r="E110" s="81">
        <f t="shared" si="101"/>
        <v>5.5750000000000002</v>
      </c>
      <c r="F110" s="81">
        <f t="shared" si="101"/>
        <v>5.5750000000000002</v>
      </c>
      <c r="G110" s="81">
        <f t="shared" si="101"/>
        <v>5.5750000000000002</v>
      </c>
      <c r="H110" s="81">
        <f t="shared" si="101"/>
        <v>5.5750000000000002</v>
      </c>
      <c r="I110" s="81">
        <f t="shared" si="101"/>
        <v>5.5750000000000002</v>
      </c>
      <c r="J110" s="81">
        <f t="shared" si="101"/>
        <v>5.5750000000000002</v>
      </c>
      <c r="K110" s="81">
        <f t="shared" si="101"/>
        <v>5.5750000000000002</v>
      </c>
      <c r="L110" s="81">
        <f t="shared" si="101"/>
        <v>5.5750000000000002</v>
      </c>
      <c r="M110" s="81">
        <f t="shared" si="101"/>
        <v>5.5750000000000002</v>
      </c>
      <c r="N110" s="78">
        <f>SUM(B110:M110)</f>
        <v>66.90000000000002</v>
      </c>
    </row>
    <row r="111" spans="1:14" s="57" customFormat="1" x14ac:dyDescent="0.35">
      <c r="A111" s="72" t="s">
        <v>109</v>
      </c>
      <c r="B111" s="83">
        <f>+B109/B110</f>
        <v>16843.886392192653</v>
      </c>
      <c r="C111" s="83">
        <f>+C109/C110</f>
        <v>14720.432354767645</v>
      </c>
      <c r="D111" s="83">
        <f>+D109/D110</f>
        <v>13291.313120877941</v>
      </c>
      <c r="E111" s="83">
        <f t="shared" ref="E111:N111" si="102">+E109/E110</f>
        <v>13220.657520067647</v>
      </c>
      <c r="F111" s="83">
        <f t="shared" si="102"/>
        <v>12921.19281561764</v>
      </c>
      <c r="G111" s="83">
        <f t="shared" si="102"/>
        <v>12506.232049377943</v>
      </c>
      <c r="H111" s="83">
        <f t="shared" si="102"/>
        <v>12384.024845317646</v>
      </c>
      <c r="I111" s="83">
        <f t="shared" si="102"/>
        <v>12390.810247417648</v>
      </c>
      <c r="J111" s="83">
        <f t="shared" si="102"/>
        <v>12980.320372602941</v>
      </c>
      <c r="K111" s="83">
        <f t="shared" si="102"/>
        <v>12803.849784367647</v>
      </c>
      <c r="L111" s="83">
        <f t="shared" si="102"/>
        <v>12803.849784367647</v>
      </c>
      <c r="M111" s="83">
        <f t="shared" si="102"/>
        <v>12980.320372602941</v>
      </c>
      <c r="N111" s="83">
        <f t="shared" si="102"/>
        <v>13320.57413829816</v>
      </c>
    </row>
    <row r="112" spans="1:14" x14ac:dyDescent="0.35">
      <c r="A112" s="65" t="s">
        <v>90</v>
      </c>
      <c r="B112" s="80">
        <f t="shared" ref="B112:M112" si="103">+(B118*B113)</f>
        <v>0</v>
      </c>
      <c r="C112" s="80">
        <f t="shared" si="103"/>
        <v>0</v>
      </c>
      <c r="D112" s="80">
        <f t="shared" si="103"/>
        <v>0</v>
      </c>
      <c r="E112" s="80">
        <f t="shared" si="103"/>
        <v>0</v>
      </c>
      <c r="F112" s="80">
        <f t="shared" si="103"/>
        <v>0</v>
      </c>
      <c r="G112" s="80">
        <f t="shared" si="103"/>
        <v>0</v>
      </c>
      <c r="H112" s="80">
        <f t="shared" si="103"/>
        <v>0</v>
      </c>
      <c r="I112" s="80">
        <f t="shared" si="103"/>
        <v>0</v>
      </c>
      <c r="J112" s="80">
        <f t="shared" si="103"/>
        <v>0</v>
      </c>
      <c r="K112" s="80">
        <f t="shared" si="103"/>
        <v>0</v>
      </c>
      <c r="L112" s="80">
        <f t="shared" si="103"/>
        <v>0</v>
      </c>
      <c r="M112" s="80">
        <f t="shared" si="103"/>
        <v>0</v>
      </c>
      <c r="N112" s="80">
        <f>SUM(B112:M112)</f>
        <v>0</v>
      </c>
    </row>
    <row r="113" spans="1:17" x14ac:dyDescent="0.35">
      <c r="A113" s="32" t="s">
        <v>93</v>
      </c>
      <c r="B113" s="239">
        <f>+'Plan de culture 106'!$J$7</f>
        <v>0</v>
      </c>
      <c r="C113" s="239">
        <f>+B113</f>
        <v>0</v>
      </c>
      <c r="D113" s="239">
        <f t="shared" ref="D113" si="104">+C113</f>
        <v>0</v>
      </c>
      <c r="E113" s="239">
        <f>+D113</f>
        <v>0</v>
      </c>
      <c r="F113" s="239">
        <f>+E113</f>
        <v>0</v>
      </c>
      <c r="G113" s="239">
        <f>+F113</f>
        <v>0</v>
      </c>
      <c r="H113" s="239">
        <f t="shared" ref="H113:M113" si="105">+G113</f>
        <v>0</v>
      </c>
      <c r="I113" s="239">
        <f t="shared" si="105"/>
        <v>0</v>
      </c>
      <c r="J113" s="239">
        <f t="shared" si="105"/>
        <v>0</v>
      </c>
      <c r="K113" s="239">
        <f t="shared" si="105"/>
        <v>0</v>
      </c>
      <c r="L113" s="239">
        <f t="shared" si="105"/>
        <v>0</v>
      </c>
      <c r="M113" s="239">
        <f t="shared" si="105"/>
        <v>0</v>
      </c>
      <c r="N113" s="240">
        <f>+'Plan de culture 106'!$J$7</f>
        <v>0</v>
      </c>
    </row>
    <row r="114" spans="1:17" x14ac:dyDescent="0.35">
      <c r="A114" s="89" t="s">
        <v>110</v>
      </c>
      <c r="B114" s="90">
        <f>4000/ 6.8</f>
        <v>588.23529411764707</v>
      </c>
      <c r="C114" s="90">
        <f>+B114</f>
        <v>588.23529411764707</v>
      </c>
      <c r="D114" s="90">
        <f t="shared" ref="D114:J114" si="106">+C114</f>
        <v>588.23529411764707</v>
      </c>
      <c r="E114" s="90">
        <f t="shared" si="106"/>
        <v>588.23529411764707</v>
      </c>
      <c r="F114" s="90">
        <f t="shared" si="106"/>
        <v>588.23529411764707</v>
      </c>
      <c r="G114" s="90">
        <f t="shared" si="106"/>
        <v>588.23529411764707</v>
      </c>
      <c r="H114" s="90">
        <f t="shared" si="106"/>
        <v>588.23529411764707</v>
      </c>
      <c r="I114" s="90">
        <f t="shared" si="106"/>
        <v>588.23529411764707</v>
      </c>
      <c r="J114" s="90">
        <f t="shared" si="106"/>
        <v>588.23529411764707</v>
      </c>
      <c r="K114" s="90"/>
      <c r="L114" s="90">
        <f t="shared" ref="L114:M114" si="107">+K114</f>
        <v>0</v>
      </c>
      <c r="M114" s="90">
        <f t="shared" si="107"/>
        <v>0</v>
      </c>
      <c r="N114" s="91">
        <f t="shared" ref="N114:N118" si="108">SUM(B114:M114)</f>
        <v>5294.1176470588225</v>
      </c>
    </row>
    <row r="115" spans="1:17" x14ac:dyDescent="0.35">
      <c r="A115" s="89" t="s">
        <v>111</v>
      </c>
      <c r="B115" s="90"/>
      <c r="C115" s="90"/>
      <c r="D115" s="90">
        <f>1200/ 6.8</f>
        <v>176.47058823529412</v>
      </c>
      <c r="E115" s="90"/>
      <c r="F115" s="90"/>
      <c r="G115" s="90">
        <f>1200/ 6.8</f>
        <v>176.47058823529412</v>
      </c>
      <c r="H115" s="90"/>
      <c r="I115" s="90"/>
      <c r="J115" s="90">
        <f>1200/ 6.8</f>
        <v>176.47058823529412</v>
      </c>
      <c r="K115" s="90"/>
      <c r="L115" s="90"/>
      <c r="M115" s="90">
        <v>400</v>
      </c>
      <c r="N115" s="91">
        <f t="shared" si="108"/>
        <v>929.41176470588232</v>
      </c>
    </row>
    <row r="116" spans="1:17" x14ac:dyDescent="0.35">
      <c r="A116" s="89" t="s">
        <v>112</v>
      </c>
      <c r="B116" s="90">
        <v>18441.943500000005</v>
      </c>
      <c r="C116" s="90">
        <v>16032.897000000001</v>
      </c>
      <c r="D116" s="90">
        <v>14211.364500000003</v>
      </c>
      <c r="E116" s="90">
        <v>14331.411</v>
      </c>
      <c r="F116" s="90">
        <v>13991.669999999993</v>
      </c>
      <c r="G116" s="90">
        <v>13320.694500000005</v>
      </c>
      <c r="H116" s="90">
        <v>13382.256000000001</v>
      </c>
      <c r="I116" s="90">
        <v>13389.954</v>
      </c>
      <c r="J116" s="90">
        <v>13858.545000000002</v>
      </c>
      <c r="K116" s="90"/>
      <c r="L116" s="90"/>
      <c r="M116" s="90"/>
      <c r="N116" s="91">
        <f t="shared" si="108"/>
        <v>130960.7355</v>
      </c>
      <c r="O116" s="62"/>
      <c r="P116" s="164"/>
      <c r="Q116" s="62"/>
    </row>
    <row r="117" spans="1:17" x14ac:dyDescent="0.35">
      <c r="A117" s="89" t="s">
        <v>113</v>
      </c>
      <c r="B117" s="90">
        <f>+(B116)*22%</f>
        <v>4057.2275700000009</v>
      </c>
      <c r="C117" s="90">
        <f t="shared" ref="C117:M117" si="109">+(C116)*22%</f>
        <v>3527.2373400000001</v>
      </c>
      <c r="D117" s="90">
        <f t="shared" si="109"/>
        <v>3126.5001900000007</v>
      </c>
      <c r="E117" s="90">
        <f t="shared" si="109"/>
        <v>3152.9104200000002</v>
      </c>
      <c r="F117" s="90">
        <f t="shared" si="109"/>
        <v>3078.1673999999985</v>
      </c>
      <c r="G117" s="90">
        <f t="shared" si="109"/>
        <v>2930.5527900000011</v>
      </c>
      <c r="H117" s="90">
        <f t="shared" si="109"/>
        <v>2944.0963200000001</v>
      </c>
      <c r="I117" s="90">
        <f t="shared" si="109"/>
        <v>2945.7898799999998</v>
      </c>
      <c r="J117" s="90">
        <f t="shared" si="109"/>
        <v>3048.8799000000004</v>
      </c>
      <c r="K117" s="90">
        <f t="shared" si="109"/>
        <v>0</v>
      </c>
      <c r="L117" s="90">
        <f t="shared" si="109"/>
        <v>0</v>
      </c>
      <c r="M117" s="90">
        <f t="shared" si="109"/>
        <v>0</v>
      </c>
      <c r="N117" s="91">
        <f t="shared" si="108"/>
        <v>28811.361810000002</v>
      </c>
      <c r="O117" s="62"/>
    </row>
    <row r="118" spans="1:17" x14ac:dyDescent="0.35">
      <c r="A118" s="17" t="s">
        <v>114</v>
      </c>
      <c r="B118" s="91">
        <f t="shared" ref="B118:M118" si="110">SUM(B114:B117)</f>
        <v>23087.406364117654</v>
      </c>
      <c r="C118" s="91">
        <f t="shared" si="110"/>
        <v>20148.369634117647</v>
      </c>
      <c r="D118" s="91">
        <f t="shared" si="110"/>
        <v>18102.570572352946</v>
      </c>
      <c r="E118" s="91">
        <f t="shared" si="110"/>
        <v>18072.556714117647</v>
      </c>
      <c r="F118" s="91">
        <f t="shared" si="110"/>
        <v>17658.07269411764</v>
      </c>
      <c r="G118" s="91">
        <f t="shared" si="110"/>
        <v>17015.953172352947</v>
      </c>
      <c r="H118" s="91">
        <f t="shared" si="110"/>
        <v>16914.587614117649</v>
      </c>
      <c r="I118" s="91">
        <f t="shared" si="110"/>
        <v>16923.979174117645</v>
      </c>
      <c r="J118" s="91">
        <f t="shared" si="110"/>
        <v>17672.130782352942</v>
      </c>
      <c r="K118" s="91">
        <f t="shared" si="110"/>
        <v>0</v>
      </c>
      <c r="L118" s="91">
        <f t="shared" si="110"/>
        <v>0</v>
      </c>
      <c r="M118" s="91">
        <f t="shared" si="110"/>
        <v>400</v>
      </c>
      <c r="N118" s="91">
        <f t="shared" si="108"/>
        <v>165995.62672176471</v>
      </c>
    </row>
    <row r="119" spans="1:17" x14ac:dyDescent="0.35">
      <c r="A119" s="32" t="s">
        <v>109</v>
      </c>
      <c r="B119" s="62" t="e">
        <f>+B118/B113</f>
        <v>#DIV/0!</v>
      </c>
      <c r="C119" s="62" t="e">
        <f t="shared" ref="C119:N119" si="111">+C112/C113</f>
        <v>#DIV/0!</v>
      </c>
      <c r="D119" s="62" t="e">
        <f t="shared" si="111"/>
        <v>#DIV/0!</v>
      </c>
      <c r="E119" s="62" t="e">
        <f t="shared" si="111"/>
        <v>#DIV/0!</v>
      </c>
      <c r="F119" s="62" t="e">
        <f t="shared" si="111"/>
        <v>#DIV/0!</v>
      </c>
      <c r="G119" s="62" t="e">
        <f t="shared" si="111"/>
        <v>#DIV/0!</v>
      </c>
      <c r="H119" s="62" t="e">
        <f t="shared" si="111"/>
        <v>#DIV/0!</v>
      </c>
      <c r="I119" s="62" t="e">
        <f t="shared" si="111"/>
        <v>#DIV/0!</v>
      </c>
      <c r="J119" s="62" t="e">
        <f t="shared" si="111"/>
        <v>#DIV/0!</v>
      </c>
      <c r="K119" s="62" t="e">
        <f t="shared" si="111"/>
        <v>#DIV/0!</v>
      </c>
      <c r="L119" s="62" t="e">
        <f t="shared" si="111"/>
        <v>#DIV/0!</v>
      </c>
      <c r="M119" s="62" t="e">
        <f t="shared" si="111"/>
        <v>#DIV/0!</v>
      </c>
      <c r="N119" s="84" t="e">
        <f t="shared" si="111"/>
        <v>#DIV/0!</v>
      </c>
    </row>
    <row r="120" spans="1:17" x14ac:dyDescent="0.35">
      <c r="A120" s="65" t="s">
        <v>91</v>
      </c>
      <c r="B120" s="80">
        <f t="shared" ref="B120:M120" si="112">+(B126*B121)</f>
        <v>0</v>
      </c>
      <c r="C120" s="80">
        <f t="shared" si="112"/>
        <v>0</v>
      </c>
      <c r="D120" s="80">
        <f t="shared" si="112"/>
        <v>0</v>
      </c>
      <c r="E120" s="80">
        <f t="shared" si="112"/>
        <v>0</v>
      </c>
      <c r="F120" s="80">
        <f t="shared" si="112"/>
        <v>0</v>
      </c>
      <c r="G120" s="80">
        <f t="shared" si="112"/>
        <v>0</v>
      </c>
      <c r="H120" s="80">
        <f t="shared" si="112"/>
        <v>0</v>
      </c>
      <c r="I120" s="80">
        <f t="shared" si="112"/>
        <v>0</v>
      </c>
      <c r="J120" s="80">
        <f t="shared" si="112"/>
        <v>0</v>
      </c>
      <c r="K120" s="80">
        <f t="shared" si="112"/>
        <v>0</v>
      </c>
      <c r="L120" s="80">
        <f t="shared" si="112"/>
        <v>0</v>
      </c>
      <c r="M120" s="80">
        <f t="shared" si="112"/>
        <v>0</v>
      </c>
      <c r="N120" s="92">
        <f>SUM(B120:M120)</f>
        <v>0</v>
      </c>
    </row>
    <row r="121" spans="1:17" x14ac:dyDescent="0.35">
      <c r="A121" s="32" t="s">
        <v>93</v>
      </c>
      <c r="B121" s="239">
        <f>+'Plan de culture 106'!$J$13</f>
        <v>0</v>
      </c>
      <c r="C121" s="239">
        <f>+B121</f>
        <v>0</v>
      </c>
      <c r="D121" s="239">
        <f t="shared" ref="D121:M121" si="113">+C121</f>
        <v>0</v>
      </c>
      <c r="E121" s="239">
        <f t="shared" si="113"/>
        <v>0</v>
      </c>
      <c r="F121" s="239">
        <f t="shared" si="113"/>
        <v>0</v>
      </c>
      <c r="G121" s="239">
        <f t="shared" si="113"/>
        <v>0</v>
      </c>
      <c r="H121" s="239">
        <f t="shared" si="113"/>
        <v>0</v>
      </c>
      <c r="I121" s="239">
        <f t="shared" si="113"/>
        <v>0</v>
      </c>
      <c r="J121" s="239">
        <f t="shared" si="113"/>
        <v>0</v>
      </c>
      <c r="K121" s="239">
        <f t="shared" si="113"/>
        <v>0</v>
      </c>
      <c r="L121" s="239">
        <f t="shared" si="113"/>
        <v>0</v>
      </c>
      <c r="M121" s="239">
        <f t="shared" si="113"/>
        <v>0</v>
      </c>
      <c r="N121" s="240">
        <f>+'Plan de culture 106'!$J$13</f>
        <v>0</v>
      </c>
    </row>
    <row r="122" spans="1:17" x14ac:dyDescent="0.35">
      <c r="A122" s="89" t="s">
        <v>110</v>
      </c>
      <c r="B122" s="90">
        <f>4000/ 6.8</f>
        <v>588.23529411764707</v>
      </c>
      <c r="C122" s="90">
        <f>+B122</f>
        <v>588.23529411764707</v>
      </c>
      <c r="D122" s="90">
        <f t="shared" ref="D122:M122" si="114">+C122</f>
        <v>588.23529411764707</v>
      </c>
      <c r="E122" s="90">
        <f t="shared" si="114"/>
        <v>588.23529411764707</v>
      </c>
      <c r="F122" s="90">
        <f t="shared" si="114"/>
        <v>588.23529411764707</v>
      </c>
      <c r="G122" s="90">
        <f t="shared" si="114"/>
        <v>588.23529411764707</v>
      </c>
      <c r="H122" s="90">
        <f t="shared" si="114"/>
        <v>588.23529411764707</v>
      </c>
      <c r="I122" s="90">
        <f t="shared" si="114"/>
        <v>588.23529411764707</v>
      </c>
      <c r="J122" s="90">
        <f t="shared" si="114"/>
        <v>588.23529411764707</v>
      </c>
      <c r="K122" s="90">
        <f t="shared" si="114"/>
        <v>588.23529411764707</v>
      </c>
      <c r="L122" s="90">
        <f t="shared" si="114"/>
        <v>588.23529411764707</v>
      </c>
      <c r="M122" s="90">
        <f t="shared" si="114"/>
        <v>588.23529411764707</v>
      </c>
      <c r="N122" s="91">
        <f t="shared" ref="N122:N126" si="115">SUM(B122:M122)</f>
        <v>7058.823529411763</v>
      </c>
    </row>
    <row r="123" spans="1:17" x14ac:dyDescent="0.35">
      <c r="A123" s="89" t="s">
        <v>111</v>
      </c>
      <c r="B123" s="90"/>
      <c r="C123" s="90"/>
      <c r="D123" s="90">
        <f>1200/ 6.8</f>
        <v>176.47058823529412</v>
      </c>
      <c r="E123" s="90"/>
      <c r="F123" s="90"/>
      <c r="G123" s="90">
        <f>1200/ 6.8</f>
        <v>176.47058823529412</v>
      </c>
      <c r="H123" s="90"/>
      <c r="I123" s="90"/>
      <c r="J123" s="90">
        <f>1200/ 6.8</f>
        <v>176.47058823529412</v>
      </c>
      <c r="K123" s="90"/>
      <c r="L123" s="90"/>
      <c r="M123" s="90">
        <f>1200/ 6.8</f>
        <v>176.47058823529412</v>
      </c>
      <c r="N123" s="91">
        <f t="shared" si="115"/>
        <v>705.88235294117646</v>
      </c>
    </row>
    <row r="124" spans="1:17" x14ac:dyDescent="0.35">
      <c r="A124" s="89" t="s">
        <v>112</v>
      </c>
      <c r="B124" s="90">
        <f>+B116*0.85</f>
        <v>15675.651975000004</v>
      </c>
      <c r="C124" s="90">
        <f t="shared" ref="C124:J124" si="116">+C116*0.85</f>
        <v>13627.962450000001</v>
      </c>
      <c r="D124" s="90">
        <f t="shared" si="116"/>
        <v>12079.659825000002</v>
      </c>
      <c r="E124" s="90">
        <f t="shared" si="116"/>
        <v>12181.699349999999</v>
      </c>
      <c r="F124" s="90">
        <f t="shared" si="116"/>
        <v>11892.919499999993</v>
      </c>
      <c r="G124" s="90">
        <f t="shared" si="116"/>
        <v>11322.590325000005</v>
      </c>
      <c r="H124" s="90">
        <f t="shared" si="116"/>
        <v>11374.917600000001</v>
      </c>
      <c r="I124" s="90">
        <f t="shared" si="116"/>
        <v>11381.4609</v>
      </c>
      <c r="J124" s="90">
        <f t="shared" si="116"/>
        <v>11779.763250000002</v>
      </c>
      <c r="K124" s="90">
        <f>+J124</f>
        <v>11779.763250000002</v>
      </c>
      <c r="L124" s="90">
        <f>+K124</f>
        <v>11779.763250000002</v>
      </c>
      <c r="M124" s="90">
        <f>+L124</f>
        <v>11779.763250000002</v>
      </c>
      <c r="N124" s="91">
        <f t="shared" si="115"/>
        <v>146655.91492500002</v>
      </c>
    </row>
    <row r="125" spans="1:17" x14ac:dyDescent="0.35">
      <c r="A125" s="89" t="s">
        <v>113</v>
      </c>
      <c r="B125" s="90">
        <f>+(B124)*22%</f>
        <v>3448.6434345000011</v>
      </c>
      <c r="C125" s="90">
        <f t="shared" ref="C125:M125" si="117">+(C124)*22%</f>
        <v>2998.1517390000004</v>
      </c>
      <c r="D125" s="90">
        <f t="shared" si="117"/>
        <v>2657.5251615000006</v>
      </c>
      <c r="E125" s="90">
        <f t="shared" si="117"/>
        <v>2679.973857</v>
      </c>
      <c r="F125" s="90">
        <f t="shared" si="117"/>
        <v>2616.4422899999986</v>
      </c>
      <c r="G125" s="90">
        <f t="shared" si="117"/>
        <v>2490.9698715000009</v>
      </c>
      <c r="H125" s="90">
        <f t="shared" si="117"/>
        <v>2502.4818720000003</v>
      </c>
      <c r="I125" s="90">
        <f t="shared" si="117"/>
        <v>2503.921398</v>
      </c>
      <c r="J125" s="90">
        <f t="shared" si="117"/>
        <v>2591.5479150000006</v>
      </c>
      <c r="K125" s="90">
        <f t="shared" si="117"/>
        <v>2591.5479150000006</v>
      </c>
      <c r="L125" s="90">
        <f t="shared" si="117"/>
        <v>2591.5479150000006</v>
      </c>
      <c r="M125" s="90">
        <f t="shared" si="117"/>
        <v>2591.5479150000006</v>
      </c>
      <c r="N125" s="91">
        <f t="shared" si="115"/>
        <v>32264.301283499997</v>
      </c>
    </row>
    <row r="126" spans="1:17" x14ac:dyDescent="0.35">
      <c r="A126" s="17" t="s">
        <v>114</v>
      </c>
      <c r="B126" s="91">
        <f t="shared" ref="B126:M126" si="118">SUM(B122:B125)</f>
        <v>19712.530703617653</v>
      </c>
      <c r="C126" s="91">
        <f t="shared" si="118"/>
        <v>17214.349483117647</v>
      </c>
      <c r="D126" s="91">
        <f t="shared" si="118"/>
        <v>15501.890868852945</v>
      </c>
      <c r="E126" s="91">
        <f t="shared" si="118"/>
        <v>15449.908501117647</v>
      </c>
      <c r="F126" s="91">
        <f t="shared" si="118"/>
        <v>15097.597084117639</v>
      </c>
      <c r="G126" s="91">
        <f t="shared" si="118"/>
        <v>14578.266078852947</v>
      </c>
      <c r="H126" s="91">
        <f t="shared" si="118"/>
        <v>14465.634766117648</v>
      </c>
      <c r="I126" s="91">
        <f t="shared" si="118"/>
        <v>14473.617592117647</v>
      </c>
      <c r="J126" s="91">
        <f t="shared" si="118"/>
        <v>15136.017047352943</v>
      </c>
      <c r="K126" s="91">
        <f t="shared" si="118"/>
        <v>14959.54645911765</v>
      </c>
      <c r="L126" s="91">
        <f t="shared" si="118"/>
        <v>14959.54645911765</v>
      </c>
      <c r="M126" s="91">
        <f t="shared" si="118"/>
        <v>15136.017047352943</v>
      </c>
      <c r="N126" s="91">
        <f t="shared" si="115"/>
        <v>186684.92209085295</v>
      </c>
    </row>
    <row r="127" spans="1:17" x14ac:dyDescent="0.35">
      <c r="A127" s="32" t="s">
        <v>109</v>
      </c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84" t="e">
        <f>+N120/N121</f>
        <v>#DIV/0!</v>
      </c>
    </row>
    <row r="128" spans="1:17" x14ac:dyDescent="0.35">
      <c r="A128" s="65" t="s">
        <v>376</v>
      </c>
      <c r="B128" s="80">
        <f t="shared" ref="B128:M128" si="119">+(B134*B129)</f>
        <v>93904.666636474038</v>
      </c>
      <c r="C128" s="80">
        <f t="shared" si="119"/>
        <v>82066.410377829627</v>
      </c>
      <c r="D128" s="80">
        <f t="shared" si="119"/>
        <v>74099.070648894529</v>
      </c>
      <c r="E128" s="80">
        <f t="shared" si="119"/>
        <v>73705.165674377131</v>
      </c>
      <c r="F128" s="80">
        <f t="shared" si="119"/>
        <v>72035.649947068348</v>
      </c>
      <c r="G128" s="80">
        <f t="shared" si="119"/>
        <v>69722.243675282036</v>
      </c>
      <c r="H128" s="80">
        <f t="shared" si="119"/>
        <v>69040.93851264588</v>
      </c>
      <c r="I128" s="80">
        <f t="shared" si="119"/>
        <v>69078.767129353393</v>
      </c>
      <c r="J128" s="80">
        <f t="shared" si="119"/>
        <v>72365.286077261393</v>
      </c>
      <c r="K128" s="80">
        <f t="shared" si="119"/>
        <v>71381.462547849631</v>
      </c>
      <c r="L128" s="80">
        <f t="shared" si="119"/>
        <v>71381.462547849631</v>
      </c>
      <c r="M128" s="80">
        <f t="shared" si="119"/>
        <v>72365.286077261393</v>
      </c>
      <c r="N128" s="92">
        <f>SUM(B128:M128)</f>
        <v>891146.4098521471</v>
      </c>
    </row>
    <row r="129" spans="1:14" x14ac:dyDescent="0.35">
      <c r="A129" s="32" t="s">
        <v>93</v>
      </c>
      <c r="B129" s="239">
        <f>+'Plan de culture 106'!$J$19</f>
        <v>5.5750000000000002</v>
      </c>
      <c r="C129" s="239">
        <f>+B129</f>
        <v>5.5750000000000002</v>
      </c>
      <c r="D129" s="239">
        <f t="shared" ref="D129:M129" si="120">+C129</f>
        <v>5.5750000000000002</v>
      </c>
      <c r="E129" s="239">
        <f t="shared" si="120"/>
        <v>5.5750000000000002</v>
      </c>
      <c r="F129" s="239">
        <f t="shared" si="120"/>
        <v>5.5750000000000002</v>
      </c>
      <c r="G129" s="239">
        <f t="shared" si="120"/>
        <v>5.5750000000000002</v>
      </c>
      <c r="H129" s="239">
        <f t="shared" si="120"/>
        <v>5.5750000000000002</v>
      </c>
      <c r="I129" s="239">
        <f t="shared" si="120"/>
        <v>5.5750000000000002</v>
      </c>
      <c r="J129" s="239">
        <f t="shared" si="120"/>
        <v>5.5750000000000002</v>
      </c>
      <c r="K129" s="239">
        <f t="shared" si="120"/>
        <v>5.5750000000000002</v>
      </c>
      <c r="L129" s="239">
        <f t="shared" si="120"/>
        <v>5.5750000000000002</v>
      </c>
      <c r="M129" s="239">
        <f t="shared" si="120"/>
        <v>5.5750000000000002</v>
      </c>
      <c r="N129" s="240">
        <f>+'Plan de culture 106'!$J$19</f>
        <v>5.5750000000000002</v>
      </c>
    </row>
    <row r="130" spans="1:14" x14ac:dyDescent="0.35">
      <c r="A130" s="89" t="s">
        <v>110</v>
      </c>
      <c r="B130" s="90">
        <f>4000/ 6.8</f>
        <v>588.23529411764707</v>
      </c>
      <c r="C130" s="90">
        <f>+B130</f>
        <v>588.23529411764707</v>
      </c>
      <c r="D130" s="90">
        <f t="shared" ref="D130:M130" si="121">+C130</f>
        <v>588.23529411764707</v>
      </c>
      <c r="E130" s="90">
        <f t="shared" si="121"/>
        <v>588.23529411764707</v>
      </c>
      <c r="F130" s="90">
        <f t="shared" si="121"/>
        <v>588.23529411764707</v>
      </c>
      <c r="G130" s="90">
        <f t="shared" si="121"/>
        <v>588.23529411764707</v>
      </c>
      <c r="H130" s="90">
        <f t="shared" si="121"/>
        <v>588.23529411764707</v>
      </c>
      <c r="I130" s="90">
        <f t="shared" si="121"/>
        <v>588.23529411764707</v>
      </c>
      <c r="J130" s="90">
        <f t="shared" si="121"/>
        <v>588.23529411764707</v>
      </c>
      <c r="K130" s="90">
        <f t="shared" si="121"/>
        <v>588.23529411764707</v>
      </c>
      <c r="L130" s="90">
        <f t="shared" si="121"/>
        <v>588.23529411764707</v>
      </c>
      <c r="M130" s="90">
        <f t="shared" si="121"/>
        <v>588.23529411764707</v>
      </c>
      <c r="N130" s="91">
        <f t="shared" ref="N130:N134" si="122">SUM(B130:M130)</f>
        <v>7058.823529411763</v>
      </c>
    </row>
    <row r="131" spans="1:14" x14ac:dyDescent="0.35">
      <c r="A131" s="89" t="s">
        <v>111</v>
      </c>
      <c r="B131" s="90"/>
      <c r="C131" s="90"/>
      <c r="D131" s="90">
        <f>1200/ 6.8</f>
        <v>176.47058823529412</v>
      </c>
      <c r="E131" s="90"/>
      <c r="F131" s="90"/>
      <c r="G131" s="90">
        <f>1200/ 6.8</f>
        <v>176.47058823529412</v>
      </c>
      <c r="H131" s="90"/>
      <c r="I131" s="90"/>
      <c r="J131" s="90">
        <f>1200/ 6.8</f>
        <v>176.47058823529412</v>
      </c>
      <c r="K131" s="90"/>
      <c r="L131" s="90"/>
      <c r="M131" s="90">
        <f>1200/ 6.8</f>
        <v>176.47058823529412</v>
      </c>
      <c r="N131" s="91">
        <f t="shared" si="122"/>
        <v>705.88235294117646</v>
      </c>
    </row>
    <row r="132" spans="1:14" x14ac:dyDescent="0.35">
      <c r="A132" s="89" t="s">
        <v>112</v>
      </c>
      <c r="B132" s="90">
        <f>+B124*0.85</f>
        <v>13324.304178750004</v>
      </c>
      <c r="C132" s="90">
        <f t="shared" ref="C132:J132" si="123">+C124*0.85</f>
        <v>11583.768082500001</v>
      </c>
      <c r="D132" s="90">
        <f t="shared" si="123"/>
        <v>10267.710851250002</v>
      </c>
      <c r="E132" s="90">
        <f t="shared" si="123"/>
        <v>10354.444447499998</v>
      </c>
      <c r="F132" s="90">
        <f t="shared" si="123"/>
        <v>10108.981574999994</v>
      </c>
      <c r="G132" s="90">
        <f t="shared" si="123"/>
        <v>9624.2017762500036</v>
      </c>
      <c r="H132" s="90">
        <f t="shared" si="123"/>
        <v>9668.6799599999995</v>
      </c>
      <c r="I132" s="90">
        <f t="shared" si="123"/>
        <v>9674.2417650000007</v>
      </c>
      <c r="J132" s="90">
        <f t="shared" si="123"/>
        <v>10012.798762500001</v>
      </c>
      <c r="K132" s="90">
        <f>+J132</f>
        <v>10012.798762500001</v>
      </c>
      <c r="L132" s="90">
        <f>+K132</f>
        <v>10012.798762500001</v>
      </c>
      <c r="M132" s="90">
        <f>+L132</f>
        <v>10012.798762500001</v>
      </c>
      <c r="N132" s="91">
        <f t="shared" si="122"/>
        <v>124657.52768624997</v>
      </c>
    </row>
    <row r="133" spans="1:14" x14ac:dyDescent="0.35">
      <c r="A133" s="89" t="s">
        <v>113</v>
      </c>
      <c r="B133" s="90">
        <f>+(B132)*22%</f>
        <v>2931.3469193250007</v>
      </c>
      <c r="C133" s="90">
        <f t="shared" ref="C133:M133" si="124">+(C132)*22%</f>
        <v>2548.4289781500001</v>
      </c>
      <c r="D133" s="90">
        <f t="shared" si="124"/>
        <v>2258.8963872750005</v>
      </c>
      <c r="E133" s="90">
        <f t="shared" si="124"/>
        <v>2277.9777784499997</v>
      </c>
      <c r="F133" s="90">
        <f t="shared" si="124"/>
        <v>2223.9759464999988</v>
      </c>
      <c r="G133" s="90">
        <f t="shared" si="124"/>
        <v>2117.3243907750007</v>
      </c>
      <c r="H133" s="90">
        <f t="shared" si="124"/>
        <v>2127.1095912000001</v>
      </c>
      <c r="I133" s="90">
        <f t="shared" si="124"/>
        <v>2128.3331883000001</v>
      </c>
      <c r="J133" s="90">
        <f t="shared" si="124"/>
        <v>2202.81572775</v>
      </c>
      <c r="K133" s="90">
        <f t="shared" si="124"/>
        <v>2202.81572775</v>
      </c>
      <c r="L133" s="90">
        <f t="shared" si="124"/>
        <v>2202.81572775</v>
      </c>
      <c r="M133" s="90">
        <f t="shared" si="124"/>
        <v>2202.81572775</v>
      </c>
      <c r="N133" s="91">
        <f t="shared" si="122"/>
        <v>27424.656090974997</v>
      </c>
    </row>
    <row r="134" spans="1:14" x14ac:dyDescent="0.35">
      <c r="A134" s="17" t="s">
        <v>114</v>
      </c>
      <c r="B134" s="91">
        <f t="shared" ref="B134:M134" si="125">SUM(B130:B133)</f>
        <v>16843.886392192653</v>
      </c>
      <c r="C134" s="91">
        <f t="shared" si="125"/>
        <v>14720.432354767647</v>
      </c>
      <c r="D134" s="91">
        <f t="shared" si="125"/>
        <v>13291.313120877943</v>
      </c>
      <c r="E134" s="91">
        <f t="shared" si="125"/>
        <v>13220.657520067645</v>
      </c>
      <c r="F134" s="91">
        <f t="shared" si="125"/>
        <v>12921.19281561764</v>
      </c>
      <c r="G134" s="91">
        <f t="shared" si="125"/>
        <v>12506.232049377944</v>
      </c>
      <c r="H134" s="91">
        <f t="shared" si="125"/>
        <v>12384.024845317646</v>
      </c>
      <c r="I134" s="91">
        <f t="shared" si="125"/>
        <v>12390.810247417648</v>
      </c>
      <c r="J134" s="91">
        <f t="shared" si="125"/>
        <v>12980.320372602941</v>
      </c>
      <c r="K134" s="91">
        <f t="shared" si="125"/>
        <v>12803.849784367647</v>
      </c>
      <c r="L134" s="91">
        <f t="shared" si="125"/>
        <v>12803.849784367647</v>
      </c>
      <c r="M134" s="91">
        <f t="shared" si="125"/>
        <v>12980.320372602941</v>
      </c>
      <c r="N134" s="91">
        <f t="shared" si="122"/>
        <v>159846.88965957795</v>
      </c>
    </row>
    <row r="135" spans="1:14" x14ac:dyDescent="0.35">
      <c r="A135" s="32" t="s">
        <v>109</v>
      </c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84">
        <f>+N128/N129</f>
        <v>159846.88965957795</v>
      </c>
    </row>
    <row r="136" spans="1:14" x14ac:dyDescent="0.35">
      <c r="A136" s="65" t="s">
        <v>92</v>
      </c>
      <c r="B136" s="80">
        <f t="shared" ref="B136:M136" si="126">+(B142*B137)</f>
        <v>0</v>
      </c>
      <c r="C136" s="80">
        <f t="shared" si="126"/>
        <v>0</v>
      </c>
      <c r="D136" s="80">
        <f t="shared" si="126"/>
        <v>0</v>
      </c>
      <c r="E136" s="80">
        <f t="shared" si="126"/>
        <v>0</v>
      </c>
      <c r="F136" s="80">
        <f t="shared" si="126"/>
        <v>0</v>
      </c>
      <c r="G136" s="80">
        <f t="shared" si="126"/>
        <v>0</v>
      </c>
      <c r="H136" s="80">
        <f t="shared" si="126"/>
        <v>0</v>
      </c>
      <c r="I136" s="80">
        <f t="shared" si="126"/>
        <v>0</v>
      </c>
      <c r="J136" s="80">
        <f t="shared" si="126"/>
        <v>0</v>
      </c>
      <c r="K136" s="80">
        <f t="shared" si="126"/>
        <v>0</v>
      </c>
      <c r="L136" s="80">
        <f t="shared" si="126"/>
        <v>0</v>
      </c>
      <c r="M136" s="80">
        <f t="shared" si="126"/>
        <v>0</v>
      </c>
      <c r="N136" s="92">
        <f>SUM(B136:M136)</f>
        <v>0</v>
      </c>
    </row>
    <row r="137" spans="1:14" x14ac:dyDescent="0.35">
      <c r="A137" s="32" t="s">
        <v>93</v>
      </c>
      <c r="B137" s="239">
        <f>+'Plan de culture 106'!$J$25</f>
        <v>0</v>
      </c>
      <c r="C137" s="239">
        <f>+B137</f>
        <v>0</v>
      </c>
      <c r="D137" s="239">
        <f t="shared" ref="D137" si="127">+C137</f>
        <v>0</v>
      </c>
      <c r="E137" s="239">
        <f>+'Plan de culture 104 '!C133</f>
        <v>0</v>
      </c>
      <c r="F137" s="239">
        <f>+E137+'Plan de culture 104 '!D133+'Plan de culture 104 '!E133</f>
        <v>0</v>
      </c>
      <c r="G137" s="239">
        <f>+F137</f>
        <v>0</v>
      </c>
      <c r="H137" s="239">
        <f t="shared" ref="H137:M137" si="128">+G137</f>
        <v>0</v>
      </c>
      <c r="I137" s="239">
        <f t="shared" si="128"/>
        <v>0</v>
      </c>
      <c r="J137" s="239">
        <f t="shared" si="128"/>
        <v>0</v>
      </c>
      <c r="K137" s="239">
        <f t="shared" si="128"/>
        <v>0</v>
      </c>
      <c r="L137" s="239">
        <f t="shared" si="128"/>
        <v>0</v>
      </c>
      <c r="M137" s="239">
        <f t="shared" si="128"/>
        <v>0</v>
      </c>
      <c r="N137" s="240">
        <f>+'Plan de culture 106'!$J$25</f>
        <v>0</v>
      </c>
    </row>
    <row r="138" spans="1:14" x14ac:dyDescent="0.35">
      <c r="A138" s="89" t="s">
        <v>110</v>
      </c>
      <c r="B138" s="90">
        <f>4000/ 6.8</f>
        <v>588.23529411764707</v>
      </c>
      <c r="C138" s="90">
        <f>+B138</f>
        <v>588.23529411764707</v>
      </c>
      <c r="D138" s="90">
        <f t="shared" ref="D138:M138" si="129">+C138</f>
        <v>588.23529411764707</v>
      </c>
      <c r="E138" s="90">
        <f t="shared" si="129"/>
        <v>588.23529411764707</v>
      </c>
      <c r="F138" s="90">
        <f t="shared" si="129"/>
        <v>588.23529411764707</v>
      </c>
      <c r="G138" s="90">
        <f t="shared" si="129"/>
        <v>588.23529411764707</v>
      </c>
      <c r="H138" s="90">
        <f t="shared" si="129"/>
        <v>588.23529411764707</v>
      </c>
      <c r="I138" s="90">
        <f t="shared" si="129"/>
        <v>588.23529411764707</v>
      </c>
      <c r="J138" s="90">
        <f t="shared" si="129"/>
        <v>588.23529411764707</v>
      </c>
      <c r="K138" s="90">
        <f t="shared" si="129"/>
        <v>588.23529411764707</v>
      </c>
      <c r="L138" s="90">
        <f t="shared" si="129"/>
        <v>588.23529411764707</v>
      </c>
      <c r="M138" s="90">
        <f t="shared" si="129"/>
        <v>588.23529411764707</v>
      </c>
      <c r="N138" s="91">
        <f t="shared" ref="N138:N142" si="130">SUM(B138:M138)</f>
        <v>7058.823529411763</v>
      </c>
    </row>
    <row r="139" spans="1:14" x14ac:dyDescent="0.35">
      <c r="A139" s="89" t="s">
        <v>111</v>
      </c>
      <c r="B139" s="90"/>
      <c r="C139" s="90"/>
      <c r="D139" s="90">
        <f>1200/ 6.8</f>
        <v>176.47058823529412</v>
      </c>
      <c r="E139" s="90"/>
      <c r="F139" s="90"/>
      <c r="G139" s="90">
        <f>1200/ 6.8</f>
        <v>176.47058823529412</v>
      </c>
      <c r="H139" s="90"/>
      <c r="I139" s="90"/>
      <c r="J139" s="90">
        <f>1200/ 6.8</f>
        <v>176.47058823529412</v>
      </c>
      <c r="K139" s="90"/>
      <c r="L139" s="90"/>
      <c r="M139" s="90">
        <f>1200/ 6.8</f>
        <v>176.47058823529412</v>
      </c>
      <c r="N139" s="91">
        <f t="shared" si="130"/>
        <v>705.88235294117646</v>
      </c>
    </row>
    <row r="140" spans="1:14" x14ac:dyDescent="0.35">
      <c r="A140" s="89" t="s">
        <v>112</v>
      </c>
      <c r="B140" s="90">
        <f>+B132*0.85</f>
        <v>11325.658551937504</v>
      </c>
      <c r="C140" s="90">
        <f t="shared" ref="C140:J140" si="131">+C132*0.85</f>
        <v>9846.2028701250001</v>
      </c>
      <c r="D140" s="90">
        <f t="shared" si="131"/>
        <v>8727.5542235625016</v>
      </c>
      <c r="E140" s="90">
        <f t="shared" si="131"/>
        <v>8801.2777803749977</v>
      </c>
      <c r="F140" s="90">
        <f t="shared" si="131"/>
        <v>8592.6343387499946</v>
      </c>
      <c r="G140" s="90">
        <f t="shared" si="131"/>
        <v>8180.5715098125029</v>
      </c>
      <c r="H140" s="90">
        <f t="shared" si="131"/>
        <v>8218.377966</v>
      </c>
      <c r="I140" s="90">
        <f t="shared" si="131"/>
        <v>8223.1055002499997</v>
      </c>
      <c r="J140" s="90">
        <f t="shared" si="131"/>
        <v>8510.8789481250005</v>
      </c>
      <c r="K140" s="90">
        <f>+J140</f>
        <v>8510.8789481250005</v>
      </c>
      <c r="L140" s="90">
        <f>+K140</f>
        <v>8510.8789481250005</v>
      </c>
      <c r="M140" s="90">
        <f>+L140</f>
        <v>8510.8789481250005</v>
      </c>
      <c r="N140" s="91">
        <f t="shared" si="130"/>
        <v>105958.89853331249</v>
      </c>
    </row>
    <row r="141" spans="1:14" x14ac:dyDescent="0.35">
      <c r="A141" s="89" t="s">
        <v>113</v>
      </c>
      <c r="B141" s="90">
        <f>+(B140)*22%</f>
        <v>2491.6448814262508</v>
      </c>
      <c r="C141" s="90">
        <f t="shared" ref="C141:M141" si="132">+(C140)*22%</f>
        <v>2166.1646314274999</v>
      </c>
      <c r="D141" s="90">
        <f t="shared" si="132"/>
        <v>1920.0619291837504</v>
      </c>
      <c r="E141" s="90">
        <f t="shared" si="132"/>
        <v>1936.2811116824996</v>
      </c>
      <c r="F141" s="90">
        <f t="shared" si="132"/>
        <v>1890.3795545249989</v>
      </c>
      <c r="G141" s="90">
        <f t="shared" si="132"/>
        <v>1799.7257321587506</v>
      </c>
      <c r="H141" s="90">
        <f t="shared" si="132"/>
        <v>1808.0431525199999</v>
      </c>
      <c r="I141" s="90">
        <f t="shared" si="132"/>
        <v>1809.0832100549999</v>
      </c>
      <c r="J141" s="90">
        <f t="shared" si="132"/>
        <v>1872.3933685875002</v>
      </c>
      <c r="K141" s="90">
        <f t="shared" si="132"/>
        <v>1872.3933685875002</v>
      </c>
      <c r="L141" s="90">
        <f t="shared" si="132"/>
        <v>1872.3933685875002</v>
      </c>
      <c r="M141" s="90">
        <f t="shared" si="132"/>
        <v>1872.3933685875002</v>
      </c>
      <c r="N141" s="91">
        <f t="shared" si="130"/>
        <v>23310.957677328755</v>
      </c>
    </row>
    <row r="142" spans="1:14" x14ac:dyDescent="0.35">
      <c r="A142" s="17" t="s">
        <v>114</v>
      </c>
      <c r="B142" s="91">
        <f t="shared" ref="B142:M142" si="133">SUM(B138:B141)</f>
        <v>14405.538727481402</v>
      </c>
      <c r="C142" s="91">
        <f t="shared" si="133"/>
        <v>12600.602795670147</v>
      </c>
      <c r="D142" s="91">
        <f t="shared" si="133"/>
        <v>11412.322035099192</v>
      </c>
      <c r="E142" s="91">
        <f t="shared" si="133"/>
        <v>11325.794186175144</v>
      </c>
      <c r="F142" s="91">
        <f t="shared" si="133"/>
        <v>11071.249187392641</v>
      </c>
      <c r="G142" s="91">
        <f t="shared" si="133"/>
        <v>10745.003124324196</v>
      </c>
      <c r="H142" s="91">
        <f t="shared" si="133"/>
        <v>10614.656412637647</v>
      </c>
      <c r="I142" s="91">
        <f t="shared" si="133"/>
        <v>10620.424004422646</v>
      </c>
      <c r="J142" s="91">
        <f t="shared" si="133"/>
        <v>11147.978199065441</v>
      </c>
      <c r="K142" s="91">
        <f t="shared" si="133"/>
        <v>10971.507610830147</v>
      </c>
      <c r="L142" s="91">
        <f t="shared" si="133"/>
        <v>10971.507610830147</v>
      </c>
      <c r="M142" s="91">
        <f t="shared" si="133"/>
        <v>11147.978199065441</v>
      </c>
      <c r="N142" s="91">
        <f t="shared" si="130"/>
        <v>137034.56209299419</v>
      </c>
    </row>
    <row r="143" spans="1:14" x14ac:dyDescent="0.35">
      <c r="A143" s="32" t="s">
        <v>109</v>
      </c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84" t="e">
        <f>+N136/N137</f>
        <v>#DIV/0!</v>
      </c>
    </row>
    <row r="144" spans="1:14" x14ac:dyDescent="0.35">
      <c r="A144" s="65" t="s">
        <v>377</v>
      </c>
      <c r="B144" s="80">
        <f t="shared" ref="B144:M144" si="134">+(B150*B145)</f>
        <v>0</v>
      </c>
      <c r="C144" s="80">
        <f t="shared" si="134"/>
        <v>0</v>
      </c>
      <c r="D144" s="80">
        <f t="shared" si="134"/>
        <v>0</v>
      </c>
      <c r="E144" s="80">
        <f t="shared" si="134"/>
        <v>0</v>
      </c>
      <c r="F144" s="80">
        <f t="shared" si="134"/>
        <v>0</v>
      </c>
      <c r="G144" s="80">
        <f t="shared" si="134"/>
        <v>0</v>
      </c>
      <c r="H144" s="80">
        <f t="shared" si="134"/>
        <v>0</v>
      </c>
      <c r="I144" s="80">
        <f t="shared" si="134"/>
        <v>0</v>
      </c>
      <c r="J144" s="80">
        <f t="shared" si="134"/>
        <v>0</v>
      </c>
      <c r="K144" s="80">
        <f t="shared" si="134"/>
        <v>0</v>
      </c>
      <c r="L144" s="80">
        <f t="shared" si="134"/>
        <v>0</v>
      </c>
      <c r="M144" s="80">
        <f t="shared" si="134"/>
        <v>0</v>
      </c>
      <c r="N144" s="92">
        <f>SUM(B144:M144)</f>
        <v>0</v>
      </c>
    </row>
    <row r="145" spans="1:14" x14ac:dyDescent="0.35">
      <c r="A145" s="32" t="s">
        <v>93</v>
      </c>
      <c r="B145" s="239">
        <f>+'Plan de culture 106'!$J$31</f>
        <v>0</v>
      </c>
      <c r="C145" s="239">
        <f>+B145</f>
        <v>0</v>
      </c>
      <c r="D145" s="239">
        <f t="shared" ref="D145" si="135">+C145</f>
        <v>0</v>
      </c>
      <c r="E145" s="239">
        <f>+'Plan de culture 104 '!C141</f>
        <v>0</v>
      </c>
      <c r="F145" s="239">
        <f>+E145+'Plan de culture 104 '!D141+'Plan de culture 104 '!E141</f>
        <v>0</v>
      </c>
      <c r="G145" s="239">
        <f>+F145</f>
        <v>0</v>
      </c>
      <c r="H145" s="239">
        <f t="shared" ref="H145:M145" si="136">+G145</f>
        <v>0</v>
      </c>
      <c r="I145" s="239">
        <f t="shared" si="136"/>
        <v>0</v>
      </c>
      <c r="J145" s="239">
        <f t="shared" si="136"/>
        <v>0</v>
      </c>
      <c r="K145" s="239">
        <f t="shared" si="136"/>
        <v>0</v>
      </c>
      <c r="L145" s="239">
        <f t="shared" si="136"/>
        <v>0</v>
      </c>
      <c r="M145" s="239">
        <f t="shared" si="136"/>
        <v>0</v>
      </c>
      <c r="N145" s="240">
        <f>+'Plan de culture 106'!$J$31</f>
        <v>0</v>
      </c>
    </row>
    <row r="146" spans="1:14" x14ac:dyDescent="0.35">
      <c r="A146" s="89" t="s">
        <v>110</v>
      </c>
      <c r="B146" s="90">
        <f>4000/ 6.8</f>
        <v>588.23529411764707</v>
      </c>
      <c r="C146" s="90">
        <f>+B146</f>
        <v>588.23529411764707</v>
      </c>
      <c r="D146" s="90">
        <f t="shared" ref="D146:M146" si="137">+C146</f>
        <v>588.23529411764707</v>
      </c>
      <c r="E146" s="90">
        <f t="shared" si="137"/>
        <v>588.23529411764707</v>
      </c>
      <c r="F146" s="90">
        <f t="shared" si="137"/>
        <v>588.23529411764707</v>
      </c>
      <c r="G146" s="90">
        <f t="shared" si="137"/>
        <v>588.23529411764707</v>
      </c>
      <c r="H146" s="90">
        <f t="shared" si="137"/>
        <v>588.23529411764707</v>
      </c>
      <c r="I146" s="90">
        <f t="shared" si="137"/>
        <v>588.23529411764707</v>
      </c>
      <c r="J146" s="90">
        <f t="shared" si="137"/>
        <v>588.23529411764707</v>
      </c>
      <c r="K146" s="90">
        <f t="shared" si="137"/>
        <v>588.23529411764707</v>
      </c>
      <c r="L146" s="90">
        <f t="shared" si="137"/>
        <v>588.23529411764707</v>
      </c>
      <c r="M146" s="90">
        <f t="shared" si="137"/>
        <v>588.23529411764707</v>
      </c>
      <c r="N146" s="91">
        <f t="shared" ref="N146:N150" si="138">SUM(B146:M146)</f>
        <v>7058.823529411763</v>
      </c>
    </row>
    <row r="147" spans="1:14" x14ac:dyDescent="0.35">
      <c r="A147" s="89" t="s">
        <v>111</v>
      </c>
      <c r="B147" s="90"/>
      <c r="C147" s="90"/>
      <c r="D147" s="90">
        <f>1200/ 6.8</f>
        <v>176.47058823529412</v>
      </c>
      <c r="E147" s="90"/>
      <c r="F147" s="90"/>
      <c r="G147" s="90">
        <f>1200/ 6.8</f>
        <v>176.47058823529412</v>
      </c>
      <c r="H147" s="90"/>
      <c r="I147" s="90"/>
      <c r="J147" s="90">
        <f>1200/ 6.8</f>
        <v>176.47058823529412</v>
      </c>
      <c r="K147" s="90"/>
      <c r="L147" s="90"/>
      <c r="M147" s="90">
        <f>1200/ 6.8</f>
        <v>176.47058823529412</v>
      </c>
      <c r="N147" s="91">
        <f t="shared" si="138"/>
        <v>705.88235294117646</v>
      </c>
    </row>
    <row r="148" spans="1:14" x14ac:dyDescent="0.35">
      <c r="A148" s="89" t="s">
        <v>112</v>
      </c>
      <c r="B148" s="90">
        <f>+B140*0.85</f>
        <v>9626.8097691468774</v>
      </c>
      <c r="C148" s="90">
        <f t="shared" ref="C148:J148" si="139">+C140*0.85</f>
        <v>8369.2724396062495</v>
      </c>
      <c r="D148" s="90">
        <f t="shared" si="139"/>
        <v>7418.4210900281259</v>
      </c>
      <c r="E148" s="90">
        <f t="shared" si="139"/>
        <v>7481.0861133187482</v>
      </c>
      <c r="F148" s="90">
        <f t="shared" si="139"/>
        <v>7303.7391879374954</v>
      </c>
      <c r="G148" s="90">
        <f t="shared" si="139"/>
        <v>6953.4857833406277</v>
      </c>
      <c r="H148" s="90">
        <f t="shared" si="139"/>
        <v>6985.6212710999998</v>
      </c>
      <c r="I148" s="90">
        <f t="shared" si="139"/>
        <v>6989.6396752124992</v>
      </c>
      <c r="J148" s="90">
        <f t="shared" si="139"/>
        <v>7234.24710590625</v>
      </c>
      <c r="K148" s="90">
        <f>+J148</f>
        <v>7234.24710590625</v>
      </c>
      <c r="L148" s="90">
        <f>+K148</f>
        <v>7234.24710590625</v>
      </c>
      <c r="M148" s="90">
        <f>+L148</f>
        <v>7234.24710590625</v>
      </c>
      <c r="N148" s="91">
        <f t="shared" si="138"/>
        <v>90065.063753315626</v>
      </c>
    </row>
    <row r="149" spans="1:14" x14ac:dyDescent="0.35">
      <c r="A149" s="89" t="s">
        <v>113</v>
      </c>
      <c r="B149" s="90">
        <f>+(B148)*22%</f>
        <v>2117.898149212313</v>
      </c>
      <c r="C149" s="90">
        <f t="shared" ref="C149:M149" si="140">+(C148)*22%</f>
        <v>1841.2399367133748</v>
      </c>
      <c r="D149" s="90">
        <f t="shared" si="140"/>
        <v>1632.0526398061877</v>
      </c>
      <c r="E149" s="90">
        <f t="shared" si="140"/>
        <v>1645.8389449301246</v>
      </c>
      <c r="F149" s="90">
        <f t="shared" si="140"/>
        <v>1606.822621346249</v>
      </c>
      <c r="G149" s="90">
        <f t="shared" si="140"/>
        <v>1529.7668723349382</v>
      </c>
      <c r="H149" s="90">
        <f t="shared" si="140"/>
        <v>1536.836679642</v>
      </c>
      <c r="I149" s="90">
        <f t="shared" si="140"/>
        <v>1537.7207285467498</v>
      </c>
      <c r="J149" s="90">
        <f t="shared" si="140"/>
        <v>1591.5343632993749</v>
      </c>
      <c r="K149" s="90">
        <f t="shared" si="140"/>
        <v>1591.5343632993749</v>
      </c>
      <c r="L149" s="90">
        <f t="shared" si="140"/>
        <v>1591.5343632993749</v>
      </c>
      <c r="M149" s="90">
        <f t="shared" si="140"/>
        <v>1591.5343632993749</v>
      </c>
      <c r="N149" s="91">
        <f t="shared" si="138"/>
        <v>19814.314025729436</v>
      </c>
    </row>
    <row r="150" spans="1:14" x14ac:dyDescent="0.35">
      <c r="A150" s="17" t="s">
        <v>114</v>
      </c>
      <c r="B150" s="91">
        <f t="shared" ref="B150:M150" si="141">SUM(B146:B149)</f>
        <v>12332.943212476837</v>
      </c>
      <c r="C150" s="91">
        <f t="shared" si="141"/>
        <v>10798.747670437271</v>
      </c>
      <c r="D150" s="91">
        <f t="shared" si="141"/>
        <v>9815.1796121872558</v>
      </c>
      <c r="E150" s="91">
        <f t="shared" si="141"/>
        <v>9715.1603523665199</v>
      </c>
      <c r="F150" s="91">
        <f t="shared" si="141"/>
        <v>9498.7971034013917</v>
      </c>
      <c r="G150" s="91">
        <f t="shared" si="141"/>
        <v>9247.958538028508</v>
      </c>
      <c r="H150" s="91">
        <f t="shared" si="141"/>
        <v>9110.6932448596472</v>
      </c>
      <c r="I150" s="91">
        <f t="shared" si="141"/>
        <v>9115.5956978768954</v>
      </c>
      <c r="J150" s="91">
        <f t="shared" si="141"/>
        <v>9590.4873515585659</v>
      </c>
      <c r="K150" s="91">
        <f t="shared" si="141"/>
        <v>9414.0167633232722</v>
      </c>
      <c r="L150" s="91">
        <f t="shared" si="141"/>
        <v>9414.0167633232722</v>
      </c>
      <c r="M150" s="91">
        <f t="shared" si="141"/>
        <v>9590.4873515585659</v>
      </c>
      <c r="N150" s="91">
        <f t="shared" si="138"/>
        <v>117644.08366139801</v>
      </c>
    </row>
    <row r="151" spans="1:14" x14ac:dyDescent="0.35">
      <c r="A151" s="32" t="s">
        <v>109</v>
      </c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84" t="e">
        <f>+N144/N145</f>
        <v>#DIV/0!</v>
      </c>
    </row>
    <row r="152" spans="1:14" x14ac:dyDescent="0.35">
      <c r="A152" s="65" t="s">
        <v>378</v>
      </c>
      <c r="B152" s="80">
        <f t="shared" ref="B152:M152" si="142">+(B158*B153)</f>
        <v>0</v>
      </c>
      <c r="C152" s="80">
        <f t="shared" si="142"/>
        <v>0</v>
      </c>
      <c r="D152" s="80">
        <f t="shared" si="142"/>
        <v>0</v>
      </c>
      <c r="E152" s="80">
        <f t="shared" si="142"/>
        <v>0</v>
      </c>
      <c r="F152" s="80">
        <f t="shared" si="142"/>
        <v>0</v>
      </c>
      <c r="G152" s="80">
        <f t="shared" si="142"/>
        <v>0</v>
      </c>
      <c r="H152" s="80">
        <f t="shared" si="142"/>
        <v>0</v>
      </c>
      <c r="I152" s="80">
        <f t="shared" si="142"/>
        <v>0</v>
      </c>
      <c r="J152" s="80">
        <f t="shared" si="142"/>
        <v>0</v>
      </c>
      <c r="K152" s="80">
        <f t="shared" si="142"/>
        <v>0</v>
      </c>
      <c r="L152" s="80">
        <f t="shared" si="142"/>
        <v>0</v>
      </c>
      <c r="M152" s="80">
        <f t="shared" si="142"/>
        <v>0</v>
      </c>
      <c r="N152" s="92">
        <f>SUM(B152:M152)</f>
        <v>0</v>
      </c>
    </row>
    <row r="153" spans="1:14" x14ac:dyDescent="0.35">
      <c r="A153" s="32" t="s">
        <v>93</v>
      </c>
      <c r="B153" s="239">
        <f>+'Plan de culture 106'!$J$37</f>
        <v>0</v>
      </c>
      <c r="C153" s="239">
        <f>+B153</f>
        <v>0</v>
      </c>
      <c r="D153" s="239">
        <f t="shared" ref="D153" si="143">+C153</f>
        <v>0</v>
      </c>
      <c r="E153" s="239">
        <f>+'Plan de culture 104 '!C149</f>
        <v>0</v>
      </c>
      <c r="F153" s="239">
        <f>+E153+'Plan de culture 104 '!D149+'Plan de culture 104 '!E149</f>
        <v>0</v>
      </c>
      <c r="G153" s="239">
        <f>+F153</f>
        <v>0</v>
      </c>
      <c r="H153" s="239">
        <f t="shared" ref="H153:M153" si="144">+G153</f>
        <v>0</v>
      </c>
      <c r="I153" s="239">
        <f t="shared" si="144"/>
        <v>0</v>
      </c>
      <c r="J153" s="239">
        <f t="shared" si="144"/>
        <v>0</v>
      </c>
      <c r="K153" s="239">
        <f t="shared" si="144"/>
        <v>0</v>
      </c>
      <c r="L153" s="239">
        <f t="shared" si="144"/>
        <v>0</v>
      </c>
      <c r="M153" s="239">
        <f t="shared" si="144"/>
        <v>0</v>
      </c>
      <c r="N153" s="240">
        <f>+'Plan de culture 106'!$J$37</f>
        <v>0</v>
      </c>
    </row>
    <row r="154" spans="1:14" x14ac:dyDescent="0.35">
      <c r="A154" s="89" t="s">
        <v>110</v>
      </c>
      <c r="B154" s="90">
        <f>4000/ 6.8</f>
        <v>588.23529411764707</v>
      </c>
      <c r="C154" s="90">
        <f>+B154</f>
        <v>588.23529411764707</v>
      </c>
      <c r="D154" s="90">
        <f t="shared" ref="D154:M154" si="145">+C154</f>
        <v>588.23529411764707</v>
      </c>
      <c r="E154" s="90">
        <f t="shared" si="145"/>
        <v>588.23529411764707</v>
      </c>
      <c r="F154" s="90">
        <f t="shared" si="145"/>
        <v>588.23529411764707</v>
      </c>
      <c r="G154" s="90">
        <f t="shared" si="145"/>
        <v>588.23529411764707</v>
      </c>
      <c r="H154" s="90">
        <f t="shared" si="145"/>
        <v>588.23529411764707</v>
      </c>
      <c r="I154" s="90">
        <f t="shared" si="145"/>
        <v>588.23529411764707</v>
      </c>
      <c r="J154" s="90">
        <f t="shared" si="145"/>
        <v>588.23529411764707</v>
      </c>
      <c r="K154" s="90">
        <f t="shared" si="145"/>
        <v>588.23529411764707</v>
      </c>
      <c r="L154" s="90">
        <f t="shared" si="145"/>
        <v>588.23529411764707</v>
      </c>
      <c r="M154" s="90">
        <f t="shared" si="145"/>
        <v>588.23529411764707</v>
      </c>
      <c r="N154" s="91">
        <f t="shared" ref="N154:N158" si="146">SUM(B154:M154)</f>
        <v>7058.823529411763</v>
      </c>
    </row>
    <row r="155" spans="1:14" x14ac:dyDescent="0.35">
      <c r="A155" s="89" t="s">
        <v>111</v>
      </c>
      <c r="B155" s="90"/>
      <c r="C155" s="90"/>
      <c r="D155" s="90">
        <f>1200/ 6.8</f>
        <v>176.47058823529412</v>
      </c>
      <c r="E155" s="90"/>
      <c r="F155" s="90"/>
      <c r="G155" s="90">
        <f>1200/ 6.8</f>
        <v>176.47058823529412</v>
      </c>
      <c r="H155" s="90"/>
      <c r="I155" s="90"/>
      <c r="J155" s="90">
        <f>1200/ 6.8</f>
        <v>176.47058823529412</v>
      </c>
      <c r="K155" s="90"/>
      <c r="L155" s="90"/>
      <c r="M155" s="90">
        <f>1200/ 6.8</f>
        <v>176.47058823529412</v>
      </c>
      <c r="N155" s="91">
        <f t="shared" si="146"/>
        <v>705.88235294117646</v>
      </c>
    </row>
    <row r="156" spans="1:14" x14ac:dyDescent="0.35">
      <c r="A156" s="89" t="s">
        <v>112</v>
      </c>
      <c r="B156" s="90">
        <f>+B148*0.85</f>
        <v>8182.7883037748452</v>
      </c>
      <c r="C156" s="90">
        <f t="shared" ref="C156:J156" si="147">+C148*0.85</f>
        <v>7113.8815736653114</v>
      </c>
      <c r="D156" s="90">
        <f t="shared" si="147"/>
        <v>6305.657926523907</v>
      </c>
      <c r="E156" s="90">
        <f t="shared" si="147"/>
        <v>6358.9231963209359</v>
      </c>
      <c r="F156" s="90">
        <f t="shared" si="147"/>
        <v>6208.1783097468706</v>
      </c>
      <c r="G156" s="90">
        <f t="shared" si="147"/>
        <v>5910.4629158395337</v>
      </c>
      <c r="H156" s="90">
        <f t="shared" si="147"/>
        <v>5937.7780804349995</v>
      </c>
      <c r="I156" s="90">
        <f t="shared" si="147"/>
        <v>5941.1937239306244</v>
      </c>
      <c r="J156" s="90">
        <f t="shared" si="147"/>
        <v>6149.1100400203122</v>
      </c>
      <c r="K156" s="90">
        <f>+J156</f>
        <v>6149.1100400203122</v>
      </c>
      <c r="L156" s="90">
        <f>+K156</f>
        <v>6149.1100400203122</v>
      </c>
      <c r="M156" s="90">
        <f>+L156</f>
        <v>6149.1100400203122</v>
      </c>
      <c r="N156" s="91">
        <f t="shared" si="146"/>
        <v>76555.304190318275</v>
      </c>
    </row>
    <row r="157" spans="1:14" x14ac:dyDescent="0.35">
      <c r="A157" s="89" t="s">
        <v>113</v>
      </c>
      <c r="B157" s="90">
        <f>+(B156)*22%</f>
        <v>1800.213426830466</v>
      </c>
      <c r="C157" s="90">
        <f t="shared" ref="C157:M157" si="148">+(C156)*22%</f>
        <v>1565.0539462063684</v>
      </c>
      <c r="D157" s="90">
        <f t="shared" si="148"/>
        <v>1387.2447438352594</v>
      </c>
      <c r="E157" s="90">
        <f t="shared" si="148"/>
        <v>1398.9631031906058</v>
      </c>
      <c r="F157" s="90">
        <f t="shared" si="148"/>
        <v>1365.7992281443114</v>
      </c>
      <c r="G157" s="90">
        <f t="shared" si="148"/>
        <v>1300.3018414846974</v>
      </c>
      <c r="H157" s="90">
        <f t="shared" si="148"/>
        <v>1306.3111776956998</v>
      </c>
      <c r="I157" s="90">
        <f t="shared" si="148"/>
        <v>1307.0626192647374</v>
      </c>
      <c r="J157" s="90">
        <f t="shared" si="148"/>
        <v>1352.8042088044688</v>
      </c>
      <c r="K157" s="90">
        <f t="shared" si="148"/>
        <v>1352.8042088044688</v>
      </c>
      <c r="L157" s="90">
        <f t="shared" si="148"/>
        <v>1352.8042088044688</v>
      </c>
      <c r="M157" s="90">
        <f t="shared" si="148"/>
        <v>1352.8042088044688</v>
      </c>
      <c r="N157" s="91">
        <f t="shared" si="146"/>
        <v>16842.166921870023</v>
      </c>
    </row>
    <row r="158" spans="1:14" x14ac:dyDescent="0.35">
      <c r="A158" s="17" t="s">
        <v>114</v>
      </c>
      <c r="B158" s="91">
        <f t="shared" ref="B158:M158" si="149">SUM(B154:B157)</f>
        <v>10571.237024722957</v>
      </c>
      <c r="C158" s="91">
        <f t="shared" si="149"/>
        <v>9267.1708139893271</v>
      </c>
      <c r="D158" s="91">
        <f t="shared" si="149"/>
        <v>8457.6085527121086</v>
      </c>
      <c r="E158" s="91">
        <f t="shared" si="149"/>
        <v>8346.1215936291883</v>
      </c>
      <c r="F158" s="91">
        <f t="shared" si="149"/>
        <v>8162.2128320088286</v>
      </c>
      <c r="G158" s="91">
        <f t="shared" si="149"/>
        <v>7975.4706396771726</v>
      </c>
      <c r="H158" s="91">
        <f t="shared" si="149"/>
        <v>7832.3245522483467</v>
      </c>
      <c r="I158" s="91">
        <f t="shared" si="149"/>
        <v>7836.4916373130091</v>
      </c>
      <c r="J158" s="91">
        <f t="shared" si="149"/>
        <v>8266.6201311777222</v>
      </c>
      <c r="K158" s="91">
        <f t="shared" si="149"/>
        <v>8090.1495429424276</v>
      </c>
      <c r="L158" s="91">
        <f t="shared" si="149"/>
        <v>8090.1495429424276</v>
      </c>
      <c r="M158" s="91">
        <f t="shared" si="149"/>
        <v>8266.6201311777222</v>
      </c>
      <c r="N158" s="91">
        <f t="shared" si="146"/>
        <v>101162.17699454125</v>
      </c>
    </row>
    <row r="159" spans="1:14" x14ac:dyDescent="0.35">
      <c r="A159" s="32" t="s">
        <v>109</v>
      </c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84" t="e">
        <f>+N152/N153</f>
        <v>#DIV/0!</v>
      </c>
    </row>
    <row r="160" spans="1:14" s="57" customFormat="1" x14ac:dyDescent="0.35">
      <c r="A160" s="72" t="s">
        <v>455</v>
      </c>
      <c r="B160" s="77">
        <f>+B163+B171+B179+B187+B195+B203</f>
        <v>238526.91024963706</v>
      </c>
      <c r="C160" s="77">
        <f t="shared" ref="C160:M161" si="150">+C163+C171+C179+C187+C195+C203</f>
        <v>208640.7810907063</v>
      </c>
      <c r="D160" s="77">
        <f t="shared" si="150"/>
        <v>188965.22825717242</v>
      </c>
      <c r="E160" s="77">
        <f t="shared" si="150"/>
        <v>187532.50013468805</v>
      </c>
      <c r="F160" s="77">
        <f t="shared" si="150"/>
        <v>183317.74404484735</v>
      </c>
      <c r="G160" s="77">
        <f t="shared" si="150"/>
        <v>177915.76173256003</v>
      </c>
      <c r="H160" s="77">
        <f t="shared" si="150"/>
        <v>175757.48088045415</v>
      </c>
      <c r="I160" s="77">
        <f t="shared" si="150"/>
        <v>175852.98066523016</v>
      </c>
      <c r="J160" s="77">
        <f t="shared" si="150"/>
        <v>184588.22302012556</v>
      </c>
      <c r="K160" s="77">
        <f t="shared" si="150"/>
        <v>181666.22302012559</v>
      </c>
      <c r="L160" s="77">
        <f t="shared" si="150"/>
        <v>181666.22302012559</v>
      </c>
      <c r="M160" s="77">
        <f t="shared" si="150"/>
        <v>184588.22302012556</v>
      </c>
      <c r="N160" s="78">
        <f>SUM(B160:M160)</f>
        <v>2269018.2791357981</v>
      </c>
    </row>
    <row r="161" spans="1:17" s="57" customFormat="1" x14ac:dyDescent="0.35">
      <c r="A161" s="72" t="s">
        <v>93</v>
      </c>
      <c r="B161" s="81">
        <f>+B164+B172+B180+B188+B196+B204</f>
        <v>16.558</v>
      </c>
      <c r="C161" s="81">
        <f t="shared" si="150"/>
        <v>16.558</v>
      </c>
      <c r="D161" s="81">
        <f t="shared" si="150"/>
        <v>16.558</v>
      </c>
      <c r="E161" s="81">
        <f t="shared" si="150"/>
        <v>16.558</v>
      </c>
      <c r="F161" s="81">
        <f t="shared" si="150"/>
        <v>16.558</v>
      </c>
      <c r="G161" s="81">
        <f t="shared" si="150"/>
        <v>16.558</v>
      </c>
      <c r="H161" s="81">
        <f t="shared" si="150"/>
        <v>16.558</v>
      </c>
      <c r="I161" s="81">
        <f t="shared" si="150"/>
        <v>16.558</v>
      </c>
      <c r="J161" s="81">
        <f t="shared" si="150"/>
        <v>16.558</v>
      </c>
      <c r="K161" s="81">
        <f t="shared" si="150"/>
        <v>16.558</v>
      </c>
      <c r="L161" s="81">
        <f t="shared" si="150"/>
        <v>16.558</v>
      </c>
      <c r="M161" s="81">
        <f t="shared" si="150"/>
        <v>16.558</v>
      </c>
      <c r="N161" s="78">
        <f>SUM(B161:M161)</f>
        <v>198.69599999999994</v>
      </c>
    </row>
    <row r="162" spans="1:17" s="57" customFormat="1" x14ac:dyDescent="0.35">
      <c r="A162" s="72" t="s">
        <v>109</v>
      </c>
      <c r="B162" s="83">
        <f>+B160/B161</f>
        <v>14405.538727481402</v>
      </c>
      <c r="C162" s="83">
        <f>+C160/C161</f>
        <v>12600.602795670147</v>
      </c>
      <c r="D162" s="83">
        <f>+D160/D161</f>
        <v>11412.322035099192</v>
      </c>
      <c r="E162" s="83">
        <f t="shared" ref="E162:N162" si="151">+E160/E161</f>
        <v>11325.794186175144</v>
      </c>
      <c r="F162" s="83">
        <f t="shared" si="151"/>
        <v>11071.249187392641</v>
      </c>
      <c r="G162" s="83">
        <f t="shared" si="151"/>
        <v>10745.003124324196</v>
      </c>
      <c r="H162" s="83">
        <f t="shared" si="151"/>
        <v>10614.656412637647</v>
      </c>
      <c r="I162" s="83">
        <f t="shared" si="151"/>
        <v>10620.424004422646</v>
      </c>
      <c r="J162" s="83">
        <f t="shared" si="151"/>
        <v>11147.978199065441</v>
      </c>
      <c r="K162" s="83">
        <f t="shared" si="151"/>
        <v>10971.507610830147</v>
      </c>
      <c r="L162" s="83">
        <f t="shared" si="151"/>
        <v>10971.507610830147</v>
      </c>
      <c r="M162" s="83">
        <f t="shared" si="151"/>
        <v>11147.978199065441</v>
      </c>
      <c r="N162" s="83">
        <f t="shared" si="151"/>
        <v>11419.546841082854</v>
      </c>
    </row>
    <row r="163" spans="1:17" x14ac:dyDescent="0.35">
      <c r="A163" s="65" t="s">
        <v>90</v>
      </c>
      <c r="B163" s="80">
        <f t="shared" ref="B163:M163" si="152">+(B169*B164)</f>
        <v>0</v>
      </c>
      <c r="C163" s="80">
        <f t="shared" si="152"/>
        <v>0</v>
      </c>
      <c r="D163" s="80">
        <f t="shared" si="152"/>
        <v>0</v>
      </c>
      <c r="E163" s="80">
        <f t="shared" si="152"/>
        <v>0</v>
      </c>
      <c r="F163" s="80">
        <f t="shared" si="152"/>
        <v>0</v>
      </c>
      <c r="G163" s="80">
        <f t="shared" si="152"/>
        <v>0</v>
      </c>
      <c r="H163" s="80">
        <f t="shared" si="152"/>
        <v>0</v>
      </c>
      <c r="I163" s="80">
        <f t="shared" si="152"/>
        <v>0</v>
      </c>
      <c r="J163" s="80">
        <f t="shared" si="152"/>
        <v>0</v>
      </c>
      <c r="K163" s="80">
        <f t="shared" si="152"/>
        <v>0</v>
      </c>
      <c r="L163" s="80">
        <f t="shared" si="152"/>
        <v>0</v>
      </c>
      <c r="M163" s="80">
        <f t="shared" si="152"/>
        <v>0</v>
      </c>
      <c r="N163" s="80">
        <f>SUM(B163:M163)</f>
        <v>0</v>
      </c>
    </row>
    <row r="164" spans="1:17" x14ac:dyDescent="0.35">
      <c r="A164" s="32" t="s">
        <v>93</v>
      </c>
      <c r="B164" s="239">
        <f>+'Plan de culture 107'!$Z$7</f>
        <v>0</v>
      </c>
      <c r="C164" s="239">
        <f>+B164</f>
        <v>0</v>
      </c>
      <c r="D164" s="239">
        <f t="shared" ref="D164" si="153">+C164</f>
        <v>0</v>
      </c>
      <c r="E164" s="239">
        <f>+D164</f>
        <v>0</v>
      </c>
      <c r="F164" s="239">
        <f>+E164</f>
        <v>0</v>
      </c>
      <c r="G164" s="239">
        <f>+F164</f>
        <v>0</v>
      </c>
      <c r="H164" s="239">
        <f t="shared" ref="H164:M164" si="154">+G164</f>
        <v>0</v>
      </c>
      <c r="I164" s="239">
        <f t="shared" si="154"/>
        <v>0</v>
      </c>
      <c r="J164" s="239">
        <f t="shared" si="154"/>
        <v>0</v>
      </c>
      <c r="K164" s="239">
        <f t="shared" si="154"/>
        <v>0</v>
      </c>
      <c r="L164" s="239">
        <f t="shared" si="154"/>
        <v>0</v>
      </c>
      <c r="M164" s="239">
        <f t="shared" si="154"/>
        <v>0</v>
      </c>
      <c r="N164" s="240">
        <f>+'Plan de culture 107'!$Z$7</f>
        <v>0</v>
      </c>
    </row>
    <row r="165" spans="1:17" x14ac:dyDescent="0.35">
      <c r="A165" s="89" t="s">
        <v>110</v>
      </c>
      <c r="B165" s="90">
        <f>4000/ 6.8</f>
        <v>588.23529411764707</v>
      </c>
      <c r="C165" s="90">
        <f>+B165</f>
        <v>588.23529411764707</v>
      </c>
      <c r="D165" s="90">
        <f t="shared" ref="D165:J165" si="155">+C165</f>
        <v>588.23529411764707</v>
      </c>
      <c r="E165" s="90">
        <f t="shared" si="155"/>
        <v>588.23529411764707</v>
      </c>
      <c r="F165" s="90">
        <f t="shared" si="155"/>
        <v>588.23529411764707</v>
      </c>
      <c r="G165" s="90">
        <f t="shared" si="155"/>
        <v>588.23529411764707</v>
      </c>
      <c r="H165" s="90">
        <f t="shared" si="155"/>
        <v>588.23529411764707</v>
      </c>
      <c r="I165" s="90">
        <f t="shared" si="155"/>
        <v>588.23529411764707</v>
      </c>
      <c r="J165" s="90">
        <f t="shared" si="155"/>
        <v>588.23529411764707</v>
      </c>
      <c r="K165" s="90"/>
      <c r="L165" s="90">
        <f t="shared" ref="L165:M165" si="156">+K165</f>
        <v>0</v>
      </c>
      <c r="M165" s="90">
        <f t="shared" si="156"/>
        <v>0</v>
      </c>
      <c r="N165" s="91">
        <f t="shared" ref="N165:N169" si="157">SUM(B165:M165)</f>
        <v>5294.1176470588225</v>
      </c>
    </row>
    <row r="166" spans="1:17" x14ac:dyDescent="0.35">
      <c r="A166" s="89" t="s">
        <v>111</v>
      </c>
      <c r="B166" s="90"/>
      <c r="C166" s="90"/>
      <c r="D166" s="90">
        <f>1200/ 6.8</f>
        <v>176.47058823529412</v>
      </c>
      <c r="E166" s="90"/>
      <c r="F166" s="90"/>
      <c r="G166" s="90">
        <f>1200/ 6.8</f>
        <v>176.47058823529412</v>
      </c>
      <c r="H166" s="90"/>
      <c r="I166" s="90"/>
      <c r="J166" s="90">
        <f>1200/ 6.8</f>
        <v>176.47058823529412</v>
      </c>
      <c r="K166" s="90"/>
      <c r="L166" s="90"/>
      <c r="M166" s="90">
        <v>400</v>
      </c>
      <c r="N166" s="91">
        <f t="shared" si="157"/>
        <v>929.41176470588232</v>
      </c>
    </row>
    <row r="167" spans="1:17" x14ac:dyDescent="0.35">
      <c r="A167" s="89" t="s">
        <v>112</v>
      </c>
      <c r="B167" s="90">
        <v>18441.943500000005</v>
      </c>
      <c r="C167" s="90">
        <v>16032.897000000001</v>
      </c>
      <c r="D167" s="90">
        <v>14211.364500000003</v>
      </c>
      <c r="E167" s="90">
        <v>14331.411</v>
      </c>
      <c r="F167" s="90">
        <v>13991.669999999993</v>
      </c>
      <c r="G167" s="90">
        <v>13320.694500000005</v>
      </c>
      <c r="H167" s="90">
        <v>13382.256000000001</v>
      </c>
      <c r="I167" s="90">
        <v>13389.954</v>
      </c>
      <c r="J167" s="90">
        <v>13858.545000000002</v>
      </c>
      <c r="K167" s="90"/>
      <c r="L167" s="90"/>
      <c r="M167" s="90"/>
      <c r="N167" s="91">
        <f t="shared" si="157"/>
        <v>130960.7355</v>
      </c>
      <c r="O167" s="62"/>
      <c r="P167" s="164"/>
      <c r="Q167" s="62"/>
    </row>
    <row r="168" spans="1:17" x14ac:dyDescent="0.35">
      <c r="A168" s="89" t="s">
        <v>113</v>
      </c>
      <c r="B168" s="90">
        <f>+(B167)*22%</f>
        <v>4057.2275700000009</v>
      </c>
      <c r="C168" s="90">
        <f t="shared" ref="C168:M168" si="158">+(C167)*22%</f>
        <v>3527.2373400000001</v>
      </c>
      <c r="D168" s="90">
        <f t="shared" si="158"/>
        <v>3126.5001900000007</v>
      </c>
      <c r="E168" s="90">
        <f t="shared" si="158"/>
        <v>3152.9104200000002</v>
      </c>
      <c r="F168" s="90">
        <f t="shared" si="158"/>
        <v>3078.1673999999985</v>
      </c>
      <c r="G168" s="90">
        <f t="shared" si="158"/>
        <v>2930.5527900000011</v>
      </c>
      <c r="H168" s="90">
        <f t="shared" si="158"/>
        <v>2944.0963200000001</v>
      </c>
      <c r="I168" s="90">
        <f t="shared" si="158"/>
        <v>2945.7898799999998</v>
      </c>
      <c r="J168" s="90">
        <f t="shared" si="158"/>
        <v>3048.8799000000004</v>
      </c>
      <c r="K168" s="90">
        <f t="shared" si="158"/>
        <v>0</v>
      </c>
      <c r="L168" s="90">
        <f t="shared" si="158"/>
        <v>0</v>
      </c>
      <c r="M168" s="90">
        <f t="shared" si="158"/>
        <v>0</v>
      </c>
      <c r="N168" s="91">
        <f t="shared" si="157"/>
        <v>28811.361810000002</v>
      </c>
      <c r="O168" s="62"/>
    </row>
    <row r="169" spans="1:17" x14ac:dyDescent="0.35">
      <c r="A169" s="17" t="s">
        <v>114</v>
      </c>
      <c r="B169" s="91">
        <f t="shared" ref="B169:M169" si="159">SUM(B165:B168)</f>
        <v>23087.406364117654</v>
      </c>
      <c r="C169" s="91">
        <f t="shared" si="159"/>
        <v>20148.369634117647</v>
      </c>
      <c r="D169" s="91">
        <f t="shared" si="159"/>
        <v>18102.570572352946</v>
      </c>
      <c r="E169" s="91">
        <f t="shared" si="159"/>
        <v>18072.556714117647</v>
      </c>
      <c r="F169" s="91">
        <f t="shared" si="159"/>
        <v>17658.07269411764</v>
      </c>
      <c r="G169" s="91">
        <f t="shared" si="159"/>
        <v>17015.953172352947</v>
      </c>
      <c r="H169" s="91">
        <f t="shared" si="159"/>
        <v>16914.587614117649</v>
      </c>
      <c r="I169" s="91">
        <f t="shared" si="159"/>
        <v>16923.979174117645</v>
      </c>
      <c r="J169" s="91">
        <f t="shared" si="159"/>
        <v>17672.130782352942</v>
      </c>
      <c r="K169" s="91">
        <f t="shared" si="159"/>
        <v>0</v>
      </c>
      <c r="L169" s="91">
        <f t="shared" si="159"/>
        <v>0</v>
      </c>
      <c r="M169" s="91">
        <f t="shared" si="159"/>
        <v>400</v>
      </c>
      <c r="N169" s="91">
        <f t="shared" si="157"/>
        <v>165995.62672176471</v>
      </c>
    </row>
    <row r="170" spans="1:17" x14ac:dyDescent="0.35">
      <c r="A170" s="32" t="s">
        <v>109</v>
      </c>
      <c r="B170" s="62" t="e">
        <f>+B169/B164</f>
        <v>#DIV/0!</v>
      </c>
      <c r="C170" s="62" t="e">
        <f t="shared" ref="C170:N170" si="160">+C163/C164</f>
        <v>#DIV/0!</v>
      </c>
      <c r="D170" s="62" t="e">
        <f t="shared" si="160"/>
        <v>#DIV/0!</v>
      </c>
      <c r="E170" s="62" t="e">
        <f t="shared" si="160"/>
        <v>#DIV/0!</v>
      </c>
      <c r="F170" s="62" t="e">
        <f t="shared" si="160"/>
        <v>#DIV/0!</v>
      </c>
      <c r="G170" s="62" t="e">
        <f t="shared" si="160"/>
        <v>#DIV/0!</v>
      </c>
      <c r="H170" s="62" t="e">
        <f t="shared" si="160"/>
        <v>#DIV/0!</v>
      </c>
      <c r="I170" s="62" t="e">
        <f t="shared" si="160"/>
        <v>#DIV/0!</v>
      </c>
      <c r="J170" s="62" t="e">
        <f t="shared" si="160"/>
        <v>#DIV/0!</v>
      </c>
      <c r="K170" s="62" t="e">
        <f t="shared" si="160"/>
        <v>#DIV/0!</v>
      </c>
      <c r="L170" s="62" t="e">
        <f t="shared" si="160"/>
        <v>#DIV/0!</v>
      </c>
      <c r="M170" s="62" t="e">
        <f t="shared" si="160"/>
        <v>#DIV/0!</v>
      </c>
      <c r="N170" s="84" t="e">
        <f t="shared" si="160"/>
        <v>#DIV/0!</v>
      </c>
    </row>
    <row r="171" spans="1:17" x14ac:dyDescent="0.35">
      <c r="A171" s="65" t="s">
        <v>91</v>
      </c>
      <c r="B171" s="80">
        <f t="shared" ref="B171:M171" si="161">+(B177*B172)</f>
        <v>0</v>
      </c>
      <c r="C171" s="80">
        <f t="shared" si="161"/>
        <v>0</v>
      </c>
      <c r="D171" s="80">
        <f t="shared" si="161"/>
        <v>0</v>
      </c>
      <c r="E171" s="80">
        <f t="shared" si="161"/>
        <v>0</v>
      </c>
      <c r="F171" s="80">
        <f t="shared" si="161"/>
        <v>0</v>
      </c>
      <c r="G171" s="80">
        <f t="shared" si="161"/>
        <v>0</v>
      </c>
      <c r="H171" s="80">
        <f t="shared" si="161"/>
        <v>0</v>
      </c>
      <c r="I171" s="80">
        <f t="shared" si="161"/>
        <v>0</v>
      </c>
      <c r="J171" s="80">
        <f t="shared" si="161"/>
        <v>0</v>
      </c>
      <c r="K171" s="80">
        <f t="shared" si="161"/>
        <v>0</v>
      </c>
      <c r="L171" s="80">
        <f t="shared" si="161"/>
        <v>0</v>
      </c>
      <c r="M171" s="80">
        <f t="shared" si="161"/>
        <v>0</v>
      </c>
      <c r="N171" s="92">
        <f>SUM(B171:M171)</f>
        <v>0</v>
      </c>
    </row>
    <row r="172" spans="1:17" x14ac:dyDescent="0.35">
      <c r="A172" s="32" t="s">
        <v>93</v>
      </c>
      <c r="B172" s="239">
        <f>+'Plan de culture 107'!$Z$13</f>
        <v>0</v>
      </c>
      <c r="C172" s="239">
        <f>+B172</f>
        <v>0</v>
      </c>
      <c r="D172" s="239">
        <f t="shared" ref="D172:M172" si="162">+C172</f>
        <v>0</v>
      </c>
      <c r="E172" s="239">
        <f t="shared" si="162"/>
        <v>0</v>
      </c>
      <c r="F172" s="239">
        <f t="shared" si="162"/>
        <v>0</v>
      </c>
      <c r="G172" s="239">
        <f t="shared" si="162"/>
        <v>0</v>
      </c>
      <c r="H172" s="239">
        <f t="shared" si="162"/>
        <v>0</v>
      </c>
      <c r="I172" s="239">
        <f t="shared" si="162"/>
        <v>0</v>
      </c>
      <c r="J172" s="239">
        <f t="shared" si="162"/>
        <v>0</v>
      </c>
      <c r="K172" s="239">
        <f t="shared" si="162"/>
        <v>0</v>
      </c>
      <c r="L172" s="239">
        <f t="shared" si="162"/>
        <v>0</v>
      </c>
      <c r="M172" s="239">
        <f t="shared" si="162"/>
        <v>0</v>
      </c>
      <c r="N172" s="240">
        <f>+'Plan de culture 107'!$Z$13</f>
        <v>0</v>
      </c>
    </row>
    <row r="173" spans="1:17" x14ac:dyDescent="0.35">
      <c r="A173" s="89" t="s">
        <v>110</v>
      </c>
      <c r="B173" s="90">
        <f>4000/ 6.8</f>
        <v>588.23529411764707</v>
      </c>
      <c r="C173" s="90">
        <f>+B173</f>
        <v>588.23529411764707</v>
      </c>
      <c r="D173" s="90">
        <f t="shared" ref="D173:M173" si="163">+C173</f>
        <v>588.23529411764707</v>
      </c>
      <c r="E173" s="90">
        <f t="shared" si="163"/>
        <v>588.23529411764707</v>
      </c>
      <c r="F173" s="90">
        <f t="shared" si="163"/>
        <v>588.23529411764707</v>
      </c>
      <c r="G173" s="90">
        <f t="shared" si="163"/>
        <v>588.23529411764707</v>
      </c>
      <c r="H173" s="90">
        <f t="shared" si="163"/>
        <v>588.23529411764707</v>
      </c>
      <c r="I173" s="90">
        <f t="shared" si="163"/>
        <v>588.23529411764707</v>
      </c>
      <c r="J173" s="90">
        <f t="shared" si="163"/>
        <v>588.23529411764707</v>
      </c>
      <c r="K173" s="90">
        <f t="shared" si="163"/>
        <v>588.23529411764707</v>
      </c>
      <c r="L173" s="90">
        <f t="shared" si="163"/>
        <v>588.23529411764707</v>
      </c>
      <c r="M173" s="90">
        <f t="shared" si="163"/>
        <v>588.23529411764707</v>
      </c>
      <c r="N173" s="91">
        <f t="shared" ref="N173:N177" si="164">SUM(B173:M173)</f>
        <v>7058.823529411763</v>
      </c>
    </row>
    <row r="174" spans="1:17" x14ac:dyDescent="0.35">
      <c r="A174" s="89" t="s">
        <v>111</v>
      </c>
      <c r="B174" s="90"/>
      <c r="C174" s="90"/>
      <c r="D174" s="90">
        <f>1200/ 6.8</f>
        <v>176.47058823529412</v>
      </c>
      <c r="E174" s="90"/>
      <c r="F174" s="90"/>
      <c r="G174" s="90">
        <f>1200/ 6.8</f>
        <v>176.47058823529412</v>
      </c>
      <c r="H174" s="90"/>
      <c r="I174" s="90"/>
      <c r="J174" s="90">
        <f>1200/ 6.8</f>
        <v>176.47058823529412</v>
      </c>
      <c r="K174" s="90"/>
      <c r="L174" s="90"/>
      <c r="M174" s="90">
        <f>1200/ 6.8</f>
        <v>176.47058823529412</v>
      </c>
      <c r="N174" s="91">
        <f t="shared" si="164"/>
        <v>705.88235294117646</v>
      </c>
    </row>
    <row r="175" spans="1:17" x14ac:dyDescent="0.35">
      <c r="A175" s="89" t="s">
        <v>112</v>
      </c>
      <c r="B175" s="90">
        <f>+B167*0.85</f>
        <v>15675.651975000004</v>
      </c>
      <c r="C175" s="90">
        <f t="shared" ref="C175:J175" si="165">+C167*0.85</f>
        <v>13627.962450000001</v>
      </c>
      <c r="D175" s="90">
        <f t="shared" si="165"/>
        <v>12079.659825000002</v>
      </c>
      <c r="E175" s="90">
        <f t="shared" si="165"/>
        <v>12181.699349999999</v>
      </c>
      <c r="F175" s="90">
        <f t="shared" si="165"/>
        <v>11892.919499999993</v>
      </c>
      <c r="G175" s="90">
        <f t="shared" si="165"/>
        <v>11322.590325000005</v>
      </c>
      <c r="H175" s="90">
        <f t="shared" si="165"/>
        <v>11374.917600000001</v>
      </c>
      <c r="I175" s="90">
        <f t="shared" si="165"/>
        <v>11381.4609</v>
      </c>
      <c r="J175" s="90">
        <f t="shared" si="165"/>
        <v>11779.763250000002</v>
      </c>
      <c r="K175" s="90">
        <f>+J175</f>
        <v>11779.763250000002</v>
      </c>
      <c r="L175" s="90">
        <f>+K175</f>
        <v>11779.763250000002</v>
      </c>
      <c r="M175" s="90">
        <f>+L175</f>
        <v>11779.763250000002</v>
      </c>
      <c r="N175" s="91">
        <f t="shared" si="164"/>
        <v>146655.91492500002</v>
      </c>
    </row>
    <row r="176" spans="1:17" x14ac:dyDescent="0.35">
      <c r="A176" s="89" t="s">
        <v>113</v>
      </c>
      <c r="B176" s="90">
        <f>+(B175)*22%</f>
        <v>3448.6434345000011</v>
      </c>
      <c r="C176" s="90">
        <f t="shared" ref="C176:M176" si="166">+(C175)*22%</f>
        <v>2998.1517390000004</v>
      </c>
      <c r="D176" s="90">
        <f t="shared" si="166"/>
        <v>2657.5251615000006</v>
      </c>
      <c r="E176" s="90">
        <f t="shared" si="166"/>
        <v>2679.973857</v>
      </c>
      <c r="F176" s="90">
        <f t="shared" si="166"/>
        <v>2616.4422899999986</v>
      </c>
      <c r="G176" s="90">
        <f t="shared" si="166"/>
        <v>2490.9698715000009</v>
      </c>
      <c r="H176" s="90">
        <f t="shared" si="166"/>
        <v>2502.4818720000003</v>
      </c>
      <c r="I176" s="90">
        <f t="shared" si="166"/>
        <v>2503.921398</v>
      </c>
      <c r="J176" s="90">
        <f t="shared" si="166"/>
        <v>2591.5479150000006</v>
      </c>
      <c r="K176" s="90">
        <f t="shared" si="166"/>
        <v>2591.5479150000006</v>
      </c>
      <c r="L176" s="90">
        <f t="shared" si="166"/>
        <v>2591.5479150000006</v>
      </c>
      <c r="M176" s="90">
        <f t="shared" si="166"/>
        <v>2591.5479150000006</v>
      </c>
      <c r="N176" s="91">
        <f t="shared" si="164"/>
        <v>32264.301283499997</v>
      </c>
    </row>
    <row r="177" spans="1:14" x14ac:dyDescent="0.35">
      <c r="A177" s="17" t="s">
        <v>114</v>
      </c>
      <c r="B177" s="91">
        <f t="shared" ref="B177:M177" si="167">SUM(B173:B176)</f>
        <v>19712.530703617653</v>
      </c>
      <c r="C177" s="91">
        <f t="shared" si="167"/>
        <v>17214.349483117647</v>
      </c>
      <c r="D177" s="91">
        <f t="shared" si="167"/>
        <v>15501.890868852945</v>
      </c>
      <c r="E177" s="91">
        <f t="shared" si="167"/>
        <v>15449.908501117647</v>
      </c>
      <c r="F177" s="91">
        <f t="shared" si="167"/>
        <v>15097.597084117639</v>
      </c>
      <c r="G177" s="91">
        <f t="shared" si="167"/>
        <v>14578.266078852947</v>
      </c>
      <c r="H177" s="91">
        <f t="shared" si="167"/>
        <v>14465.634766117648</v>
      </c>
      <c r="I177" s="91">
        <f t="shared" si="167"/>
        <v>14473.617592117647</v>
      </c>
      <c r="J177" s="91">
        <f t="shared" si="167"/>
        <v>15136.017047352943</v>
      </c>
      <c r="K177" s="91">
        <f t="shared" si="167"/>
        <v>14959.54645911765</v>
      </c>
      <c r="L177" s="91">
        <f t="shared" si="167"/>
        <v>14959.54645911765</v>
      </c>
      <c r="M177" s="91">
        <f t="shared" si="167"/>
        <v>15136.017047352943</v>
      </c>
      <c r="N177" s="91">
        <f t="shared" si="164"/>
        <v>186684.92209085295</v>
      </c>
    </row>
    <row r="178" spans="1:14" x14ac:dyDescent="0.35">
      <c r="A178" s="32" t="s">
        <v>109</v>
      </c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84" t="e">
        <f>+N171/N172</f>
        <v>#DIV/0!</v>
      </c>
    </row>
    <row r="179" spans="1:14" x14ac:dyDescent="0.35">
      <c r="A179" s="65" t="s">
        <v>376</v>
      </c>
      <c r="B179" s="80">
        <f t="shared" ref="B179:M179" si="168">+(B185*B180)</f>
        <v>0</v>
      </c>
      <c r="C179" s="80">
        <f t="shared" si="168"/>
        <v>0</v>
      </c>
      <c r="D179" s="80">
        <f t="shared" si="168"/>
        <v>0</v>
      </c>
      <c r="E179" s="80">
        <f t="shared" si="168"/>
        <v>0</v>
      </c>
      <c r="F179" s="80">
        <f t="shared" si="168"/>
        <v>0</v>
      </c>
      <c r="G179" s="80">
        <f t="shared" si="168"/>
        <v>0</v>
      </c>
      <c r="H179" s="80">
        <f t="shared" si="168"/>
        <v>0</v>
      </c>
      <c r="I179" s="80">
        <f t="shared" si="168"/>
        <v>0</v>
      </c>
      <c r="J179" s="80">
        <f t="shared" si="168"/>
        <v>0</v>
      </c>
      <c r="K179" s="80">
        <f t="shared" si="168"/>
        <v>0</v>
      </c>
      <c r="L179" s="80">
        <f t="shared" si="168"/>
        <v>0</v>
      </c>
      <c r="M179" s="80">
        <f t="shared" si="168"/>
        <v>0</v>
      </c>
      <c r="N179" s="92">
        <f>SUM(B179:M179)</f>
        <v>0</v>
      </c>
    </row>
    <row r="180" spans="1:14" x14ac:dyDescent="0.35">
      <c r="A180" s="32" t="s">
        <v>93</v>
      </c>
      <c r="B180" s="239">
        <f>+'Plan de culture 107'!$Z$19</f>
        <v>0</v>
      </c>
      <c r="C180" s="239">
        <f>+B180</f>
        <v>0</v>
      </c>
      <c r="D180" s="239">
        <f t="shared" ref="D180" si="169">+C180</f>
        <v>0</v>
      </c>
      <c r="E180" s="239">
        <f>+'Plan de culture 104 '!C176</f>
        <v>0</v>
      </c>
      <c r="F180" s="239">
        <f>+E180+'Plan de culture 104 '!D176+'Plan de culture 104 '!E176</f>
        <v>0</v>
      </c>
      <c r="G180" s="239">
        <f>+F180</f>
        <v>0</v>
      </c>
      <c r="H180" s="239">
        <f t="shared" ref="H180:M180" si="170">+G180</f>
        <v>0</v>
      </c>
      <c r="I180" s="239">
        <f t="shared" si="170"/>
        <v>0</v>
      </c>
      <c r="J180" s="239">
        <f t="shared" si="170"/>
        <v>0</v>
      </c>
      <c r="K180" s="239">
        <f t="shared" si="170"/>
        <v>0</v>
      </c>
      <c r="L180" s="239">
        <f t="shared" si="170"/>
        <v>0</v>
      </c>
      <c r="M180" s="239">
        <f t="shared" si="170"/>
        <v>0</v>
      </c>
      <c r="N180" s="240">
        <f>+'Plan de culture 107'!$Z$19</f>
        <v>0</v>
      </c>
    </row>
    <row r="181" spans="1:14" x14ac:dyDescent="0.35">
      <c r="A181" s="89" t="s">
        <v>110</v>
      </c>
      <c r="B181" s="90">
        <f>4000/ 6.8</f>
        <v>588.23529411764707</v>
      </c>
      <c r="C181" s="90">
        <f>+B181</f>
        <v>588.23529411764707</v>
      </c>
      <c r="D181" s="90">
        <f t="shared" ref="D181:M181" si="171">+C181</f>
        <v>588.23529411764707</v>
      </c>
      <c r="E181" s="90">
        <f t="shared" si="171"/>
        <v>588.23529411764707</v>
      </c>
      <c r="F181" s="90">
        <f t="shared" si="171"/>
        <v>588.23529411764707</v>
      </c>
      <c r="G181" s="90">
        <f t="shared" si="171"/>
        <v>588.23529411764707</v>
      </c>
      <c r="H181" s="90">
        <f t="shared" si="171"/>
        <v>588.23529411764707</v>
      </c>
      <c r="I181" s="90">
        <f t="shared" si="171"/>
        <v>588.23529411764707</v>
      </c>
      <c r="J181" s="90">
        <f t="shared" si="171"/>
        <v>588.23529411764707</v>
      </c>
      <c r="K181" s="90">
        <f t="shared" si="171"/>
        <v>588.23529411764707</v>
      </c>
      <c r="L181" s="90">
        <f t="shared" si="171"/>
        <v>588.23529411764707</v>
      </c>
      <c r="M181" s="90">
        <f t="shared" si="171"/>
        <v>588.23529411764707</v>
      </c>
      <c r="N181" s="91">
        <f t="shared" ref="N181:N185" si="172">SUM(B181:M181)</f>
        <v>7058.823529411763</v>
      </c>
    </row>
    <row r="182" spans="1:14" x14ac:dyDescent="0.35">
      <c r="A182" s="89" t="s">
        <v>111</v>
      </c>
      <c r="B182" s="90"/>
      <c r="C182" s="90"/>
      <c r="D182" s="90">
        <f>1200/ 6.8</f>
        <v>176.47058823529412</v>
      </c>
      <c r="E182" s="90"/>
      <c r="F182" s="90"/>
      <c r="G182" s="90">
        <f>1200/ 6.8</f>
        <v>176.47058823529412</v>
      </c>
      <c r="H182" s="90"/>
      <c r="I182" s="90"/>
      <c r="J182" s="90">
        <f>1200/ 6.8</f>
        <v>176.47058823529412</v>
      </c>
      <c r="K182" s="90"/>
      <c r="L182" s="90"/>
      <c r="M182" s="90">
        <f>1200/ 6.8</f>
        <v>176.47058823529412</v>
      </c>
      <c r="N182" s="91">
        <f t="shared" si="172"/>
        <v>705.88235294117646</v>
      </c>
    </row>
    <row r="183" spans="1:14" x14ac:dyDescent="0.35">
      <c r="A183" s="89" t="s">
        <v>112</v>
      </c>
      <c r="B183" s="90">
        <f>+B175*0.85</f>
        <v>13324.304178750004</v>
      </c>
      <c r="C183" s="90">
        <f t="shared" ref="C183:J183" si="173">+C175*0.85</f>
        <v>11583.768082500001</v>
      </c>
      <c r="D183" s="90">
        <f t="shared" si="173"/>
        <v>10267.710851250002</v>
      </c>
      <c r="E183" s="90">
        <f t="shared" si="173"/>
        <v>10354.444447499998</v>
      </c>
      <c r="F183" s="90">
        <f t="shared" si="173"/>
        <v>10108.981574999994</v>
      </c>
      <c r="G183" s="90">
        <f t="shared" si="173"/>
        <v>9624.2017762500036</v>
      </c>
      <c r="H183" s="90">
        <f t="shared" si="173"/>
        <v>9668.6799599999995</v>
      </c>
      <c r="I183" s="90">
        <f t="shared" si="173"/>
        <v>9674.2417650000007</v>
      </c>
      <c r="J183" s="90">
        <f t="shared" si="173"/>
        <v>10012.798762500001</v>
      </c>
      <c r="K183" s="90">
        <f>+J183</f>
        <v>10012.798762500001</v>
      </c>
      <c r="L183" s="90">
        <f>+K183</f>
        <v>10012.798762500001</v>
      </c>
      <c r="M183" s="90">
        <f>+L183</f>
        <v>10012.798762500001</v>
      </c>
      <c r="N183" s="91">
        <f t="shared" si="172"/>
        <v>124657.52768624997</v>
      </c>
    </row>
    <row r="184" spans="1:14" x14ac:dyDescent="0.35">
      <c r="A184" s="89" t="s">
        <v>113</v>
      </c>
      <c r="B184" s="90">
        <f>+(B183)*22%</f>
        <v>2931.3469193250007</v>
      </c>
      <c r="C184" s="90">
        <f t="shared" ref="C184:M184" si="174">+(C183)*22%</f>
        <v>2548.4289781500001</v>
      </c>
      <c r="D184" s="90">
        <f t="shared" si="174"/>
        <v>2258.8963872750005</v>
      </c>
      <c r="E184" s="90">
        <f t="shared" si="174"/>
        <v>2277.9777784499997</v>
      </c>
      <c r="F184" s="90">
        <f t="shared" si="174"/>
        <v>2223.9759464999988</v>
      </c>
      <c r="G184" s="90">
        <f t="shared" si="174"/>
        <v>2117.3243907750007</v>
      </c>
      <c r="H184" s="90">
        <f t="shared" si="174"/>
        <v>2127.1095912000001</v>
      </c>
      <c r="I184" s="90">
        <f t="shared" si="174"/>
        <v>2128.3331883000001</v>
      </c>
      <c r="J184" s="90">
        <f t="shared" si="174"/>
        <v>2202.81572775</v>
      </c>
      <c r="K184" s="90">
        <f t="shared" si="174"/>
        <v>2202.81572775</v>
      </c>
      <c r="L184" s="90">
        <f t="shared" si="174"/>
        <v>2202.81572775</v>
      </c>
      <c r="M184" s="90">
        <f t="shared" si="174"/>
        <v>2202.81572775</v>
      </c>
      <c r="N184" s="91">
        <f t="shared" si="172"/>
        <v>27424.656090974997</v>
      </c>
    </row>
    <row r="185" spans="1:14" x14ac:dyDescent="0.35">
      <c r="A185" s="17" t="s">
        <v>114</v>
      </c>
      <c r="B185" s="91">
        <f t="shared" ref="B185:M185" si="175">SUM(B181:B184)</f>
        <v>16843.886392192653</v>
      </c>
      <c r="C185" s="91">
        <f t="shared" si="175"/>
        <v>14720.432354767647</v>
      </c>
      <c r="D185" s="91">
        <f t="shared" si="175"/>
        <v>13291.313120877943</v>
      </c>
      <c r="E185" s="91">
        <f t="shared" si="175"/>
        <v>13220.657520067645</v>
      </c>
      <c r="F185" s="91">
        <f t="shared" si="175"/>
        <v>12921.19281561764</v>
      </c>
      <c r="G185" s="91">
        <f t="shared" si="175"/>
        <v>12506.232049377944</v>
      </c>
      <c r="H185" s="91">
        <f t="shared" si="175"/>
        <v>12384.024845317646</v>
      </c>
      <c r="I185" s="91">
        <f t="shared" si="175"/>
        <v>12390.810247417648</v>
      </c>
      <c r="J185" s="91">
        <f t="shared" si="175"/>
        <v>12980.320372602941</v>
      </c>
      <c r="K185" s="91">
        <f t="shared" si="175"/>
        <v>12803.849784367647</v>
      </c>
      <c r="L185" s="91">
        <f t="shared" si="175"/>
        <v>12803.849784367647</v>
      </c>
      <c r="M185" s="91">
        <f t="shared" si="175"/>
        <v>12980.320372602941</v>
      </c>
      <c r="N185" s="91">
        <f t="shared" si="172"/>
        <v>159846.88965957795</v>
      </c>
    </row>
    <row r="186" spans="1:14" x14ac:dyDescent="0.35">
      <c r="A186" s="32" t="s">
        <v>109</v>
      </c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84" t="e">
        <f>+N179/N180</f>
        <v>#DIV/0!</v>
      </c>
    </row>
    <row r="187" spans="1:14" x14ac:dyDescent="0.35">
      <c r="A187" s="65" t="s">
        <v>92</v>
      </c>
      <c r="B187" s="80">
        <f t="shared" ref="B187:M187" si="176">+(B193*B188)</f>
        <v>238526.91024963706</v>
      </c>
      <c r="C187" s="80">
        <f t="shared" si="176"/>
        <v>208640.7810907063</v>
      </c>
      <c r="D187" s="80">
        <f t="shared" si="176"/>
        <v>188965.22825717242</v>
      </c>
      <c r="E187" s="80">
        <f t="shared" si="176"/>
        <v>187532.50013468805</v>
      </c>
      <c r="F187" s="80">
        <f t="shared" si="176"/>
        <v>183317.74404484735</v>
      </c>
      <c r="G187" s="80">
        <f t="shared" si="176"/>
        <v>177915.76173256003</v>
      </c>
      <c r="H187" s="80">
        <f t="shared" si="176"/>
        <v>175757.48088045415</v>
      </c>
      <c r="I187" s="80">
        <f t="shared" si="176"/>
        <v>175852.98066523016</v>
      </c>
      <c r="J187" s="80">
        <f t="shared" si="176"/>
        <v>184588.22302012556</v>
      </c>
      <c r="K187" s="80">
        <f t="shared" si="176"/>
        <v>181666.22302012559</v>
      </c>
      <c r="L187" s="80">
        <f t="shared" si="176"/>
        <v>181666.22302012559</v>
      </c>
      <c r="M187" s="80">
        <f t="shared" si="176"/>
        <v>184588.22302012556</v>
      </c>
      <c r="N187" s="92">
        <f>SUM(B187:M187)</f>
        <v>2269018.2791357981</v>
      </c>
    </row>
    <row r="188" spans="1:14" x14ac:dyDescent="0.35">
      <c r="A188" s="32" t="s">
        <v>93</v>
      </c>
      <c r="B188" s="239">
        <f>+'Plan de culture 107'!$Z$25</f>
        <v>16.558</v>
      </c>
      <c r="C188" s="239">
        <f>+B188</f>
        <v>16.558</v>
      </c>
      <c r="D188" s="239">
        <f t="shared" ref="D188:M188" si="177">+C188</f>
        <v>16.558</v>
      </c>
      <c r="E188" s="239">
        <f t="shared" si="177"/>
        <v>16.558</v>
      </c>
      <c r="F188" s="239">
        <f t="shared" si="177"/>
        <v>16.558</v>
      </c>
      <c r="G188" s="239">
        <f t="shared" si="177"/>
        <v>16.558</v>
      </c>
      <c r="H188" s="239">
        <f t="shared" si="177"/>
        <v>16.558</v>
      </c>
      <c r="I188" s="239">
        <f t="shared" si="177"/>
        <v>16.558</v>
      </c>
      <c r="J188" s="239">
        <f t="shared" si="177"/>
        <v>16.558</v>
      </c>
      <c r="K188" s="239">
        <f t="shared" si="177"/>
        <v>16.558</v>
      </c>
      <c r="L188" s="239">
        <f t="shared" si="177"/>
        <v>16.558</v>
      </c>
      <c r="M188" s="239">
        <f t="shared" si="177"/>
        <v>16.558</v>
      </c>
      <c r="N188" s="240">
        <f>+'Plan de culture 107'!$Z$25</f>
        <v>16.558</v>
      </c>
    </row>
    <row r="189" spans="1:14" x14ac:dyDescent="0.35">
      <c r="A189" s="89" t="s">
        <v>110</v>
      </c>
      <c r="B189" s="90">
        <f>4000/ 6.8</f>
        <v>588.23529411764707</v>
      </c>
      <c r="C189" s="90">
        <f>+B189</f>
        <v>588.23529411764707</v>
      </c>
      <c r="D189" s="90">
        <f t="shared" ref="D189:M189" si="178">+C189</f>
        <v>588.23529411764707</v>
      </c>
      <c r="E189" s="90">
        <f t="shared" si="178"/>
        <v>588.23529411764707</v>
      </c>
      <c r="F189" s="90">
        <f t="shared" si="178"/>
        <v>588.23529411764707</v>
      </c>
      <c r="G189" s="90">
        <f t="shared" si="178"/>
        <v>588.23529411764707</v>
      </c>
      <c r="H189" s="90">
        <f t="shared" si="178"/>
        <v>588.23529411764707</v>
      </c>
      <c r="I189" s="90">
        <f t="shared" si="178"/>
        <v>588.23529411764707</v>
      </c>
      <c r="J189" s="90">
        <f t="shared" si="178"/>
        <v>588.23529411764707</v>
      </c>
      <c r="K189" s="90">
        <f t="shared" si="178"/>
        <v>588.23529411764707</v>
      </c>
      <c r="L189" s="90">
        <f t="shared" si="178"/>
        <v>588.23529411764707</v>
      </c>
      <c r="M189" s="90">
        <f t="shared" si="178"/>
        <v>588.23529411764707</v>
      </c>
      <c r="N189" s="91">
        <f t="shared" ref="N189:N193" si="179">SUM(B189:M189)</f>
        <v>7058.823529411763</v>
      </c>
    </row>
    <row r="190" spans="1:14" x14ac:dyDescent="0.35">
      <c r="A190" s="89" t="s">
        <v>111</v>
      </c>
      <c r="B190" s="90"/>
      <c r="C190" s="90"/>
      <c r="D190" s="90">
        <f>1200/ 6.8</f>
        <v>176.47058823529412</v>
      </c>
      <c r="E190" s="90"/>
      <c r="F190" s="90"/>
      <c r="G190" s="90">
        <f>1200/ 6.8</f>
        <v>176.47058823529412</v>
      </c>
      <c r="H190" s="90"/>
      <c r="I190" s="90"/>
      <c r="J190" s="90">
        <f>1200/ 6.8</f>
        <v>176.47058823529412</v>
      </c>
      <c r="K190" s="90"/>
      <c r="L190" s="90"/>
      <c r="M190" s="90">
        <f>1200/ 6.8</f>
        <v>176.47058823529412</v>
      </c>
      <c r="N190" s="91">
        <f t="shared" si="179"/>
        <v>705.88235294117646</v>
      </c>
    </row>
    <row r="191" spans="1:14" x14ac:dyDescent="0.35">
      <c r="A191" s="89" t="s">
        <v>112</v>
      </c>
      <c r="B191" s="90">
        <f>+B183*0.85</f>
        <v>11325.658551937504</v>
      </c>
      <c r="C191" s="90">
        <f t="shared" ref="C191:J191" si="180">+C183*0.85</f>
        <v>9846.2028701250001</v>
      </c>
      <c r="D191" s="90">
        <f t="shared" si="180"/>
        <v>8727.5542235625016</v>
      </c>
      <c r="E191" s="90">
        <f t="shared" si="180"/>
        <v>8801.2777803749977</v>
      </c>
      <c r="F191" s="90">
        <f t="shared" si="180"/>
        <v>8592.6343387499946</v>
      </c>
      <c r="G191" s="90">
        <f t="shared" si="180"/>
        <v>8180.5715098125029</v>
      </c>
      <c r="H191" s="90">
        <f t="shared" si="180"/>
        <v>8218.377966</v>
      </c>
      <c r="I191" s="90">
        <f t="shared" si="180"/>
        <v>8223.1055002499997</v>
      </c>
      <c r="J191" s="90">
        <f t="shared" si="180"/>
        <v>8510.8789481250005</v>
      </c>
      <c r="K191" s="90">
        <f>+J191</f>
        <v>8510.8789481250005</v>
      </c>
      <c r="L191" s="90">
        <f>+K191</f>
        <v>8510.8789481250005</v>
      </c>
      <c r="M191" s="90">
        <f>+L191</f>
        <v>8510.8789481250005</v>
      </c>
      <c r="N191" s="91">
        <f t="shared" si="179"/>
        <v>105958.89853331249</v>
      </c>
    </row>
    <row r="192" spans="1:14" x14ac:dyDescent="0.35">
      <c r="A192" s="89" t="s">
        <v>113</v>
      </c>
      <c r="B192" s="90">
        <f>+(B191)*22%</f>
        <v>2491.6448814262508</v>
      </c>
      <c r="C192" s="90">
        <f t="shared" ref="C192:M192" si="181">+(C191)*22%</f>
        <v>2166.1646314274999</v>
      </c>
      <c r="D192" s="90">
        <f t="shared" si="181"/>
        <v>1920.0619291837504</v>
      </c>
      <c r="E192" s="90">
        <f t="shared" si="181"/>
        <v>1936.2811116824996</v>
      </c>
      <c r="F192" s="90">
        <f t="shared" si="181"/>
        <v>1890.3795545249989</v>
      </c>
      <c r="G192" s="90">
        <f t="shared" si="181"/>
        <v>1799.7257321587506</v>
      </c>
      <c r="H192" s="90">
        <f t="shared" si="181"/>
        <v>1808.0431525199999</v>
      </c>
      <c r="I192" s="90">
        <f t="shared" si="181"/>
        <v>1809.0832100549999</v>
      </c>
      <c r="J192" s="90">
        <f t="shared" si="181"/>
        <v>1872.3933685875002</v>
      </c>
      <c r="K192" s="90">
        <f t="shared" si="181"/>
        <v>1872.3933685875002</v>
      </c>
      <c r="L192" s="90">
        <f t="shared" si="181"/>
        <v>1872.3933685875002</v>
      </c>
      <c r="M192" s="90">
        <f t="shared" si="181"/>
        <v>1872.3933685875002</v>
      </c>
      <c r="N192" s="91">
        <f t="shared" si="179"/>
        <v>23310.957677328755</v>
      </c>
    </row>
    <row r="193" spans="1:14" x14ac:dyDescent="0.35">
      <c r="A193" s="17" t="s">
        <v>114</v>
      </c>
      <c r="B193" s="91">
        <f t="shared" ref="B193:M193" si="182">SUM(B189:B192)</f>
        <v>14405.538727481402</v>
      </c>
      <c r="C193" s="91">
        <f t="shared" si="182"/>
        <v>12600.602795670147</v>
      </c>
      <c r="D193" s="91">
        <f t="shared" si="182"/>
        <v>11412.322035099192</v>
      </c>
      <c r="E193" s="91">
        <f t="shared" si="182"/>
        <v>11325.794186175144</v>
      </c>
      <c r="F193" s="91">
        <f t="shared" si="182"/>
        <v>11071.249187392641</v>
      </c>
      <c r="G193" s="91">
        <f t="shared" si="182"/>
        <v>10745.003124324196</v>
      </c>
      <c r="H193" s="91">
        <f t="shared" si="182"/>
        <v>10614.656412637647</v>
      </c>
      <c r="I193" s="91">
        <f t="shared" si="182"/>
        <v>10620.424004422646</v>
      </c>
      <c r="J193" s="91">
        <f t="shared" si="182"/>
        <v>11147.978199065441</v>
      </c>
      <c r="K193" s="91">
        <f t="shared" si="182"/>
        <v>10971.507610830147</v>
      </c>
      <c r="L193" s="91">
        <f t="shared" si="182"/>
        <v>10971.507610830147</v>
      </c>
      <c r="M193" s="91">
        <f t="shared" si="182"/>
        <v>11147.978199065441</v>
      </c>
      <c r="N193" s="91">
        <f t="shared" si="179"/>
        <v>137034.56209299419</v>
      </c>
    </row>
    <row r="194" spans="1:14" x14ac:dyDescent="0.35">
      <c r="A194" s="32" t="s">
        <v>109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84">
        <f>+N187/N188</f>
        <v>137034.56209299422</v>
      </c>
    </row>
    <row r="195" spans="1:14" x14ac:dyDescent="0.35">
      <c r="A195" s="65" t="s">
        <v>377</v>
      </c>
      <c r="B195" s="80">
        <f t="shared" ref="B195:M195" si="183">+(B201*B196)</f>
        <v>0</v>
      </c>
      <c r="C195" s="80">
        <f t="shared" si="183"/>
        <v>0</v>
      </c>
      <c r="D195" s="80">
        <f t="shared" si="183"/>
        <v>0</v>
      </c>
      <c r="E195" s="80">
        <f t="shared" si="183"/>
        <v>0</v>
      </c>
      <c r="F195" s="80">
        <f t="shared" si="183"/>
        <v>0</v>
      </c>
      <c r="G195" s="80">
        <f t="shared" si="183"/>
        <v>0</v>
      </c>
      <c r="H195" s="80">
        <f t="shared" si="183"/>
        <v>0</v>
      </c>
      <c r="I195" s="80">
        <f t="shared" si="183"/>
        <v>0</v>
      </c>
      <c r="J195" s="80">
        <f t="shared" si="183"/>
        <v>0</v>
      </c>
      <c r="K195" s="80">
        <f t="shared" si="183"/>
        <v>0</v>
      </c>
      <c r="L195" s="80">
        <f t="shared" si="183"/>
        <v>0</v>
      </c>
      <c r="M195" s="80">
        <f t="shared" si="183"/>
        <v>0</v>
      </c>
      <c r="N195" s="92">
        <f>SUM(B195:M195)</f>
        <v>0</v>
      </c>
    </row>
    <row r="196" spans="1:14" x14ac:dyDescent="0.35">
      <c r="A196" s="32" t="s">
        <v>93</v>
      </c>
      <c r="B196" s="239">
        <f>+'Plan de culture 107'!$Z$31</f>
        <v>0</v>
      </c>
      <c r="C196" s="239">
        <f>+B196</f>
        <v>0</v>
      </c>
      <c r="D196" s="239">
        <f t="shared" ref="D196" si="184">+C196</f>
        <v>0</v>
      </c>
      <c r="E196" s="239">
        <f>+'Plan de culture 104 '!C192</f>
        <v>0</v>
      </c>
      <c r="F196" s="239">
        <f>+E196+'Plan de culture 104 '!D192+'Plan de culture 104 '!E192</f>
        <v>0</v>
      </c>
      <c r="G196" s="239">
        <f>+F196</f>
        <v>0</v>
      </c>
      <c r="H196" s="239">
        <f t="shared" ref="H196:M196" si="185">+G196</f>
        <v>0</v>
      </c>
      <c r="I196" s="239">
        <f t="shared" si="185"/>
        <v>0</v>
      </c>
      <c r="J196" s="239">
        <f t="shared" si="185"/>
        <v>0</v>
      </c>
      <c r="K196" s="239">
        <f t="shared" si="185"/>
        <v>0</v>
      </c>
      <c r="L196" s="239">
        <f t="shared" si="185"/>
        <v>0</v>
      </c>
      <c r="M196" s="239">
        <f t="shared" si="185"/>
        <v>0</v>
      </c>
      <c r="N196" s="240">
        <f>+'Plan de culture 107'!$Z$31</f>
        <v>0</v>
      </c>
    </row>
    <row r="197" spans="1:14" x14ac:dyDescent="0.35">
      <c r="A197" s="89" t="s">
        <v>110</v>
      </c>
      <c r="B197" s="90">
        <f>4000/ 6.8</f>
        <v>588.23529411764707</v>
      </c>
      <c r="C197" s="90">
        <f>+B197</f>
        <v>588.23529411764707</v>
      </c>
      <c r="D197" s="90">
        <f t="shared" ref="D197:M197" si="186">+C197</f>
        <v>588.23529411764707</v>
      </c>
      <c r="E197" s="90">
        <f t="shared" si="186"/>
        <v>588.23529411764707</v>
      </c>
      <c r="F197" s="90">
        <f t="shared" si="186"/>
        <v>588.23529411764707</v>
      </c>
      <c r="G197" s="90">
        <f t="shared" si="186"/>
        <v>588.23529411764707</v>
      </c>
      <c r="H197" s="90">
        <f t="shared" si="186"/>
        <v>588.23529411764707</v>
      </c>
      <c r="I197" s="90">
        <f t="shared" si="186"/>
        <v>588.23529411764707</v>
      </c>
      <c r="J197" s="90">
        <f t="shared" si="186"/>
        <v>588.23529411764707</v>
      </c>
      <c r="K197" s="90">
        <f t="shared" si="186"/>
        <v>588.23529411764707</v>
      </c>
      <c r="L197" s="90">
        <f t="shared" si="186"/>
        <v>588.23529411764707</v>
      </c>
      <c r="M197" s="90">
        <f t="shared" si="186"/>
        <v>588.23529411764707</v>
      </c>
      <c r="N197" s="91">
        <f t="shared" ref="N197:N201" si="187">SUM(B197:M197)</f>
        <v>7058.823529411763</v>
      </c>
    </row>
    <row r="198" spans="1:14" x14ac:dyDescent="0.35">
      <c r="A198" s="89" t="s">
        <v>111</v>
      </c>
      <c r="B198" s="90"/>
      <c r="C198" s="90"/>
      <c r="D198" s="90">
        <f>1200/ 6.8</f>
        <v>176.47058823529412</v>
      </c>
      <c r="E198" s="90"/>
      <c r="F198" s="90"/>
      <c r="G198" s="90">
        <f>1200/ 6.8</f>
        <v>176.47058823529412</v>
      </c>
      <c r="H198" s="90"/>
      <c r="I198" s="90"/>
      <c r="J198" s="90">
        <f>1200/ 6.8</f>
        <v>176.47058823529412</v>
      </c>
      <c r="K198" s="90"/>
      <c r="L198" s="90"/>
      <c r="M198" s="90">
        <f>1200/ 6.8</f>
        <v>176.47058823529412</v>
      </c>
      <c r="N198" s="91">
        <f t="shared" si="187"/>
        <v>705.88235294117646</v>
      </c>
    </row>
    <row r="199" spans="1:14" x14ac:dyDescent="0.35">
      <c r="A199" s="89" t="s">
        <v>112</v>
      </c>
      <c r="B199" s="90">
        <f>+B191*0.85</f>
        <v>9626.8097691468774</v>
      </c>
      <c r="C199" s="90">
        <f t="shared" ref="C199:J199" si="188">+C191*0.85</f>
        <v>8369.2724396062495</v>
      </c>
      <c r="D199" s="90">
        <f t="shared" si="188"/>
        <v>7418.4210900281259</v>
      </c>
      <c r="E199" s="90">
        <f t="shared" si="188"/>
        <v>7481.0861133187482</v>
      </c>
      <c r="F199" s="90">
        <f t="shared" si="188"/>
        <v>7303.7391879374954</v>
      </c>
      <c r="G199" s="90">
        <f t="shared" si="188"/>
        <v>6953.4857833406277</v>
      </c>
      <c r="H199" s="90">
        <f t="shared" si="188"/>
        <v>6985.6212710999998</v>
      </c>
      <c r="I199" s="90">
        <f t="shared" si="188"/>
        <v>6989.6396752124992</v>
      </c>
      <c r="J199" s="90">
        <f t="shared" si="188"/>
        <v>7234.24710590625</v>
      </c>
      <c r="K199" s="90">
        <f>+J199</f>
        <v>7234.24710590625</v>
      </c>
      <c r="L199" s="90">
        <f>+K199</f>
        <v>7234.24710590625</v>
      </c>
      <c r="M199" s="90">
        <f>+L199</f>
        <v>7234.24710590625</v>
      </c>
      <c r="N199" s="91">
        <f t="shared" si="187"/>
        <v>90065.063753315626</v>
      </c>
    </row>
    <row r="200" spans="1:14" x14ac:dyDescent="0.35">
      <c r="A200" s="89" t="s">
        <v>113</v>
      </c>
      <c r="B200" s="90">
        <f>+(B199)*22%</f>
        <v>2117.898149212313</v>
      </c>
      <c r="C200" s="90">
        <f t="shared" ref="C200:M200" si="189">+(C199)*22%</f>
        <v>1841.2399367133748</v>
      </c>
      <c r="D200" s="90">
        <f t="shared" si="189"/>
        <v>1632.0526398061877</v>
      </c>
      <c r="E200" s="90">
        <f t="shared" si="189"/>
        <v>1645.8389449301246</v>
      </c>
      <c r="F200" s="90">
        <f t="shared" si="189"/>
        <v>1606.822621346249</v>
      </c>
      <c r="G200" s="90">
        <f t="shared" si="189"/>
        <v>1529.7668723349382</v>
      </c>
      <c r="H200" s="90">
        <f t="shared" si="189"/>
        <v>1536.836679642</v>
      </c>
      <c r="I200" s="90">
        <f t="shared" si="189"/>
        <v>1537.7207285467498</v>
      </c>
      <c r="J200" s="90">
        <f t="shared" si="189"/>
        <v>1591.5343632993749</v>
      </c>
      <c r="K200" s="90">
        <f t="shared" si="189"/>
        <v>1591.5343632993749</v>
      </c>
      <c r="L200" s="90">
        <f t="shared" si="189"/>
        <v>1591.5343632993749</v>
      </c>
      <c r="M200" s="90">
        <f t="shared" si="189"/>
        <v>1591.5343632993749</v>
      </c>
      <c r="N200" s="91">
        <f t="shared" si="187"/>
        <v>19814.314025729436</v>
      </c>
    </row>
    <row r="201" spans="1:14" x14ac:dyDescent="0.35">
      <c r="A201" s="17" t="s">
        <v>114</v>
      </c>
      <c r="B201" s="91">
        <f t="shared" ref="B201:M201" si="190">SUM(B197:B200)</f>
        <v>12332.943212476837</v>
      </c>
      <c r="C201" s="91">
        <f t="shared" si="190"/>
        <v>10798.747670437271</v>
      </c>
      <c r="D201" s="91">
        <f t="shared" si="190"/>
        <v>9815.1796121872558</v>
      </c>
      <c r="E201" s="91">
        <f t="shared" si="190"/>
        <v>9715.1603523665199</v>
      </c>
      <c r="F201" s="91">
        <f t="shared" si="190"/>
        <v>9498.7971034013917</v>
      </c>
      <c r="G201" s="91">
        <f t="shared" si="190"/>
        <v>9247.958538028508</v>
      </c>
      <c r="H201" s="91">
        <f t="shared" si="190"/>
        <v>9110.6932448596472</v>
      </c>
      <c r="I201" s="91">
        <f t="shared" si="190"/>
        <v>9115.5956978768954</v>
      </c>
      <c r="J201" s="91">
        <f t="shared" si="190"/>
        <v>9590.4873515585659</v>
      </c>
      <c r="K201" s="91">
        <f t="shared" si="190"/>
        <v>9414.0167633232722</v>
      </c>
      <c r="L201" s="91">
        <f t="shared" si="190"/>
        <v>9414.0167633232722</v>
      </c>
      <c r="M201" s="91">
        <f t="shared" si="190"/>
        <v>9590.4873515585659</v>
      </c>
      <c r="N201" s="91">
        <f t="shared" si="187"/>
        <v>117644.08366139801</v>
      </c>
    </row>
    <row r="202" spans="1:14" x14ac:dyDescent="0.35">
      <c r="A202" s="32" t="s">
        <v>109</v>
      </c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84" t="e">
        <f>+N195/N196</f>
        <v>#DIV/0!</v>
      </c>
    </row>
    <row r="203" spans="1:14" x14ac:dyDescent="0.35">
      <c r="A203" s="65" t="s">
        <v>378</v>
      </c>
      <c r="B203" s="80">
        <f t="shared" ref="B203:M203" si="191">+(B209*B204)</f>
        <v>0</v>
      </c>
      <c r="C203" s="80">
        <f t="shared" si="191"/>
        <v>0</v>
      </c>
      <c r="D203" s="80">
        <f t="shared" si="191"/>
        <v>0</v>
      </c>
      <c r="E203" s="80">
        <f t="shared" si="191"/>
        <v>0</v>
      </c>
      <c r="F203" s="80">
        <f t="shared" si="191"/>
        <v>0</v>
      </c>
      <c r="G203" s="80">
        <f t="shared" si="191"/>
        <v>0</v>
      </c>
      <c r="H203" s="80">
        <f t="shared" si="191"/>
        <v>0</v>
      </c>
      <c r="I203" s="80">
        <f t="shared" si="191"/>
        <v>0</v>
      </c>
      <c r="J203" s="80">
        <f t="shared" si="191"/>
        <v>0</v>
      </c>
      <c r="K203" s="80">
        <f t="shared" si="191"/>
        <v>0</v>
      </c>
      <c r="L203" s="80">
        <f t="shared" si="191"/>
        <v>0</v>
      </c>
      <c r="M203" s="80">
        <f t="shared" si="191"/>
        <v>0</v>
      </c>
      <c r="N203" s="92">
        <f>SUM(B203:M203)</f>
        <v>0</v>
      </c>
    </row>
    <row r="204" spans="1:14" x14ac:dyDescent="0.35">
      <c r="A204" s="32" t="s">
        <v>93</v>
      </c>
      <c r="B204" s="239">
        <f>+'Plan de culture 107'!$Z$37</f>
        <v>0</v>
      </c>
      <c r="C204" s="239">
        <f>+B204</f>
        <v>0</v>
      </c>
      <c r="D204" s="239">
        <f t="shared" ref="D204" si="192">+C204</f>
        <v>0</v>
      </c>
      <c r="E204" s="239">
        <f>+'Plan de culture 104 '!C200</f>
        <v>0</v>
      </c>
      <c r="F204" s="239">
        <f>+E204+'Plan de culture 104 '!D200+'Plan de culture 104 '!E200</f>
        <v>0</v>
      </c>
      <c r="G204" s="239">
        <f>+F204</f>
        <v>0</v>
      </c>
      <c r="H204" s="239">
        <f t="shared" ref="H204:M204" si="193">+G204</f>
        <v>0</v>
      </c>
      <c r="I204" s="239">
        <f t="shared" si="193"/>
        <v>0</v>
      </c>
      <c r="J204" s="239">
        <f t="shared" si="193"/>
        <v>0</v>
      </c>
      <c r="K204" s="239">
        <f t="shared" si="193"/>
        <v>0</v>
      </c>
      <c r="L204" s="239">
        <f t="shared" si="193"/>
        <v>0</v>
      </c>
      <c r="M204" s="239">
        <f t="shared" si="193"/>
        <v>0</v>
      </c>
      <c r="N204" s="240">
        <f>+'Plan de culture 107'!$Z$37</f>
        <v>0</v>
      </c>
    </row>
    <row r="205" spans="1:14" x14ac:dyDescent="0.35">
      <c r="A205" s="89" t="s">
        <v>110</v>
      </c>
      <c r="B205" s="90">
        <f>4000/ 6.8</f>
        <v>588.23529411764707</v>
      </c>
      <c r="C205" s="90">
        <f>+B205</f>
        <v>588.23529411764707</v>
      </c>
      <c r="D205" s="90">
        <f t="shared" ref="D205:M205" si="194">+C205</f>
        <v>588.23529411764707</v>
      </c>
      <c r="E205" s="90">
        <f t="shared" si="194"/>
        <v>588.23529411764707</v>
      </c>
      <c r="F205" s="90">
        <f t="shared" si="194"/>
        <v>588.23529411764707</v>
      </c>
      <c r="G205" s="90">
        <f t="shared" si="194"/>
        <v>588.23529411764707</v>
      </c>
      <c r="H205" s="90">
        <f t="shared" si="194"/>
        <v>588.23529411764707</v>
      </c>
      <c r="I205" s="90">
        <f t="shared" si="194"/>
        <v>588.23529411764707</v>
      </c>
      <c r="J205" s="90">
        <f t="shared" si="194"/>
        <v>588.23529411764707</v>
      </c>
      <c r="K205" s="90">
        <f t="shared" si="194"/>
        <v>588.23529411764707</v>
      </c>
      <c r="L205" s="90">
        <f t="shared" si="194"/>
        <v>588.23529411764707</v>
      </c>
      <c r="M205" s="90">
        <f t="shared" si="194"/>
        <v>588.23529411764707</v>
      </c>
      <c r="N205" s="91">
        <f t="shared" ref="N205:N209" si="195">SUM(B205:M205)</f>
        <v>7058.823529411763</v>
      </c>
    </row>
    <row r="206" spans="1:14" x14ac:dyDescent="0.35">
      <c r="A206" s="89" t="s">
        <v>111</v>
      </c>
      <c r="B206" s="90"/>
      <c r="C206" s="90"/>
      <c r="D206" s="90">
        <f>1200/ 6.8</f>
        <v>176.47058823529412</v>
      </c>
      <c r="E206" s="90"/>
      <c r="F206" s="90"/>
      <c r="G206" s="90">
        <f>1200/ 6.8</f>
        <v>176.47058823529412</v>
      </c>
      <c r="H206" s="90"/>
      <c r="I206" s="90"/>
      <c r="J206" s="90">
        <f>1200/ 6.8</f>
        <v>176.47058823529412</v>
      </c>
      <c r="K206" s="90"/>
      <c r="L206" s="90"/>
      <c r="M206" s="90">
        <f>1200/ 6.8</f>
        <v>176.47058823529412</v>
      </c>
      <c r="N206" s="91">
        <f t="shared" si="195"/>
        <v>705.88235294117646</v>
      </c>
    </row>
    <row r="207" spans="1:14" x14ac:dyDescent="0.35">
      <c r="A207" s="89" t="s">
        <v>112</v>
      </c>
      <c r="B207" s="90">
        <f>+B199*0.85</f>
        <v>8182.7883037748452</v>
      </c>
      <c r="C207" s="90">
        <f t="shared" ref="C207:J207" si="196">+C199*0.85</f>
        <v>7113.8815736653114</v>
      </c>
      <c r="D207" s="90">
        <f t="shared" si="196"/>
        <v>6305.657926523907</v>
      </c>
      <c r="E207" s="90">
        <f t="shared" si="196"/>
        <v>6358.9231963209359</v>
      </c>
      <c r="F207" s="90">
        <f t="shared" si="196"/>
        <v>6208.1783097468706</v>
      </c>
      <c r="G207" s="90">
        <f t="shared" si="196"/>
        <v>5910.4629158395337</v>
      </c>
      <c r="H207" s="90">
        <f t="shared" si="196"/>
        <v>5937.7780804349995</v>
      </c>
      <c r="I207" s="90">
        <f t="shared" si="196"/>
        <v>5941.1937239306244</v>
      </c>
      <c r="J207" s="90">
        <f t="shared" si="196"/>
        <v>6149.1100400203122</v>
      </c>
      <c r="K207" s="90">
        <f>+J207</f>
        <v>6149.1100400203122</v>
      </c>
      <c r="L207" s="90">
        <f>+K207</f>
        <v>6149.1100400203122</v>
      </c>
      <c r="M207" s="90">
        <f>+L207</f>
        <v>6149.1100400203122</v>
      </c>
      <c r="N207" s="91">
        <f t="shared" si="195"/>
        <v>76555.304190318275</v>
      </c>
    </row>
    <row r="208" spans="1:14" x14ac:dyDescent="0.35">
      <c r="A208" s="89" t="s">
        <v>113</v>
      </c>
      <c r="B208" s="90">
        <f>+(B207)*22%</f>
        <v>1800.213426830466</v>
      </c>
      <c r="C208" s="90">
        <f t="shared" ref="C208:M208" si="197">+(C207)*22%</f>
        <v>1565.0539462063684</v>
      </c>
      <c r="D208" s="90">
        <f t="shared" si="197"/>
        <v>1387.2447438352594</v>
      </c>
      <c r="E208" s="90">
        <f t="shared" si="197"/>
        <v>1398.9631031906058</v>
      </c>
      <c r="F208" s="90">
        <f t="shared" si="197"/>
        <v>1365.7992281443114</v>
      </c>
      <c r="G208" s="90">
        <f t="shared" si="197"/>
        <v>1300.3018414846974</v>
      </c>
      <c r="H208" s="90">
        <f t="shared" si="197"/>
        <v>1306.3111776956998</v>
      </c>
      <c r="I208" s="90">
        <f t="shared" si="197"/>
        <v>1307.0626192647374</v>
      </c>
      <c r="J208" s="90">
        <f t="shared" si="197"/>
        <v>1352.8042088044688</v>
      </c>
      <c r="K208" s="90">
        <f t="shared" si="197"/>
        <v>1352.8042088044688</v>
      </c>
      <c r="L208" s="90">
        <f t="shared" si="197"/>
        <v>1352.8042088044688</v>
      </c>
      <c r="M208" s="90">
        <f t="shared" si="197"/>
        <v>1352.8042088044688</v>
      </c>
      <c r="N208" s="91">
        <f t="shared" si="195"/>
        <v>16842.166921870023</v>
      </c>
    </row>
    <row r="209" spans="1:17" x14ac:dyDescent="0.35">
      <c r="A209" s="17" t="s">
        <v>114</v>
      </c>
      <c r="B209" s="91">
        <f t="shared" ref="B209:M209" si="198">SUM(B205:B208)</f>
        <v>10571.237024722957</v>
      </c>
      <c r="C209" s="91">
        <f t="shared" si="198"/>
        <v>9267.1708139893271</v>
      </c>
      <c r="D209" s="91">
        <f t="shared" si="198"/>
        <v>8457.6085527121086</v>
      </c>
      <c r="E209" s="91">
        <f t="shared" si="198"/>
        <v>8346.1215936291883</v>
      </c>
      <c r="F209" s="91">
        <f t="shared" si="198"/>
        <v>8162.2128320088286</v>
      </c>
      <c r="G209" s="91">
        <f t="shared" si="198"/>
        <v>7975.4706396771726</v>
      </c>
      <c r="H209" s="91">
        <f t="shared" si="198"/>
        <v>7832.3245522483467</v>
      </c>
      <c r="I209" s="91">
        <f t="shared" si="198"/>
        <v>7836.4916373130091</v>
      </c>
      <c r="J209" s="91">
        <f t="shared" si="198"/>
        <v>8266.6201311777222</v>
      </c>
      <c r="K209" s="91">
        <f t="shared" si="198"/>
        <v>8090.1495429424276</v>
      </c>
      <c r="L209" s="91">
        <f t="shared" si="198"/>
        <v>8090.1495429424276</v>
      </c>
      <c r="M209" s="91">
        <f t="shared" si="198"/>
        <v>8266.6201311777222</v>
      </c>
      <c r="N209" s="91">
        <f t="shared" si="195"/>
        <v>101162.17699454125</v>
      </c>
    </row>
    <row r="210" spans="1:17" x14ac:dyDescent="0.35">
      <c r="A210" s="32" t="s">
        <v>109</v>
      </c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84" t="e">
        <f>+N203/N204</f>
        <v>#DIV/0!</v>
      </c>
    </row>
    <row r="211" spans="1:17" s="57" customFormat="1" x14ac:dyDescent="0.35">
      <c r="A211" s="72" t="s">
        <v>456</v>
      </c>
      <c r="B211" s="77">
        <f>+B214+B222+B230+B238+B246+B254</f>
        <v>514299.92605738458</v>
      </c>
      <c r="C211" s="77">
        <f t="shared" ref="C211:M212" si="199">+C214+C222+C230+C238+C246+C254</f>
        <v>449122.37801453943</v>
      </c>
      <c r="D211" s="77">
        <f t="shared" si="199"/>
        <v>404444.33276837331</v>
      </c>
      <c r="E211" s="77">
        <f t="shared" si="199"/>
        <v>403088.11279415939</v>
      </c>
      <c r="F211" s="77">
        <f t="shared" si="199"/>
        <v>393896.30792462919</v>
      </c>
      <c r="G211" s="77">
        <f t="shared" si="199"/>
        <v>380346.96199727338</v>
      </c>
      <c r="H211" s="77">
        <f t="shared" si="199"/>
        <v>377408.41104800941</v>
      </c>
      <c r="I211" s="77">
        <f t="shared" si="199"/>
        <v>377616.68297834939</v>
      </c>
      <c r="J211" s="77">
        <f t="shared" si="199"/>
        <v>394898.68476543832</v>
      </c>
      <c r="K211" s="77">
        <f t="shared" si="199"/>
        <v>390294.56711837946</v>
      </c>
      <c r="L211" s="77">
        <f t="shared" si="199"/>
        <v>390294.56711837946</v>
      </c>
      <c r="M211" s="77">
        <f t="shared" si="199"/>
        <v>394898.68476543832</v>
      </c>
      <c r="N211" s="78">
        <f>SUM(B211:M211)</f>
        <v>4870609.6173503539</v>
      </c>
    </row>
    <row r="212" spans="1:17" s="57" customFormat="1" x14ac:dyDescent="0.35">
      <c r="A212" s="72" t="s">
        <v>93</v>
      </c>
      <c r="B212" s="81">
        <f>+B215+B223+B231+B239+B247+B255</f>
        <v>26.09</v>
      </c>
      <c r="C212" s="81">
        <f t="shared" si="199"/>
        <v>26.09</v>
      </c>
      <c r="D212" s="81">
        <f t="shared" si="199"/>
        <v>26.09</v>
      </c>
      <c r="E212" s="81">
        <f t="shared" si="199"/>
        <v>26.09</v>
      </c>
      <c r="F212" s="81">
        <f t="shared" si="199"/>
        <v>26.09</v>
      </c>
      <c r="G212" s="81">
        <f t="shared" si="199"/>
        <v>26.09</v>
      </c>
      <c r="H212" s="81">
        <f t="shared" si="199"/>
        <v>26.09</v>
      </c>
      <c r="I212" s="81">
        <f t="shared" si="199"/>
        <v>26.09</v>
      </c>
      <c r="J212" s="81">
        <f t="shared" si="199"/>
        <v>26.09</v>
      </c>
      <c r="K212" s="81">
        <f t="shared" si="199"/>
        <v>26.09</v>
      </c>
      <c r="L212" s="81">
        <f t="shared" si="199"/>
        <v>26.09</v>
      </c>
      <c r="M212" s="81">
        <f t="shared" si="199"/>
        <v>26.09</v>
      </c>
      <c r="N212" s="78">
        <f>SUM(B212:M212)</f>
        <v>313.07999999999993</v>
      </c>
    </row>
    <row r="213" spans="1:17" s="57" customFormat="1" x14ac:dyDescent="0.35">
      <c r="A213" s="72" t="s">
        <v>109</v>
      </c>
      <c r="B213" s="83">
        <f>+B211/B212</f>
        <v>19712.530703617653</v>
      </c>
      <c r="C213" s="83">
        <f>+C211/C212</f>
        <v>17214.349483117647</v>
      </c>
      <c r="D213" s="83">
        <f>+D211/D212</f>
        <v>15501.890868852945</v>
      </c>
      <c r="E213" s="83">
        <f t="shared" ref="E213:N213" si="200">+E211/E212</f>
        <v>15449.908501117647</v>
      </c>
      <c r="F213" s="83">
        <f t="shared" si="200"/>
        <v>15097.597084117639</v>
      </c>
      <c r="G213" s="83">
        <f t="shared" si="200"/>
        <v>14578.266078852947</v>
      </c>
      <c r="H213" s="83">
        <f t="shared" si="200"/>
        <v>14465.634766117648</v>
      </c>
      <c r="I213" s="83">
        <f t="shared" si="200"/>
        <v>14473.617592117645</v>
      </c>
      <c r="J213" s="83">
        <f t="shared" si="200"/>
        <v>15136.017047352945</v>
      </c>
      <c r="K213" s="83">
        <f t="shared" si="200"/>
        <v>14959.54645911765</v>
      </c>
      <c r="L213" s="83">
        <f t="shared" si="200"/>
        <v>14959.54645911765</v>
      </c>
      <c r="M213" s="83">
        <f t="shared" si="200"/>
        <v>15136.017047352945</v>
      </c>
      <c r="N213" s="83">
        <f t="shared" si="200"/>
        <v>15557.076840904418</v>
      </c>
    </row>
    <row r="214" spans="1:17" x14ac:dyDescent="0.35">
      <c r="A214" s="65" t="s">
        <v>90</v>
      </c>
      <c r="B214" s="80">
        <f t="shared" ref="B214:M214" si="201">+(B220*B215)</f>
        <v>0</v>
      </c>
      <c r="C214" s="80">
        <f t="shared" si="201"/>
        <v>0</v>
      </c>
      <c r="D214" s="80">
        <f t="shared" si="201"/>
        <v>0</v>
      </c>
      <c r="E214" s="80">
        <f t="shared" si="201"/>
        <v>0</v>
      </c>
      <c r="F214" s="80">
        <f t="shared" si="201"/>
        <v>0</v>
      </c>
      <c r="G214" s="80">
        <f t="shared" si="201"/>
        <v>0</v>
      </c>
      <c r="H214" s="80">
        <f t="shared" si="201"/>
        <v>0</v>
      </c>
      <c r="I214" s="80">
        <f t="shared" si="201"/>
        <v>0</v>
      </c>
      <c r="J214" s="80">
        <f t="shared" si="201"/>
        <v>0</v>
      </c>
      <c r="K214" s="80">
        <f t="shared" si="201"/>
        <v>0</v>
      </c>
      <c r="L214" s="80">
        <f t="shared" si="201"/>
        <v>0</v>
      </c>
      <c r="M214" s="80">
        <f t="shared" si="201"/>
        <v>0</v>
      </c>
      <c r="N214" s="80">
        <f>SUM(B214:M214)</f>
        <v>0</v>
      </c>
    </row>
    <row r="215" spans="1:17" x14ac:dyDescent="0.35">
      <c r="A215" s="32" t="s">
        <v>93</v>
      </c>
      <c r="B215" s="239">
        <f>+'Plan de culture 114'!$AE$7</f>
        <v>0</v>
      </c>
      <c r="C215" s="239">
        <f>+B215</f>
        <v>0</v>
      </c>
      <c r="D215" s="239">
        <f t="shared" ref="D215" si="202">+C215</f>
        <v>0</v>
      </c>
      <c r="E215" s="239">
        <f>+D215</f>
        <v>0</v>
      </c>
      <c r="F215" s="239">
        <f>+E215</f>
        <v>0</v>
      </c>
      <c r="G215" s="239">
        <f>+F215</f>
        <v>0</v>
      </c>
      <c r="H215" s="239">
        <f t="shared" ref="H215:M215" si="203">+G215</f>
        <v>0</v>
      </c>
      <c r="I215" s="239">
        <f t="shared" si="203"/>
        <v>0</v>
      </c>
      <c r="J215" s="239">
        <f t="shared" si="203"/>
        <v>0</v>
      </c>
      <c r="K215" s="239">
        <f t="shared" si="203"/>
        <v>0</v>
      </c>
      <c r="L215" s="239">
        <f t="shared" si="203"/>
        <v>0</v>
      </c>
      <c r="M215" s="239">
        <f t="shared" si="203"/>
        <v>0</v>
      </c>
      <c r="N215" s="240">
        <f>+'Plan de culture 114'!$AE$7</f>
        <v>0</v>
      </c>
    </row>
    <row r="216" spans="1:17" x14ac:dyDescent="0.35">
      <c r="A216" s="89" t="s">
        <v>110</v>
      </c>
      <c r="B216" s="90">
        <f>4000/ 6.8</f>
        <v>588.23529411764707</v>
      </c>
      <c r="C216" s="90">
        <f>+B216</f>
        <v>588.23529411764707</v>
      </c>
      <c r="D216" s="90">
        <f t="shared" ref="D216:J216" si="204">+C216</f>
        <v>588.23529411764707</v>
      </c>
      <c r="E216" s="90">
        <f t="shared" si="204"/>
        <v>588.23529411764707</v>
      </c>
      <c r="F216" s="90">
        <f t="shared" si="204"/>
        <v>588.23529411764707</v>
      </c>
      <c r="G216" s="90">
        <f t="shared" si="204"/>
        <v>588.23529411764707</v>
      </c>
      <c r="H216" s="90">
        <f t="shared" si="204"/>
        <v>588.23529411764707</v>
      </c>
      <c r="I216" s="90">
        <f t="shared" si="204"/>
        <v>588.23529411764707</v>
      </c>
      <c r="J216" s="90">
        <f t="shared" si="204"/>
        <v>588.23529411764707</v>
      </c>
      <c r="K216" s="90"/>
      <c r="L216" s="90">
        <f t="shared" ref="L216:M216" si="205">+K216</f>
        <v>0</v>
      </c>
      <c r="M216" s="90">
        <f t="shared" si="205"/>
        <v>0</v>
      </c>
      <c r="N216" s="91">
        <f t="shared" ref="N216:N220" si="206">SUM(B216:M216)</f>
        <v>5294.1176470588225</v>
      </c>
    </row>
    <row r="217" spans="1:17" x14ac:dyDescent="0.35">
      <c r="A217" s="89" t="s">
        <v>111</v>
      </c>
      <c r="B217" s="90"/>
      <c r="C217" s="90"/>
      <c r="D217" s="90">
        <f>1200/ 6.8</f>
        <v>176.47058823529412</v>
      </c>
      <c r="E217" s="90"/>
      <c r="F217" s="90"/>
      <c r="G217" s="90">
        <f>1200/ 6.8</f>
        <v>176.47058823529412</v>
      </c>
      <c r="H217" s="90"/>
      <c r="I217" s="90"/>
      <c r="J217" s="90">
        <f>1200/ 6.8</f>
        <v>176.47058823529412</v>
      </c>
      <c r="K217" s="90"/>
      <c r="L217" s="90"/>
      <c r="M217" s="90">
        <v>400</v>
      </c>
      <c r="N217" s="91">
        <f t="shared" si="206"/>
        <v>929.41176470588232</v>
      </c>
    </row>
    <row r="218" spans="1:17" x14ac:dyDescent="0.35">
      <c r="A218" s="89" t="s">
        <v>112</v>
      </c>
      <c r="B218" s="90">
        <v>18441.943500000005</v>
      </c>
      <c r="C218" s="90">
        <v>16032.897000000001</v>
      </c>
      <c r="D218" s="90">
        <v>14211.364500000003</v>
      </c>
      <c r="E218" s="90">
        <v>14331.411</v>
      </c>
      <c r="F218" s="90">
        <v>13991.669999999993</v>
      </c>
      <c r="G218" s="90">
        <v>13320.694500000005</v>
      </c>
      <c r="H218" s="90">
        <v>13382.256000000001</v>
      </c>
      <c r="I218" s="90">
        <v>13389.954</v>
      </c>
      <c r="J218" s="90">
        <v>13858.545000000002</v>
      </c>
      <c r="K218" s="90"/>
      <c r="L218" s="90"/>
      <c r="M218" s="90"/>
      <c r="N218" s="91">
        <f t="shared" si="206"/>
        <v>130960.7355</v>
      </c>
      <c r="O218" s="62"/>
      <c r="P218" s="164"/>
      <c r="Q218" s="62"/>
    </row>
    <row r="219" spans="1:17" x14ac:dyDescent="0.35">
      <c r="A219" s="89" t="s">
        <v>113</v>
      </c>
      <c r="B219" s="90">
        <f>+(B218)*22%</f>
        <v>4057.2275700000009</v>
      </c>
      <c r="C219" s="90">
        <f t="shared" ref="C219:M219" si="207">+(C218)*22%</f>
        <v>3527.2373400000001</v>
      </c>
      <c r="D219" s="90">
        <f t="shared" si="207"/>
        <v>3126.5001900000007</v>
      </c>
      <c r="E219" s="90">
        <f t="shared" si="207"/>
        <v>3152.9104200000002</v>
      </c>
      <c r="F219" s="90">
        <f t="shared" si="207"/>
        <v>3078.1673999999985</v>
      </c>
      <c r="G219" s="90">
        <f t="shared" si="207"/>
        <v>2930.5527900000011</v>
      </c>
      <c r="H219" s="90">
        <f t="shared" si="207"/>
        <v>2944.0963200000001</v>
      </c>
      <c r="I219" s="90">
        <f t="shared" si="207"/>
        <v>2945.7898799999998</v>
      </c>
      <c r="J219" s="90">
        <f t="shared" si="207"/>
        <v>3048.8799000000004</v>
      </c>
      <c r="K219" s="90">
        <f t="shared" si="207"/>
        <v>0</v>
      </c>
      <c r="L219" s="90">
        <f t="shared" si="207"/>
        <v>0</v>
      </c>
      <c r="M219" s="90">
        <f t="shared" si="207"/>
        <v>0</v>
      </c>
      <c r="N219" s="91">
        <f t="shared" si="206"/>
        <v>28811.361810000002</v>
      </c>
      <c r="O219" s="62"/>
    </row>
    <row r="220" spans="1:17" x14ac:dyDescent="0.35">
      <c r="A220" s="17" t="s">
        <v>114</v>
      </c>
      <c r="B220" s="91">
        <f t="shared" ref="B220:M220" si="208">SUM(B216:B219)</f>
        <v>23087.406364117654</v>
      </c>
      <c r="C220" s="91">
        <f t="shared" si="208"/>
        <v>20148.369634117647</v>
      </c>
      <c r="D220" s="91">
        <f t="shared" si="208"/>
        <v>18102.570572352946</v>
      </c>
      <c r="E220" s="91">
        <f t="shared" si="208"/>
        <v>18072.556714117647</v>
      </c>
      <c r="F220" s="91">
        <f t="shared" si="208"/>
        <v>17658.07269411764</v>
      </c>
      <c r="G220" s="91">
        <f t="shared" si="208"/>
        <v>17015.953172352947</v>
      </c>
      <c r="H220" s="91">
        <f t="shared" si="208"/>
        <v>16914.587614117649</v>
      </c>
      <c r="I220" s="91">
        <f t="shared" si="208"/>
        <v>16923.979174117645</v>
      </c>
      <c r="J220" s="91">
        <f t="shared" si="208"/>
        <v>17672.130782352942</v>
      </c>
      <c r="K220" s="91">
        <f t="shared" si="208"/>
        <v>0</v>
      </c>
      <c r="L220" s="91">
        <f t="shared" si="208"/>
        <v>0</v>
      </c>
      <c r="M220" s="91">
        <f t="shared" si="208"/>
        <v>400</v>
      </c>
      <c r="N220" s="91">
        <f t="shared" si="206"/>
        <v>165995.62672176471</v>
      </c>
    </row>
    <row r="221" spans="1:17" x14ac:dyDescent="0.35">
      <c r="A221" s="32" t="s">
        <v>109</v>
      </c>
      <c r="B221" s="62" t="e">
        <f>+B220/B215</f>
        <v>#DIV/0!</v>
      </c>
      <c r="C221" s="62" t="e">
        <f t="shared" ref="C221:N221" si="209">+C214/C215</f>
        <v>#DIV/0!</v>
      </c>
      <c r="D221" s="62" t="e">
        <f t="shared" si="209"/>
        <v>#DIV/0!</v>
      </c>
      <c r="E221" s="62" t="e">
        <f t="shared" si="209"/>
        <v>#DIV/0!</v>
      </c>
      <c r="F221" s="62" t="e">
        <f t="shared" si="209"/>
        <v>#DIV/0!</v>
      </c>
      <c r="G221" s="62" t="e">
        <f t="shared" si="209"/>
        <v>#DIV/0!</v>
      </c>
      <c r="H221" s="62" t="e">
        <f t="shared" si="209"/>
        <v>#DIV/0!</v>
      </c>
      <c r="I221" s="62" t="e">
        <f t="shared" si="209"/>
        <v>#DIV/0!</v>
      </c>
      <c r="J221" s="62" t="e">
        <f t="shared" si="209"/>
        <v>#DIV/0!</v>
      </c>
      <c r="K221" s="62" t="e">
        <f t="shared" si="209"/>
        <v>#DIV/0!</v>
      </c>
      <c r="L221" s="62" t="e">
        <f t="shared" si="209"/>
        <v>#DIV/0!</v>
      </c>
      <c r="M221" s="62" t="e">
        <f t="shared" si="209"/>
        <v>#DIV/0!</v>
      </c>
      <c r="N221" s="84" t="e">
        <f t="shared" si="209"/>
        <v>#DIV/0!</v>
      </c>
    </row>
    <row r="222" spans="1:17" x14ac:dyDescent="0.35">
      <c r="A222" s="65" t="s">
        <v>91</v>
      </c>
      <c r="B222" s="80">
        <f t="shared" ref="B222:M222" si="210">+(B228*B223)</f>
        <v>514299.92605738458</v>
      </c>
      <c r="C222" s="80">
        <f t="shared" si="210"/>
        <v>449122.37801453943</v>
      </c>
      <c r="D222" s="80">
        <f t="shared" si="210"/>
        <v>404444.33276837331</v>
      </c>
      <c r="E222" s="80">
        <f t="shared" si="210"/>
        <v>403088.11279415939</v>
      </c>
      <c r="F222" s="80">
        <f t="shared" si="210"/>
        <v>393896.30792462919</v>
      </c>
      <c r="G222" s="80">
        <f t="shared" si="210"/>
        <v>380346.96199727338</v>
      </c>
      <c r="H222" s="80">
        <f t="shared" si="210"/>
        <v>377408.41104800941</v>
      </c>
      <c r="I222" s="80">
        <f t="shared" si="210"/>
        <v>377616.68297834939</v>
      </c>
      <c r="J222" s="80">
        <f t="shared" si="210"/>
        <v>394898.68476543832</v>
      </c>
      <c r="K222" s="80">
        <f t="shared" si="210"/>
        <v>390294.56711837946</v>
      </c>
      <c r="L222" s="80">
        <f t="shared" si="210"/>
        <v>390294.56711837946</v>
      </c>
      <c r="M222" s="80">
        <f t="shared" si="210"/>
        <v>394898.68476543832</v>
      </c>
      <c r="N222" s="92">
        <f>SUM(B222:M222)</f>
        <v>4870609.6173503539</v>
      </c>
    </row>
    <row r="223" spans="1:17" x14ac:dyDescent="0.35">
      <c r="A223" s="32" t="s">
        <v>93</v>
      </c>
      <c r="B223" s="239">
        <f>+'Plan de culture 114'!$AE$13</f>
        <v>26.09</v>
      </c>
      <c r="C223" s="239">
        <f>+B223</f>
        <v>26.09</v>
      </c>
      <c r="D223" s="239">
        <f t="shared" ref="D223:M223" si="211">+C223</f>
        <v>26.09</v>
      </c>
      <c r="E223" s="239">
        <f t="shared" si="211"/>
        <v>26.09</v>
      </c>
      <c r="F223" s="239">
        <f t="shared" si="211"/>
        <v>26.09</v>
      </c>
      <c r="G223" s="239">
        <f t="shared" si="211"/>
        <v>26.09</v>
      </c>
      <c r="H223" s="239">
        <f t="shared" si="211"/>
        <v>26.09</v>
      </c>
      <c r="I223" s="239">
        <f t="shared" si="211"/>
        <v>26.09</v>
      </c>
      <c r="J223" s="239">
        <f t="shared" si="211"/>
        <v>26.09</v>
      </c>
      <c r="K223" s="239">
        <f t="shared" si="211"/>
        <v>26.09</v>
      </c>
      <c r="L223" s="239">
        <f t="shared" si="211"/>
        <v>26.09</v>
      </c>
      <c r="M223" s="239">
        <f t="shared" si="211"/>
        <v>26.09</v>
      </c>
      <c r="N223" s="240">
        <f>+'Plan de culture 114'!$AE$13</f>
        <v>26.09</v>
      </c>
    </row>
    <row r="224" spans="1:17" x14ac:dyDescent="0.35">
      <c r="A224" s="89" t="s">
        <v>110</v>
      </c>
      <c r="B224" s="90">
        <f>4000/ 6.8</f>
        <v>588.23529411764707</v>
      </c>
      <c r="C224" s="90">
        <f>+B224</f>
        <v>588.23529411764707</v>
      </c>
      <c r="D224" s="90">
        <f t="shared" ref="D224:M224" si="212">+C224</f>
        <v>588.23529411764707</v>
      </c>
      <c r="E224" s="90">
        <f t="shared" si="212"/>
        <v>588.23529411764707</v>
      </c>
      <c r="F224" s="90">
        <f t="shared" si="212"/>
        <v>588.23529411764707</v>
      </c>
      <c r="G224" s="90">
        <f t="shared" si="212"/>
        <v>588.23529411764707</v>
      </c>
      <c r="H224" s="90">
        <f t="shared" si="212"/>
        <v>588.23529411764707</v>
      </c>
      <c r="I224" s="90">
        <f t="shared" si="212"/>
        <v>588.23529411764707</v>
      </c>
      <c r="J224" s="90">
        <f t="shared" si="212"/>
        <v>588.23529411764707</v>
      </c>
      <c r="K224" s="90">
        <f t="shared" si="212"/>
        <v>588.23529411764707</v>
      </c>
      <c r="L224" s="90">
        <f t="shared" si="212"/>
        <v>588.23529411764707</v>
      </c>
      <c r="M224" s="90">
        <f t="shared" si="212"/>
        <v>588.23529411764707</v>
      </c>
      <c r="N224" s="91">
        <f t="shared" ref="N224:N228" si="213">SUM(B224:M224)</f>
        <v>7058.823529411763</v>
      </c>
    </row>
    <row r="225" spans="1:14" x14ac:dyDescent="0.35">
      <c r="A225" s="89" t="s">
        <v>111</v>
      </c>
      <c r="B225" s="90"/>
      <c r="C225" s="90"/>
      <c r="D225" s="90">
        <f>1200/ 6.8</f>
        <v>176.47058823529412</v>
      </c>
      <c r="E225" s="90"/>
      <c r="F225" s="90"/>
      <c r="G225" s="90">
        <f>1200/ 6.8</f>
        <v>176.47058823529412</v>
      </c>
      <c r="H225" s="90"/>
      <c r="I225" s="90"/>
      <c r="J225" s="90">
        <f>1200/ 6.8</f>
        <v>176.47058823529412</v>
      </c>
      <c r="K225" s="90"/>
      <c r="L225" s="90"/>
      <c r="M225" s="90">
        <f>1200/ 6.8</f>
        <v>176.47058823529412</v>
      </c>
      <c r="N225" s="91">
        <f t="shared" si="213"/>
        <v>705.88235294117646</v>
      </c>
    </row>
    <row r="226" spans="1:14" x14ac:dyDescent="0.35">
      <c r="A226" s="89" t="s">
        <v>112</v>
      </c>
      <c r="B226" s="90">
        <f>+B218*0.85</f>
        <v>15675.651975000004</v>
      </c>
      <c r="C226" s="90">
        <f t="shared" ref="C226:J226" si="214">+C218*0.85</f>
        <v>13627.962450000001</v>
      </c>
      <c r="D226" s="90">
        <f t="shared" si="214"/>
        <v>12079.659825000002</v>
      </c>
      <c r="E226" s="90">
        <f t="shared" si="214"/>
        <v>12181.699349999999</v>
      </c>
      <c r="F226" s="90">
        <f t="shared" si="214"/>
        <v>11892.919499999993</v>
      </c>
      <c r="G226" s="90">
        <f t="shared" si="214"/>
        <v>11322.590325000005</v>
      </c>
      <c r="H226" s="90">
        <f t="shared" si="214"/>
        <v>11374.917600000001</v>
      </c>
      <c r="I226" s="90">
        <f t="shared" si="214"/>
        <v>11381.4609</v>
      </c>
      <c r="J226" s="90">
        <f t="shared" si="214"/>
        <v>11779.763250000002</v>
      </c>
      <c r="K226" s="90">
        <f>+J226</f>
        <v>11779.763250000002</v>
      </c>
      <c r="L226" s="90">
        <f>+K226</f>
        <v>11779.763250000002</v>
      </c>
      <c r="M226" s="90">
        <f>+L226</f>
        <v>11779.763250000002</v>
      </c>
      <c r="N226" s="91">
        <f t="shared" si="213"/>
        <v>146655.91492500002</v>
      </c>
    </row>
    <row r="227" spans="1:14" x14ac:dyDescent="0.35">
      <c r="A227" s="89" t="s">
        <v>113</v>
      </c>
      <c r="B227" s="90">
        <f>+(B226)*22%</f>
        <v>3448.6434345000011</v>
      </c>
      <c r="C227" s="90">
        <f t="shared" ref="C227:M227" si="215">+(C226)*22%</f>
        <v>2998.1517390000004</v>
      </c>
      <c r="D227" s="90">
        <f t="shared" si="215"/>
        <v>2657.5251615000006</v>
      </c>
      <c r="E227" s="90">
        <f t="shared" si="215"/>
        <v>2679.973857</v>
      </c>
      <c r="F227" s="90">
        <f t="shared" si="215"/>
        <v>2616.4422899999986</v>
      </c>
      <c r="G227" s="90">
        <f t="shared" si="215"/>
        <v>2490.9698715000009</v>
      </c>
      <c r="H227" s="90">
        <f t="shared" si="215"/>
        <v>2502.4818720000003</v>
      </c>
      <c r="I227" s="90">
        <f t="shared" si="215"/>
        <v>2503.921398</v>
      </c>
      <c r="J227" s="90">
        <f t="shared" si="215"/>
        <v>2591.5479150000006</v>
      </c>
      <c r="K227" s="90">
        <f t="shared" si="215"/>
        <v>2591.5479150000006</v>
      </c>
      <c r="L227" s="90">
        <f t="shared" si="215"/>
        <v>2591.5479150000006</v>
      </c>
      <c r="M227" s="90">
        <f t="shared" si="215"/>
        <v>2591.5479150000006</v>
      </c>
      <c r="N227" s="91">
        <f t="shared" si="213"/>
        <v>32264.301283499997</v>
      </c>
    </row>
    <row r="228" spans="1:14" x14ac:dyDescent="0.35">
      <c r="A228" s="17" t="s">
        <v>114</v>
      </c>
      <c r="B228" s="91">
        <f t="shared" ref="B228:M228" si="216">SUM(B224:B227)</f>
        <v>19712.530703617653</v>
      </c>
      <c r="C228" s="91">
        <f t="shared" si="216"/>
        <v>17214.349483117647</v>
      </c>
      <c r="D228" s="91">
        <f t="shared" si="216"/>
        <v>15501.890868852945</v>
      </c>
      <c r="E228" s="91">
        <f t="shared" si="216"/>
        <v>15449.908501117647</v>
      </c>
      <c r="F228" s="91">
        <f t="shared" si="216"/>
        <v>15097.597084117639</v>
      </c>
      <c r="G228" s="91">
        <f t="shared" si="216"/>
        <v>14578.266078852947</v>
      </c>
      <c r="H228" s="91">
        <f t="shared" si="216"/>
        <v>14465.634766117648</v>
      </c>
      <c r="I228" s="91">
        <f t="shared" si="216"/>
        <v>14473.617592117647</v>
      </c>
      <c r="J228" s="91">
        <f t="shared" si="216"/>
        <v>15136.017047352943</v>
      </c>
      <c r="K228" s="91">
        <f t="shared" si="216"/>
        <v>14959.54645911765</v>
      </c>
      <c r="L228" s="91">
        <f t="shared" si="216"/>
        <v>14959.54645911765</v>
      </c>
      <c r="M228" s="91">
        <f t="shared" si="216"/>
        <v>15136.017047352943</v>
      </c>
      <c r="N228" s="91">
        <f t="shared" si="213"/>
        <v>186684.92209085295</v>
      </c>
    </row>
    <row r="229" spans="1:14" x14ac:dyDescent="0.35">
      <c r="A229" s="32" t="s">
        <v>109</v>
      </c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84">
        <f>+N222/N223</f>
        <v>186684.92209085295</v>
      </c>
    </row>
    <row r="230" spans="1:14" x14ac:dyDescent="0.35">
      <c r="A230" s="65" t="s">
        <v>376</v>
      </c>
      <c r="B230" s="80">
        <f t="shared" ref="B230:M230" si="217">+(B236*B231)</f>
        <v>0</v>
      </c>
      <c r="C230" s="80">
        <f t="shared" si="217"/>
        <v>0</v>
      </c>
      <c r="D230" s="80">
        <f t="shared" si="217"/>
        <v>0</v>
      </c>
      <c r="E230" s="80">
        <f t="shared" si="217"/>
        <v>0</v>
      </c>
      <c r="F230" s="80">
        <f t="shared" si="217"/>
        <v>0</v>
      </c>
      <c r="G230" s="80">
        <f t="shared" si="217"/>
        <v>0</v>
      </c>
      <c r="H230" s="80">
        <f t="shared" si="217"/>
        <v>0</v>
      </c>
      <c r="I230" s="80">
        <f t="shared" si="217"/>
        <v>0</v>
      </c>
      <c r="J230" s="80">
        <f t="shared" si="217"/>
        <v>0</v>
      </c>
      <c r="K230" s="80">
        <f t="shared" si="217"/>
        <v>0</v>
      </c>
      <c r="L230" s="80">
        <f t="shared" si="217"/>
        <v>0</v>
      </c>
      <c r="M230" s="80">
        <f t="shared" si="217"/>
        <v>0</v>
      </c>
      <c r="N230" s="92">
        <f>SUM(B230:M230)</f>
        <v>0</v>
      </c>
    </row>
    <row r="231" spans="1:14" x14ac:dyDescent="0.35">
      <c r="A231" s="32" t="s">
        <v>93</v>
      </c>
      <c r="B231" s="239">
        <f>+'Plan de culture 114'!$AE$19</f>
        <v>0</v>
      </c>
      <c r="C231" s="239">
        <f>+B231</f>
        <v>0</v>
      </c>
      <c r="D231" s="239">
        <f t="shared" ref="D231" si="218">+C231</f>
        <v>0</v>
      </c>
      <c r="E231" s="239">
        <f>+'Plan de culture 104 '!C227</f>
        <v>0</v>
      </c>
      <c r="F231" s="239">
        <f>+E231+'Plan de culture 104 '!D227+'Plan de culture 104 '!E227</f>
        <v>0</v>
      </c>
      <c r="G231" s="239">
        <f>+F231</f>
        <v>0</v>
      </c>
      <c r="H231" s="239">
        <f t="shared" ref="H231:M231" si="219">+G231</f>
        <v>0</v>
      </c>
      <c r="I231" s="239">
        <f t="shared" si="219"/>
        <v>0</v>
      </c>
      <c r="J231" s="239">
        <f t="shared" si="219"/>
        <v>0</v>
      </c>
      <c r="K231" s="239">
        <f t="shared" si="219"/>
        <v>0</v>
      </c>
      <c r="L231" s="239">
        <f t="shared" si="219"/>
        <v>0</v>
      </c>
      <c r="M231" s="239">
        <f t="shared" si="219"/>
        <v>0</v>
      </c>
      <c r="N231" s="240">
        <f>+'Plan de culture 114'!$AE$19</f>
        <v>0</v>
      </c>
    </row>
    <row r="232" spans="1:14" x14ac:dyDescent="0.35">
      <c r="A232" s="89" t="s">
        <v>110</v>
      </c>
      <c r="B232" s="90">
        <f>4000/ 6.8</f>
        <v>588.23529411764707</v>
      </c>
      <c r="C232" s="90">
        <f>+B232</f>
        <v>588.23529411764707</v>
      </c>
      <c r="D232" s="90">
        <f t="shared" ref="D232:M232" si="220">+C232</f>
        <v>588.23529411764707</v>
      </c>
      <c r="E232" s="90">
        <f t="shared" si="220"/>
        <v>588.23529411764707</v>
      </c>
      <c r="F232" s="90">
        <f t="shared" si="220"/>
        <v>588.23529411764707</v>
      </c>
      <c r="G232" s="90">
        <f t="shared" si="220"/>
        <v>588.23529411764707</v>
      </c>
      <c r="H232" s="90">
        <f t="shared" si="220"/>
        <v>588.23529411764707</v>
      </c>
      <c r="I232" s="90">
        <f t="shared" si="220"/>
        <v>588.23529411764707</v>
      </c>
      <c r="J232" s="90">
        <f t="shared" si="220"/>
        <v>588.23529411764707</v>
      </c>
      <c r="K232" s="90">
        <f t="shared" si="220"/>
        <v>588.23529411764707</v>
      </c>
      <c r="L232" s="90">
        <f t="shared" si="220"/>
        <v>588.23529411764707</v>
      </c>
      <c r="M232" s="90">
        <f t="shared" si="220"/>
        <v>588.23529411764707</v>
      </c>
      <c r="N232" s="91">
        <f t="shared" ref="N232:N236" si="221">SUM(B232:M232)</f>
        <v>7058.823529411763</v>
      </c>
    </row>
    <row r="233" spans="1:14" x14ac:dyDescent="0.35">
      <c r="A233" s="89" t="s">
        <v>111</v>
      </c>
      <c r="B233" s="90"/>
      <c r="C233" s="90"/>
      <c r="D233" s="90">
        <f>1200/ 6.8</f>
        <v>176.47058823529412</v>
      </c>
      <c r="E233" s="90"/>
      <c r="F233" s="90"/>
      <c r="G233" s="90">
        <f>1200/ 6.8</f>
        <v>176.47058823529412</v>
      </c>
      <c r="H233" s="90"/>
      <c r="I233" s="90"/>
      <c r="J233" s="90">
        <f>1200/ 6.8</f>
        <v>176.47058823529412</v>
      </c>
      <c r="K233" s="90"/>
      <c r="L233" s="90"/>
      <c r="M233" s="90">
        <f>1200/ 6.8</f>
        <v>176.47058823529412</v>
      </c>
      <c r="N233" s="91">
        <f t="shared" si="221"/>
        <v>705.88235294117646</v>
      </c>
    </row>
    <row r="234" spans="1:14" x14ac:dyDescent="0.35">
      <c r="A234" s="89" t="s">
        <v>112</v>
      </c>
      <c r="B234" s="90">
        <f>+B226*0.85</f>
        <v>13324.304178750004</v>
      </c>
      <c r="C234" s="90">
        <f t="shared" ref="C234:J234" si="222">+C226*0.85</f>
        <v>11583.768082500001</v>
      </c>
      <c r="D234" s="90">
        <f t="shared" si="222"/>
        <v>10267.710851250002</v>
      </c>
      <c r="E234" s="90">
        <f t="shared" si="222"/>
        <v>10354.444447499998</v>
      </c>
      <c r="F234" s="90">
        <f t="shared" si="222"/>
        <v>10108.981574999994</v>
      </c>
      <c r="G234" s="90">
        <f t="shared" si="222"/>
        <v>9624.2017762500036</v>
      </c>
      <c r="H234" s="90">
        <f t="shared" si="222"/>
        <v>9668.6799599999995</v>
      </c>
      <c r="I234" s="90">
        <f t="shared" si="222"/>
        <v>9674.2417650000007</v>
      </c>
      <c r="J234" s="90">
        <f t="shared" si="222"/>
        <v>10012.798762500001</v>
      </c>
      <c r="K234" s="90">
        <f>+J234</f>
        <v>10012.798762500001</v>
      </c>
      <c r="L234" s="90">
        <f>+K234</f>
        <v>10012.798762500001</v>
      </c>
      <c r="M234" s="90">
        <f>+L234</f>
        <v>10012.798762500001</v>
      </c>
      <c r="N234" s="91">
        <f t="shared" si="221"/>
        <v>124657.52768624997</v>
      </c>
    </row>
    <row r="235" spans="1:14" x14ac:dyDescent="0.35">
      <c r="A235" s="89" t="s">
        <v>113</v>
      </c>
      <c r="B235" s="90">
        <f>+(B234)*22%</f>
        <v>2931.3469193250007</v>
      </c>
      <c r="C235" s="90">
        <f t="shared" ref="C235:M235" si="223">+(C234)*22%</f>
        <v>2548.4289781500001</v>
      </c>
      <c r="D235" s="90">
        <f t="shared" si="223"/>
        <v>2258.8963872750005</v>
      </c>
      <c r="E235" s="90">
        <f t="shared" si="223"/>
        <v>2277.9777784499997</v>
      </c>
      <c r="F235" s="90">
        <f t="shared" si="223"/>
        <v>2223.9759464999988</v>
      </c>
      <c r="G235" s="90">
        <f t="shared" si="223"/>
        <v>2117.3243907750007</v>
      </c>
      <c r="H235" s="90">
        <f t="shared" si="223"/>
        <v>2127.1095912000001</v>
      </c>
      <c r="I235" s="90">
        <f t="shared" si="223"/>
        <v>2128.3331883000001</v>
      </c>
      <c r="J235" s="90">
        <f t="shared" si="223"/>
        <v>2202.81572775</v>
      </c>
      <c r="K235" s="90">
        <f t="shared" si="223"/>
        <v>2202.81572775</v>
      </c>
      <c r="L235" s="90">
        <f t="shared" si="223"/>
        <v>2202.81572775</v>
      </c>
      <c r="M235" s="90">
        <f t="shared" si="223"/>
        <v>2202.81572775</v>
      </c>
      <c r="N235" s="91">
        <f t="shared" si="221"/>
        <v>27424.656090974997</v>
      </c>
    </row>
    <row r="236" spans="1:14" x14ac:dyDescent="0.35">
      <c r="A236" s="17" t="s">
        <v>114</v>
      </c>
      <c r="B236" s="91">
        <f t="shared" ref="B236:M236" si="224">SUM(B232:B235)</f>
        <v>16843.886392192653</v>
      </c>
      <c r="C236" s="91">
        <f t="shared" si="224"/>
        <v>14720.432354767647</v>
      </c>
      <c r="D236" s="91">
        <f t="shared" si="224"/>
        <v>13291.313120877943</v>
      </c>
      <c r="E236" s="91">
        <f t="shared" si="224"/>
        <v>13220.657520067645</v>
      </c>
      <c r="F236" s="91">
        <f t="shared" si="224"/>
        <v>12921.19281561764</v>
      </c>
      <c r="G236" s="91">
        <f t="shared" si="224"/>
        <v>12506.232049377944</v>
      </c>
      <c r="H236" s="91">
        <f t="shared" si="224"/>
        <v>12384.024845317646</v>
      </c>
      <c r="I236" s="91">
        <f t="shared" si="224"/>
        <v>12390.810247417648</v>
      </c>
      <c r="J236" s="91">
        <f t="shared" si="224"/>
        <v>12980.320372602941</v>
      </c>
      <c r="K236" s="91">
        <f t="shared" si="224"/>
        <v>12803.849784367647</v>
      </c>
      <c r="L236" s="91">
        <f t="shared" si="224"/>
        <v>12803.849784367647</v>
      </c>
      <c r="M236" s="91">
        <f t="shared" si="224"/>
        <v>12980.320372602941</v>
      </c>
      <c r="N236" s="91">
        <f t="shared" si="221"/>
        <v>159846.88965957795</v>
      </c>
    </row>
    <row r="237" spans="1:14" x14ac:dyDescent="0.35">
      <c r="A237" s="32" t="s">
        <v>109</v>
      </c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84" t="e">
        <f>+N230/N231</f>
        <v>#DIV/0!</v>
      </c>
    </row>
    <row r="238" spans="1:14" x14ac:dyDescent="0.35">
      <c r="A238" s="65" t="s">
        <v>92</v>
      </c>
      <c r="B238" s="80">
        <f t="shared" ref="B238:M238" si="225">+(B244*B239)</f>
        <v>0</v>
      </c>
      <c r="C238" s="80">
        <f t="shared" si="225"/>
        <v>0</v>
      </c>
      <c r="D238" s="80">
        <f t="shared" si="225"/>
        <v>0</v>
      </c>
      <c r="E238" s="80">
        <f t="shared" si="225"/>
        <v>0</v>
      </c>
      <c r="F238" s="80">
        <f t="shared" si="225"/>
        <v>0</v>
      </c>
      <c r="G238" s="80">
        <f t="shared" si="225"/>
        <v>0</v>
      </c>
      <c r="H238" s="80">
        <f t="shared" si="225"/>
        <v>0</v>
      </c>
      <c r="I238" s="80">
        <f t="shared" si="225"/>
        <v>0</v>
      </c>
      <c r="J238" s="80">
        <f t="shared" si="225"/>
        <v>0</v>
      </c>
      <c r="K238" s="80">
        <f t="shared" si="225"/>
        <v>0</v>
      </c>
      <c r="L238" s="80">
        <f t="shared" si="225"/>
        <v>0</v>
      </c>
      <c r="M238" s="80">
        <f t="shared" si="225"/>
        <v>0</v>
      </c>
      <c r="N238" s="92">
        <f>SUM(B238:M238)</f>
        <v>0</v>
      </c>
    </row>
    <row r="239" spans="1:14" x14ac:dyDescent="0.35">
      <c r="A239" s="32" t="s">
        <v>93</v>
      </c>
      <c r="B239" s="239">
        <f>+'Plan de culture 114'!$AE$25</f>
        <v>0</v>
      </c>
      <c r="C239" s="239">
        <f>+B239</f>
        <v>0</v>
      </c>
      <c r="D239" s="239">
        <f t="shared" ref="D239" si="226">+C239</f>
        <v>0</v>
      </c>
      <c r="E239" s="239">
        <f>+'Plan de culture 104 '!C235</f>
        <v>0</v>
      </c>
      <c r="F239" s="239">
        <f>+E239+'Plan de culture 104 '!D235+'Plan de culture 104 '!E235</f>
        <v>0</v>
      </c>
      <c r="G239" s="239">
        <f>+F239</f>
        <v>0</v>
      </c>
      <c r="H239" s="239">
        <f t="shared" ref="H239:M239" si="227">+G239</f>
        <v>0</v>
      </c>
      <c r="I239" s="239">
        <f t="shared" si="227"/>
        <v>0</v>
      </c>
      <c r="J239" s="239">
        <f t="shared" si="227"/>
        <v>0</v>
      </c>
      <c r="K239" s="239">
        <f t="shared" si="227"/>
        <v>0</v>
      </c>
      <c r="L239" s="239">
        <f t="shared" si="227"/>
        <v>0</v>
      </c>
      <c r="M239" s="239">
        <f t="shared" si="227"/>
        <v>0</v>
      </c>
      <c r="N239" s="240">
        <f>+'Plan de culture 114'!$AE$25</f>
        <v>0</v>
      </c>
    </row>
    <row r="240" spans="1:14" x14ac:dyDescent="0.35">
      <c r="A240" s="89" t="s">
        <v>110</v>
      </c>
      <c r="B240" s="90">
        <f>4000/ 6.8</f>
        <v>588.23529411764707</v>
      </c>
      <c r="C240" s="90">
        <f>+B240</f>
        <v>588.23529411764707</v>
      </c>
      <c r="D240" s="90">
        <f t="shared" ref="D240:M240" si="228">+C240</f>
        <v>588.23529411764707</v>
      </c>
      <c r="E240" s="90">
        <f t="shared" si="228"/>
        <v>588.23529411764707</v>
      </c>
      <c r="F240" s="90">
        <f t="shared" si="228"/>
        <v>588.23529411764707</v>
      </c>
      <c r="G240" s="90">
        <f t="shared" si="228"/>
        <v>588.23529411764707</v>
      </c>
      <c r="H240" s="90">
        <f t="shared" si="228"/>
        <v>588.23529411764707</v>
      </c>
      <c r="I240" s="90">
        <f t="shared" si="228"/>
        <v>588.23529411764707</v>
      </c>
      <c r="J240" s="90">
        <f t="shared" si="228"/>
        <v>588.23529411764707</v>
      </c>
      <c r="K240" s="90">
        <f t="shared" si="228"/>
        <v>588.23529411764707</v>
      </c>
      <c r="L240" s="90">
        <f t="shared" si="228"/>
        <v>588.23529411764707</v>
      </c>
      <c r="M240" s="90">
        <f t="shared" si="228"/>
        <v>588.23529411764707</v>
      </c>
      <c r="N240" s="91">
        <f t="shared" ref="N240:N244" si="229">SUM(B240:M240)</f>
        <v>7058.823529411763</v>
      </c>
    </row>
    <row r="241" spans="1:14" x14ac:dyDescent="0.35">
      <c r="A241" s="89" t="s">
        <v>111</v>
      </c>
      <c r="B241" s="90"/>
      <c r="C241" s="90"/>
      <c r="D241" s="90">
        <f>1200/ 6.8</f>
        <v>176.47058823529412</v>
      </c>
      <c r="E241" s="90"/>
      <c r="F241" s="90"/>
      <c r="G241" s="90">
        <f>1200/ 6.8</f>
        <v>176.47058823529412</v>
      </c>
      <c r="H241" s="90"/>
      <c r="I241" s="90"/>
      <c r="J241" s="90">
        <f>1200/ 6.8</f>
        <v>176.47058823529412</v>
      </c>
      <c r="K241" s="90"/>
      <c r="L241" s="90"/>
      <c r="M241" s="90">
        <f>1200/ 6.8</f>
        <v>176.47058823529412</v>
      </c>
      <c r="N241" s="91">
        <f t="shared" si="229"/>
        <v>705.88235294117646</v>
      </c>
    </row>
    <row r="242" spans="1:14" x14ac:dyDescent="0.35">
      <c r="A242" s="89" t="s">
        <v>112</v>
      </c>
      <c r="B242" s="90">
        <f>+B234*0.85</f>
        <v>11325.658551937504</v>
      </c>
      <c r="C242" s="90">
        <f t="shared" ref="C242:J242" si="230">+C234*0.85</f>
        <v>9846.2028701250001</v>
      </c>
      <c r="D242" s="90">
        <f t="shared" si="230"/>
        <v>8727.5542235625016</v>
      </c>
      <c r="E242" s="90">
        <f t="shared" si="230"/>
        <v>8801.2777803749977</v>
      </c>
      <c r="F242" s="90">
        <f t="shared" si="230"/>
        <v>8592.6343387499946</v>
      </c>
      <c r="G242" s="90">
        <f t="shared" si="230"/>
        <v>8180.5715098125029</v>
      </c>
      <c r="H242" s="90">
        <f t="shared" si="230"/>
        <v>8218.377966</v>
      </c>
      <c r="I242" s="90">
        <f t="shared" si="230"/>
        <v>8223.1055002499997</v>
      </c>
      <c r="J242" s="90">
        <f t="shared" si="230"/>
        <v>8510.8789481250005</v>
      </c>
      <c r="K242" s="90">
        <f>+J242</f>
        <v>8510.8789481250005</v>
      </c>
      <c r="L242" s="90">
        <f>+K242</f>
        <v>8510.8789481250005</v>
      </c>
      <c r="M242" s="90">
        <f>+L242</f>
        <v>8510.8789481250005</v>
      </c>
      <c r="N242" s="91">
        <f t="shared" si="229"/>
        <v>105958.89853331249</v>
      </c>
    </row>
    <row r="243" spans="1:14" x14ac:dyDescent="0.35">
      <c r="A243" s="89" t="s">
        <v>113</v>
      </c>
      <c r="B243" s="90">
        <f>+(B242)*22%</f>
        <v>2491.6448814262508</v>
      </c>
      <c r="C243" s="90">
        <f t="shared" ref="C243:M243" si="231">+(C242)*22%</f>
        <v>2166.1646314274999</v>
      </c>
      <c r="D243" s="90">
        <f t="shared" si="231"/>
        <v>1920.0619291837504</v>
      </c>
      <c r="E243" s="90">
        <f t="shared" si="231"/>
        <v>1936.2811116824996</v>
      </c>
      <c r="F243" s="90">
        <f t="shared" si="231"/>
        <v>1890.3795545249989</v>
      </c>
      <c r="G243" s="90">
        <f t="shared" si="231"/>
        <v>1799.7257321587506</v>
      </c>
      <c r="H243" s="90">
        <f t="shared" si="231"/>
        <v>1808.0431525199999</v>
      </c>
      <c r="I243" s="90">
        <f t="shared" si="231"/>
        <v>1809.0832100549999</v>
      </c>
      <c r="J243" s="90">
        <f t="shared" si="231"/>
        <v>1872.3933685875002</v>
      </c>
      <c r="K243" s="90">
        <f t="shared" si="231"/>
        <v>1872.3933685875002</v>
      </c>
      <c r="L243" s="90">
        <f t="shared" si="231"/>
        <v>1872.3933685875002</v>
      </c>
      <c r="M243" s="90">
        <f t="shared" si="231"/>
        <v>1872.3933685875002</v>
      </c>
      <c r="N243" s="91">
        <f t="shared" si="229"/>
        <v>23310.957677328755</v>
      </c>
    </row>
    <row r="244" spans="1:14" x14ac:dyDescent="0.35">
      <c r="A244" s="17" t="s">
        <v>114</v>
      </c>
      <c r="B244" s="91">
        <f t="shared" ref="B244:M244" si="232">SUM(B240:B243)</f>
        <v>14405.538727481402</v>
      </c>
      <c r="C244" s="91">
        <f t="shared" si="232"/>
        <v>12600.602795670147</v>
      </c>
      <c r="D244" s="91">
        <f t="shared" si="232"/>
        <v>11412.322035099192</v>
      </c>
      <c r="E244" s="91">
        <f t="shared" si="232"/>
        <v>11325.794186175144</v>
      </c>
      <c r="F244" s="91">
        <f t="shared" si="232"/>
        <v>11071.249187392641</v>
      </c>
      <c r="G244" s="91">
        <f t="shared" si="232"/>
        <v>10745.003124324196</v>
      </c>
      <c r="H244" s="91">
        <f t="shared" si="232"/>
        <v>10614.656412637647</v>
      </c>
      <c r="I244" s="91">
        <f t="shared" si="232"/>
        <v>10620.424004422646</v>
      </c>
      <c r="J244" s="91">
        <f t="shared" si="232"/>
        <v>11147.978199065441</v>
      </c>
      <c r="K244" s="91">
        <f t="shared" si="232"/>
        <v>10971.507610830147</v>
      </c>
      <c r="L244" s="91">
        <f t="shared" si="232"/>
        <v>10971.507610830147</v>
      </c>
      <c r="M244" s="91">
        <f t="shared" si="232"/>
        <v>11147.978199065441</v>
      </c>
      <c r="N244" s="91">
        <f t="shared" si="229"/>
        <v>137034.56209299419</v>
      </c>
    </row>
    <row r="245" spans="1:14" x14ac:dyDescent="0.35">
      <c r="A245" s="32" t="s">
        <v>109</v>
      </c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84" t="e">
        <f>+N238/N239</f>
        <v>#DIV/0!</v>
      </c>
    </row>
    <row r="246" spans="1:14" x14ac:dyDescent="0.35">
      <c r="A246" s="65" t="s">
        <v>377</v>
      </c>
      <c r="B246" s="80">
        <f t="shared" ref="B246:M246" si="233">+(B252*B247)</f>
        <v>0</v>
      </c>
      <c r="C246" s="80">
        <f t="shared" si="233"/>
        <v>0</v>
      </c>
      <c r="D246" s="80">
        <f t="shared" si="233"/>
        <v>0</v>
      </c>
      <c r="E246" s="80">
        <f t="shared" si="233"/>
        <v>0</v>
      </c>
      <c r="F246" s="80">
        <f t="shared" si="233"/>
        <v>0</v>
      </c>
      <c r="G246" s="80">
        <f t="shared" si="233"/>
        <v>0</v>
      </c>
      <c r="H246" s="80">
        <f t="shared" si="233"/>
        <v>0</v>
      </c>
      <c r="I246" s="80">
        <f t="shared" si="233"/>
        <v>0</v>
      </c>
      <c r="J246" s="80">
        <f t="shared" si="233"/>
        <v>0</v>
      </c>
      <c r="K246" s="80">
        <f t="shared" si="233"/>
        <v>0</v>
      </c>
      <c r="L246" s="80">
        <f t="shared" si="233"/>
        <v>0</v>
      </c>
      <c r="M246" s="80">
        <f t="shared" si="233"/>
        <v>0</v>
      </c>
      <c r="N246" s="92">
        <f>SUM(B246:M246)</f>
        <v>0</v>
      </c>
    </row>
    <row r="247" spans="1:14" x14ac:dyDescent="0.35">
      <c r="A247" s="32" t="s">
        <v>93</v>
      </c>
      <c r="B247" s="239">
        <f>+'Plan de culture 114'!$AE$31</f>
        <v>0</v>
      </c>
      <c r="C247" s="239">
        <f>+B247</f>
        <v>0</v>
      </c>
      <c r="D247" s="239">
        <f t="shared" ref="D247" si="234">+C247</f>
        <v>0</v>
      </c>
      <c r="E247" s="239">
        <f>+'Plan de culture 104 '!C243</f>
        <v>0</v>
      </c>
      <c r="F247" s="239">
        <f>+E247+'Plan de culture 104 '!D243+'Plan de culture 104 '!E243</f>
        <v>0</v>
      </c>
      <c r="G247" s="239">
        <f>+F247</f>
        <v>0</v>
      </c>
      <c r="H247" s="239">
        <f t="shared" ref="H247:M247" si="235">+G247</f>
        <v>0</v>
      </c>
      <c r="I247" s="239">
        <f t="shared" si="235"/>
        <v>0</v>
      </c>
      <c r="J247" s="239">
        <f t="shared" si="235"/>
        <v>0</v>
      </c>
      <c r="K247" s="239">
        <f t="shared" si="235"/>
        <v>0</v>
      </c>
      <c r="L247" s="239">
        <f t="shared" si="235"/>
        <v>0</v>
      </c>
      <c r="M247" s="239">
        <f t="shared" si="235"/>
        <v>0</v>
      </c>
      <c r="N247" s="240">
        <f>+'Plan de culture 114'!$AE$31</f>
        <v>0</v>
      </c>
    </row>
    <row r="248" spans="1:14" x14ac:dyDescent="0.35">
      <c r="A248" s="89" t="s">
        <v>110</v>
      </c>
      <c r="B248" s="90">
        <f>4000/ 6.8</f>
        <v>588.23529411764707</v>
      </c>
      <c r="C248" s="90">
        <f>+B248</f>
        <v>588.23529411764707</v>
      </c>
      <c r="D248" s="90">
        <f t="shared" ref="D248:M248" si="236">+C248</f>
        <v>588.23529411764707</v>
      </c>
      <c r="E248" s="90">
        <f t="shared" si="236"/>
        <v>588.23529411764707</v>
      </c>
      <c r="F248" s="90">
        <f t="shared" si="236"/>
        <v>588.23529411764707</v>
      </c>
      <c r="G248" s="90">
        <f t="shared" si="236"/>
        <v>588.23529411764707</v>
      </c>
      <c r="H248" s="90">
        <f t="shared" si="236"/>
        <v>588.23529411764707</v>
      </c>
      <c r="I248" s="90">
        <f t="shared" si="236"/>
        <v>588.23529411764707</v>
      </c>
      <c r="J248" s="90">
        <f t="shared" si="236"/>
        <v>588.23529411764707</v>
      </c>
      <c r="K248" s="90">
        <f t="shared" si="236"/>
        <v>588.23529411764707</v>
      </c>
      <c r="L248" s="90">
        <f t="shared" si="236"/>
        <v>588.23529411764707</v>
      </c>
      <c r="M248" s="90">
        <f t="shared" si="236"/>
        <v>588.23529411764707</v>
      </c>
      <c r="N248" s="91">
        <f t="shared" ref="N248:N252" si="237">SUM(B248:M248)</f>
        <v>7058.823529411763</v>
      </c>
    </row>
    <row r="249" spans="1:14" x14ac:dyDescent="0.35">
      <c r="A249" s="89" t="s">
        <v>111</v>
      </c>
      <c r="B249" s="90"/>
      <c r="C249" s="90"/>
      <c r="D249" s="90">
        <f>1200/ 6.8</f>
        <v>176.47058823529412</v>
      </c>
      <c r="E249" s="90"/>
      <c r="F249" s="90"/>
      <c r="G249" s="90">
        <f>1200/ 6.8</f>
        <v>176.47058823529412</v>
      </c>
      <c r="H249" s="90"/>
      <c r="I249" s="90"/>
      <c r="J249" s="90">
        <f>1200/ 6.8</f>
        <v>176.47058823529412</v>
      </c>
      <c r="K249" s="90"/>
      <c r="L249" s="90"/>
      <c r="M249" s="90">
        <f>1200/ 6.8</f>
        <v>176.47058823529412</v>
      </c>
      <c r="N249" s="91">
        <f t="shared" si="237"/>
        <v>705.88235294117646</v>
      </c>
    </row>
    <row r="250" spans="1:14" x14ac:dyDescent="0.35">
      <c r="A250" s="89" t="s">
        <v>112</v>
      </c>
      <c r="B250" s="90">
        <f>+B242*0.85</f>
        <v>9626.8097691468774</v>
      </c>
      <c r="C250" s="90">
        <f t="shared" ref="C250:J250" si="238">+C242*0.85</f>
        <v>8369.2724396062495</v>
      </c>
      <c r="D250" s="90">
        <f t="shared" si="238"/>
        <v>7418.4210900281259</v>
      </c>
      <c r="E250" s="90">
        <f t="shared" si="238"/>
        <v>7481.0861133187482</v>
      </c>
      <c r="F250" s="90">
        <f t="shared" si="238"/>
        <v>7303.7391879374954</v>
      </c>
      <c r="G250" s="90">
        <f t="shared" si="238"/>
        <v>6953.4857833406277</v>
      </c>
      <c r="H250" s="90">
        <f t="shared" si="238"/>
        <v>6985.6212710999998</v>
      </c>
      <c r="I250" s="90">
        <f t="shared" si="238"/>
        <v>6989.6396752124992</v>
      </c>
      <c r="J250" s="90">
        <f t="shared" si="238"/>
        <v>7234.24710590625</v>
      </c>
      <c r="K250" s="90">
        <f>+J250</f>
        <v>7234.24710590625</v>
      </c>
      <c r="L250" s="90">
        <f>+K250</f>
        <v>7234.24710590625</v>
      </c>
      <c r="M250" s="90">
        <f>+L250</f>
        <v>7234.24710590625</v>
      </c>
      <c r="N250" s="91">
        <f t="shared" si="237"/>
        <v>90065.063753315626</v>
      </c>
    </row>
    <row r="251" spans="1:14" x14ac:dyDescent="0.35">
      <c r="A251" s="89" t="s">
        <v>113</v>
      </c>
      <c r="B251" s="90">
        <f>+(B250)*22%</f>
        <v>2117.898149212313</v>
      </c>
      <c r="C251" s="90">
        <f t="shared" ref="C251:M251" si="239">+(C250)*22%</f>
        <v>1841.2399367133748</v>
      </c>
      <c r="D251" s="90">
        <f t="shared" si="239"/>
        <v>1632.0526398061877</v>
      </c>
      <c r="E251" s="90">
        <f t="shared" si="239"/>
        <v>1645.8389449301246</v>
      </c>
      <c r="F251" s="90">
        <f t="shared" si="239"/>
        <v>1606.822621346249</v>
      </c>
      <c r="G251" s="90">
        <f t="shared" si="239"/>
        <v>1529.7668723349382</v>
      </c>
      <c r="H251" s="90">
        <f t="shared" si="239"/>
        <v>1536.836679642</v>
      </c>
      <c r="I251" s="90">
        <f t="shared" si="239"/>
        <v>1537.7207285467498</v>
      </c>
      <c r="J251" s="90">
        <f t="shared" si="239"/>
        <v>1591.5343632993749</v>
      </c>
      <c r="K251" s="90">
        <f t="shared" si="239"/>
        <v>1591.5343632993749</v>
      </c>
      <c r="L251" s="90">
        <f t="shared" si="239"/>
        <v>1591.5343632993749</v>
      </c>
      <c r="M251" s="90">
        <f t="shared" si="239"/>
        <v>1591.5343632993749</v>
      </c>
      <c r="N251" s="91">
        <f t="shared" si="237"/>
        <v>19814.314025729436</v>
      </c>
    </row>
    <row r="252" spans="1:14" x14ac:dyDescent="0.35">
      <c r="A252" s="17" t="s">
        <v>114</v>
      </c>
      <c r="B252" s="91">
        <f t="shared" ref="B252:M252" si="240">SUM(B248:B251)</f>
        <v>12332.943212476837</v>
      </c>
      <c r="C252" s="91">
        <f t="shared" si="240"/>
        <v>10798.747670437271</v>
      </c>
      <c r="D252" s="91">
        <f t="shared" si="240"/>
        <v>9815.1796121872558</v>
      </c>
      <c r="E252" s="91">
        <f t="shared" si="240"/>
        <v>9715.1603523665199</v>
      </c>
      <c r="F252" s="91">
        <f t="shared" si="240"/>
        <v>9498.7971034013917</v>
      </c>
      <c r="G252" s="91">
        <f t="shared" si="240"/>
        <v>9247.958538028508</v>
      </c>
      <c r="H252" s="91">
        <f t="shared" si="240"/>
        <v>9110.6932448596472</v>
      </c>
      <c r="I252" s="91">
        <f t="shared" si="240"/>
        <v>9115.5956978768954</v>
      </c>
      <c r="J252" s="91">
        <f t="shared" si="240"/>
        <v>9590.4873515585659</v>
      </c>
      <c r="K252" s="91">
        <f t="shared" si="240"/>
        <v>9414.0167633232722</v>
      </c>
      <c r="L252" s="91">
        <f t="shared" si="240"/>
        <v>9414.0167633232722</v>
      </c>
      <c r="M252" s="91">
        <f t="shared" si="240"/>
        <v>9590.4873515585659</v>
      </c>
      <c r="N252" s="91">
        <f t="shared" si="237"/>
        <v>117644.08366139801</v>
      </c>
    </row>
    <row r="253" spans="1:14" x14ac:dyDescent="0.35">
      <c r="A253" s="32" t="s">
        <v>109</v>
      </c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84" t="e">
        <f>+N246/N247</f>
        <v>#DIV/0!</v>
      </c>
    </row>
    <row r="254" spans="1:14" x14ac:dyDescent="0.35">
      <c r="A254" s="65" t="s">
        <v>378</v>
      </c>
      <c r="B254" s="80">
        <f t="shared" ref="B254:M254" si="241">+(B260*B255)</f>
        <v>0</v>
      </c>
      <c r="C254" s="80">
        <f t="shared" si="241"/>
        <v>0</v>
      </c>
      <c r="D254" s="80">
        <f t="shared" si="241"/>
        <v>0</v>
      </c>
      <c r="E254" s="80">
        <f t="shared" si="241"/>
        <v>0</v>
      </c>
      <c r="F254" s="80">
        <f t="shared" si="241"/>
        <v>0</v>
      </c>
      <c r="G254" s="80">
        <f t="shared" si="241"/>
        <v>0</v>
      </c>
      <c r="H254" s="80">
        <f t="shared" si="241"/>
        <v>0</v>
      </c>
      <c r="I254" s="80">
        <f t="shared" si="241"/>
        <v>0</v>
      </c>
      <c r="J254" s="80">
        <f t="shared" si="241"/>
        <v>0</v>
      </c>
      <c r="K254" s="80">
        <f t="shared" si="241"/>
        <v>0</v>
      </c>
      <c r="L254" s="80">
        <f t="shared" si="241"/>
        <v>0</v>
      </c>
      <c r="M254" s="80">
        <f t="shared" si="241"/>
        <v>0</v>
      </c>
      <c r="N254" s="92">
        <f>SUM(B254:M254)</f>
        <v>0</v>
      </c>
    </row>
    <row r="255" spans="1:14" x14ac:dyDescent="0.35">
      <c r="A255" s="32" t="s">
        <v>93</v>
      </c>
      <c r="B255" s="239">
        <f>+'Plan de culture 114'!$AE$37</f>
        <v>0</v>
      </c>
      <c r="C255" s="239">
        <f>+B255</f>
        <v>0</v>
      </c>
      <c r="D255" s="239">
        <f t="shared" ref="D255" si="242">+C255</f>
        <v>0</v>
      </c>
      <c r="E255" s="239">
        <f>+'Plan de culture 104 '!C251</f>
        <v>0</v>
      </c>
      <c r="F255" s="239">
        <f>+E255+'Plan de culture 104 '!D251+'Plan de culture 104 '!E251</f>
        <v>0</v>
      </c>
      <c r="G255" s="239">
        <f>+F255</f>
        <v>0</v>
      </c>
      <c r="H255" s="239">
        <f t="shared" ref="H255:M255" si="243">+G255</f>
        <v>0</v>
      </c>
      <c r="I255" s="239">
        <f t="shared" si="243"/>
        <v>0</v>
      </c>
      <c r="J255" s="239">
        <f t="shared" si="243"/>
        <v>0</v>
      </c>
      <c r="K255" s="239">
        <f t="shared" si="243"/>
        <v>0</v>
      </c>
      <c r="L255" s="239">
        <f t="shared" si="243"/>
        <v>0</v>
      </c>
      <c r="M255" s="239">
        <f t="shared" si="243"/>
        <v>0</v>
      </c>
      <c r="N255" s="240">
        <f>+'Plan de culture 114'!$AE$37</f>
        <v>0</v>
      </c>
    </row>
    <row r="256" spans="1:14" x14ac:dyDescent="0.35">
      <c r="A256" s="89" t="s">
        <v>110</v>
      </c>
      <c r="B256" s="90">
        <f>4000/ 6.8</f>
        <v>588.23529411764707</v>
      </c>
      <c r="C256" s="90">
        <f>+B256</f>
        <v>588.23529411764707</v>
      </c>
      <c r="D256" s="90">
        <f t="shared" ref="D256:M256" si="244">+C256</f>
        <v>588.23529411764707</v>
      </c>
      <c r="E256" s="90">
        <f t="shared" si="244"/>
        <v>588.23529411764707</v>
      </c>
      <c r="F256" s="90">
        <f t="shared" si="244"/>
        <v>588.23529411764707</v>
      </c>
      <c r="G256" s="90">
        <f t="shared" si="244"/>
        <v>588.23529411764707</v>
      </c>
      <c r="H256" s="90">
        <f t="shared" si="244"/>
        <v>588.23529411764707</v>
      </c>
      <c r="I256" s="90">
        <f t="shared" si="244"/>
        <v>588.23529411764707</v>
      </c>
      <c r="J256" s="90">
        <f t="shared" si="244"/>
        <v>588.23529411764707</v>
      </c>
      <c r="K256" s="90">
        <f t="shared" si="244"/>
        <v>588.23529411764707</v>
      </c>
      <c r="L256" s="90">
        <f t="shared" si="244"/>
        <v>588.23529411764707</v>
      </c>
      <c r="M256" s="90">
        <f t="shared" si="244"/>
        <v>588.23529411764707</v>
      </c>
      <c r="N256" s="91">
        <f t="shared" ref="N256:N260" si="245">SUM(B256:M256)</f>
        <v>7058.823529411763</v>
      </c>
    </row>
    <row r="257" spans="1:14" x14ac:dyDescent="0.35">
      <c r="A257" s="89" t="s">
        <v>111</v>
      </c>
      <c r="B257" s="90"/>
      <c r="C257" s="90"/>
      <c r="D257" s="90">
        <f>1200/ 6.8</f>
        <v>176.47058823529412</v>
      </c>
      <c r="E257" s="90"/>
      <c r="F257" s="90"/>
      <c r="G257" s="90">
        <f>1200/ 6.8</f>
        <v>176.47058823529412</v>
      </c>
      <c r="H257" s="90"/>
      <c r="I257" s="90"/>
      <c r="J257" s="90">
        <f>1200/ 6.8</f>
        <v>176.47058823529412</v>
      </c>
      <c r="K257" s="90"/>
      <c r="L257" s="90"/>
      <c r="M257" s="90">
        <f>1200/ 6.8</f>
        <v>176.47058823529412</v>
      </c>
      <c r="N257" s="91">
        <f t="shared" si="245"/>
        <v>705.88235294117646</v>
      </c>
    </row>
    <row r="258" spans="1:14" x14ac:dyDescent="0.35">
      <c r="A258" s="89" t="s">
        <v>112</v>
      </c>
      <c r="B258" s="90">
        <f>+B250*0.85</f>
        <v>8182.7883037748452</v>
      </c>
      <c r="C258" s="90">
        <f t="shared" ref="C258:J258" si="246">+C250*0.85</f>
        <v>7113.8815736653114</v>
      </c>
      <c r="D258" s="90">
        <f t="shared" si="246"/>
        <v>6305.657926523907</v>
      </c>
      <c r="E258" s="90">
        <f t="shared" si="246"/>
        <v>6358.9231963209359</v>
      </c>
      <c r="F258" s="90">
        <f t="shared" si="246"/>
        <v>6208.1783097468706</v>
      </c>
      <c r="G258" s="90">
        <f t="shared" si="246"/>
        <v>5910.4629158395337</v>
      </c>
      <c r="H258" s="90">
        <f t="shared" si="246"/>
        <v>5937.7780804349995</v>
      </c>
      <c r="I258" s="90">
        <f t="shared" si="246"/>
        <v>5941.1937239306244</v>
      </c>
      <c r="J258" s="90">
        <f t="shared" si="246"/>
        <v>6149.1100400203122</v>
      </c>
      <c r="K258" s="90">
        <f>+J258</f>
        <v>6149.1100400203122</v>
      </c>
      <c r="L258" s="90">
        <f>+K258</f>
        <v>6149.1100400203122</v>
      </c>
      <c r="M258" s="90">
        <f>+L258</f>
        <v>6149.1100400203122</v>
      </c>
      <c r="N258" s="91">
        <f t="shared" si="245"/>
        <v>76555.304190318275</v>
      </c>
    </row>
    <row r="259" spans="1:14" x14ac:dyDescent="0.35">
      <c r="A259" s="89" t="s">
        <v>113</v>
      </c>
      <c r="B259" s="90">
        <f>+(B258)*22%</f>
        <v>1800.213426830466</v>
      </c>
      <c r="C259" s="90">
        <f t="shared" ref="C259:M259" si="247">+(C258)*22%</f>
        <v>1565.0539462063684</v>
      </c>
      <c r="D259" s="90">
        <f t="shared" si="247"/>
        <v>1387.2447438352594</v>
      </c>
      <c r="E259" s="90">
        <f t="shared" si="247"/>
        <v>1398.9631031906058</v>
      </c>
      <c r="F259" s="90">
        <f t="shared" si="247"/>
        <v>1365.7992281443114</v>
      </c>
      <c r="G259" s="90">
        <f t="shared" si="247"/>
        <v>1300.3018414846974</v>
      </c>
      <c r="H259" s="90">
        <f t="shared" si="247"/>
        <v>1306.3111776956998</v>
      </c>
      <c r="I259" s="90">
        <f t="shared" si="247"/>
        <v>1307.0626192647374</v>
      </c>
      <c r="J259" s="90">
        <f t="shared" si="247"/>
        <v>1352.8042088044688</v>
      </c>
      <c r="K259" s="90">
        <f t="shared" si="247"/>
        <v>1352.8042088044688</v>
      </c>
      <c r="L259" s="90">
        <f t="shared" si="247"/>
        <v>1352.8042088044688</v>
      </c>
      <c r="M259" s="90">
        <f t="shared" si="247"/>
        <v>1352.8042088044688</v>
      </c>
      <c r="N259" s="91">
        <f t="shared" si="245"/>
        <v>16842.166921870023</v>
      </c>
    </row>
    <row r="260" spans="1:14" x14ac:dyDescent="0.35">
      <c r="A260" s="17" t="s">
        <v>114</v>
      </c>
      <c r="B260" s="91">
        <f t="shared" ref="B260:M260" si="248">SUM(B256:B259)</f>
        <v>10571.237024722957</v>
      </c>
      <c r="C260" s="91">
        <f t="shared" si="248"/>
        <v>9267.1708139893271</v>
      </c>
      <c r="D260" s="91">
        <f t="shared" si="248"/>
        <v>8457.6085527121086</v>
      </c>
      <c r="E260" s="91">
        <f t="shared" si="248"/>
        <v>8346.1215936291883</v>
      </c>
      <c r="F260" s="91">
        <f t="shared" si="248"/>
        <v>8162.2128320088286</v>
      </c>
      <c r="G260" s="91">
        <f t="shared" si="248"/>
        <v>7975.4706396771726</v>
      </c>
      <c r="H260" s="91">
        <f t="shared" si="248"/>
        <v>7832.3245522483467</v>
      </c>
      <c r="I260" s="91">
        <f t="shared" si="248"/>
        <v>7836.4916373130091</v>
      </c>
      <c r="J260" s="91">
        <f t="shared" si="248"/>
        <v>8266.6201311777222</v>
      </c>
      <c r="K260" s="91">
        <f t="shared" si="248"/>
        <v>8090.1495429424276</v>
      </c>
      <c r="L260" s="91">
        <f t="shared" si="248"/>
        <v>8090.1495429424276</v>
      </c>
      <c r="M260" s="91">
        <f t="shared" si="248"/>
        <v>8266.6201311777222</v>
      </c>
      <c r="N260" s="91">
        <f t="shared" si="245"/>
        <v>101162.17699454125</v>
      </c>
    </row>
    <row r="261" spans="1:14" x14ac:dyDescent="0.35">
      <c r="A261" s="32" t="s">
        <v>109</v>
      </c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84" t="e">
        <f>+N254/N255</f>
        <v>#DIV/0!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N261"/>
  <sheetViews>
    <sheetView zoomScaleNormal="100" workbookViewId="0">
      <selection activeCell="B11" sqref="B11"/>
    </sheetView>
  </sheetViews>
  <sheetFormatPr baseColWidth="10" defaultColWidth="11.46484375" defaultRowHeight="11.65" x14ac:dyDescent="0.35"/>
  <cols>
    <col min="1" max="1" width="30" style="32" customWidth="1"/>
    <col min="2" max="2" width="7" style="32" bestFit="1" customWidth="1"/>
    <col min="3" max="3" width="7.796875" style="32" bestFit="1" customWidth="1"/>
    <col min="4" max="4" width="7" style="32" bestFit="1" customWidth="1"/>
    <col min="5" max="8" width="7.796875" style="32" bestFit="1" customWidth="1"/>
    <col min="9" max="9" width="7" style="32" bestFit="1" customWidth="1"/>
    <col min="10" max="11" width="7.796875" style="32" bestFit="1" customWidth="1"/>
    <col min="12" max="12" width="7" style="32" bestFit="1" customWidth="1"/>
    <col min="13" max="13" width="7.796875" style="32" bestFit="1" customWidth="1"/>
    <col min="14" max="14" width="8.73046875" style="32" bestFit="1" customWidth="1"/>
    <col min="15" max="16384" width="11.46484375" style="32"/>
  </cols>
  <sheetData>
    <row r="1" spans="1:14" ht="35.25" thickBot="1" x14ac:dyDescent="0.4">
      <c r="A1" s="68" t="s">
        <v>319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71" t="s">
        <v>115</v>
      </c>
      <c r="B4" s="76">
        <f t="shared" ref="B4:M4" si="1">B7+B16+B22</f>
        <v>0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23025000.000000004</v>
      </c>
      <c r="G4" s="76">
        <f t="shared" si="1"/>
        <v>17268750.000000004</v>
      </c>
      <c r="H4" s="76">
        <f t="shared" si="1"/>
        <v>17268750.000000004</v>
      </c>
      <c r="I4" s="76">
        <f t="shared" si="1"/>
        <v>23025000.000000004</v>
      </c>
      <c r="J4" s="76">
        <f t="shared" si="1"/>
        <v>17268750.000000004</v>
      </c>
      <c r="K4" s="76">
        <f t="shared" si="1"/>
        <v>17268750.000000004</v>
      </c>
      <c r="L4" s="76">
        <f t="shared" si="1"/>
        <v>11512500.000000002</v>
      </c>
      <c r="M4" s="76">
        <f t="shared" si="1"/>
        <v>5756250.0000000009</v>
      </c>
      <c r="N4" s="76">
        <f>SUM(B4:M4)</f>
        <v>132393750.00000001</v>
      </c>
    </row>
    <row r="5" spans="1:14" s="57" customFormat="1" x14ac:dyDescent="0.35">
      <c r="A5" s="71" t="s">
        <v>142</v>
      </c>
      <c r="B5" s="85">
        <f t="shared" ref="B5:M5" si="2">B8+B17+B23</f>
        <v>0</v>
      </c>
      <c r="C5" s="85">
        <f t="shared" si="2"/>
        <v>0</v>
      </c>
      <c r="D5" s="85">
        <f t="shared" si="2"/>
        <v>0</v>
      </c>
      <c r="E5" s="85">
        <f t="shared" si="2"/>
        <v>0</v>
      </c>
      <c r="F5" s="85">
        <f t="shared" si="2"/>
        <v>307000.00000000006</v>
      </c>
      <c r="G5" s="85">
        <f t="shared" si="2"/>
        <v>230250.00000000006</v>
      </c>
      <c r="H5" s="85">
        <f t="shared" si="2"/>
        <v>230250.00000000006</v>
      </c>
      <c r="I5" s="85">
        <f t="shared" si="2"/>
        <v>307000.00000000006</v>
      </c>
      <c r="J5" s="85">
        <f t="shared" si="2"/>
        <v>230250.00000000006</v>
      </c>
      <c r="K5" s="85">
        <f t="shared" si="2"/>
        <v>230250.00000000006</v>
      </c>
      <c r="L5" s="85">
        <f t="shared" si="2"/>
        <v>153500.00000000003</v>
      </c>
      <c r="M5" s="85">
        <f t="shared" si="2"/>
        <v>76750.000000000015</v>
      </c>
      <c r="N5" s="85">
        <f>SUM(B5:M5)</f>
        <v>1765250.0000000002</v>
      </c>
    </row>
    <row r="6" spans="1:14" s="57" customFormat="1" x14ac:dyDescent="0.35">
      <c r="A6" s="71" t="s">
        <v>143</v>
      </c>
      <c r="B6" s="75" t="e">
        <f>+B4/B5/1000</f>
        <v>#DIV/0!</v>
      </c>
      <c r="C6" s="75" t="e">
        <f t="shared" ref="C6:N6" si="3">+C4/C5/1000</f>
        <v>#DIV/0!</v>
      </c>
      <c r="D6" s="75" t="e">
        <f t="shared" si="3"/>
        <v>#DIV/0!</v>
      </c>
      <c r="E6" s="75" t="e">
        <f t="shared" si="3"/>
        <v>#DIV/0!</v>
      </c>
      <c r="F6" s="75">
        <f t="shared" si="3"/>
        <v>7.4999999999999997E-2</v>
      </c>
      <c r="G6" s="75">
        <f t="shared" si="3"/>
        <v>7.4999999999999997E-2</v>
      </c>
      <c r="H6" s="75">
        <f t="shared" si="3"/>
        <v>7.4999999999999997E-2</v>
      </c>
      <c r="I6" s="75">
        <f t="shared" si="3"/>
        <v>7.4999999999999997E-2</v>
      </c>
      <c r="J6" s="75">
        <f t="shared" si="3"/>
        <v>7.4999999999999997E-2</v>
      </c>
      <c r="K6" s="75">
        <f t="shared" si="3"/>
        <v>7.4999999999999997E-2</v>
      </c>
      <c r="L6" s="75">
        <f t="shared" si="3"/>
        <v>7.4999999999999997E-2</v>
      </c>
      <c r="M6" s="75">
        <f t="shared" si="3"/>
        <v>7.4999999999999997E-2</v>
      </c>
      <c r="N6" s="75">
        <f t="shared" si="3"/>
        <v>7.4999999999999997E-2</v>
      </c>
    </row>
    <row r="7" spans="1:14" s="57" customFormat="1" x14ac:dyDescent="0.35">
      <c r="A7" s="72" t="s">
        <v>241</v>
      </c>
      <c r="B7" s="77">
        <f>+B10+B13</f>
        <v>0</v>
      </c>
      <c r="C7" s="77">
        <f t="shared" ref="C7:M7" si="4">+C10+C13</f>
        <v>0</v>
      </c>
      <c r="D7" s="77">
        <f t="shared" si="4"/>
        <v>0</v>
      </c>
      <c r="E7" s="77">
        <f t="shared" si="4"/>
        <v>0</v>
      </c>
      <c r="F7" s="77">
        <f t="shared" si="4"/>
        <v>23025000.000000004</v>
      </c>
      <c r="G7" s="77">
        <f t="shared" si="4"/>
        <v>17268750.000000004</v>
      </c>
      <c r="H7" s="77">
        <f t="shared" si="4"/>
        <v>17268750.000000004</v>
      </c>
      <c r="I7" s="77">
        <f t="shared" si="4"/>
        <v>23025000.000000004</v>
      </c>
      <c r="J7" s="77">
        <f t="shared" si="4"/>
        <v>17268750.000000004</v>
      </c>
      <c r="K7" s="77">
        <f t="shared" si="4"/>
        <v>17268750.000000004</v>
      </c>
      <c r="L7" s="77">
        <f t="shared" si="4"/>
        <v>11512500.000000002</v>
      </c>
      <c r="M7" s="77">
        <f t="shared" si="4"/>
        <v>5756250.0000000009</v>
      </c>
      <c r="N7" s="78">
        <f>SUM(B7:M7)</f>
        <v>132393750.00000001</v>
      </c>
    </row>
    <row r="8" spans="1:14" s="57" customFormat="1" x14ac:dyDescent="0.35">
      <c r="A8" s="72" t="s">
        <v>142</v>
      </c>
      <c r="B8" s="81">
        <f>+B11+B14</f>
        <v>0</v>
      </c>
      <c r="C8" s="81">
        <f t="shared" ref="C8:M8" si="5">+C11+C14</f>
        <v>0</v>
      </c>
      <c r="D8" s="81">
        <f t="shared" si="5"/>
        <v>0</v>
      </c>
      <c r="E8" s="81">
        <f t="shared" si="5"/>
        <v>0</v>
      </c>
      <c r="F8" s="81">
        <f t="shared" si="5"/>
        <v>307000.00000000006</v>
      </c>
      <c r="G8" s="81">
        <f t="shared" si="5"/>
        <v>230250.00000000006</v>
      </c>
      <c r="H8" s="81">
        <f t="shared" si="5"/>
        <v>230250.00000000006</v>
      </c>
      <c r="I8" s="81">
        <f t="shared" si="5"/>
        <v>307000.00000000006</v>
      </c>
      <c r="J8" s="81">
        <f t="shared" si="5"/>
        <v>230250.00000000006</v>
      </c>
      <c r="K8" s="81">
        <f t="shared" si="5"/>
        <v>230250.00000000006</v>
      </c>
      <c r="L8" s="81">
        <f t="shared" si="5"/>
        <v>153500.00000000003</v>
      </c>
      <c r="M8" s="81">
        <f t="shared" si="5"/>
        <v>76750.000000000015</v>
      </c>
      <c r="N8" s="82">
        <f>SUM(B8:M8)</f>
        <v>1765250.0000000002</v>
      </c>
    </row>
    <row r="9" spans="1:14" s="57" customFormat="1" x14ac:dyDescent="0.35">
      <c r="A9" s="72" t="s">
        <v>143</v>
      </c>
      <c r="B9" s="83" t="e">
        <f>+B7/B8/1000</f>
        <v>#DIV/0!</v>
      </c>
      <c r="C9" s="83" t="e">
        <f t="shared" ref="C9:N9" si="6">+C7/C8/1000</f>
        <v>#DIV/0!</v>
      </c>
      <c r="D9" s="83" t="e">
        <f t="shared" si="6"/>
        <v>#DIV/0!</v>
      </c>
      <c r="E9" s="83" t="e">
        <f t="shared" si="6"/>
        <v>#DIV/0!</v>
      </c>
      <c r="F9" s="83">
        <f t="shared" si="6"/>
        <v>7.4999999999999997E-2</v>
      </c>
      <c r="G9" s="83">
        <f t="shared" si="6"/>
        <v>7.4999999999999997E-2</v>
      </c>
      <c r="H9" s="83">
        <f t="shared" si="6"/>
        <v>7.4999999999999997E-2</v>
      </c>
      <c r="I9" s="83">
        <f t="shared" si="6"/>
        <v>7.4999999999999997E-2</v>
      </c>
      <c r="J9" s="83">
        <f t="shared" si="6"/>
        <v>7.4999999999999997E-2</v>
      </c>
      <c r="K9" s="83">
        <f t="shared" si="6"/>
        <v>7.4999999999999997E-2</v>
      </c>
      <c r="L9" s="83">
        <f t="shared" si="6"/>
        <v>7.4999999999999997E-2</v>
      </c>
      <c r="M9" s="83">
        <f t="shared" si="6"/>
        <v>7.4999999999999997E-2</v>
      </c>
      <c r="N9" s="83">
        <f t="shared" si="6"/>
        <v>7.4999999999999997E-2</v>
      </c>
    </row>
    <row r="10" spans="1:14" x14ac:dyDescent="0.35">
      <c r="A10" s="65" t="s">
        <v>90</v>
      </c>
      <c r="B10" s="80">
        <f>(B12*B11)*1000</f>
        <v>0</v>
      </c>
      <c r="C10" s="80">
        <f t="shared" ref="C10:M10" si="7">(C12*C11)*1000</f>
        <v>0</v>
      </c>
      <c r="D10" s="80">
        <f t="shared" si="7"/>
        <v>0</v>
      </c>
      <c r="E10" s="80">
        <f t="shared" si="7"/>
        <v>0</v>
      </c>
      <c r="F10" s="80">
        <f t="shared" si="7"/>
        <v>23025000.000000004</v>
      </c>
      <c r="G10" s="80">
        <f t="shared" si="7"/>
        <v>17268750.000000004</v>
      </c>
      <c r="H10" s="80">
        <f t="shared" si="7"/>
        <v>17268750.000000004</v>
      </c>
      <c r="I10" s="80">
        <f t="shared" si="7"/>
        <v>23025000.000000004</v>
      </c>
      <c r="J10" s="80">
        <f t="shared" si="7"/>
        <v>17268750.000000004</v>
      </c>
      <c r="K10" s="80">
        <f t="shared" si="7"/>
        <v>17268750.000000004</v>
      </c>
      <c r="L10" s="80">
        <f t="shared" si="7"/>
        <v>11512500.000000002</v>
      </c>
      <c r="M10" s="80">
        <f t="shared" si="7"/>
        <v>5756250.0000000009</v>
      </c>
      <c r="N10" s="80">
        <f>SUM(B10:M10)</f>
        <v>132393750.00000001</v>
      </c>
    </row>
    <row r="11" spans="1:14" x14ac:dyDescent="0.35">
      <c r="A11" s="32" t="s">
        <v>142</v>
      </c>
      <c r="B11" s="73">
        <f>+'Budget Volumes Export'!B10</f>
        <v>0</v>
      </c>
      <c r="C11" s="73">
        <f>+'Budget Volumes Export'!C10</f>
        <v>0</v>
      </c>
      <c r="D11" s="73">
        <f>+'Budget Volumes Export'!D10</f>
        <v>0</v>
      </c>
      <c r="E11" s="73">
        <f>+'Budget Volumes Export'!E10</f>
        <v>0</v>
      </c>
      <c r="F11" s="73">
        <f>+'Budget Volumes Export'!F10</f>
        <v>307000.00000000006</v>
      </c>
      <c r="G11" s="73">
        <f>+'Budget Volumes Export'!G10</f>
        <v>230250.00000000006</v>
      </c>
      <c r="H11" s="73">
        <f>+'Budget Volumes Export'!H10</f>
        <v>230250.00000000006</v>
      </c>
      <c r="I11" s="73">
        <f>+'Budget Volumes Export'!I10</f>
        <v>307000.00000000006</v>
      </c>
      <c r="J11" s="73">
        <f>+'Budget Volumes Export'!J10</f>
        <v>230250.00000000006</v>
      </c>
      <c r="K11" s="73">
        <f>+'Budget Volumes Export'!K10</f>
        <v>230250.00000000006</v>
      </c>
      <c r="L11" s="73">
        <f>+'Budget Volumes Export'!L10</f>
        <v>153500.00000000003</v>
      </c>
      <c r="M11" s="73">
        <f>+'Budget Volumes Export'!M10</f>
        <v>76750.000000000015</v>
      </c>
      <c r="N11" s="70">
        <f>SUM(B11:M11)</f>
        <v>1765250.0000000002</v>
      </c>
    </row>
    <row r="12" spans="1:14" x14ac:dyDescent="0.35">
      <c r="A12" s="32" t="s">
        <v>143</v>
      </c>
      <c r="B12" s="62">
        <v>7.4999999999999997E-2</v>
      </c>
      <c r="C12" s="62">
        <f>+B12</f>
        <v>7.4999999999999997E-2</v>
      </c>
      <c r="D12" s="62">
        <f t="shared" ref="D12:M12" si="8">+C12</f>
        <v>7.4999999999999997E-2</v>
      </c>
      <c r="E12" s="62">
        <f t="shared" si="8"/>
        <v>7.4999999999999997E-2</v>
      </c>
      <c r="F12" s="62">
        <f t="shared" si="8"/>
        <v>7.4999999999999997E-2</v>
      </c>
      <c r="G12" s="62">
        <f t="shared" si="8"/>
        <v>7.4999999999999997E-2</v>
      </c>
      <c r="H12" s="62">
        <f t="shared" si="8"/>
        <v>7.4999999999999997E-2</v>
      </c>
      <c r="I12" s="62">
        <f t="shared" si="8"/>
        <v>7.4999999999999997E-2</v>
      </c>
      <c r="J12" s="62">
        <f t="shared" si="8"/>
        <v>7.4999999999999997E-2</v>
      </c>
      <c r="K12" s="62">
        <f t="shared" si="8"/>
        <v>7.4999999999999997E-2</v>
      </c>
      <c r="L12" s="62">
        <f t="shared" si="8"/>
        <v>7.4999999999999997E-2</v>
      </c>
      <c r="M12" s="62">
        <f t="shared" si="8"/>
        <v>7.4999999999999997E-2</v>
      </c>
      <c r="N12" s="70">
        <f>+N10/N11/1000</f>
        <v>7.4999999999999997E-2</v>
      </c>
    </row>
    <row r="13" spans="1:14" x14ac:dyDescent="0.35">
      <c r="A13" s="65" t="s">
        <v>91</v>
      </c>
      <c r="B13" s="80">
        <f>(B15*B14)*1000</f>
        <v>0</v>
      </c>
      <c r="C13" s="80">
        <f t="shared" ref="C13" si="9">(C15*C14)*1000</f>
        <v>0</v>
      </c>
      <c r="D13" s="80">
        <f t="shared" ref="D13" si="10">(D15*D14)*1000</f>
        <v>0</v>
      </c>
      <c r="E13" s="80">
        <f t="shared" ref="E13" si="11">(E15*E14)*1000</f>
        <v>0</v>
      </c>
      <c r="F13" s="80">
        <f t="shared" ref="F13" si="12">(F15*F14)*1000</f>
        <v>0</v>
      </c>
      <c r="G13" s="80">
        <f t="shared" ref="G13" si="13">(G15*G14)*1000</f>
        <v>0</v>
      </c>
      <c r="H13" s="80">
        <f t="shared" ref="H13" si="14">(H15*H14)*1000</f>
        <v>0</v>
      </c>
      <c r="I13" s="80">
        <f t="shared" ref="I13" si="15">(I15*I14)*1000</f>
        <v>0</v>
      </c>
      <c r="J13" s="80">
        <f t="shared" ref="J13" si="16">(J15*J14)*1000</f>
        <v>0</v>
      </c>
      <c r="K13" s="80">
        <f t="shared" ref="K13" si="17">(K15*K14)*1000</f>
        <v>0</v>
      </c>
      <c r="L13" s="80">
        <f t="shared" ref="L13" si="18">(L15*L14)*1000</f>
        <v>0</v>
      </c>
      <c r="M13" s="80">
        <f t="shared" ref="M13" si="19">(M15*M14)*1000</f>
        <v>0</v>
      </c>
      <c r="N13" s="80">
        <f>SUM(B13:M13)</f>
        <v>0</v>
      </c>
    </row>
    <row r="14" spans="1:14" x14ac:dyDescent="0.35">
      <c r="A14" s="32" t="s">
        <v>142</v>
      </c>
      <c r="B14" s="73">
        <f>+'Budget Volumes Export'!B16</f>
        <v>0</v>
      </c>
      <c r="C14" s="73">
        <f>+'Budget Volumes Export'!C16</f>
        <v>0</v>
      </c>
      <c r="D14" s="73">
        <f>+'Budget Volumes Export'!D16</f>
        <v>0</v>
      </c>
      <c r="E14" s="73">
        <f>+'Budget Volumes Export'!E16</f>
        <v>0</v>
      </c>
      <c r="F14" s="73">
        <f>+'Budget Volumes Export'!F16</f>
        <v>0</v>
      </c>
      <c r="G14" s="73">
        <f>+'Budget Volumes Export'!G16</f>
        <v>0</v>
      </c>
      <c r="H14" s="73">
        <f>+'Budget Volumes Export'!H16</f>
        <v>0</v>
      </c>
      <c r="I14" s="73">
        <f>+'Budget Volumes Export'!I16</f>
        <v>0</v>
      </c>
      <c r="J14" s="73">
        <f>+'Budget Volumes Export'!J16</f>
        <v>0</v>
      </c>
      <c r="K14" s="73">
        <f>+'Budget Volumes Export'!K16</f>
        <v>0</v>
      </c>
      <c r="L14" s="73">
        <f>+'Budget Volumes Export'!L16</f>
        <v>0</v>
      </c>
      <c r="M14" s="73">
        <f>+'Budget Volumes Export'!M16</f>
        <v>0</v>
      </c>
      <c r="N14" s="70">
        <f>SUM(B14:M14)</f>
        <v>0</v>
      </c>
    </row>
    <row r="15" spans="1:14" x14ac:dyDescent="0.35">
      <c r="A15" s="32" t="s">
        <v>143</v>
      </c>
      <c r="B15" s="62">
        <f t="shared" ref="B15:M15" si="20">+B12</f>
        <v>7.4999999999999997E-2</v>
      </c>
      <c r="C15" s="62">
        <f t="shared" si="20"/>
        <v>7.4999999999999997E-2</v>
      </c>
      <c r="D15" s="62">
        <f t="shared" si="20"/>
        <v>7.4999999999999997E-2</v>
      </c>
      <c r="E15" s="62">
        <f t="shared" si="20"/>
        <v>7.4999999999999997E-2</v>
      </c>
      <c r="F15" s="62">
        <f t="shared" si="20"/>
        <v>7.4999999999999997E-2</v>
      </c>
      <c r="G15" s="62">
        <f t="shared" si="20"/>
        <v>7.4999999999999997E-2</v>
      </c>
      <c r="H15" s="62">
        <f t="shared" si="20"/>
        <v>7.4999999999999997E-2</v>
      </c>
      <c r="I15" s="62">
        <f t="shared" si="20"/>
        <v>7.4999999999999997E-2</v>
      </c>
      <c r="J15" s="62">
        <f t="shared" si="20"/>
        <v>7.4999999999999997E-2</v>
      </c>
      <c r="K15" s="62">
        <f t="shared" si="20"/>
        <v>7.4999999999999997E-2</v>
      </c>
      <c r="L15" s="62">
        <f t="shared" si="20"/>
        <v>7.4999999999999997E-2</v>
      </c>
      <c r="M15" s="62">
        <f t="shared" si="20"/>
        <v>7.4999999999999997E-2</v>
      </c>
      <c r="N15" s="70" t="e">
        <f>+N13/N14/1000</f>
        <v>#DIV/0!</v>
      </c>
    </row>
    <row r="16" spans="1:14" x14ac:dyDescent="0.35">
      <c r="A16" s="72" t="s">
        <v>240</v>
      </c>
      <c r="B16" s="77">
        <f>+B19</f>
        <v>0</v>
      </c>
      <c r="C16" s="77">
        <f t="shared" ref="C16:M16" si="21">+C19</f>
        <v>0</v>
      </c>
      <c r="D16" s="77">
        <f t="shared" si="21"/>
        <v>0</v>
      </c>
      <c r="E16" s="77">
        <f t="shared" si="21"/>
        <v>0</v>
      </c>
      <c r="F16" s="77">
        <f t="shared" si="21"/>
        <v>0</v>
      </c>
      <c r="G16" s="77">
        <f t="shared" si="21"/>
        <v>0</v>
      </c>
      <c r="H16" s="77">
        <f t="shared" si="21"/>
        <v>0</v>
      </c>
      <c r="I16" s="77">
        <f t="shared" si="21"/>
        <v>0</v>
      </c>
      <c r="J16" s="77">
        <f t="shared" si="21"/>
        <v>0</v>
      </c>
      <c r="K16" s="77">
        <f t="shared" si="21"/>
        <v>0</v>
      </c>
      <c r="L16" s="77">
        <f t="shared" si="21"/>
        <v>0</v>
      </c>
      <c r="M16" s="77">
        <f t="shared" si="21"/>
        <v>0</v>
      </c>
      <c r="N16" s="78">
        <f>SUM(B16:M16)</f>
        <v>0</v>
      </c>
    </row>
    <row r="17" spans="1:14" x14ac:dyDescent="0.35">
      <c r="A17" s="72" t="s">
        <v>142</v>
      </c>
      <c r="B17" s="81">
        <f>+B20</f>
        <v>0</v>
      </c>
      <c r="C17" s="81">
        <f t="shared" ref="C17:M17" si="22">+C20</f>
        <v>0</v>
      </c>
      <c r="D17" s="81">
        <f t="shared" si="22"/>
        <v>0</v>
      </c>
      <c r="E17" s="81">
        <f t="shared" si="22"/>
        <v>0</v>
      </c>
      <c r="F17" s="81">
        <f t="shared" si="22"/>
        <v>0</v>
      </c>
      <c r="G17" s="81">
        <f t="shared" si="22"/>
        <v>0</v>
      </c>
      <c r="H17" s="81">
        <f t="shared" si="22"/>
        <v>0</v>
      </c>
      <c r="I17" s="81">
        <f t="shared" si="22"/>
        <v>0</v>
      </c>
      <c r="J17" s="81">
        <f t="shared" si="22"/>
        <v>0</v>
      </c>
      <c r="K17" s="81">
        <f t="shared" si="22"/>
        <v>0</v>
      </c>
      <c r="L17" s="81">
        <f t="shared" si="22"/>
        <v>0</v>
      </c>
      <c r="M17" s="81">
        <f t="shared" si="22"/>
        <v>0</v>
      </c>
      <c r="N17" s="82">
        <f>SUM(B17:M17)</f>
        <v>0</v>
      </c>
    </row>
    <row r="18" spans="1:14" x14ac:dyDescent="0.35">
      <c r="A18" s="72" t="s">
        <v>143</v>
      </c>
      <c r="B18" s="83" t="e">
        <f>+B16/B17/1000</f>
        <v>#DIV/0!</v>
      </c>
      <c r="C18" s="83" t="e">
        <f t="shared" ref="C18" si="23">+C16/C17/1000</f>
        <v>#DIV/0!</v>
      </c>
      <c r="D18" s="83" t="e">
        <f t="shared" ref="D18" si="24">+D16/D17/1000</f>
        <v>#DIV/0!</v>
      </c>
      <c r="E18" s="83" t="e">
        <f t="shared" ref="E18" si="25">+E16/E17/1000</f>
        <v>#DIV/0!</v>
      </c>
      <c r="F18" s="83" t="e">
        <f t="shared" ref="F18" si="26">+F16/F17/1000</f>
        <v>#DIV/0!</v>
      </c>
      <c r="G18" s="83" t="e">
        <f t="shared" ref="G18" si="27">+G16/G17/1000</f>
        <v>#DIV/0!</v>
      </c>
      <c r="H18" s="83" t="e">
        <f t="shared" ref="H18" si="28">+H16/H17/1000</f>
        <v>#DIV/0!</v>
      </c>
      <c r="I18" s="83" t="e">
        <f t="shared" ref="I18" si="29">+I16/I17/1000</f>
        <v>#DIV/0!</v>
      </c>
      <c r="J18" s="83" t="e">
        <f t="shared" ref="J18" si="30">+J16/J17/1000</f>
        <v>#DIV/0!</v>
      </c>
      <c r="K18" s="83" t="e">
        <f t="shared" ref="K18" si="31">+K16/K17/1000</f>
        <v>#DIV/0!</v>
      </c>
      <c r="L18" s="83" t="e">
        <f t="shared" ref="L18" si="32">+L16/L17/1000</f>
        <v>#DIV/0!</v>
      </c>
      <c r="M18" s="83" t="e">
        <f t="shared" ref="M18" si="33">+M16/M17/1000</f>
        <v>#DIV/0!</v>
      </c>
      <c r="N18" s="83" t="e">
        <f t="shared" ref="N18" si="34">+N16/N17/1000</f>
        <v>#DIV/0!</v>
      </c>
    </row>
    <row r="19" spans="1:14" x14ac:dyDescent="0.35">
      <c r="A19" s="65" t="s">
        <v>91</v>
      </c>
      <c r="B19" s="80">
        <f>(B21*B20)*1000</f>
        <v>0</v>
      </c>
      <c r="C19" s="80">
        <f t="shared" ref="C19" si="35">(C21*C20)*1000</f>
        <v>0</v>
      </c>
      <c r="D19" s="80">
        <f t="shared" ref="D19" si="36">(D21*D20)*1000</f>
        <v>0</v>
      </c>
      <c r="E19" s="80">
        <f t="shared" ref="E19" si="37">(E21*E20)*1000</f>
        <v>0</v>
      </c>
      <c r="F19" s="80">
        <f t="shared" ref="F19" si="38">(F21*F20)*1000</f>
        <v>0</v>
      </c>
      <c r="G19" s="80">
        <f t="shared" ref="G19" si="39">(G21*G20)*1000</f>
        <v>0</v>
      </c>
      <c r="H19" s="80">
        <f t="shared" ref="H19" si="40">(H21*H20)*1000</f>
        <v>0</v>
      </c>
      <c r="I19" s="80">
        <f t="shared" ref="I19" si="41">(I21*I20)*1000</f>
        <v>0</v>
      </c>
      <c r="J19" s="80">
        <f t="shared" ref="J19" si="42">(J21*J20)*1000</f>
        <v>0</v>
      </c>
      <c r="K19" s="80">
        <f t="shared" ref="K19" si="43">(K21*K20)*1000</f>
        <v>0</v>
      </c>
      <c r="L19" s="80">
        <f t="shared" ref="L19" si="44">(L21*L20)*1000</f>
        <v>0</v>
      </c>
      <c r="M19" s="80">
        <f t="shared" ref="M19" si="45">(M21*M20)*1000</f>
        <v>0</v>
      </c>
      <c r="N19" s="80">
        <f>SUM(B19:M19)</f>
        <v>0</v>
      </c>
    </row>
    <row r="20" spans="1:14" x14ac:dyDescent="0.35">
      <c r="A20" s="32" t="s">
        <v>142</v>
      </c>
      <c r="B20" s="175">
        <f>+'Budget Commercial Export'!B20</f>
        <v>0</v>
      </c>
      <c r="C20" s="175">
        <f>+'Budget Commercial Export'!C20</f>
        <v>0</v>
      </c>
      <c r="D20" s="175">
        <f>+'Budget Commercial Export'!D20</f>
        <v>0</v>
      </c>
      <c r="E20" s="175">
        <f>+'Budget Commercial Export'!E20</f>
        <v>0</v>
      </c>
      <c r="F20" s="175">
        <f>+'Budget Commercial Export'!F20</f>
        <v>0</v>
      </c>
      <c r="G20" s="175">
        <f>+'Budget Commercial Export'!G20</f>
        <v>0</v>
      </c>
      <c r="H20" s="175">
        <f>+'Budget Commercial Export'!H20</f>
        <v>0</v>
      </c>
      <c r="I20" s="175">
        <f>+'Budget Commercial Export'!I20</f>
        <v>0</v>
      </c>
      <c r="J20" s="175">
        <f>+'Budget Commercial Export'!J20</f>
        <v>0</v>
      </c>
      <c r="K20" s="175">
        <f>+'Budget Commercial Export'!K20</f>
        <v>0</v>
      </c>
      <c r="L20" s="175">
        <f>+'Budget Commercial Export'!L20</f>
        <v>0</v>
      </c>
      <c r="M20" s="175">
        <f>+'Budget Commercial Export'!M20</f>
        <v>0</v>
      </c>
      <c r="N20" s="163">
        <f>SUM(B20:M20)</f>
        <v>0</v>
      </c>
    </row>
    <row r="21" spans="1:14" x14ac:dyDescent="0.35">
      <c r="A21" s="32" t="s">
        <v>143</v>
      </c>
      <c r="B21" s="62">
        <v>5.5E-2</v>
      </c>
      <c r="C21" s="62">
        <f>+B21</f>
        <v>5.5E-2</v>
      </c>
      <c r="D21" s="62">
        <f t="shared" ref="D21:M21" si="46">+C21</f>
        <v>5.5E-2</v>
      </c>
      <c r="E21" s="62">
        <f t="shared" si="46"/>
        <v>5.5E-2</v>
      </c>
      <c r="F21" s="62">
        <f t="shared" si="46"/>
        <v>5.5E-2</v>
      </c>
      <c r="G21" s="62">
        <f t="shared" si="46"/>
        <v>5.5E-2</v>
      </c>
      <c r="H21" s="62">
        <f t="shared" si="46"/>
        <v>5.5E-2</v>
      </c>
      <c r="I21" s="62">
        <f t="shared" si="46"/>
        <v>5.5E-2</v>
      </c>
      <c r="J21" s="62">
        <f t="shared" si="46"/>
        <v>5.5E-2</v>
      </c>
      <c r="K21" s="62">
        <f t="shared" si="46"/>
        <v>5.5E-2</v>
      </c>
      <c r="L21" s="62">
        <f t="shared" si="46"/>
        <v>5.5E-2</v>
      </c>
      <c r="M21" s="62">
        <f t="shared" si="46"/>
        <v>5.5E-2</v>
      </c>
      <c r="N21" s="70" t="e">
        <f>+N19/N20/1000</f>
        <v>#DIV/0!</v>
      </c>
    </row>
    <row r="22" spans="1:14" x14ac:dyDescent="0.35">
      <c r="A22" s="72" t="s">
        <v>242</v>
      </c>
      <c r="B22" s="77">
        <f>+B25</f>
        <v>0</v>
      </c>
      <c r="C22" s="77">
        <f t="shared" ref="C22:M22" si="47">+C25</f>
        <v>0</v>
      </c>
      <c r="D22" s="77">
        <f t="shared" si="47"/>
        <v>0</v>
      </c>
      <c r="E22" s="77">
        <f t="shared" si="47"/>
        <v>0</v>
      </c>
      <c r="F22" s="77">
        <f t="shared" si="47"/>
        <v>0</v>
      </c>
      <c r="G22" s="77">
        <f t="shared" si="47"/>
        <v>0</v>
      </c>
      <c r="H22" s="77">
        <f t="shared" si="47"/>
        <v>0</v>
      </c>
      <c r="I22" s="77">
        <f t="shared" si="47"/>
        <v>0</v>
      </c>
      <c r="J22" s="77">
        <f t="shared" si="47"/>
        <v>0</v>
      </c>
      <c r="K22" s="77">
        <f t="shared" si="47"/>
        <v>0</v>
      </c>
      <c r="L22" s="77">
        <f t="shared" si="47"/>
        <v>0</v>
      </c>
      <c r="M22" s="77">
        <f t="shared" si="47"/>
        <v>0</v>
      </c>
      <c r="N22" s="78">
        <f>SUM(B22:M22)</f>
        <v>0</v>
      </c>
    </row>
    <row r="23" spans="1:14" x14ac:dyDescent="0.35">
      <c r="A23" s="72" t="s">
        <v>142</v>
      </c>
      <c r="B23" s="81">
        <f>+B26</f>
        <v>0</v>
      </c>
      <c r="C23" s="81">
        <f t="shared" ref="C23:M23" si="48">+C26</f>
        <v>0</v>
      </c>
      <c r="D23" s="81">
        <f t="shared" si="48"/>
        <v>0</v>
      </c>
      <c r="E23" s="81">
        <f t="shared" si="48"/>
        <v>0</v>
      </c>
      <c r="F23" s="81">
        <f t="shared" si="48"/>
        <v>0</v>
      </c>
      <c r="G23" s="81">
        <f t="shared" si="48"/>
        <v>0</v>
      </c>
      <c r="H23" s="81">
        <f t="shared" si="48"/>
        <v>0</v>
      </c>
      <c r="I23" s="81">
        <f t="shared" si="48"/>
        <v>0</v>
      </c>
      <c r="J23" s="81">
        <f t="shared" si="48"/>
        <v>0</v>
      </c>
      <c r="K23" s="81">
        <f t="shared" si="48"/>
        <v>0</v>
      </c>
      <c r="L23" s="81">
        <f t="shared" si="48"/>
        <v>0</v>
      </c>
      <c r="M23" s="81">
        <f t="shared" si="48"/>
        <v>0</v>
      </c>
      <c r="N23" s="82">
        <f>SUM(B23:M23)</f>
        <v>0</v>
      </c>
    </row>
    <row r="24" spans="1:14" x14ac:dyDescent="0.35">
      <c r="A24" s="72" t="s">
        <v>143</v>
      </c>
      <c r="B24" s="83" t="e">
        <f>+B22/B23/1000</f>
        <v>#DIV/0!</v>
      </c>
      <c r="C24" s="83" t="e">
        <f t="shared" ref="C24" si="49">+C22/C23/1000</f>
        <v>#DIV/0!</v>
      </c>
      <c r="D24" s="83" t="e">
        <f t="shared" ref="D24" si="50">+D22/D23/1000</f>
        <v>#DIV/0!</v>
      </c>
      <c r="E24" s="83" t="e">
        <f t="shared" ref="E24" si="51">+E22/E23/1000</f>
        <v>#DIV/0!</v>
      </c>
      <c r="F24" s="83" t="e">
        <f t="shared" ref="F24" si="52">+F22/F23/1000</f>
        <v>#DIV/0!</v>
      </c>
      <c r="G24" s="83" t="e">
        <f t="shared" ref="G24" si="53">+G22/G23/1000</f>
        <v>#DIV/0!</v>
      </c>
      <c r="H24" s="83" t="e">
        <f t="shared" ref="H24" si="54">+H22/H23/1000</f>
        <v>#DIV/0!</v>
      </c>
      <c r="I24" s="83" t="e">
        <f t="shared" ref="I24" si="55">+I22/I23/1000</f>
        <v>#DIV/0!</v>
      </c>
      <c r="J24" s="83" t="e">
        <f t="shared" ref="J24" si="56">+J22/J23/1000</f>
        <v>#DIV/0!</v>
      </c>
      <c r="K24" s="83" t="e">
        <f t="shared" ref="K24" si="57">+K22/K23/1000</f>
        <v>#DIV/0!</v>
      </c>
      <c r="L24" s="83" t="e">
        <f t="shared" ref="L24" si="58">+L22/L23/1000</f>
        <v>#DIV/0!</v>
      </c>
      <c r="M24" s="83" t="e">
        <f t="shared" ref="M24" si="59">+M22/M23/1000</f>
        <v>#DIV/0!</v>
      </c>
      <c r="N24" s="83" t="e">
        <f t="shared" ref="N24" si="60">+N22/N23/1000</f>
        <v>#DIV/0!</v>
      </c>
    </row>
    <row r="25" spans="1:14" x14ac:dyDescent="0.35">
      <c r="A25" s="65" t="s">
        <v>92</v>
      </c>
      <c r="B25" s="80">
        <f>(B27*B26)*1000</f>
        <v>0</v>
      </c>
      <c r="C25" s="80">
        <f t="shared" ref="C25" si="61">(C27*C26)*1000</f>
        <v>0</v>
      </c>
      <c r="D25" s="80">
        <f t="shared" ref="D25" si="62">(D27*D26)*1000</f>
        <v>0</v>
      </c>
      <c r="E25" s="80">
        <f t="shared" ref="E25" si="63">(E27*E26)*1000</f>
        <v>0</v>
      </c>
      <c r="F25" s="80">
        <f t="shared" ref="F25" si="64">(F27*F26)*1000</f>
        <v>0</v>
      </c>
      <c r="G25" s="80">
        <f t="shared" ref="G25" si="65">(G27*G26)*1000</f>
        <v>0</v>
      </c>
      <c r="H25" s="80">
        <f t="shared" ref="H25" si="66">(H27*H26)*1000</f>
        <v>0</v>
      </c>
      <c r="I25" s="80">
        <f t="shared" ref="I25" si="67">(I27*I26)*1000</f>
        <v>0</v>
      </c>
      <c r="J25" s="80">
        <f t="shared" ref="J25" si="68">(J27*J26)*1000</f>
        <v>0</v>
      </c>
      <c r="K25" s="80">
        <f t="shared" ref="K25" si="69">(K27*K26)*1000</f>
        <v>0</v>
      </c>
      <c r="L25" s="80">
        <f t="shared" ref="L25" si="70">(L27*L26)*1000</f>
        <v>0</v>
      </c>
      <c r="M25" s="80">
        <f t="shared" ref="M25" si="71">(M27*M26)*1000</f>
        <v>0</v>
      </c>
      <c r="N25" s="80">
        <f>SUM(B25:M25)</f>
        <v>0</v>
      </c>
    </row>
    <row r="26" spans="1:14" x14ac:dyDescent="0.35">
      <c r="A26" s="32" t="s">
        <v>142</v>
      </c>
      <c r="B26" s="73">
        <f>+'Budget Volumes Export'!B37</f>
        <v>0</v>
      </c>
      <c r="C26" s="73">
        <f>+'Budget Volumes Export'!C37</f>
        <v>0</v>
      </c>
      <c r="D26" s="73">
        <f>+'Budget Volumes Export'!D37</f>
        <v>0</v>
      </c>
      <c r="E26" s="73">
        <f>+'Budget Volumes Export'!E37</f>
        <v>0</v>
      </c>
      <c r="F26" s="73">
        <f>+'Budget Volumes Export'!F37</f>
        <v>0</v>
      </c>
      <c r="G26" s="73">
        <f>+'Budget Volumes Export'!G37</f>
        <v>0</v>
      </c>
      <c r="H26" s="73">
        <f>+'Budget Volumes Export'!H37</f>
        <v>0</v>
      </c>
      <c r="I26" s="73">
        <f>+'Budget Volumes Export'!I37</f>
        <v>0</v>
      </c>
      <c r="J26" s="73">
        <f>+'Budget Volumes Export'!J37</f>
        <v>0</v>
      </c>
      <c r="K26" s="73">
        <f>+'Budget Volumes Export'!K37</f>
        <v>0</v>
      </c>
      <c r="L26" s="73">
        <f>+'Budget Volumes Export'!L37</f>
        <v>0</v>
      </c>
      <c r="M26" s="73">
        <f>+'Budget Volumes Export'!M37</f>
        <v>0</v>
      </c>
      <c r="N26" s="70">
        <f>SUM(B26:M26)</f>
        <v>0</v>
      </c>
    </row>
    <row r="27" spans="1:14" x14ac:dyDescent="0.35">
      <c r="A27" s="32" t="s">
        <v>143</v>
      </c>
      <c r="B27" s="62">
        <v>0.06</v>
      </c>
      <c r="C27" s="62">
        <f>+B27</f>
        <v>0.06</v>
      </c>
      <c r="D27" s="62">
        <f t="shared" ref="D27:M27" si="72">+C27</f>
        <v>0.06</v>
      </c>
      <c r="E27" s="62">
        <f t="shared" si="72"/>
        <v>0.06</v>
      </c>
      <c r="F27" s="62">
        <f t="shared" si="72"/>
        <v>0.06</v>
      </c>
      <c r="G27" s="62">
        <f t="shared" si="72"/>
        <v>0.06</v>
      </c>
      <c r="H27" s="62">
        <f t="shared" si="72"/>
        <v>0.06</v>
      </c>
      <c r="I27" s="62">
        <f t="shared" si="72"/>
        <v>0.06</v>
      </c>
      <c r="J27" s="62">
        <f t="shared" si="72"/>
        <v>0.06</v>
      </c>
      <c r="K27" s="62">
        <f t="shared" si="72"/>
        <v>0.06</v>
      </c>
      <c r="L27" s="62">
        <f t="shared" si="72"/>
        <v>0.06</v>
      </c>
      <c r="M27" s="62">
        <f t="shared" si="72"/>
        <v>0.06</v>
      </c>
      <c r="N27" s="70" t="e">
        <f>+N25/N26/1000</f>
        <v>#DIV/0!</v>
      </c>
    </row>
    <row r="33" s="32" customFormat="1" x14ac:dyDescent="0.35"/>
    <row r="34" s="32" customFormat="1" x14ac:dyDescent="0.35"/>
    <row r="35" s="32" customFormat="1" x14ac:dyDescent="0.35"/>
    <row r="36" s="32" customFormat="1" x14ac:dyDescent="0.35"/>
    <row r="37" s="32" customFormat="1" x14ac:dyDescent="0.35"/>
    <row r="38" s="32" customFormat="1" x14ac:dyDescent="0.35"/>
    <row r="39" s="32" customFormat="1" x14ac:dyDescent="0.35"/>
    <row r="40" s="32" customFormat="1" x14ac:dyDescent="0.35"/>
    <row r="41" s="32" customFormat="1" x14ac:dyDescent="0.35"/>
    <row r="42" s="32" customFormat="1" x14ac:dyDescent="0.35"/>
    <row r="43" s="32" customFormat="1" x14ac:dyDescent="0.35"/>
    <row r="44" s="32" customFormat="1" x14ac:dyDescent="0.35"/>
    <row r="45" s="32" customFormat="1" x14ac:dyDescent="0.35"/>
    <row r="46" s="32" customFormat="1" x14ac:dyDescent="0.35"/>
    <row r="47" s="32" customFormat="1" x14ac:dyDescent="0.35"/>
    <row r="48" s="32" customFormat="1" x14ac:dyDescent="0.35"/>
    <row r="49" s="32" customFormat="1" x14ac:dyDescent="0.35"/>
    <row r="50" s="32" customFormat="1" x14ac:dyDescent="0.35"/>
    <row r="51" s="32" customFormat="1" x14ac:dyDescent="0.35"/>
    <row r="52" s="32" customFormat="1" x14ac:dyDescent="0.35"/>
    <row r="53" s="32" customFormat="1" x14ac:dyDescent="0.35"/>
    <row r="54" s="32" customFormat="1" x14ac:dyDescent="0.35"/>
    <row r="55" s="32" customFormat="1" x14ac:dyDescent="0.35"/>
    <row r="56" s="32" customFormat="1" x14ac:dyDescent="0.35"/>
    <row r="57" s="32" customFormat="1" x14ac:dyDescent="0.35"/>
    <row r="58" s="32" customFormat="1" x14ac:dyDescent="0.35"/>
    <row r="59" s="32" customFormat="1" x14ac:dyDescent="0.35"/>
    <row r="60" s="32" customFormat="1" x14ac:dyDescent="0.35"/>
    <row r="61" s="32" customFormat="1" x14ac:dyDescent="0.35"/>
    <row r="62" s="32" customFormat="1" x14ac:dyDescent="0.35"/>
    <row r="63" s="32" customFormat="1" x14ac:dyDescent="0.35"/>
    <row r="64" s="32" customFormat="1" x14ac:dyDescent="0.35"/>
    <row r="65" s="32" customFormat="1" x14ac:dyDescent="0.35"/>
    <row r="66" s="32" customFormat="1" x14ac:dyDescent="0.35"/>
    <row r="67" s="32" customFormat="1" x14ac:dyDescent="0.35"/>
    <row r="68" s="32" customFormat="1" x14ac:dyDescent="0.35"/>
    <row r="69" s="32" customFormat="1" x14ac:dyDescent="0.35"/>
    <row r="70" s="32" customFormat="1" x14ac:dyDescent="0.35"/>
    <row r="71" s="32" customFormat="1" x14ac:dyDescent="0.35"/>
    <row r="72" s="32" customFormat="1" x14ac:dyDescent="0.35"/>
    <row r="73" s="32" customFormat="1" x14ac:dyDescent="0.35"/>
    <row r="74" s="32" customFormat="1" x14ac:dyDescent="0.35"/>
    <row r="75" s="32" customFormat="1" x14ac:dyDescent="0.35"/>
    <row r="76" s="32" customFormat="1" x14ac:dyDescent="0.35"/>
    <row r="77" s="32" customFormat="1" x14ac:dyDescent="0.35"/>
    <row r="78" s="32" customFormat="1" x14ac:dyDescent="0.35"/>
    <row r="79" s="32" customFormat="1" x14ac:dyDescent="0.35"/>
    <row r="80" s="32" customFormat="1" x14ac:dyDescent="0.35"/>
    <row r="81" s="32" customFormat="1" x14ac:dyDescent="0.35"/>
    <row r="82" s="32" customFormat="1" x14ac:dyDescent="0.35"/>
    <row r="83" s="32" customFormat="1" x14ac:dyDescent="0.35"/>
    <row r="84" s="32" customFormat="1" x14ac:dyDescent="0.35"/>
    <row r="85" s="32" customFormat="1" x14ac:dyDescent="0.35"/>
    <row r="86" s="32" customFormat="1" x14ac:dyDescent="0.35"/>
    <row r="87" s="32" customFormat="1" x14ac:dyDescent="0.35"/>
    <row r="88" s="32" customFormat="1" x14ac:dyDescent="0.35"/>
    <row r="89" s="32" customFormat="1" x14ac:dyDescent="0.35"/>
    <row r="90" s="32" customFormat="1" x14ac:dyDescent="0.35"/>
    <row r="91" s="32" customFormat="1" x14ac:dyDescent="0.35"/>
    <row r="92" s="32" customFormat="1" x14ac:dyDescent="0.35"/>
    <row r="93" s="32" customFormat="1" x14ac:dyDescent="0.35"/>
    <row r="94" s="32" customFormat="1" x14ac:dyDescent="0.35"/>
    <row r="95" s="32" customFormat="1" x14ac:dyDescent="0.35"/>
    <row r="96" s="32" customFormat="1" x14ac:dyDescent="0.35"/>
    <row r="97" s="32" customFormat="1" x14ac:dyDescent="0.35"/>
    <row r="98" s="32" customFormat="1" x14ac:dyDescent="0.35"/>
    <row r="99" s="32" customFormat="1" x14ac:dyDescent="0.35"/>
    <row r="100" s="32" customFormat="1" x14ac:dyDescent="0.35"/>
    <row r="101" s="32" customFormat="1" x14ac:dyDescent="0.35"/>
    <row r="102" s="32" customFormat="1" x14ac:dyDescent="0.35"/>
    <row r="103" s="32" customFormat="1" x14ac:dyDescent="0.35"/>
    <row r="104" s="32" customFormat="1" x14ac:dyDescent="0.35"/>
    <row r="105" s="32" customFormat="1" x14ac:dyDescent="0.35"/>
    <row r="106" s="32" customFormat="1" x14ac:dyDescent="0.35"/>
    <row r="107" s="32" customFormat="1" x14ac:dyDescent="0.35"/>
    <row r="108" s="32" customFormat="1" x14ac:dyDescent="0.35"/>
    <row r="109" s="32" customFormat="1" x14ac:dyDescent="0.35"/>
    <row r="110" s="32" customFormat="1" x14ac:dyDescent="0.35"/>
    <row r="111" s="32" customFormat="1" x14ac:dyDescent="0.35"/>
    <row r="112" s="32" customFormat="1" x14ac:dyDescent="0.35"/>
    <row r="113" s="32" customFormat="1" x14ac:dyDescent="0.35"/>
    <row r="114" s="32" customFormat="1" x14ac:dyDescent="0.35"/>
    <row r="115" s="32" customFormat="1" x14ac:dyDescent="0.35"/>
    <row r="116" s="32" customFormat="1" x14ac:dyDescent="0.35"/>
    <row r="117" s="32" customFormat="1" x14ac:dyDescent="0.35"/>
    <row r="118" s="32" customFormat="1" x14ac:dyDescent="0.35"/>
    <row r="119" s="32" customFormat="1" x14ac:dyDescent="0.35"/>
    <row r="120" s="32" customFormat="1" x14ac:dyDescent="0.35"/>
    <row r="121" s="32" customFormat="1" x14ac:dyDescent="0.35"/>
    <row r="122" s="32" customFormat="1" x14ac:dyDescent="0.35"/>
    <row r="123" s="32" customFormat="1" x14ac:dyDescent="0.35"/>
    <row r="124" s="32" customFormat="1" x14ac:dyDescent="0.35"/>
    <row r="125" s="32" customFormat="1" x14ac:dyDescent="0.35"/>
    <row r="126" s="32" customFormat="1" x14ac:dyDescent="0.35"/>
    <row r="127" s="32" customFormat="1" x14ac:dyDescent="0.35"/>
    <row r="128" s="32" customFormat="1" x14ac:dyDescent="0.35"/>
    <row r="129" s="32" customFormat="1" x14ac:dyDescent="0.35"/>
    <row r="130" s="32" customFormat="1" x14ac:dyDescent="0.35"/>
    <row r="131" s="32" customFormat="1" x14ac:dyDescent="0.35"/>
    <row r="132" s="32" customFormat="1" x14ac:dyDescent="0.35"/>
    <row r="133" s="32" customFormat="1" x14ac:dyDescent="0.35"/>
    <row r="134" s="32" customFormat="1" x14ac:dyDescent="0.35"/>
    <row r="135" s="32" customFormat="1" x14ac:dyDescent="0.35"/>
    <row r="136" s="32" customFormat="1" x14ac:dyDescent="0.35"/>
    <row r="137" s="32" customFormat="1" x14ac:dyDescent="0.35"/>
    <row r="138" s="32" customFormat="1" x14ac:dyDescent="0.35"/>
    <row r="139" s="32" customFormat="1" x14ac:dyDescent="0.35"/>
    <row r="140" s="32" customFormat="1" x14ac:dyDescent="0.35"/>
    <row r="141" s="32" customFormat="1" x14ac:dyDescent="0.35"/>
    <row r="142" s="32" customFormat="1" x14ac:dyDescent="0.35"/>
    <row r="143" s="32" customFormat="1" x14ac:dyDescent="0.35"/>
    <row r="144" s="32" customFormat="1" x14ac:dyDescent="0.35"/>
    <row r="145" s="32" customFormat="1" x14ac:dyDescent="0.35"/>
    <row r="146" s="32" customFormat="1" x14ac:dyDescent="0.35"/>
    <row r="147" s="32" customFormat="1" x14ac:dyDescent="0.35"/>
    <row r="148" s="32" customFormat="1" x14ac:dyDescent="0.35"/>
    <row r="149" s="32" customFormat="1" x14ac:dyDescent="0.35"/>
    <row r="150" s="32" customFormat="1" x14ac:dyDescent="0.35"/>
    <row r="151" s="32" customFormat="1" x14ac:dyDescent="0.35"/>
    <row r="152" s="32" customFormat="1" x14ac:dyDescent="0.35"/>
    <row r="153" s="32" customFormat="1" x14ac:dyDescent="0.35"/>
    <row r="154" s="32" customFormat="1" x14ac:dyDescent="0.35"/>
    <row r="155" s="32" customFormat="1" x14ac:dyDescent="0.35"/>
    <row r="156" s="32" customFormat="1" x14ac:dyDescent="0.35"/>
    <row r="157" s="32" customFormat="1" x14ac:dyDescent="0.35"/>
    <row r="158" s="32" customFormat="1" x14ac:dyDescent="0.35"/>
    <row r="159" s="32" customFormat="1" x14ac:dyDescent="0.35"/>
    <row r="160" s="32" customFormat="1" x14ac:dyDescent="0.35"/>
    <row r="161" s="32" customFormat="1" x14ac:dyDescent="0.35"/>
    <row r="162" s="32" customFormat="1" x14ac:dyDescent="0.35"/>
    <row r="163" s="32" customFormat="1" x14ac:dyDescent="0.35"/>
    <row r="164" s="32" customFormat="1" x14ac:dyDescent="0.35"/>
    <row r="165" s="32" customFormat="1" x14ac:dyDescent="0.35"/>
    <row r="166" s="32" customFormat="1" x14ac:dyDescent="0.35"/>
    <row r="167" s="32" customFormat="1" x14ac:dyDescent="0.35"/>
    <row r="168" s="32" customFormat="1" x14ac:dyDescent="0.35"/>
    <row r="169" s="32" customFormat="1" x14ac:dyDescent="0.35"/>
    <row r="170" s="32" customFormat="1" x14ac:dyDescent="0.35"/>
    <row r="171" s="32" customFormat="1" x14ac:dyDescent="0.35"/>
    <row r="172" s="32" customFormat="1" x14ac:dyDescent="0.35"/>
    <row r="173" s="32" customFormat="1" x14ac:dyDescent="0.35"/>
    <row r="174" s="32" customFormat="1" x14ac:dyDescent="0.35"/>
    <row r="175" s="32" customFormat="1" x14ac:dyDescent="0.35"/>
    <row r="176" s="32" customFormat="1" x14ac:dyDescent="0.35"/>
    <row r="177" s="32" customFormat="1" x14ac:dyDescent="0.35"/>
    <row r="178" s="32" customFormat="1" x14ac:dyDescent="0.35"/>
    <row r="179" s="32" customFormat="1" x14ac:dyDescent="0.35"/>
    <row r="180" s="32" customFormat="1" x14ac:dyDescent="0.35"/>
    <row r="181" s="32" customFormat="1" x14ac:dyDescent="0.35"/>
    <row r="182" s="32" customFormat="1" x14ac:dyDescent="0.35"/>
    <row r="183" s="32" customFormat="1" x14ac:dyDescent="0.35"/>
    <row r="184" s="32" customFormat="1" x14ac:dyDescent="0.35"/>
    <row r="185" s="32" customFormat="1" x14ac:dyDescent="0.35"/>
    <row r="186" s="32" customFormat="1" x14ac:dyDescent="0.35"/>
    <row r="187" s="32" customFormat="1" x14ac:dyDescent="0.35"/>
    <row r="188" s="32" customFormat="1" x14ac:dyDescent="0.35"/>
    <row r="189" s="32" customFormat="1" x14ac:dyDescent="0.35"/>
    <row r="190" s="32" customFormat="1" x14ac:dyDescent="0.35"/>
    <row r="191" s="32" customFormat="1" x14ac:dyDescent="0.35"/>
    <row r="192" s="32" customFormat="1" x14ac:dyDescent="0.35"/>
    <row r="193" s="32" customFormat="1" x14ac:dyDescent="0.35"/>
    <row r="194" s="32" customFormat="1" x14ac:dyDescent="0.35"/>
    <row r="195" s="32" customFormat="1" x14ac:dyDescent="0.35"/>
    <row r="196" s="32" customFormat="1" x14ac:dyDescent="0.35"/>
    <row r="197" s="32" customFormat="1" x14ac:dyDescent="0.35"/>
    <row r="198" s="32" customFormat="1" x14ac:dyDescent="0.35"/>
    <row r="199" s="32" customFormat="1" x14ac:dyDescent="0.35"/>
    <row r="200" s="32" customFormat="1" x14ac:dyDescent="0.35"/>
    <row r="201" s="32" customFormat="1" x14ac:dyDescent="0.35"/>
    <row r="202" s="32" customFormat="1" x14ac:dyDescent="0.35"/>
    <row r="203" s="32" customFormat="1" x14ac:dyDescent="0.35"/>
    <row r="204" s="32" customFormat="1" x14ac:dyDescent="0.35"/>
    <row r="205" s="32" customFormat="1" x14ac:dyDescent="0.35"/>
    <row r="206" s="32" customFormat="1" x14ac:dyDescent="0.35"/>
    <row r="207" s="32" customFormat="1" x14ac:dyDescent="0.35"/>
    <row r="208" s="32" customFormat="1" x14ac:dyDescent="0.35"/>
    <row r="209" s="32" customFormat="1" x14ac:dyDescent="0.35"/>
    <row r="210" s="32" customFormat="1" x14ac:dyDescent="0.35"/>
    <row r="211" s="32" customFormat="1" x14ac:dyDescent="0.35"/>
    <row r="212" s="32" customFormat="1" x14ac:dyDescent="0.35"/>
    <row r="213" s="32" customFormat="1" x14ac:dyDescent="0.35"/>
    <row r="214" s="32" customFormat="1" x14ac:dyDescent="0.35"/>
    <row r="215" s="32" customFormat="1" x14ac:dyDescent="0.35"/>
    <row r="216" s="32" customFormat="1" x14ac:dyDescent="0.35"/>
    <row r="217" s="32" customFormat="1" x14ac:dyDescent="0.35"/>
    <row r="218" s="32" customFormat="1" x14ac:dyDescent="0.35"/>
    <row r="219" s="32" customFormat="1" x14ac:dyDescent="0.35"/>
    <row r="220" s="32" customFormat="1" x14ac:dyDescent="0.35"/>
    <row r="221" s="32" customFormat="1" x14ac:dyDescent="0.35"/>
    <row r="222" s="32" customFormat="1" x14ac:dyDescent="0.35"/>
    <row r="223" s="32" customFormat="1" x14ac:dyDescent="0.35"/>
    <row r="224" s="32" customFormat="1" x14ac:dyDescent="0.35"/>
    <row r="225" s="32" customFormat="1" x14ac:dyDescent="0.35"/>
    <row r="226" s="32" customFormat="1" x14ac:dyDescent="0.35"/>
    <row r="227" s="32" customFormat="1" x14ac:dyDescent="0.35"/>
    <row r="228" s="32" customFormat="1" x14ac:dyDescent="0.35"/>
    <row r="229" s="32" customFormat="1" x14ac:dyDescent="0.35"/>
    <row r="230" s="32" customFormat="1" x14ac:dyDescent="0.35"/>
    <row r="231" s="32" customFormat="1" x14ac:dyDescent="0.35"/>
    <row r="232" s="32" customFormat="1" x14ac:dyDescent="0.35"/>
    <row r="233" s="32" customFormat="1" x14ac:dyDescent="0.35"/>
    <row r="234" s="32" customFormat="1" x14ac:dyDescent="0.35"/>
    <row r="235" s="32" customFormat="1" x14ac:dyDescent="0.35"/>
    <row r="236" s="32" customFormat="1" x14ac:dyDescent="0.35"/>
    <row r="237" s="32" customFormat="1" x14ac:dyDescent="0.35"/>
    <row r="238" s="32" customFormat="1" x14ac:dyDescent="0.35"/>
    <row r="239" s="32" customFormat="1" x14ac:dyDescent="0.35"/>
    <row r="240" s="32" customFormat="1" x14ac:dyDescent="0.35"/>
    <row r="241" s="32" customFormat="1" x14ac:dyDescent="0.35"/>
    <row r="242" s="32" customFormat="1" x14ac:dyDescent="0.35"/>
    <row r="243" s="32" customFormat="1" x14ac:dyDescent="0.35"/>
    <row r="244" s="32" customFormat="1" x14ac:dyDescent="0.35"/>
    <row r="245" s="32" customFormat="1" x14ac:dyDescent="0.35"/>
    <row r="246" s="32" customFormat="1" x14ac:dyDescent="0.35"/>
    <row r="247" s="32" customFormat="1" x14ac:dyDescent="0.35"/>
    <row r="248" s="32" customFormat="1" x14ac:dyDescent="0.35"/>
    <row r="249" s="32" customFormat="1" x14ac:dyDescent="0.35"/>
    <row r="250" s="32" customFormat="1" x14ac:dyDescent="0.35"/>
    <row r="251" s="32" customFormat="1" x14ac:dyDescent="0.35"/>
    <row r="252" s="32" customFormat="1" x14ac:dyDescent="0.35"/>
    <row r="253" s="32" customFormat="1" x14ac:dyDescent="0.35"/>
    <row r="254" s="32" customFormat="1" x14ac:dyDescent="0.35"/>
    <row r="255" s="32" customFormat="1" x14ac:dyDescent="0.35"/>
    <row r="256" s="32" customFormat="1" x14ac:dyDescent="0.35"/>
    <row r="257" s="32" customFormat="1" x14ac:dyDescent="0.35"/>
    <row r="258" s="32" customFormat="1" x14ac:dyDescent="0.35"/>
    <row r="259" s="32" customFormat="1" x14ac:dyDescent="0.35"/>
    <row r="260" s="32" customFormat="1" x14ac:dyDescent="0.35"/>
    <row r="261" s="32" customFormat="1" x14ac:dyDescent="0.35"/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6DA0-E6E2-44C8-AC75-D48AA1E1C239}">
  <sheetPr>
    <tabColor rgb="FF92D050"/>
  </sheetPr>
  <dimension ref="A1:N111"/>
  <sheetViews>
    <sheetView workbookViewId="0">
      <selection activeCell="B8" sqref="B8"/>
    </sheetView>
  </sheetViews>
  <sheetFormatPr baseColWidth="10" defaultColWidth="11.46484375" defaultRowHeight="11.65" x14ac:dyDescent="0.35"/>
  <cols>
    <col min="1" max="1" width="30" style="32" customWidth="1"/>
    <col min="2" max="2" width="7" style="32" bestFit="1" customWidth="1"/>
    <col min="3" max="3" width="7.796875" style="32" bestFit="1" customWidth="1"/>
    <col min="4" max="4" width="7" style="32" bestFit="1" customWidth="1"/>
    <col min="5" max="8" width="7.796875" style="32" bestFit="1" customWidth="1"/>
    <col min="9" max="9" width="7" style="32" bestFit="1" customWidth="1"/>
    <col min="10" max="11" width="7.796875" style="32" bestFit="1" customWidth="1"/>
    <col min="12" max="12" width="7" style="32" bestFit="1" customWidth="1"/>
    <col min="13" max="13" width="7.796875" style="32" bestFit="1" customWidth="1"/>
    <col min="14" max="14" width="8.73046875" style="32" bestFit="1" customWidth="1"/>
    <col min="15" max="16384" width="11.46484375" style="32"/>
  </cols>
  <sheetData>
    <row r="1" spans="1:14" ht="35.25" thickBot="1" x14ac:dyDescent="0.4">
      <c r="A1" s="68" t="s">
        <v>319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71" t="s">
        <v>462</v>
      </c>
      <c r="B4" s="76">
        <f>B7+B28+B49+B70+B91</f>
        <v>0</v>
      </c>
      <c r="C4" s="76">
        <f t="shared" ref="C4:M4" si="1">C7+C28+C49+C70+C91</f>
        <v>0</v>
      </c>
      <c r="D4" s="76">
        <f t="shared" si="1"/>
        <v>0</v>
      </c>
      <c r="E4" s="76">
        <f t="shared" si="1"/>
        <v>6271875</v>
      </c>
      <c r="F4" s="76">
        <f t="shared" si="1"/>
        <v>27206250.000000004</v>
      </c>
      <c r="G4" s="76">
        <f t="shared" si="1"/>
        <v>19359375.000000004</v>
      </c>
      <c r="H4" s="76">
        <f t="shared" si="1"/>
        <v>19359375.000000004</v>
      </c>
      <c r="I4" s="76">
        <f t="shared" si="1"/>
        <v>27206250.000000004</v>
      </c>
      <c r="J4" s="76">
        <f t="shared" si="1"/>
        <v>23540625.000000004</v>
      </c>
      <c r="K4" s="76">
        <f t="shared" si="1"/>
        <v>23540625.000000004</v>
      </c>
      <c r="L4" s="76">
        <f t="shared" si="1"/>
        <v>15693750.000000002</v>
      </c>
      <c r="M4" s="76">
        <f t="shared" si="1"/>
        <v>7846875.0000000009</v>
      </c>
      <c r="N4" s="76">
        <f>SUM(B4:M4)</f>
        <v>170025000.00000003</v>
      </c>
    </row>
    <row r="5" spans="1:14" s="57" customFormat="1" x14ac:dyDescent="0.35">
      <c r="A5" s="71" t="s">
        <v>142</v>
      </c>
      <c r="B5" s="85">
        <f>B8+B29+B50+B71+B92</f>
        <v>0</v>
      </c>
      <c r="C5" s="85">
        <f t="shared" ref="C5:M5" si="2">C8+C29+C50+C71+C92</f>
        <v>0</v>
      </c>
      <c r="D5" s="85">
        <f t="shared" si="2"/>
        <v>0</v>
      </c>
      <c r="E5" s="85">
        <f t="shared" si="2"/>
        <v>83625</v>
      </c>
      <c r="F5" s="85">
        <f t="shared" si="2"/>
        <v>362750.00000000006</v>
      </c>
      <c r="G5" s="85">
        <f t="shared" si="2"/>
        <v>258125.00000000006</v>
      </c>
      <c r="H5" s="85">
        <f t="shared" si="2"/>
        <v>258125.00000000006</v>
      </c>
      <c r="I5" s="85">
        <f t="shared" si="2"/>
        <v>362750.00000000006</v>
      </c>
      <c r="J5" s="85">
        <f t="shared" si="2"/>
        <v>313875.00000000006</v>
      </c>
      <c r="K5" s="85">
        <f t="shared" si="2"/>
        <v>313875.00000000006</v>
      </c>
      <c r="L5" s="85">
        <f t="shared" si="2"/>
        <v>209250.00000000003</v>
      </c>
      <c r="M5" s="85">
        <f t="shared" si="2"/>
        <v>104625.00000000001</v>
      </c>
      <c r="N5" s="85">
        <f>SUM(B5:M5)</f>
        <v>2267000.0000000005</v>
      </c>
    </row>
    <row r="6" spans="1:14" s="57" customFormat="1" x14ac:dyDescent="0.35">
      <c r="A6" s="71" t="s">
        <v>143</v>
      </c>
      <c r="B6" s="75" t="e">
        <f>+B4/B5/1000</f>
        <v>#DIV/0!</v>
      </c>
      <c r="C6" s="75" t="e">
        <f t="shared" ref="C6:N6" si="3">+C4/C5/1000</f>
        <v>#DIV/0!</v>
      </c>
      <c r="D6" s="75" t="e">
        <f t="shared" si="3"/>
        <v>#DIV/0!</v>
      </c>
      <c r="E6" s="75">
        <f t="shared" si="3"/>
        <v>7.4999999999999997E-2</v>
      </c>
      <c r="F6" s="75">
        <f t="shared" si="3"/>
        <v>7.4999999999999997E-2</v>
      </c>
      <c r="G6" s="75">
        <f t="shared" si="3"/>
        <v>7.4999999999999997E-2</v>
      </c>
      <c r="H6" s="75">
        <f t="shared" si="3"/>
        <v>7.4999999999999997E-2</v>
      </c>
      <c r="I6" s="75">
        <f t="shared" si="3"/>
        <v>7.4999999999999997E-2</v>
      </c>
      <c r="J6" s="75">
        <f t="shared" si="3"/>
        <v>7.4999999999999997E-2</v>
      </c>
      <c r="K6" s="75">
        <f t="shared" si="3"/>
        <v>7.4999999999999997E-2</v>
      </c>
      <c r="L6" s="75">
        <f t="shared" si="3"/>
        <v>7.4999999999999997E-2</v>
      </c>
      <c r="M6" s="75">
        <f t="shared" si="3"/>
        <v>7.4999999999999997E-2</v>
      </c>
      <c r="N6" s="75">
        <f t="shared" si="3"/>
        <v>7.4999999999999997E-2</v>
      </c>
    </row>
    <row r="7" spans="1:14" s="57" customFormat="1" x14ac:dyDescent="0.35">
      <c r="A7" s="72" t="s">
        <v>463</v>
      </c>
      <c r="B7" s="77">
        <f>+B10+B13</f>
        <v>0</v>
      </c>
      <c r="C7" s="77">
        <f t="shared" ref="C7:M8" si="4">+C10+C13</f>
        <v>0</v>
      </c>
      <c r="D7" s="77">
        <f t="shared" si="4"/>
        <v>0</v>
      </c>
      <c r="E7" s="77">
        <f t="shared" si="4"/>
        <v>0</v>
      </c>
      <c r="F7" s="77">
        <f t="shared" si="4"/>
        <v>23025000.000000004</v>
      </c>
      <c r="G7" s="77">
        <f t="shared" si="4"/>
        <v>17268750.000000004</v>
      </c>
      <c r="H7" s="77">
        <f t="shared" si="4"/>
        <v>17268750.000000004</v>
      </c>
      <c r="I7" s="77">
        <f t="shared" si="4"/>
        <v>23025000.000000004</v>
      </c>
      <c r="J7" s="77">
        <f t="shared" si="4"/>
        <v>17268750.000000004</v>
      </c>
      <c r="K7" s="77">
        <f t="shared" si="4"/>
        <v>17268750.000000004</v>
      </c>
      <c r="L7" s="77">
        <f t="shared" si="4"/>
        <v>11512500.000000002</v>
      </c>
      <c r="M7" s="77">
        <f t="shared" si="4"/>
        <v>5756250.0000000009</v>
      </c>
      <c r="N7" s="78">
        <f>SUM(B7:M7)</f>
        <v>132393750.00000001</v>
      </c>
    </row>
    <row r="8" spans="1:14" s="57" customFormat="1" x14ac:dyDescent="0.35">
      <c r="A8" s="72" t="s">
        <v>142</v>
      </c>
      <c r="B8" s="81">
        <f>+B11+B14</f>
        <v>0</v>
      </c>
      <c r="C8" s="81">
        <f t="shared" si="4"/>
        <v>0</v>
      </c>
      <c r="D8" s="81">
        <f t="shared" si="4"/>
        <v>0</v>
      </c>
      <c r="E8" s="81">
        <f t="shared" si="4"/>
        <v>0</v>
      </c>
      <c r="F8" s="81">
        <f t="shared" si="4"/>
        <v>307000.00000000006</v>
      </c>
      <c r="G8" s="81">
        <f t="shared" si="4"/>
        <v>230250.00000000006</v>
      </c>
      <c r="H8" s="81">
        <f t="shared" si="4"/>
        <v>230250.00000000006</v>
      </c>
      <c r="I8" s="81">
        <f t="shared" si="4"/>
        <v>307000.00000000006</v>
      </c>
      <c r="J8" s="81">
        <f t="shared" si="4"/>
        <v>230250.00000000006</v>
      </c>
      <c r="K8" s="81">
        <f t="shared" si="4"/>
        <v>230250.00000000006</v>
      </c>
      <c r="L8" s="81">
        <f t="shared" si="4"/>
        <v>153500.00000000003</v>
      </c>
      <c r="M8" s="81">
        <f t="shared" si="4"/>
        <v>76750.000000000015</v>
      </c>
      <c r="N8" s="82">
        <f>SUM(B8:M8)</f>
        <v>1765250.0000000002</v>
      </c>
    </row>
    <row r="9" spans="1:14" s="57" customFormat="1" x14ac:dyDescent="0.35">
      <c r="A9" s="72" t="s">
        <v>143</v>
      </c>
      <c r="B9" s="83" t="e">
        <f>+B7/B8/1000</f>
        <v>#DIV/0!</v>
      </c>
      <c r="C9" s="83" t="e">
        <f t="shared" ref="C9:N9" si="5">+C7/C8/1000</f>
        <v>#DIV/0!</v>
      </c>
      <c r="D9" s="83" t="e">
        <f t="shared" si="5"/>
        <v>#DIV/0!</v>
      </c>
      <c r="E9" s="83" t="e">
        <f t="shared" si="5"/>
        <v>#DIV/0!</v>
      </c>
      <c r="F9" s="83">
        <f t="shared" si="5"/>
        <v>7.4999999999999997E-2</v>
      </c>
      <c r="G9" s="83">
        <f t="shared" si="5"/>
        <v>7.4999999999999997E-2</v>
      </c>
      <c r="H9" s="83">
        <f t="shared" si="5"/>
        <v>7.4999999999999997E-2</v>
      </c>
      <c r="I9" s="83">
        <f t="shared" si="5"/>
        <v>7.4999999999999997E-2</v>
      </c>
      <c r="J9" s="83">
        <f t="shared" si="5"/>
        <v>7.4999999999999997E-2</v>
      </c>
      <c r="K9" s="83">
        <f t="shared" si="5"/>
        <v>7.4999999999999997E-2</v>
      </c>
      <c r="L9" s="83">
        <f t="shared" si="5"/>
        <v>7.4999999999999997E-2</v>
      </c>
      <c r="M9" s="83">
        <f t="shared" si="5"/>
        <v>7.4999999999999997E-2</v>
      </c>
      <c r="N9" s="83">
        <f t="shared" si="5"/>
        <v>7.4999999999999997E-2</v>
      </c>
    </row>
    <row r="10" spans="1:14" x14ac:dyDescent="0.35">
      <c r="A10" s="65" t="s">
        <v>90</v>
      </c>
      <c r="B10" s="80">
        <f>(B12*B11)*1000</f>
        <v>0</v>
      </c>
      <c r="C10" s="80">
        <f t="shared" ref="C10:M10" si="6">(C12*C11)*1000</f>
        <v>0</v>
      </c>
      <c r="D10" s="80">
        <f t="shared" si="6"/>
        <v>0</v>
      </c>
      <c r="E10" s="80">
        <f t="shared" si="6"/>
        <v>0</v>
      </c>
      <c r="F10" s="80">
        <f t="shared" si="6"/>
        <v>23025000.000000004</v>
      </c>
      <c r="G10" s="80">
        <f t="shared" si="6"/>
        <v>17268750.000000004</v>
      </c>
      <c r="H10" s="80">
        <f t="shared" si="6"/>
        <v>17268750.000000004</v>
      </c>
      <c r="I10" s="80">
        <f t="shared" si="6"/>
        <v>23025000.000000004</v>
      </c>
      <c r="J10" s="80">
        <f t="shared" si="6"/>
        <v>17268750.000000004</v>
      </c>
      <c r="K10" s="80">
        <f t="shared" si="6"/>
        <v>17268750.000000004</v>
      </c>
      <c r="L10" s="80">
        <f t="shared" si="6"/>
        <v>11512500.000000002</v>
      </c>
      <c r="M10" s="80">
        <f t="shared" si="6"/>
        <v>5756250.0000000009</v>
      </c>
      <c r="N10" s="80">
        <f>SUM(B10:M10)</f>
        <v>132393750.00000001</v>
      </c>
    </row>
    <row r="11" spans="1:14" x14ac:dyDescent="0.35">
      <c r="A11" s="32" t="s">
        <v>142</v>
      </c>
      <c r="B11" s="73">
        <f>+'Budget Volumes Export'!B10</f>
        <v>0</v>
      </c>
      <c r="C11" s="73">
        <f>+'Budget Volumes Export'!C10</f>
        <v>0</v>
      </c>
      <c r="D11" s="73">
        <f>+'Budget Volumes Export'!D10</f>
        <v>0</v>
      </c>
      <c r="E11" s="73">
        <f>+'Budget Volumes Export'!E10</f>
        <v>0</v>
      </c>
      <c r="F11" s="73">
        <f>+'Budget Volumes Export'!F10</f>
        <v>307000.00000000006</v>
      </c>
      <c r="G11" s="73">
        <f>+'Budget Volumes Export'!G10</f>
        <v>230250.00000000006</v>
      </c>
      <c r="H11" s="73">
        <f>+'Budget Volumes Export'!H10</f>
        <v>230250.00000000006</v>
      </c>
      <c r="I11" s="73">
        <f>+'Budget Volumes Export'!I10</f>
        <v>307000.00000000006</v>
      </c>
      <c r="J11" s="73">
        <f>+'Budget Volumes Export'!J10</f>
        <v>230250.00000000006</v>
      </c>
      <c r="K11" s="73">
        <f>+'Budget Volumes Export'!K10</f>
        <v>230250.00000000006</v>
      </c>
      <c r="L11" s="73">
        <f>+'Budget Volumes Export'!L10</f>
        <v>153500.00000000003</v>
      </c>
      <c r="M11" s="73">
        <f>+'Budget Volumes Export'!M10</f>
        <v>76750.000000000015</v>
      </c>
      <c r="N11" s="70">
        <f>SUM(B11:M11)</f>
        <v>1765250.0000000002</v>
      </c>
    </row>
    <row r="12" spans="1:14" x14ac:dyDescent="0.35">
      <c r="A12" s="32" t="s">
        <v>143</v>
      </c>
      <c r="B12" s="62">
        <v>7.4999999999999997E-2</v>
      </c>
      <c r="C12" s="62">
        <f>+B12</f>
        <v>7.4999999999999997E-2</v>
      </c>
      <c r="D12" s="62">
        <f t="shared" ref="D12:M12" si="7">+C12</f>
        <v>7.4999999999999997E-2</v>
      </c>
      <c r="E12" s="62">
        <f t="shared" si="7"/>
        <v>7.4999999999999997E-2</v>
      </c>
      <c r="F12" s="62">
        <f t="shared" si="7"/>
        <v>7.4999999999999997E-2</v>
      </c>
      <c r="G12" s="62">
        <f t="shared" si="7"/>
        <v>7.4999999999999997E-2</v>
      </c>
      <c r="H12" s="62">
        <f t="shared" si="7"/>
        <v>7.4999999999999997E-2</v>
      </c>
      <c r="I12" s="62">
        <f t="shared" si="7"/>
        <v>7.4999999999999997E-2</v>
      </c>
      <c r="J12" s="62">
        <f t="shared" si="7"/>
        <v>7.4999999999999997E-2</v>
      </c>
      <c r="K12" s="62">
        <f t="shared" si="7"/>
        <v>7.4999999999999997E-2</v>
      </c>
      <c r="L12" s="62">
        <f t="shared" si="7"/>
        <v>7.4999999999999997E-2</v>
      </c>
      <c r="M12" s="62">
        <f t="shared" si="7"/>
        <v>7.4999999999999997E-2</v>
      </c>
      <c r="N12" s="70">
        <f>+N10/N11/1000</f>
        <v>7.4999999999999997E-2</v>
      </c>
    </row>
    <row r="13" spans="1:14" x14ac:dyDescent="0.35">
      <c r="A13" s="65" t="s">
        <v>91</v>
      </c>
      <c r="B13" s="80">
        <f>(B15*B14)*1000</f>
        <v>0</v>
      </c>
      <c r="C13" s="80">
        <f t="shared" ref="C13:M13" si="8">(C15*C14)*1000</f>
        <v>0</v>
      </c>
      <c r="D13" s="80">
        <f t="shared" si="8"/>
        <v>0</v>
      </c>
      <c r="E13" s="80">
        <f t="shared" si="8"/>
        <v>0</v>
      </c>
      <c r="F13" s="80">
        <f t="shared" si="8"/>
        <v>0</v>
      </c>
      <c r="G13" s="80">
        <f t="shared" si="8"/>
        <v>0</v>
      </c>
      <c r="H13" s="80">
        <f t="shared" si="8"/>
        <v>0</v>
      </c>
      <c r="I13" s="80">
        <f t="shared" si="8"/>
        <v>0</v>
      </c>
      <c r="J13" s="80">
        <f t="shared" si="8"/>
        <v>0</v>
      </c>
      <c r="K13" s="80">
        <f t="shared" si="8"/>
        <v>0</v>
      </c>
      <c r="L13" s="80">
        <f t="shared" si="8"/>
        <v>0</v>
      </c>
      <c r="M13" s="80">
        <f t="shared" si="8"/>
        <v>0</v>
      </c>
      <c r="N13" s="80">
        <f>SUM(B13:M13)</f>
        <v>0</v>
      </c>
    </row>
    <row r="14" spans="1:14" x14ac:dyDescent="0.35">
      <c r="A14" s="32" t="s">
        <v>142</v>
      </c>
      <c r="B14" s="73">
        <f>+'Budget Volumes Export'!B16</f>
        <v>0</v>
      </c>
      <c r="C14" s="73">
        <f>+'Budget Volumes Export'!C16</f>
        <v>0</v>
      </c>
      <c r="D14" s="73">
        <f>+'Budget Volumes Export'!D16</f>
        <v>0</v>
      </c>
      <c r="E14" s="73">
        <f>+'Budget Volumes Export'!E16</f>
        <v>0</v>
      </c>
      <c r="F14" s="73">
        <f>+'Budget Volumes Export'!F16</f>
        <v>0</v>
      </c>
      <c r="G14" s="73">
        <f>+'Budget Volumes Export'!G16</f>
        <v>0</v>
      </c>
      <c r="H14" s="73">
        <f>+'Budget Volumes Export'!H16</f>
        <v>0</v>
      </c>
      <c r="I14" s="73">
        <f>+'Budget Volumes Export'!I16</f>
        <v>0</v>
      </c>
      <c r="J14" s="73">
        <f>+'Budget Volumes Export'!J16</f>
        <v>0</v>
      </c>
      <c r="K14" s="73">
        <f>+'Budget Volumes Export'!K16</f>
        <v>0</v>
      </c>
      <c r="L14" s="73">
        <f>+'Budget Volumes Export'!L16</f>
        <v>0</v>
      </c>
      <c r="M14" s="73">
        <f>+'Budget Volumes Export'!M16</f>
        <v>0</v>
      </c>
      <c r="N14" s="70">
        <f>SUM(B14:M14)</f>
        <v>0</v>
      </c>
    </row>
    <row r="15" spans="1:14" x14ac:dyDescent="0.35">
      <c r="A15" s="32" t="s">
        <v>143</v>
      </c>
      <c r="B15" s="62">
        <f t="shared" ref="B15:M15" si="9">+B12</f>
        <v>7.4999999999999997E-2</v>
      </c>
      <c r="C15" s="62">
        <f t="shared" si="9"/>
        <v>7.4999999999999997E-2</v>
      </c>
      <c r="D15" s="62">
        <f t="shared" si="9"/>
        <v>7.4999999999999997E-2</v>
      </c>
      <c r="E15" s="62">
        <f t="shared" si="9"/>
        <v>7.4999999999999997E-2</v>
      </c>
      <c r="F15" s="62">
        <f t="shared" si="9"/>
        <v>7.4999999999999997E-2</v>
      </c>
      <c r="G15" s="62">
        <f t="shared" si="9"/>
        <v>7.4999999999999997E-2</v>
      </c>
      <c r="H15" s="62">
        <f t="shared" si="9"/>
        <v>7.4999999999999997E-2</v>
      </c>
      <c r="I15" s="62">
        <f t="shared" si="9"/>
        <v>7.4999999999999997E-2</v>
      </c>
      <c r="J15" s="62">
        <f t="shared" si="9"/>
        <v>7.4999999999999997E-2</v>
      </c>
      <c r="K15" s="62">
        <f t="shared" si="9"/>
        <v>7.4999999999999997E-2</v>
      </c>
      <c r="L15" s="62">
        <f t="shared" si="9"/>
        <v>7.4999999999999997E-2</v>
      </c>
      <c r="M15" s="62">
        <f t="shared" si="9"/>
        <v>7.4999999999999997E-2</v>
      </c>
      <c r="N15" s="70" t="e">
        <f>+N13/N14/1000</f>
        <v>#DIV/0!</v>
      </c>
    </row>
    <row r="16" spans="1:14" x14ac:dyDescent="0.35">
      <c r="A16" s="65" t="s">
        <v>376</v>
      </c>
      <c r="B16" s="80">
        <f>(B18*B17)*1000</f>
        <v>0</v>
      </c>
      <c r="C16" s="80">
        <f t="shared" ref="C16:M16" si="10">(C18*C17)*1000</f>
        <v>0</v>
      </c>
      <c r="D16" s="80">
        <f t="shared" si="10"/>
        <v>0</v>
      </c>
      <c r="E16" s="80">
        <f t="shared" si="10"/>
        <v>0</v>
      </c>
      <c r="F16" s="80">
        <f t="shared" si="10"/>
        <v>0</v>
      </c>
      <c r="G16" s="80">
        <f t="shared" si="10"/>
        <v>0</v>
      </c>
      <c r="H16" s="80">
        <f t="shared" si="10"/>
        <v>0</v>
      </c>
      <c r="I16" s="80">
        <f t="shared" si="10"/>
        <v>0</v>
      </c>
      <c r="J16" s="80">
        <f t="shared" si="10"/>
        <v>0</v>
      </c>
      <c r="K16" s="80">
        <f t="shared" si="10"/>
        <v>0</v>
      </c>
      <c r="L16" s="80">
        <f t="shared" si="10"/>
        <v>0</v>
      </c>
      <c r="M16" s="80">
        <f t="shared" si="10"/>
        <v>0</v>
      </c>
      <c r="N16" s="80">
        <f>SUM(B16:M16)</f>
        <v>0</v>
      </c>
    </row>
    <row r="17" spans="1:14" x14ac:dyDescent="0.35">
      <c r="A17" s="32" t="s">
        <v>142</v>
      </c>
      <c r="B17" s="73">
        <f>+'Budget Volumes Export'!B16</f>
        <v>0</v>
      </c>
      <c r="C17" s="73">
        <f>+'Budget Volumes Export'!C16</f>
        <v>0</v>
      </c>
      <c r="D17" s="73">
        <f>+'Budget Volumes Export'!D16</f>
        <v>0</v>
      </c>
      <c r="E17" s="73">
        <f>+'Budget Volumes Export'!E16</f>
        <v>0</v>
      </c>
      <c r="F17" s="73">
        <f>+'Budget Volumes Export'!F16</f>
        <v>0</v>
      </c>
      <c r="G17" s="73">
        <f>+'Budget Volumes Export'!G16</f>
        <v>0</v>
      </c>
      <c r="H17" s="73">
        <f>+'Budget Volumes Export'!H16</f>
        <v>0</v>
      </c>
      <c r="I17" s="73">
        <f>+'Budget Volumes Export'!I16</f>
        <v>0</v>
      </c>
      <c r="J17" s="73">
        <f>+'Budget Volumes Export'!J16</f>
        <v>0</v>
      </c>
      <c r="K17" s="73">
        <f>+'Budget Volumes Export'!K16</f>
        <v>0</v>
      </c>
      <c r="L17" s="73">
        <f>+'Budget Volumes Export'!L16</f>
        <v>0</v>
      </c>
      <c r="M17" s="73">
        <f>+'Budget Volumes Export'!M16</f>
        <v>0</v>
      </c>
      <c r="N17" s="70">
        <f>SUM(B17:M17)</f>
        <v>0</v>
      </c>
    </row>
    <row r="18" spans="1:14" x14ac:dyDescent="0.35">
      <c r="A18" s="32" t="s">
        <v>143</v>
      </c>
      <c r="B18" s="62">
        <v>7.4999999999999997E-2</v>
      </c>
      <c r="C18" s="62">
        <f>+B18</f>
        <v>7.4999999999999997E-2</v>
      </c>
      <c r="D18" s="62">
        <f t="shared" ref="D18" si="11">+C18</f>
        <v>7.4999999999999997E-2</v>
      </c>
      <c r="E18" s="62">
        <f t="shared" ref="E18" si="12">+D18</f>
        <v>7.4999999999999997E-2</v>
      </c>
      <c r="F18" s="62">
        <f t="shared" ref="F18" si="13">+E18</f>
        <v>7.4999999999999997E-2</v>
      </c>
      <c r="G18" s="62">
        <f t="shared" ref="G18" si="14">+F18</f>
        <v>7.4999999999999997E-2</v>
      </c>
      <c r="H18" s="62">
        <f t="shared" ref="H18" si="15">+G18</f>
        <v>7.4999999999999997E-2</v>
      </c>
      <c r="I18" s="62">
        <f t="shared" ref="I18" si="16">+H18</f>
        <v>7.4999999999999997E-2</v>
      </c>
      <c r="J18" s="62">
        <f t="shared" ref="J18" si="17">+I18</f>
        <v>7.4999999999999997E-2</v>
      </c>
      <c r="K18" s="62">
        <f t="shared" ref="K18" si="18">+J18</f>
        <v>7.4999999999999997E-2</v>
      </c>
      <c r="L18" s="62">
        <f t="shared" ref="L18" si="19">+K18</f>
        <v>7.4999999999999997E-2</v>
      </c>
      <c r="M18" s="62">
        <f t="shared" ref="M18" si="20">+L18</f>
        <v>7.4999999999999997E-2</v>
      </c>
      <c r="N18" s="70" t="e">
        <f>+N16/N17/1000</f>
        <v>#DIV/0!</v>
      </c>
    </row>
    <row r="19" spans="1:14" x14ac:dyDescent="0.35">
      <c r="A19" s="65" t="s">
        <v>92</v>
      </c>
      <c r="B19" s="80">
        <f>(B21*B20)*1000</f>
        <v>0</v>
      </c>
      <c r="C19" s="80">
        <f t="shared" ref="C19:M19" si="21">(C21*C20)*1000</f>
        <v>0</v>
      </c>
      <c r="D19" s="80">
        <f t="shared" si="21"/>
        <v>0</v>
      </c>
      <c r="E19" s="80">
        <f t="shared" si="21"/>
        <v>0</v>
      </c>
      <c r="F19" s="80">
        <f t="shared" si="21"/>
        <v>0</v>
      </c>
      <c r="G19" s="80">
        <f t="shared" si="21"/>
        <v>0</v>
      </c>
      <c r="H19" s="80">
        <f t="shared" si="21"/>
        <v>0</v>
      </c>
      <c r="I19" s="80">
        <f t="shared" si="21"/>
        <v>0</v>
      </c>
      <c r="J19" s="80">
        <f t="shared" si="21"/>
        <v>0</v>
      </c>
      <c r="K19" s="80">
        <f t="shared" si="21"/>
        <v>0</v>
      </c>
      <c r="L19" s="80">
        <f t="shared" si="21"/>
        <v>0</v>
      </c>
      <c r="M19" s="80">
        <f t="shared" si="21"/>
        <v>0</v>
      </c>
      <c r="N19" s="80">
        <f>SUM(B19:M19)</f>
        <v>0</v>
      </c>
    </row>
    <row r="20" spans="1:14" x14ac:dyDescent="0.35">
      <c r="A20" s="32" t="s">
        <v>142</v>
      </c>
      <c r="B20" s="73">
        <f>+'Budget Volumes Export'!B22</f>
        <v>0</v>
      </c>
      <c r="C20" s="73">
        <f>+'Budget Volumes Export'!C22</f>
        <v>0</v>
      </c>
      <c r="D20" s="73">
        <f>+'Budget Volumes Export'!D22</f>
        <v>0</v>
      </c>
      <c r="E20" s="73">
        <f>+'Budget Volumes Export'!E22</f>
        <v>0</v>
      </c>
      <c r="F20" s="73">
        <f>+'Budget Volumes Export'!F22</f>
        <v>0</v>
      </c>
      <c r="G20" s="73">
        <f>+'Budget Volumes Export'!G22</f>
        <v>0</v>
      </c>
      <c r="H20" s="73">
        <f>+'Budget Volumes Export'!H22</f>
        <v>0</v>
      </c>
      <c r="I20" s="73">
        <f>+'Budget Volumes Export'!I22</f>
        <v>0</v>
      </c>
      <c r="J20" s="73">
        <f>+'Budget Volumes Export'!J22</f>
        <v>0</v>
      </c>
      <c r="K20" s="73">
        <f>+'Budget Volumes Export'!K22</f>
        <v>0</v>
      </c>
      <c r="L20" s="73">
        <f>+'Budget Volumes Export'!L22</f>
        <v>0</v>
      </c>
      <c r="M20" s="73">
        <f>+'Budget Volumes Export'!M22</f>
        <v>0</v>
      </c>
      <c r="N20" s="70">
        <f>SUM(B20:M20)</f>
        <v>0</v>
      </c>
    </row>
    <row r="21" spans="1:14" x14ac:dyDescent="0.35">
      <c r="A21" s="32" t="s">
        <v>143</v>
      </c>
      <c r="B21" s="62">
        <f t="shared" ref="B21:M21" si="22">+B18</f>
        <v>7.4999999999999997E-2</v>
      </c>
      <c r="C21" s="62">
        <f t="shared" si="22"/>
        <v>7.4999999999999997E-2</v>
      </c>
      <c r="D21" s="62">
        <f t="shared" si="22"/>
        <v>7.4999999999999997E-2</v>
      </c>
      <c r="E21" s="62">
        <f t="shared" si="22"/>
        <v>7.4999999999999997E-2</v>
      </c>
      <c r="F21" s="62">
        <f t="shared" si="22"/>
        <v>7.4999999999999997E-2</v>
      </c>
      <c r="G21" s="62">
        <f t="shared" si="22"/>
        <v>7.4999999999999997E-2</v>
      </c>
      <c r="H21" s="62">
        <f t="shared" si="22"/>
        <v>7.4999999999999997E-2</v>
      </c>
      <c r="I21" s="62">
        <f t="shared" si="22"/>
        <v>7.4999999999999997E-2</v>
      </c>
      <c r="J21" s="62">
        <f t="shared" si="22"/>
        <v>7.4999999999999997E-2</v>
      </c>
      <c r="K21" s="62">
        <f t="shared" si="22"/>
        <v>7.4999999999999997E-2</v>
      </c>
      <c r="L21" s="62">
        <f t="shared" si="22"/>
        <v>7.4999999999999997E-2</v>
      </c>
      <c r="M21" s="62">
        <f t="shared" si="22"/>
        <v>7.4999999999999997E-2</v>
      </c>
      <c r="N21" s="70" t="e">
        <f>+N19/N20/1000</f>
        <v>#DIV/0!</v>
      </c>
    </row>
    <row r="22" spans="1:14" x14ac:dyDescent="0.35">
      <c r="A22" s="65" t="s">
        <v>377</v>
      </c>
      <c r="B22" s="80">
        <f>(B24*B23)*1000</f>
        <v>0</v>
      </c>
      <c r="C22" s="80">
        <f t="shared" ref="C22:M22" si="23">(C24*C23)*1000</f>
        <v>0</v>
      </c>
      <c r="D22" s="80">
        <f t="shared" si="23"/>
        <v>0</v>
      </c>
      <c r="E22" s="80">
        <f t="shared" si="23"/>
        <v>0</v>
      </c>
      <c r="F22" s="80">
        <f t="shared" si="23"/>
        <v>0</v>
      </c>
      <c r="G22" s="80">
        <f t="shared" si="23"/>
        <v>0</v>
      </c>
      <c r="H22" s="80">
        <f t="shared" si="23"/>
        <v>0</v>
      </c>
      <c r="I22" s="80">
        <f t="shared" si="23"/>
        <v>0</v>
      </c>
      <c r="J22" s="80">
        <f t="shared" si="23"/>
        <v>0</v>
      </c>
      <c r="K22" s="80">
        <f t="shared" si="23"/>
        <v>0</v>
      </c>
      <c r="L22" s="80">
        <f t="shared" si="23"/>
        <v>0</v>
      </c>
      <c r="M22" s="80">
        <f t="shared" si="23"/>
        <v>0</v>
      </c>
      <c r="N22" s="80">
        <f>SUM(B22:M22)</f>
        <v>0</v>
      </c>
    </row>
    <row r="23" spans="1:14" x14ac:dyDescent="0.35">
      <c r="A23" s="32" t="s">
        <v>142</v>
      </c>
      <c r="B23" s="73">
        <f>+'Budget Volumes Export'!B22</f>
        <v>0</v>
      </c>
      <c r="C23" s="73">
        <f>+'Budget Volumes Export'!C22</f>
        <v>0</v>
      </c>
      <c r="D23" s="73">
        <f>+'Budget Volumes Export'!D22</f>
        <v>0</v>
      </c>
      <c r="E23" s="73">
        <f>+'Budget Volumes Export'!E22</f>
        <v>0</v>
      </c>
      <c r="F23" s="73">
        <f>+'Budget Volumes Export'!F22</f>
        <v>0</v>
      </c>
      <c r="G23" s="73">
        <f>+'Budget Volumes Export'!G22</f>
        <v>0</v>
      </c>
      <c r="H23" s="73">
        <f>+'Budget Volumes Export'!H22</f>
        <v>0</v>
      </c>
      <c r="I23" s="73">
        <f>+'Budget Volumes Export'!I22</f>
        <v>0</v>
      </c>
      <c r="J23" s="73">
        <f>+'Budget Volumes Export'!J22</f>
        <v>0</v>
      </c>
      <c r="K23" s="73">
        <f>+'Budget Volumes Export'!K22</f>
        <v>0</v>
      </c>
      <c r="L23" s="73">
        <f>+'Budget Volumes Export'!L22</f>
        <v>0</v>
      </c>
      <c r="M23" s="73">
        <f>+'Budget Volumes Export'!M22</f>
        <v>0</v>
      </c>
      <c r="N23" s="70">
        <f>SUM(B23:M23)</f>
        <v>0</v>
      </c>
    </row>
    <row r="24" spans="1:14" x14ac:dyDescent="0.35">
      <c r="A24" s="32" t="s">
        <v>143</v>
      </c>
      <c r="B24" s="62">
        <v>7.4999999999999997E-2</v>
      </c>
      <c r="C24" s="62">
        <f>+B24</f>
        <v>7.4999999999999997E-2</v>
      </c>
      <c r="D24" s="62">
        <f t="shared" ref="D24" si="24">+C24</f>
        <v>7.4999999999999997E-2</v>
      </c>
      <c r="E24" s="62">
        <f t="shared" ref="E24" si="25">+D24</f>
        <v>7.4999999999999997E-2</v>
      </c>
      <c r="F24" s="62">
        <f t="shared" ref="F24" si="26">+E24</f>
        <v>7.4999999999999997E-2</v>
      </c>
      <c r="G24" s="62">
        <f t="shared" ref="G24" si="27">+F24</f>
        <v>7.4999999999999997E-2</v>
      </c>
      <c r="H24" s="62">
        <f t="shared" ref="H24" si="28">+G24</f>
        <v>7.4999999999999997E-2</v>
      </c>
      <c r="I24" s="62">
        <f t="shared" ref="I24" si="29">+H24</f>
        <v>7.4999999999999997E-2</v>
      </c>
      <c r="J24" s="62">
        <f t="shared" ref="J24" si="30">+I24</f>
        <v>7.4999999999999997E-2</v>
      </c>
      <c r="K24" s="62">
        <f t="shared" ref="K24" si="31">+J24</f>
        <v>7.4999999999999997E-2</v>
      </c>
      <c r="L24" s="62">
        <f t="shared" ref="L24" si="32">+K24</f>
        <v>7.4999999999999997E-2</v>
      </c>
      <c r="M24" s="62">
        <f t="shared" ref="M24" si="33">+L24</f>
        <v>7.4999999999999997E-2</v>
      </c>
      <c r="N24" s="70" t="e">
        <f>+N22/N23/1000</f>
        <v>#DIV/0!</v>
      </c>
    </row>
    <row r="25" spans="1:14" x14ac:dyDescent="0.35">
      <c r="A25" s="65" t="s">
        <v>378</v>
      </c>
      <c r="B25" s="80">
        <f>(B27*B26)*1000</f>
        <v>0</v>
      </c>
      <c r="C25" s="80">
        <f t="shared" ref="C25:M25" si="34">(C27*C26)*1000</f>
        <v>0</v>
      </c>
      <c r="D25" s="80">
        <f t="shared" si="34"/>
        <v>0</v>
      </c>
      <c r="E25" s="80">
        <f t="shared" si="34"/>
        <v>8092500.0000000009</v>
      </c>
      <c r="F25" s="80">
        <f t="shared" si="34"/>
        <v>8092500.0000000009</v>
      </c>
      <c r="G25" s="80">
        <f t="shared" si="34"/>
        <v>6069375</v>
      </c>
      <c r="H25" s="80">
        <f t="shared" si="34"/>
        <v>6069375</v>
      </c>
      <c r="I25" s="80">
        <f t="shared" si="34"/>
        <v>8092500.0000000009</v>
      </c>
      <c r="J25" s="80">
        <f t="shared" si="34"/>
        <v>6069375</v>
      </c>
      <c r="K25" s="80">
        <f t="shared" si="34"/>
        <v>6069375</v>
      </c>
      <c r="L25" s="80">
        <f t="shared" si="34"/>
        <v>4046250.0000000005</v>
      </c>
      <c r="M25" s="80">
        <f t="shared" si="34"/>
        <v>2023125.0000000002</v>
      </c>
      <c r="N25" s="80">
        <f>SUM(B25:M25)</f>
        <v>54624375</v>
      </c>
    </row>
    <row r="26" spans="1:14" x14ac:dyDescent="0.35">
      <c r="A26" s="32" t="s">
        <v>142</v>
      </c>
      <c r="B26" s="73">
        <f>+'Budget Volumes Export'!B28</f>
        <v>0</v>
      </c>
      <c r="C26" s="73">
        <f>+'Budget Volumes Export'!C28</f>
        <v>0</v>
      </c>
      <c r="D26" s="73">
        <f>+'Budget Volumes Export'!D28</f>
        <v>0</v>
      </c>
      <c r="E26" s="73">
        <f>+'Budget Volumes Export'!E28</f>
        <v>107900.00000000001</v>
      </c>
      <c r="F26" s="73">
        <f>+'Budget Volumes Export'!F28</f>
        <v>107900.00000000001</v>
      </c>
      <c r="G26" s="73">
        <f>+'Budget Volumes Export'!G28</f>
        <v>80925</v>
      </c>
      <c r="H26" s="73">
        <f>+'Budget Volumes Export'!H28</f>
        <v>80925</v>
      </c>
      <c r="I26" s="73">
        <f>+'Budget Volumes Export'!I28</f>
        <v>107900.00000000001</v>
      </c>
      <c r="J26" s="73">
        <f>+'Budget Volumes Export'!J28</f>
        <v>80925</v>
      </c>
      <c r="K26" s="73">
        <f>+'Budget Volumes Export'!K28</f>
        <v>80925</v>
      </c>
      <c r="L26" s="73">
        <f>+'Budget Volumes Export'!L28</f>
        <v>53950.000000000007</v>
      </c>
      <c r="M26" s="73">
        <f>+'Budget Volumes Export'!M28</f>
        <v>26975.000000000004</v>
      </c>
      <c r="N26" s="70">
        <f>SUM(B26:M26)</f>
        <v>728325</v>
      </c>
    </row>
    <row r="27" spans="1:14" x14ac:dyDescent="0.35">
      <c r="A27" s="32" t="s">
        <v>143</v>
      </c>
      <c r="B27" s="62">
        <f t="shared" ref="B27:M27" si="35">+B24</f>
        <v>7.4999999999999997E-2</v>
      </c>
      <c r="C27" s="62">
        <f t="shared" si="35"/>
        <v>7.4999999999999997E-2</v>
      </c>
      <c r="D27" s="62">
        <f t="shared" si="35"/>
        <v>7.4999999999999997E-2</v>
      </c>
      <c r="E27" s="62">
        <f t="shared" si="35"/>
        <v>7.4999999999999997E-2</v>
      </c>
      <c r="F27" s="62">
        <f t="shared" si="35"/>
        <v>7.4999999999999997E-2</v>
      </c>
      <c r="G27" s="62">
        <f t="shared" si="35"/>
        <v>7.4999999999999997E-2</v>
      </c>
      <c r="H27" s="62">
        <f t="shared" si="35"/>
        <v>7.4999999999999997E-2</v>
      </c>
      <c r="I27" s="62">
        <f t="shared" si="35"/>
        <v>7.4999999999999997E-2</v>
      </c>
      <c r="J27" s="62">
        <f t="shared" si="35"/>
        <v>7.4999999999999997E-2</v>
      </c>
      <c r="K27" s="62">
        <f t="shared" si="35"/>
        <v>7.4999999999999997E-2</v>
      </c>
      <c r="L27" s="62">
        <f t="shared" si="35"/>
        <v>7.4999999999999997E-2</v>
      </c>
      <c r="M27" s="62">
        <f t="shared" si="35"/>
        <v>7.4999999999999997E-2</v>
      </c>
      <c r="N27" s="70">
        <f>+N25/N26/1000</f>
        <v>7.4999999999999997E-2</v>
      </c>
    </row>
    <row r="28" spans="1:14" x14ac:dyDescent="0.35">
      <c r="A28" s="72" t="s">
        <v>464</v>
      </c>
      <c r="B28" s="77">
        <f>+B31+B34</f>
        <v>0</v>
      </c>
      <c r="C28" s="77">
        <f t="shared" ref="C28:M28" si="36">+C31+C34</f>
        <v>0</v>
      </c>
      <c r="D28" s="77">
        <f t="shared" si="36"/>
        <v>0</v>
      </c>
      <c r="E28" s="77">
        <f t="shared" si="36"/>
        <v>0</v>
      </c>
      <c r="F28" s="77">
        <f t="shared" si="36"/>
        <v>0</v>
      </c>
      <c r="G28" s="77">
        <f t="shared" si="36"/>
        <v>0</v>
      </c>
      <c r="H28" s="77">
        <f t="shared" si="36"/>
        <v>0</v>
      </c>
      <c r="I28" s="77">
        <f t="shared" si="36"/>
        <v>0</v>
      </c>
      <c r="J28" s="77">
        <f t="shared" si="36"/>
        <v>0</v>
      </c>
      <c r="K28" s="77">
        <f t="shared" si="36"/>
        <v>0</v>
      </c>
      <c r="L28" s="77">
        <f t="shared" si="36"/>
        <v>0</v>
      </c>
      <c r="M28" s="77">
        <f t="shared" si="36"/>
        <v>0</v>
      </c>
      <c r="N28" s="78">
        <f>SUM(B28:M28)</f>
        <v>0</v>
      </c>
    </row>
    <row r="29" spans="1:14" x14ac:dyDescent="0.35">
      <c r="A29" s="72" t="s">
        <v>142</v>
      </c>
      <c r="B29" s="81">
        <f>+B32+B35</f>
        <v>0</v>
      </c>
      <c r="C29" s="81">
        <f t="shared" ref="C29:M29" si="37">+C32+C35</f>
        <v>0</v>
      </c>
      <c r="D29" s="81">
        <f t="shared" si="37"/>
        <v>0</v>
      </c>
      <c r="E29" s="81">
        <f t="shared" si="37"/>
        <v>0</v>
      </c>
      <c r="F29" s="81">
        <f t="shared" si="37"/>
        <v>0</v>
      </c>
      <c r="G29" s="81">
        <f t="shared" si="37"/>
        <v>0</v>
      </c>
      <c r="H29" s="81">
        <f t="shared" si="37"/>
        <v>0</v>
      </c>
      <c r="I29" s="81">
        <f t="shared" si="37"/>
        <v>0</v>
      </c>
      <c r="J29" s="81">
        <f t="shared" si="37"/>
        <v>0</v>
      </c>
      <c r="K29" s="81">
        <f t="shared" si="37"/>
        <v>0</v>
      </c>
      <c r="L29" s="81">
        <f t="shared" si="37"/>
        <v>0</v>
      </c>
      <c r="M29" s="81">
        <f t="shared" si="37"/>
        <v>0</v>
      </c>
      <c r="N29" s="82">
        <f>SUM(B29:M29)</f>
        <v>0</v>
      </c>
    </row>
    <row r="30" spans="1:14" x14ac:dyDescent="0.35">
      <c r="A30" s="72" t="s">
        <v>143</v>
      </c>
      <c r="B30" s="83" t="e">
        <f>+B28/B29/1000</f>
        <v>#DIV/0!</v>
      </c>
      <c r="C30" s="83" t="e">
        <f t="shared" ref="C30:N30" si="38">+C28/C29/1000</f>
        <v>#DIV/0!</v>
      </c>
      <c r="D30" s="83" t="e">
        <f t="shared" si="38"/>
        <v>#DIV/0!</v>
      </c>
      <c r="E30" s="83" t="e">
        <f t="shared" si="38"/>
        <v>#DIV/0!</v>
      </c>
      <c r="F30" s="83" t="e">
        <f t="shared" si="38"/>
        <v>#DIV/0!</v>
      </c>
      <c r="G30" s="83" t="e">
        <f t="shared" si="38"/>
        <v>#DIV/0!</v>
      </c>
      <c r="H30" s="83" t="e">
        <f t="shared" si="38"/>
        <v>#DIV/0!</v>
      </c>
      <c r="I30" s="83" t="e">
        <f t="shared" si="38"/>
        <v>#DIV/0!</v>
      </c>
      <c r="J30" s="83" t="e">
        <f t="shared" si="38"/>
        <v>#DIV/0!</v>
      </c>
      <c r="K30" s="83" t="e">
        <f t="shared" si="38"/>
        <v>#DIV/0!</v>
      </c>
      <c r="L30" s="83" t="e">
        <f t="shared" si="38"/>
        <v>#DIV/0!</v>
      </c>
      <c r="M30" s="83" t="e">
        <f t="shared" si="38"/>
        <v>#DIV/0!</v>
      </c>
      <c r="N30" s="83" t="e">
        <f t="shared" si="38"/>
        <v>#DIV/0!</v>
      </c>
    </row>
    <row r="31" spans="1:14" x14ac:dyDescent="0.35">
      <c r="A31" s="65" t="s">
        <v>90</v>
      </c>
      <c r="B31" s="80">
        <f>(B33*B32)*1000</f>
        <v>0</v>
      </c>
      <c r="C31" s="80">
        <f t="shared" ref="C31:M31" si="39">(C33*C32)*1000</f>
        <v>0</v>
      </c>
      <c r="D31" s="80">
        <f t="shared" si="39"/>
        <v>0</v>
      </c>
      <c r="E31" s="80">
        <f t="shared" si="39"/>
        <v>0</v>
      </c>
      <c r="F31" s="80">
        <f t="shared" si="39"/>
        <v>0</v>
      </c>
      <c r="G31" s="80">
        <f t="shared" si="39"/>
        <v>0</v>
      </c>
      <c r="H31" s="80">
        <f t="shared" si="39"/>
        <v>0</v>
      </c>
      <c r="I31" s="80">
        <f t="shared" si="39"/>
        <v>0</v>
      </c>
      <c r="J31" s="80">
        <f t="shared" si="39"/>
        <v>0</v>
      </c>
      <c r="K31" s="80">
        <f t="shared" si="39"/>
        <v>0</v>
      </c>
      <c r="L31" s="80">
        <f t="shared" si="39"/>
        <v>0</v>
      </c>
      <c r="M31" s="80">
        <f t="shared" si="39"/>
        <v>0</v>
      </c>
      <c r="N31" s="80">
        <f>SUM(B31:M31)</f>
        <v>0</v>
      </c>
    </row>
    <row r="32" spans="1:14" x14ac:dyDescent="0.35">
      <c r="A32" s="32" t="s">
        <v>142</v>
      </c>
      <c r="B32" s="73">
        <f>+'Budget Volumes Export'!B31</f>
        <v>0</v>
      </c>
      <c r="C32" s="73">
        <f>+'Budget Volumes Export'!C31</f>
        <v>0</v>
      </c>
      <c r="D32" s="73">
        <f>+'Budget Volumes Export'!D31</f>
        <v>0</v>
      </c>
      <c r="E32" s="73">
        <f>+'Budget Volumes Export'!E31</f>
        <v>0</v>
      </c>
      <c r="F32" s="73">
        <f>+'Budget Volumes Export'!F31</f>
        <v>0</v>
      </c>
      <c r="G32" s="73">
        <f>+'Budget Volumes Export'!G31</f>
        <v>0</v>
      </c>
      <c r="H32" s="73">
        <f>+'Budget Volumes Export'!H31</f>
        <v>0</v>
      </c>
      <c r="I32" s="73">
        <f>+'Budget Volumes Export'!I31</f>
        <v>0</v>
      </c>
      <c r="J32" s="73">
        <f>+'Budget Volumes Export'!J31</f>
        <v>0</v>
      </c>
      <c r="K32" s="73">
        <f>+'Budget Volumes Export'!K31</f>
        <v>0</v>
      </c>
      <c r="L32" s="73">
        <f>+'Budget Volumes Export'!L31</f>
        <v>0</v>
      </c>
      <c r="M32" s="73">
        <f>+'Budget Volumes Export'!M31</f>
        <v>0</v>
      </c>
      <c r="N32" s="70">
        <f>SUM(B32:M32)</f>
        <v>0</v>
      </c>
    </row>
    <row r="33" spans="1:14" x14ac:dyDescent="0.35">
      <c r="A33" s="32" t="s">
        <v>143</v>
      </c>
      <c r="B33" s="62">
        <v>7.4999999999999997E-2</v>
      </c>
      <c r="C33" s="62">
        <f>+B33</f>
        <v>7.4999999999999997E-2</v>
      </c>
      <c r="D33" s="62">
        <f t="shared" ref="D33" si="40">+C33</f>
        <v>7.4999999999999997E-2</v>
      </c>
      <c r="E33" s="62">
        <f t="shared" ref="E33" si="41">+D33</f>
        <v>7.4999999999999997E-2</v>
      </c>
      <c r="F33" s="62">
        <f t="shared" ref="F33" si="42">+E33</f>
        <v>7.4999999999999997E-2</v>
      </c>
      <c r="G33" s="62">
        <f t="shared" ref="G33" si="43">+F33</f>
        <v>7.4999999999999997E-2</v>
      </c>
      <c r="H33" s="62">
        <f t="shared" ref="H33" si="44">+G33</f>
        <v>7.4999999999999997E-2</v>
      </c>
      <c r="I33" s="62">
        <f t="shared" ref="I33" si="45">+H33</f>
        <v>7.4999999999999997E-2</v>
      </c>
      <c r="J33" s="62">
        <f t="shared" ref="J33" si="46">+I33</f>
        <v>7.4999999999999997E-2</v>
      </c>
      <c r="K33" s="62">
        <f t="shared" ref="K33" si="47">+J33</f>
        <v>7.4999999999999997E-2</v>
      </c>
      <c r="L33" s="62">
        <f t="shared" ref="L33" si="48">+K33</f>
        <v>7.4999999999999997E-2</v>
      </c>
      <c r="M33" s="62">
        <f t="shared" ref="M33" si="49">+L33</f>
        <v>7.4999999999999997E-2</v>
      </c>
      <c r="N33" s="70" t="e">
        <f>+N31/N32/1000</f>
        <v>#DIV/0!</v>
      </c>
    </row>
    <row r="34" spans="1:14" x14ac:dyDescent="0.35">
      <c r="A34" s="65" t="s">
        <v>91</v>
      </c>
      <c r="B34" s="80">
        <f>(B36*B35)*1000</f>
        <v>0</v>
      </c>
      <c r="C34" s="80">
        <f t="shared" ref="C34:M34" si="50">(C36*C35)*1000</f>
        <v>0</v>
      </c>
      <c r="D34" s="80">
        <f t="shared" si="50"/>
        <v>0</v>
      </c>
      <c r="E34" s="80">
        <f t="shared" si="50"/>
        <v>0</v>
      </c>
      <c r="F34" s="80">
        <f t="shared" si="50"/>
        <v>0</v>
      </c>
      <c r="G34" s="80">
        <f t="shared" si="50"/>
        <v>0</v>
      </c>
      <c r="H34" s="80">
        <f t="shared" si="50"/>
        <v>0</v>
      </c>
      <c r="I34" s="80">
        <f t="shared" si="50"/>
        <v>0</v>
      </c>
      <c r="J34" s="80">
        <f t="shared" si="50"/>
        <v>0</v>
      </c>
      <c r="K34" s="80">
        <f t="shared" si="50"/>
        <v>0</v>
      </c>
      <c r="L34" s="80">
        <f t="shared" si="50"/>
        <v>0</v>
      </c>
      <c r="M34" s="80">
        <f t="shared" si="50"/>
        <v>0</v>
      </c>
      <c r="N34" s="80">
        <f>SUM(B34:M34)</f>
        <v>0</v>
      </c>
    </row>
    <row r="35" spans="1:14" x14ac:dyDescent="0.35">
      <c r="A35" s="32" t="s">
        <v>142</v>
      </c>
      <c r="B35" s="73">
        <f>+'Budget Volumes Export'!B37</f>
        <v>0</v>
      </c>
      <c r="C35" s="73">
        <f>+'Budget Volumes Export'!C37</f>
        <v>0</v>
      </c>
      <c r="D35" s="73">
        <f>+'Budget Volumes Export'!D37</f>
        <v>0</v>
      </c>
      <c r="E35" s="73">
        <f>+'Budget Volumes Export'!E37</f>
        <v>0</v>
      </c>
      <c r="F35" s="73">
        <f>+'Budget Volumes Export'!F37</f>
        <v>0</v>
      </c>
      <c r="G35" s="73">
        <f>+'Budget Volumes Export'!G37</f>
        <v>0</v>
      </c>
      <c r="H35" s="73">
        <f>+'Budget Volumes Export'!H37</f>
        <v>0</v>
      </c>
      <c r="I35" s="73">
        <f>+'Budget Volumes Export'!I37</f>
        <v>0</v>
      </c>
      <c r="J35" s="73">
        <f>+'Budget Volumes Export'!J37</f>
        <v>0</v>
      </c>
      <c r="K35" s="73">
        <f>+'Budget Volumes Export'!K37</f>
        <v>0</v>
      </c>
      <c r="L35" s="73">
        <f>+'Budget Volumes Export'!L37</f>
        <v>0</v>
      </c>
      <c r="M35" s="73">
        <f>+'Budget Volumes Export'!M37</f>
        <v>0</v>
      </c>
      <c r="N35" s="70">
        <f>SUM(B35:M35)</f>
        <v>0</v>
      </c>
    </row>
    <row r="36" spans="1:14" x14ac:dyDescent="0.35">
      <c r="A36" s="32" t="s">
        <v>143</v>
      </c>
      <c r="B36" s="62">
        <f t="shared" ref="B36:M36" si="51">+B33</f>
        <v>7.4999999999999997E-2</v>
      </c>
      <c r="C36" s="62">
        <f t="shared" si="51"/>
        <v>7.4999999999999997E-2</v>
      </c>
      <c r="D36" s="62">
        <f t="shared" si="51"/>
        <v>7.4999999999999997E-2</v>
      </c>
      <c r="E36" s="62">
        <f t="shared" si="51"/>
        <v>7.4999999999999997E-2</v>
      </c>
      <c r="F36" s="62">
        <f t="shared" si="51"/>
        <v>7.4999999999999997E-2</v>
      </c>
      <c r="G36" s="62">
        <f t="shared" si="51"/>
        <v>7.4999999999999997E-2</v>
      </c>
      <c r="H36" s="62">
        <f t="shared" si="51"/>
        <v>7.4999999999999997E-2</v>
      </c>
      <c r="I36" s="62">
        <f t="shared" si="51"/>
        <v>7.4999999999999997E-2</v>
      </c>
      <c r="J36" s="62">
        <f t="shared" si="51"/>
        <v>7.4999999999999997E-2</v>
      </c>
      <c r="K36" s="62">
        <f t="shared" si="51"/>
        <v>7.4999999999999997E-2</v>
      </c>
      <c r="L36" s="62">
        <f t="shared" si="51"/>
        <v>7.4999999999999997E-2</v>
      </c>
      <c r="M36" s="62">
        <f t="shared" si="51"/>
        <v>7.4999999999999997E-2</v>
      </c>
      <c r="N36" s="70" t="e">
        <f>+N34/N35/1000</f>
        <v>#DIV/0!</v>
      </c>
    </row>
    <row r="37" spans="1:14" x14ac:dyDescent="0.35">
      <c r="A37" s="65" t="s">
        <v>376</v>
      </c>
      <c r="B37" s="80">
        <f>(B39*B38)*1000</f>
        <v>0</v>
      </c>
      <c r="C37" s="80">
        <f t="shared" ref="C37:M37" si="52">(C39*C38)*1000</f>
        <v>0</v>
      </c>
      <c r="D37" s="80">
        <f t="shared" si="52"/>
        <v>0</v>
      </c>
      <c r="E37" s="80">
        <f t="shared" si="52"/>
        <v>0</v>
      </c>
      <c r="F37" s="80">
        <f t="shared" si="52"/>
        <v>0</v>
      </c>
      <c r="G37" s="80">
        <f t="shared" si="52"/>
        <v>0</v>
      </c>
      <c r="H37" s="80">
        <f t="shared" si="52"/>
        <v>0</v>
      </c>
      <c r="I37" s="80">
        <f t="shared" si="52"/>
        <v>0</v>
      </c>
      <c r="J37" s="80">
        <f t="shared" si="52"/>
        <v>0</v>
      </c>
      <c r="K37" s="80">
        <f t="shared" si="52"/>
        <v>0</v>
      </c>
      <c r="L37" s="80">
        <f t="shared" si="52"/>
        <v>0</v>
      </c>
      <c r="M37" s="80">
        <f t="shared" si="52"/>
        <v>0</v>
      </c>
      <c r="N37" s="80">
        <f>SUM(B37:M37)</f>
        <v>0</v>
      </c>
    </row>
    <row r="38" spans="1:14" x14ac:dyDescent="0.35">
      <c r="A38" s="32" t="s">
        <v>142</v>
      </c>
      <c r="B38" s="73">
        <f>+'Budget Volumes Export'!B37</f>
        <v>0</v>
      </c>
      <c r="C38" s="73">
        <f>+'Budget Volumes Export'!C37</f>
        <v>0</v>
      </c>
      <c r="D38" s="73">
        <f>+'Budget Volumes Export'!D37</f>
        <v>0</v>
      </c>
      <c r="E38" s="73">
        <f>+'Budget Volumes Export'!E37</f>
        <v>0</v>
      </c>
      <c r="F38" s="73">
        <f>+'Budget Volumes Export'!F37</f>
        <v>0</v>
      </c>
      <c r="G38" s="73">
        <f>+'Budget Volumes Export'!G37</f>
        <v>0</v>
      </c>
      <c r="H38" s="73">
        <f>+'Budget Volumes Export'!H37</f>
        <v>0</v>
      </c>
      <c r="I38" s="73">
        <f>+'Budget Volumes Export'!I37</f>
        <v>0</v>
      </c>
      <c r="J38" s="73">
        <f>+'Budget Volumes Export'!J37</f>
        <v>0</v>
      </c>
      <c r="K38" s="73">
        <f>+'Budget Volumes Export'!K37</f>
        <v>0</v>
      </c>
      <c r="L38" s="73">
        <f>+'Budget Volumes Export'!L37</f>
        <v>0</v>
      </c>
      <c r="M38" s="73">
        <f>+'Budget Volumes Export'!M37</f>
        <v>0</v>
      </c>
      <c r="N38" s="70">
        <f>SUM(B38:M38)</f>
        <v>0</v>
      </c>
    </row>
    <row r="39" spans="1:14" x14ac:dyDescent="0.35">
      <c r="A39" s="32" t="s">
        <v>143</v>
      </c>
      <c r="B39" s="62">
        <v>7.4999999999999997E-2</v>
      </c>
      <c r="C39" s="62">
        <f>+B39</f>
        <v>7.4999999999999997E-2</v>
      </c>
      <c r="D39" s="62">
        <f t="shared" ref="D39" si="53">+C39</f>
        <v>7.4999999999999997E-2</v>
      </c>
      <c r="E39" s="62">
        <f t="shared" ref="E39" si="54">+D39</f>
        <v>7.4999999999999997E-2</v>
      </c>
      <c r="F39" s="62">
        <f t="shared" ref="F39" si="55">+E39</f>
        <v>7.4999999999999997E-2</v>
      </c>
      <c r="G39" s="62">
        <f t="shared" ref="G39" si="56">+F39</f>
        <v>7.4999999999999997E-2</v>
      </c>
      <c r="H39" s="62">
        <f t="shared" ref="H39" si="57">+G39</f>
        <v>7.4999999999999997E-2</v>
      </c>
      <c r="I39" s="62">
        <f t="shared" ref="I39" si="58">+H39</f>
        <v>7.4999999999999997E-2</v>
      </c>
      <c r="J39" s="62">
        <f t="shared" ref="J39" si="59">+I39</f>
        <v>7.4999999999999997E-2</v>
      </c>
      <c r="K39" s="62">
        <f t="shared" ref="K39" si="60">+J39</f>
        <v>7.4999999999999997E-2</v>
      </c>
      <c r="L39" s="62">
        <f t="shared" ref="L39" si="61">+K39</f>
        <v>7.4999999999999997E-2</v>
      </c>
      <c r="M39" s="62">
        <f t="shared" ref="M39" si="62">+L39</f>
        <v>7.4999999999999997E-2</v>
      </c>
      <c r="N39" s="70" t="e">
        <f>+N37/N38/1000</f>
        <v>#DIV/0!</v>
      </c>
    </row>
    <row r="40" spans="1:14" x14ac:dyDescent="0.35">
      <c r="A40" s="65" t="s">
        <v>92</v>
      </c>
      <c r="B40" s="80">
        <f>(B42*B41)*1000</f>
        <v>0</v>
      </c>
      <c r="C40" s="80">
        <f t="shared" ref="C40:M40" si="63">(C42*C41)*1000</f>
        <v>0</v>
      </c>
      <c r="D40" s="80">
        <f t="shared" si="63"/>
        <v>0</v>
      </c>
      <c r="E40" s="80">
        <f t="shared" si="63"/>
        <v>0</v>
      </c>
      <c r="F40" s="80">
        <f t="shared" si="63"/>
        <v>0</v>
      </c>
      <c r="G40" s="80">
        <f t="shared" si="63"/>
        <v>0</v>
      </c>
      <c r="H40" s="80">
        <f t="shared" si="63"/>
        <v>0</v>
      </c>
      <c r="I40" s="80">
        <f t="shared" si="63"/>
        <v>0</v>
      </c>
      <c r="J40" s="80">
        <f t="shared" si="63"/>
        <v>0</v>
      </c>
      <c r="K40" s="80">
        <f t="shared" si="63"/>
        <v>0</v>
      </c>
      <c r="L40" s="80">
        <f t="shared" si="63"/>
        <v>0</v>
      </c>
      <c r="M40" s="80">
        <f t="shared" si="63"/>
        <v>0</v>
      </c>
      <c r="N40" s="80">
        <f>SUM(B40:M40)</f>
        <v>0</v>
      </c>
    </row>
    <row r="41" spans="1:14" x14ac:dyDescent="0.35">
      <c r="A41" s="32" t="s">
        <v>142</v>
      </c>
      <c r="B41" s="73">
        <f>+'Budget Volumes Export'!B43</f>
        <v>0</v>
      </c>
      <c r="C41" s="73">
        <f>+'Budget Volumes Export'!C43</f>
        <v>0</v>
      </c>
      <c r="D41" s="73">
        <f>+'Budget Volumes Export'!D43</f>
        <v>0</v>
      </c>
      <c r="E41" s="73">
        <f>+'Budget Volumes Export'!E43</f>
        <v>0</v>
      </c>
      <c r="F41" s="73">
        <f>+'Budget Volumes Export'!F43</f>
        <v>0</v>
      </c>
      <c r="G41" s="73">
        <f>+'Budget Volumes Export'!G43</f>
        <v>0</v>
      </c>
      <c r="H41" s="73">
        <f>+'Budget Volumes Export'!H43</f>
        <v>0</v>
      </c>
      <c r="I41" s="73">
        <f>+'Budget Volumes Export'!I43</f>
        <v>0</v>
      </c>
      <c r="J41" s="73">
        <f>+'Budget Volumes Export'!J43</f>
        <v>0</v>
      </c>
      <c r="K41" s="73">
        <f>+'Budget Volumes Export'!K43</f>
        <v>0</v>
      </c>
      <c r="L41" s="73">
        <f>+'Budget Volumes Export'!L43</f>
        <v>0</v>
      </c>
      <c r="M41" s="73">
        <f>+'Budget Volumes Export'!M43</f>
        <v>0</v>
      </c>
      <c r="N41" s="70">
        <f>SUM(B41:M41)</f>
        <v>0</v>
      </c>
    </row>
    <row r="42" spans="1:14" x14ac:dyDescent="0.35">
      <c r="A42" s="32" t="s">
        <v>143</v>
      </c>
      <c r="B42" s="62">
        <f t="shared" ref="B42:M42" si="64">+B39</f>
        <v>7.4999999999999997E-2</v>
      </c>
      <c r="C42" s="62">
        <f t="shared" si="64"/>
        <v>7.4999999999999997E-2</v>
      </c>
      <c r="D42" s="62">
        <f t="shared" si="64"/>
        <v>7.4999999999999997E-2</v>
      </c>
      <c r="E42" s="62">
        <f t="shared" si="64"/>
        <v>7.4999999999999997E-2</v>
      </c>
      <c r="F42" s="62">
        <f t="shared" si="64"/>
        <v>7.4999999999999997E-2</v>
      </c>
      <c r="G42" s="62">
        <f t="shared" si="64"/>
        <v>7.4999999999999997E-2</v>
      </c>
      <c r="H42" s="62">
        <f t="shared" si="64"/>
        <v>7.4999999999999997E-2</v>
      </c>
      <c r="I42" s="62">
        <f t="shared" si="64"/>
        <v>7.4999999999999997E-2</v>
      </c>
      <c r="J42" s="62">
        <f t="shared" si="64"/>
        <v>7.4999999999999997E-2</v>
      </c>
      <c r="K42" s="62">
        <f t="shared" si="64"/>
        <v>7.4999999999999997E-2</v>
      </c>
      <c r="L42" s="62">
        <f t="shared" si="64"/>
        <v>7.4999999999999997E-2</v>
      </c>
      <c r="M42" s="62">
        <f t="shared" si="64"/>
        <v>7.4999999999999997E-2</v>
      </c>
      <c r="N42" s="70" t="e">
        <f>+N40/N41/1000</f>
        <v>#DIV/0!</v>
      </c>
    </row>
    <row r="43" spans="1:14" x14ac:dyDescent="0.35">
      <c r="A43" s="65" t="s">
        <v>377</v>
      </c>
      <c r="B43" s="80">
        <f>(B45*B44)*1000</f>
        <v>0</v>
      </c>
      <c r="C43" s="80">
        <f t="shared" ref="C43:M43" si="65">(C45*C44)*1000</f>
        <v>0</v>
      </c>
      <c r="D43" s="80">
        <f t="shared" si="65"/>
        <v>0</v>
      </c>
      <c r="E43" s="80">
        <f t="shared" si="65"/>
        <v>0</v>
      </c>
      <c r="F43" s="80">
        <f t="shared" si="65"/>
        <v>0</v>
      </c>
      <c r="G43" s="80">
        <f t="shared" si="65"/>
        <v>0</v>
      </c>
      <c r="H43" s="80">
        <f t="shared" si="65"/>
        <v>0</v>
      </c>
      <c r="I43" s="80">
        <f t="shared" si="65"/>
        <v>0</v>
      </c>
      <c r="J43" s="80">
        <f t="shared" si="65"/>
        <v>0</v>
      </c>
      <c r="K43" s="80">
        <f t="shared" si="65"/>
        <v>0</v>
      </c>
      <c r="L43" s="80">
        <f t="shared" si="65"/>
        <v>0</v>
      </c>
      <c r="M43" s="80">
        <f t="shared" si="65"/>
        <v>0</v>
      </c>
      <c r="N43" s="80">
        <f>SUM(B43:M43)</f>
        <v>0</v>
      </c>
    </row>
    <row r="44" spans="1:14" x14ac:dyDescent="0.35">
      <c r="A44" s="32" t="s">
        <v>142</v>
      </c>
      <c r="B44" s="73">
        <f>+'Budget Volumes Export'!B43</f>
        <v>0</v>
      </c>
      <c r="C44" s="73">
        <f>+'Budget Volumes Export'!C43</f>
        <v>0</v>
      </c>
      <c r="D44" s="73">
        <f>+'Budget Volumes Export'!D43</f>
        <v>0</v>
      </c>
      <c r="E44" s="73">
        <f>+'Budget Volumes Export'!E43</f>
        <v>0</v>
      </c>
      <c r="F44" s="73">
        <f>+'Budget Volumes Export'!F43</f>
        <v>0</v>
      </c>
      <c r="G44" s="73">
        <f>+'Budget Volumes Export'!G43</f>
        <v>0</v>
      </c>
      <c r="H44" s="73">
        <f>+'Budget Volumes Export'!H43</f>
        <v>0</v>
      </c>
      <c r="I44" s="73">
        <f>+'Budget Volumes Export'!I43</f>
        <v>0</v>
      </c>
      <c r="J44" s="73">
        <f>+'Budget Volumes Export'!J43</f>
        <v>0</v>
      </c>
      <c r="K44" s="73">
        <f>+'Budget Volumes Export'!K43</f>
        <v>0</v>
      </c>
      <c r="L44" s="73">
        <f>+'Budget Volumes Export'!L43</f>
        <v>0</v>
      </c>
      <c r="M44" s="73">
        <f>+'Budget Volumes Export'!M43</f>
        <v>0</v>
      </c>
      <c r="N44" s="70">
        <f>SUM(B44:M44)</f>
        <v>0</v>
      </c>
    </row>
    <row r="45" spans="1:14" x14ac:dyDescent="0.35">
      <c r="A45" s="32" t="s">
        <v>143</v>
      </c>
      <c r="B45" s="62">
        <v>7.4999999999999997E-2</v>
      </c>
      <c r="C45" s="62">
        <f>+B45</f>
        <v>7.4999999999999997E-2</v>
      </c>
      <c r="D45" s="62">
        <f t="shared" ref="D45" si="66">+C45</f>
        <v>7.4999999999999997E-2</v>
      </c>
      <c r="E45" s="62">
        <f t="shared" ref="E45" si="67">+D45</f>
        <v>7.4999999999999997E-2</v>
      </c>
      <c r="F45" s="62">
        <f t="shared" ref="F45" si="68">+E45</f>
        <v>7.4999999999999997E-2</v>
      </c>
      <c r="G45" s="62">
        <f t="shared" ref="G45" si="69">+F45</f>
        <v>7.4999999999999997E-2</v>
      </c>
      <c r="H45" s="62">
        <f t="shared" ref="H45" si="70">+G45</f>
        <v>7.4999999999999997E-2</v>
      </c>
      <c r="I45" s="62">
        <f t="shared" ref="I45" si="71">+H45</f>
        <v>7.4999999999999997E-2</v>
      </c>
      <c r="J45" s="62">
        <f t="shared" ref="J45" si="72">+I45</f>
        <v>7.4999999999999997E-2</v>
      </c>
      <c r="K45" s="62">
        <f t="shared" ref="K45" si="73">+J45</f>
        <v>7.4999999999999997E-2</v>
      </c>
      <c r="L45" s="62">
        <f t="shared" ref="L45" si="74">+K45</f>
        <v>7.4999999999999997E-2</v>
      </c>
      <c r="M45" s="62">
        <f t="shared" ref="M45" si="75">+L45</f>
        <v>7.4999999999999997E-2</v>
      </c>
      <c r="N45" s="70" t="e">
        <f>+N43/N44/1000</f>
        <v>#DIV/0!</v>
      </c>
    </row>
    <row r="46" spans="1:14" x14ac:dyDescent="0.35">
      <c r="A46" s="65" t="s">
        <v>378</v>
      </c>
      <c r="B46" s="80">
        <f>(B48*B47)*1000</f>
        <v>0</v>
      </c>
      <c r="C46" s="80">
        <f t="shared" ref="C46:M46" si="76">(C48*C47)*1000</f>
        <v>0</v>
      </c>
      <c r="D46" s="80">
        <f t="shared" si="76"/>
        <v>0</v>
      </c>
      <c r="E46" s="80">
        <f t="shared" si="76"/>
        <v>6271875</v>
      </c>
      <c r="F46" s="80">
        <f t="shared" si="76"/>
        <v>4181250</v>
      </c>
      <c r="G46" s="80">
        <f t="shared" si="76"/>
        <v>2090625</v>
      </c>
      <c r="H46" s="80">
        <f t="shared" si="76"/>
        <v>2090625</v>
      </c>
      <c r="I46" s="80">
        <f t="shared" si="76"/>
        <v>4181250</v>
      </c>
      <c r="J46" s="80">
        <f t="shared" si="76"/>
        <v>6271875</v>
      </c>
      <c r="K46" s="80">
        <f t="shared" si="76"/>
        <v>6271875</v>
      </c>
      <c r="L46" s="80">
        <f t="shared" si="76"/>
        <v>4181250</v>
      </c>
      <c r="M46" s="80">
        <f t="shared" si="76"/>
        <v>2090625</v>
      </c>
      <c r="N46" s="80">
        <f>SUM(B46:M46)</f>
        <v>37631250</v>
      </c>
    </row>
    <row r="47" spans="1:14" x14ac:dyDescent="0.35">
      <c r="A47" s="32" t="s">
        <v>142</v>
      </c>
      <c r="B47" s="73">
        <f>+'Budget Volumes Export'!B49</f>
        <v>0</v>
      </c>
      <c r="C47" s="73">
        <f>+'Budget Volumes Export'!C49</f>
        <v>0</v>
      </c>
      <c r="D47" s="73">
        <f>+'Budget Volumes Export'!D49</f>
        <v>0</v>
      </c>
      <c r="E47" s="73">
        <f>+'Budget Volumes Export'!E49</f>
        <v>83625</v>
      </c>
      <c r="F47" s="73">
        <f>+'Budget Volumes Export'!F49</f>
        <v>55750</v>
      </c>
      <c r="G47" s="73">
        <f>+'Budget Volumes Export'!G49</f>
        <v>27875</v>
      </c>
      <c r="H47" s="73">
        <f>+'Budget Volumes Export'!H49</f>
        <v>27875</v>
      </c>
      <c r="I47" s="73">
        <f>+'Budget Volumes Export'!I49</f>
        <v>55750</v>
      </c>
      <c r="J47" s="73">
        <f>+'Budget Volumes Export'!J49</f>
        <v>83625</v>
      </c>
      <c r="K47" s="73">
        <f>+'Budget Volumes Export'!K49</f>
        <v>83625</v>
      </c>
      <c r="L47" s="73">
        <f>+'Budget Volumes Export'!L49</f>
        <v>55750</v>
      </c>
      <c r="M47" s="73">
        <f>+'Budget Volumes Export'!M49</f>
        <v>27875</v>
      </c>
      <c r="N47" s="70">
        <f>SUM(B47:M47)</f>
        <v>501750</v>
      </c>
    </row>
    <row r="48" spans="1:14" x14ac:dyDescent="0.35">
      <c r="A48" s="32" t="s">
        <v>143</v>
      </c>
      <c r="B48" s="62">
        <f t="shared" ref="B48:M48" si="77">+B45</f>
        <v>7.4999999999999997E-2</v>
      </c>
      <c r="C48" s="62">
        <f t="shared" si="77"/>
        <v>7.4999999999999997E-2</v>
      </c>
      <c r="D48" s="62">
        <f t="shared" si="77"/>
        <v>7.4999999999999997E-2</v>
      </c>
      <c r="E48" s="62">
        <f t="shared" si="77"/>
        <v>7.4999999999999997E-2</v>
      </c>
      <c r="F48" s="62">
        <f t="shared" si="77"/>
        <v>7.4999999999999997E-2</v>
      </c>
      <c r="G48" s="62">
        <f t="shared" si="77"/>
        <v>7.4999999999999997E-2</v>
      </c>
      <c r="H48" s="62">
        <f t="shared" si="77"/>
        <v>7.4999999999999997E-2</v>
      </c>
      <c r="I48" s="62">
        <f t="shared" si="77"/>
        <v>7.4999999999999997E-2</v>
      </c>
      <c r="J48" s="62">
        <f t="shared" si="77"/>
        <v>7.4999999999999997E-2</v>
      </c>
      <c r="K48" s="62">
        <f t="shared" si="77"/>
        <v>7.4999999999999997E-2</v>
      </c>
      <c r="L48" s="62">
        <f t="shared" si="77"/>
        <v>7.4999999999999997E-2</v>
      </c>
      <c r="M48" s="62">
        <f t="shared" si="77"/>
        <v>7.4999999999999997E-2</v>
      </c>
      <c r="N48" s="70">
        <f>+N46/N47/1000</f>
        <v>7.4999999999999997E-2</v>
      </c>
    </row>
    <row r="49" spans="1:14" x14ac:dyDescent="0.35">
      <c r="A49" s="72" t="s">
        <v>465</v>
      </c>
      <c r="B49" s="77">
        <f>+B52+B55</f>
        <v>0</v>
      </c>
      <c r="C49" s="77">
        <f t="shared" ref="C49:M49" si="78">+C52+C55</f>
        <v>0</v>
      </c>
      <c r="D49" s="77">
        <f t="shared" si="78"/>
        <v>0</v>
      </c>
      <c r="E49" s="77">
        <f t="shared" si="78"/>
        <v>6271875</v>
      </c>
      <c r="F49" s="77">
        <f t="shared" si="78"/>
        <v>4181250</v>
      </c>
      <c r="G49" s="77">
        <f t="shared" si="78"/>
        <v>2090625</v>
      </c>
      <c r="H49" s="77">
        <f t="shared" si="78"/>
        <v>2090625</v>
      </c>
      <c r="I49" s="77">
        <f t="shared" si="78"/>
        <v>4181250</v>
      </c>
      <c r="J49" s="77">
        <f t="shared" si="78"/>
        <v>6271875</v>
      </c>
      <c r="K49" s="77">
        <f t="shared" si="78"/>
        <v>6271875</v>
      </c>
      <c r="L49" s="77">
        <f t="shared" si="78"/>
        <v>4181250</v>
      </c>
      <c r="M49" s="77">
        <f t="shared" si="78"/>
        <v>2090625</v>
      </c>
      <c r="N49" s="78">
        <f>SUM(B49:M49)</f>
        <v>37631250</v>
      </c>
    </row>
    <row r="50" spans="1:14" x14ac:dyDescent="0.35">
      <c r="A50" s="72" t="s">
        <v>142</v>
      </c>
      <c r="B50" s="81">
        <f>+B53+B56</f>
        <v>0</v>
      </c>
      <c r="C50" s="81">
        <f t="shared" ref="C50:M50" si="79">+C53+C56</f>
        <v>0</v>
      </c>
      <c r="D50" s="81">
        <f t="shared" si="79"/>
        <v>0</v>
      </c>
      <c r="E50" s="81">
        <f t="shared" si="79"/>
        <v>83625</v>
      </c>
      <c r="F50" s="81">
        <f t="shared" si="79"/>
        <v>55750</v>
      </c>
      <c r="G50" s="81">
        <f t="shared" si="79"/>
        <v>27875</v>
      </c>
      <c r="H50" s="81">
        <f t="shared" si="79"/>
        <v>27875</v>
      </c>
      <c r="I50" s="81">
        <f t="shared" si="79"/>
        <v>55750</v>
      </c>
      <c r="J50" s="81">
        <f t="shared" si="79"/>
        <v>83625</v>
      </c>
      <c r="K50" s="81">
        <f t="shared" si="79"/>
        <v>83625</v>
      </c>
      <c r="L50" s="81">
        <f t="shared" si="79"/>
        <v>55750</v>
      </c>
      <c r="M50" s="81">
        <f t="shared" si="79"/>
        <v>27875</v>
      </c>
      <c r="N50" s="82">
        <f>SUM(B50:M50)</f>
        <v>501750</v>
      </c>
    </row>
    <row r="51" spans="1:14" x14ac:dyDescent="0.35">
      <c r="A51" s="72" t="s">
        <v>143</v>
      </c>
      <c r="B51" s="83" t="e">
        <f>+B49/B50/1000</f>
        <v>#DIV/0!</v>
      </c>
      <c r="C51" s="83" t="e">
        <f t="shared" ref="C51:N51" si="80">+C49/C50/1000</f>
        <v>#DIV/0!</v>
      </c>
      <c r="D51" s="83" t="e">
        <f t="shared" si="80"/>
        <v>#DIV/0!</v>
      </c>
      <c r="E51" s="83">
        <f t="shared" si="80"/>
        <v>7.4999999999999997E-2</v>
      </c>
      <c r="F51" s="83">
        <f t="shared" si="80"/>
        <v>7.4999999999999997E-2</v>
      </c>
      <c r="G51" s="83">
        <f t="shared" si="80"/>
        <v>7.4999999999999997E-2</v>
      </c>
      <c r="H51" s="83">
        <f t="shared" si="80"/>
        <v>7.4999999999999997E-2</v>
      </c>
      <c r="I51" s="83">
        <f t="shared" si="80"/>
        <v>7.4999999999999997E-2</v>
      </c>
      <c r="J51" s="83">
        <f t="shared" si="80"/>
        <v>7.4999999999999997E-2</v>
      </c>
      <c r="K51" s="83">
        <f t="shared" si="80"/>
        <v>7.4999999999999997E-2</v>
      </c>
      <c r="L51" s="83">
        <f t="shared" si="80"/>
        <v>7.4999999999999997E-2</v>
      </c>
      <c r="M51" s="83">
        <f t="shared" si="80"/>
        <v>7.4999999999999997E-2</v>
      </c>
      <c r="N51" s="83">
        <f t="shared" si="80"/>
        <v>7.4999999999999997E-2</v>
      </c>
    </row>
    <row r="52" spans="1:14" x14ac:dyDescent="0.35">
      <c r="A52" s="65" t="s">
        <v>90</v>
      </c>
      <c r="B52" s="80">
        <f>(B54*B53)*1000</f>
        <v>0</v>
      </c>
      <c r="C52" s="80">
        <f t="shared" ref="C52:M52" si="81">(C54*C53)*1000</f>
        <v>0</v>
      </c>
      <c r="D52" s="80">
        <f t="shared" si="81"/>
        <v>0</v>
      </c>
      <c r="E52" s="80">
        <f t="shared" si="81"/>
        <v>0</v>
      </c>
      <c r="F52" s="80">
        <f t="shared" si="81"/>
        <v>0</v>
      </c>
      <c r="G52" s="80">
        <f t="shared" si="81"/>
        <v>0</v>
      </c>
      <c r="H52" s="80">
        <f t="shared" si="81"/>
        <v>0</v>
      </c>
      <c r="I52" s="80">
        <f t="shared" si="81"/>
        <v>0</v>
      </c>
      <c r="J52" s="80">
        <f t="shared" si="81"/>
        <v>0</v>
      </c>
      <c r="K52" s="80">
        <f t="shared" si="81"/>
        <v>0</v>
      </c>
      <c r="L52" s="80">
        <f t="shared" si="81"/>
        <v>0</v>
      </c>
      <c r="M52" s="80">
        <f t="shared" si="81"/>
        <v>0</v>
      </c>
      <c r="N52" s="80">
        <f>SUM(B52:M52)</f>
        <v>0</v>
      </c>
    </row>
    <row r="53" spans="1:14" x14ac:dyDescent="0.35">
      <c r="A53" s="32" t="s">
        <v>142</v>
      </c>
      <c r="B53" s="73">
        <f>+'Budget Volumes Export'!B52</f>
        <v>0</v>
      </c>
      <c r="C53" s="73">
        <f>+'Budget Volumes Export'!C52</f>
        <v>0</v>
      </c>
      <c r="D53" s="73">
        <f>+'Budget Volumes Export'!D52</f>
        <v>0</v>
      </c>
      <c r="E53" s="73">
        <f>+'Budget Volumes Export'!E52</f>
        <v>0</v>
      </c>
      <c r="F53" s="73">
        <f>+'Budget Volumes Export'!F52</f>
        <v>0</v>
      </c>
      <c r="G53" s="73">
        <f>+'Budget Volumes Export'!G52</f>
        <v>0</v>
      </c>
      <c r="H53" s="73">
        <f>+'Budget Volumes Export'!H52</f>
        <v>0</v>
      </c>
      <c r="I53" s="73">
        <f>+'Budget Volumes Export'!I52</f>
        <v>0</v>
      </c>
      <c r="J53" s="73">
        <f>+'Budget Volumes Export'!J52</f>
        <v>0</v>
      </c>
      <c r="K53" s="73">
        <f>+'Budget Volumes Export'!K52</f>
        <v>0</v>
      </c>
      <c r="L53" s="73">
        <f>+'Budget Volumes Export'!L52</f>
        <v>0</v>
      </c>
      <c r="M53" s="73">
        <f>+'Budget Volumes Export'!M52</f>
        <v>0</v>
      </c>
      <c r="N53" s="70">
        <f>SUM(B53:M53)</f>
        <v>0</v>
      </c>
    </row>
    <row r="54" spans="1:14" x14ac:dyDescent="0.35">
      <c r="A54" s="32" t="s">
        <v>143</v>
      </c>
      <c r="B54" s="62">
        <v>7.4999999999999997E-2</v>
      </c>
      <c r="C54" s="62">
        <f>+B54</f>
        <v>7.4999999999999997E-2</v>
      </c>
      <c r="D54" s="62">
        <f t="shared" ref="D54" si="82">+C54</f>
        <v>7.4999999999999997E-2</v>
      </c>
      <c r="E54" s="62">
        <f t="shared" ref="E54" si="83">+D54</f>
        <v>7.4999999999999997E-2</v>
      </c>
      <c r="F54" s="62">
        <f t="shared" ref="F54" si="84">+E54</f>
        <v>7.4999999999999997E-2</v>
      </c>
      <c r="G54" s="62">
        <f t="shared" ref="G54" si="85">+F54</f>
        <v>7.4999999999999997E-2</v>
      </c>
      <c r="H54" s="62">
        <f t="shared" ref="H54" si="86">+G54</f>
        <v>7.4999999999999997E-2</v>
      </c>
      <c r="I54" s="62">
        <f t="shared" ref="I54" si="87">+H54</f>
        <v>7.4999999999999997E-2</v>
      </c>
      <c r="J54" s="62">
        <f t="shared" ref="J54" si="88">+I54</f>
        <v>7.4999999999999997E-2</v>
      </c>
      <c r="K54" s="62">
        <f t="shared" ref="K54" si="89">+J54</f>
        <v>7.4999999999999997E-2</v>
      </c>
      <c r="L54" s="62">
        <f t="shared" ref="L54" si="90">+K54</f>
        <v>7.4999999999999997E-2</v>
      </c>
      <c r="M54" s="62">
        <f t="shared" ref="M54" si="91">+L54</f>
        <v>7.4999999999999997E-2</v>
      </c>
      <c r="N54" s="70" t="e">
        <f>+N52/N53/1000</f>
        <v>#DIV/0!</v>
      </c>
    </row>
    <row r="55" spans="1:14" x14ac:dyDescent="0.35">
      <c r="A55" s="65" t="s">
        <v>91</v>
      </c>
      <c r="B55" s="80">
        <f>(B57*B56)*1000</f>
        <v>0</v>
      </c>
      <c r="C55" s="80">
        <f t="shared" ref="C55:M55" si="92">(C57*C56)*1000</f>
        <v>0</v>
      </c>
      <c r="D55" s="80">
        <f t="shared" si="92"/>
        <v>0</v>
      </c>
      <c r="E55" s="80">
        <f t="shared" si="92"/>
        <v>6271875</v>
      </c>
      <c r="F55" s="80">
        <f t="shared" si="92"/>
        <v>4181250</v>
      </c>
      <c r="G55" s="80">
        <f t="shared" si="92"/>
        <v>2090625</v>
      </c>
      <c r="H55" s="80">
        <f t="shared" si="92"/>
        <v>2090625</v>
      </c>
      <c r="I55" s="80">
        <f t="shared" si="92"/>
        <v>4181250</v>
      </c>
      <c r="J55" s="80">
        <f t="shared" si="92"/>
        <v>6271875</v>
      </c>
      <c r="K55" s="80">
        <f t="shared" si="92"/>
        <v>6271875</v>
      </c>
      <c r="L55" s="80">
        <f t="shared" si="92"/>
        <v>4181250</v>
      </c>
      <c r="M55" s="80">
        <f t="shared" si="92"/>
        <v>2090625</v>
      </c>
      <c r="N55" s="80">
        <f>SUM(B55:M55)</f>
        <v>37631250</v>
      </c>
    </row>
    <row r="56" spans="1:14" x14ac:dyDescent="0.35">
      <c r="A56" s="32" t="s">
        <v>142</v>
      </c>
      <c r="B56" s="73">
        <f>+'Budget Volumes Export'!B58</f>
        <v>0</v>
      </c>
      <c r="C56" s="73">
        <f>+'Budget Volumes Export'!C58</f>
        <v>0</v>
      </c>
      <c r="D56" s="73">
        <f>+'Budget Volumes Export'!D58</f>
        <v>0</v>
      </c>
      <c r="E56" s="73">
        <f>+'Budget Volumes Export'!E58</f>
        <v>83625</v>
      </c>
      <c r="F56" s="73">
        <f>+'Budget Volumes Export'!F58</f>
        <v>55750</v>
      </c>
      <c r="G56" s="73">
        <f>+'Budget Volumes Export'!G58</f>
        <v>27875</v>
      </c>
      <c r="H56" s="73">
        <f>+'Budget Volumes Export'!H58</f>
        <v>27875</v>
      </c>
      <c r="I56" s="73">
        <f>+'Budget Volumes Export'!I58</f>
        <v>55750</v>
      </c>
      <c r="J56" s="73">
        <f>+'Budget Volumes Export'!J58</f>
        <v>83625</v>
      </c>
      <c r="K56" s="73">
        <f>+'Budget Volumes Export'!K58</f>
        <v>83625</v>
      </c>
      <c r="L56" s="73">
        <f>+'Budget Volumes Export'!L58</f>
        <v>55750</v>
      </c>
      <c r="M56" s="73">
        <f>+'Budget Volumes Export'!M58</f>
        <v>27875</v>
      </c>
      <c r="N56" s="70">
        <f>SUM(B56:M56)</f>
        <v>501750</v>
      </c>
    </row>
    <row r="57" spans="1:14" x14ac:dyDescent="0.35">
      <c r="A57" s="32" t="s">
        <v>143</v>
      </c>
      <c r="B57" s="62">
        <f t="shared" ref="B57:M57" si="93">+B54</f>
        <v>7.4999999999999997E-2</v>
      </c>
      <c r="C57" s="62">
        <f t="shared" si="93"/>
        <v>7.4999999999999997E-2</v>
      </c>
      <c r="D57" s="62">
        <f t="shared" si="93"/>
        <v>7.4999999999999997E-2</v>
      </c>
      <c r="E57" s="62">
        <f t="shared" si="93"/>
        <v>7.4999999999999997E-2</v>
      </c>
      <c r="F57" s="62">
        <f t="shared" si="93"/>
        <v>7.4999999999999997E-2</v>
      </c>
      <c r="G57" s="62">
        <f t="shared" si="93"/>
        <v>7.4999999999999997E-2</v>
      </c>
      <c r="H57" s="62">
        <f t="shared" si="93"/>
        <v>7.4999999999999997E-2</v>
      </c>
      <c r="I57" s="62">
        <f t="shared" si="93"/>
        <v>7.4999999999999997E-2</v>
      </c>
      <c r="J57" s="62">
        <f t="shared" si="93"/>
        <v>7.4999999999999997E-2</v>
      </c>
      <c r="K57" s="62">
        <f t="shared" si="93"/>
        <v>7.4999999999999997E-2</v>
      </c>
      <c r="L57" s="62">
        <f t="shared" si="93"/>
        <v>7.4999999999999997E-2</v>
      </c>
      <c r="M57" s="62">
        <f t="shared" si="93"/>
        <v>7.4999999999999997E-2</v>
      </c>
      <c r="N57" s="70">
        <f>+N55/N56/1000</f>
        <v>7.4999999999999997E-2</v>
      </c>
    </row>
    <row r="58" spans="1:14" x14ac:dyDescent="0.35">
      <c r="A58" s="65" t="s">
        <v>376</v>
      </c>
      <c r="B58" s="80">
        <f>(B60*B59)*1000</f>
        <v>0</v>
      </c>
      <c r="C58" s="80">
        <f t="shared" ref="C58:M58" si="94">(C60*C59)*1000</f>
        <v>0</v>
      </c>
      <c r="D58" s="80">
        <f t="shared" si="94"/>
        <v>0</v>
      </c>
      <c r="E58" s="80">
        <f t="shared" si="94"/>
        <v>6271875</v>
      </c>
      <c r="F58" s="80">
        <f t="shared" si="94"/>
        <v>4181250</v>
      </c>
      <c r="G58" s="80">
        <f t="shared" si="94"/>
        <v>2090625</v>
      </c>
      <c r="H58" s="80">
        <f t="shared" si="94"/>
        <v>2090625</v>
      </c>
      <c r="I58" s="80">
        <f t="shared" si="94"/>
        <v>4181250</v>
      </c>
      <c r="J58" s="80">
        <f t="shared" si="94"/>
        <v>6271875</v>
      </c>
      <c r="K58" s="80">
        <f t="shared" si="94"/>
        <v>6271875</v>
      </c>
      <c r="L58" s="80">
        <f t="shared" si="94"/>
        <v>4181250</v>
      </c>
      <c r="M58" s="80">
        <f t="shared" si="94"/>
        <v>2090625</v>
      </c>
      <c r="N58" s="80">
        <f>SUM(B58:M58)</f>
        <v>37631250</v>
      </c>
    </row>
    <row r="59" spans="1:14" x14ac:dyDescent="0.35">
      <c r="A59" s="32" t="s">
        <v>142</v>
      </c>
      <c r="B59" s="73">
        <f>+'Budget Volumes Export'!B58</f>
        <v>0</v>
      </c>
      <c r="C59" s="73">
        <f>+'Budget Volumes Export'!C58</f>
        <v>0</v>
      </c>
      <c r="D59" s="73">
        <f>+'Budget Volumes Export'!D58</f>
        <v>0</v>
      </c>
      <c r="E59" s="73">
        <f>+'Budget Volumes Export'!E58</f>
        <v>83625</v>
      </c>
      <c r="F59" s="73">
        <f>+'Budget Volumes Export'!F58</f>
        <v>55750</v>
      </c>
      <c r="G59" s="73">
        <f>+'Budget Volumes Export'!G58</f>
        <v>27875</v>
      </c>
      <c r="H59" s="73">
        <f>+'Budget Volumes Export'!H58</f>
        <v>27875</v>
      </c>
      <c r="I59" s="73">
        <f>+'Budget Volumes Export'!I58</f>
        <v>55750</v>
      </c>
      <c r="J59" s="73">
        <f>+'Budget Volumes Export'!J58</f>
        <v>83625</v>
      </c>
      <c r="K59" s="73">
        <f>+'Budget Volumes Export'!K58</f>
        <v>83625</v>
      </c>
      <c r="L59" s="73">
        <f>+'Budget Volumes Export'!L58</f>
        <v>55750</v>
      </c>
      <c r="M59" s="73">
        <f>+'Budget Volumes Export'!M58</f>
        <v>27875</v>
      </c>
      <c r="N59" s="70">
        <f>SUM(B59:M59)</f>
        <v>501750</v>
      </c>
    </row>
    <row r="60" spans="1:14" x14ac:dyDescent="0.35">
      <c r="A60" s="32" t="s">
        <v>143</v>
      </c>
      <c r="B60" s="62">
        <v>7.4999999999999997E-2</v>
      </c>
      <c r="C60" s="62">
        <f>+B60</f>
        <v>7.4999999999999997E-2</v>
      </c>
      <c r="D60" s="62">
        <f t="shared" ref="D60" si="95">+C60</f>
        <v>7.4999999999999997E-2</v>
      </c>
      <c r="E60" s="62">
        <f t="shared" ref="E60" si="96">+D60</f>
        <v>7.4999999999999997E-2</v>
      </c>
      <c r="F60" s="62">
        <f t="shared" ref="F60" si="97">+E60</f>
        <v>7.4999999999999997E-2</v>
      </c>
      <c r="G60" s="62">
        <f t="shared" ref="G60" si="98">+F60</f>
        <v>7.4999999999999997E-2</v>
      </c>
      <c r="H60" s="62">
        <f t="shared" ref="H60" si="99">+G60</f>
        <v>7.4999999999999997E-2</v>
      </c>
      <c r="I60" s="62">
        <f t="shared" ref="I60" si="100">+H60</f>
        <v>7.4999999999999997E-2</v>
      </c>
      <c r="J60" s="62">
        <f t="shared" ref="J60" si="101">+I60</f>
        <v>7.4999999999999997E-2</v>
      </c>
      <c r="K60" s="62">
        <f t="shared" ref="K60" si="102">+J60</f>
        <v>7.4999999999999997E-2</v>
      </c>
      <c r="L60" s="62">
        <f t="shared" ref="L60" si="103">+K60</f>
        <v>7.4999999999999997E-2</v>
      </c>
      <c r="M60" s="62">
        <f t="shared" ref="M60" si="104">+L60</f>
        <v>7.4999999999999997E-2</v>
      </c>
      <c r="N60" s="70">
        <f>+N58/N59/1000</f>
        <v>7.4999999999999997E-2</v>
      </c>
    </row>
    <row r="61" spans="1:14" x14ac:dyDescent="0.35">
      <c r="A61" s="65" t="s">
        <v>92</v>
      </c>
      <c r="B61" s="80">
        <f>(B63*B62)*1000</f>
        <v>0</v>
      </c>
      <c r="C61" s="80">
        <f t="shared" ref="C61:M61" si="105">(C63*C62)*1000</f>
        <v>0</v>
      </c>
      <c r="D61" s="80">
        <f t="shared" si="105"/>
        <v>0</v>
      </c>
      <c r="E61" s="80">
        <f t="shared" si="105"/>
        <v>0</v>
      </c>
      <c r="F61" s="80">
        <f t="shared" si="105"/>
        <v>0</v>
      </c>
      <c r="G61" s="80">
        <f t="shared" si="105"/>
        <v>0</v>
      </c>
      <c r="H61" s="80">
        <f t="shared" si="105"/>
        <v>0</v>
      </c>
      <c r="I61" s="80">
        <f t="shared" si="105"/>
        <v>0</v>
      </c>
      <c r="J61" s="80">
        <f t="shared" si="105"/>
        <v>0</v>
      </c>
      <c r="K61" s="80">
        <f t="shared" si="105"/>
        <v>0</v>
      </c>
      <c r="L61" s="80">
        <f t="shared" si="105"/>
        <v>0</v>
      </c>
      <c r="M61" s="80">
        <f t="shared" si="105"/>
        <v>0</v>
      </c>
      <c r="N61" s="80">
        <f>SUM(B61:M61)</f>
        <v>0</v>
      </c>
    </row>
    <row r="62" spans="1:14" x14ac:dyDescent="0.35">
      <c r="A62" s="32" t="s">
        <v>142</v>
      </c>
      <c r="B62" s="73">
        <f>+'Budget Volumes Export'!B64</f>
        <v>0</v>
      </c>
      <c r="C62" s="73">
        <f>+'Budget Volumes Export'!C64</f>
        <v>0</v>
      </c>
      <c r="D62" s="73">
        <f>+'Budget Volumes Export'!D64</f>
        <v>0</v>
      </c>
      <c r="E62" s="73">
        <f>+'Budget Volumes Export'!E64</f>
        <v>0</v>
      </c>
      <c r="F62" s="73">
        <f>+'Budget Volumes Export'!F64</f>
        <v>0</v>
      </c>
      <c r="G62" s="73">
        <f>+'Budget Volumes Export'!G64</f>
        <v>0</v>
      </c>
      <c r="H62" s="73">
        <f>+'Budget Volumes Export'!H64</f>
        <v>0</v>
      </c>
      <c r="I62" s="73">
        <f>+'Budget Volumes Export'!I64</f>
        <v>0</v>
      </c>
      <c r="J62" s="73">
        <f>+'Budget Volumes Export'!J64</f>
        <v>0</v>
      </c>
      <c r="K62" s="73">
        <f>+'Budget Volumes Export'!K64</f>
        <v>0</v>
      </c>
      <c r="L62" s="73">
        <f>+'Budget Volumes Export'!L64</f>
        <v>0</v>
      </c>
      <c r="M62" s="73">
        <f>+'Budget Volumes Export'!M64</f>
        <v>0</v>
      </c>
      <c r="N62" s="70">
        <f>SUM(B62:M62)</f>
        <v>0</v>
      </c>
    </row>
    <row r="63" spans="1:14" x14ac:dyDescent="0.35">
      <c r="A63" s="32" t="s">
        <v>143</v>
      </c>
      <c r="B63" s="62">
        <f t="shared" ref="B63:M63" si="106">+B60</f>
        <v>7.4999999999999997E-2</v>
      </c>
      <c r="C63" s="62">
        <f t="shared" si="106"/>
        <v>7.4999999999999997E-2</v>
      </c>
      <c r="D63" s="62">
        <f t="shared" si="106"/>
        <v>7.4999999999999997E-2</v>
      </c>
      <c r="E63" s="62">
        <f t="shared" si="106"/>
        <v>7.4999999999999997E-2</v>
      </c>
      <c r="F63" s="62">
        <f t="shared" si="106"/>
        <v>7.4999999999999997E-2</v>
      </c>
      <c r="G63" s="62">
        <f t="shared" si="106"/>
        <v>7.4999999999999997E-2</v>
      </c>
      <c r="H63" s="62">
        <f t="shared" si="106"/>
        <v>7.4999999999999997E-2</v>
      </c>
      <c r="I63" s="62">
        <f t="shared" si="106"/>
        <v>7.4999999999999997E-2</v>
      </c>
      <c r="J63" s="62">
        <f t="shared" si="106"/>
        <v>7.4999999999999997E-2</v>
      </c>
      <c r="K63" s="62">
        <f t="shared" si="106"/>
        <v>7.4999999999999997E-2</v>
      </c>
      <c r="L63" s="62">
        <f t="shared" si="106"/>
        <v>7.4999999999999997E-2</v>
      </c>
      <c r="M63" s="62">
        <f t="shared" si="106"/>
        <v>7.4999999999999997E-2</v>
      </c>
      <c r="N63" s="70" t="e">
        <f>+N61/N62/1000</f>
        <v>#DIV/0!</v>
      </c>
    </row>
    <row r="64" spans="1:14" x14ac:dyDescent="0.35">
      <c r="A64" s="65" t="s">
        <v>377</v>
      </c>
      <c r="B64" s="80">
        <f>(B66*B65)*1000</f>
        <v>0</v>
      </c>
      <c r="C64" s="80">
        <f t="shared" ref="C64:M64" si="107">(C66*C65)*1000</f>
        <v>0</v>
      </c>
      <c r="D64" s="80">
        <f t="shared" si="107"/>
        <v>0</v>
      </c>
      <c r="E64" s="80">
        <f t="shared" si="107"/>
        <v>0</v>
      </c>
      <c r="F64" s="80">
        <f t="shared" si="107"/>
        <v>0</v>
      </c>
      <c r="G64" s="80">
        <f t="shared" si="107"/>
        <v>0</v>
      </c>
      <c r="H64" s="80">
        <f t="shared" si="107"/>
        <v>0</v>
      </c>
      <c r="I64" s="80">
        <f t="shared" si="107"/>
        <v>0</v>
      </c>
      <c r="J64" s="80">
        <f t="shared" si="107"/>
        <v>0</v>
      </c>
      <c r="K64" s="80">
        <f t="shared" si="107"/>
        <v>0</v>
      </c>
      <c r="L64" s="80">
        <f t="shared" si="107"/>
        <v>0</v>
      </c>
      <c r="M64" s="80">
        <f t="shared" si="107"/>
        <v>0</v>
      </c>
      <c r="N64" s="80">
        <f>SUM(B64:M64)</f>
        <v>0</v>
      </c>
    </row>
    <row r="65" spans="1:14" x14ac:dyDescent="0.35">
      <c r="A65" s="32" t="s">
        <v>142</v>
      </c>
      <c r="B65" s="73">
        <f>+'Budget Volumes Export'!B64</f>
        <v>0</v>
      </c>
      <c r="C65" s="73">
        <f>+'Budget Volumes Export'!C64</f>
        <v>0</v>
      </c>
      <c r="D65" s="73">
        <f>+'Budget Volumes Export'!D64</f>
        <v>0</v>
      </c>
      <c r="E65" s="73">
        <f>+'Budget Volumes Export'!E64</f>
        <v>0</v>
      </c>
      <c r="F65" s="73">
        <f>+'Budget Volumes Export'!F64</f>
        <v>0</v>
      </c>
      <c r="G65" s="73">
        <f>+'Budget Volumes Export'!G64</f>
        <v>0</v>
      </c>
      <c r="H65" s="73">
        <f>+'Budget Volumes Export'!H64</f>
        <v>0</v>
      </c>
      <c r="I65" s="73">
        <f>+'Budget Volumes Export'!I64</f>
        <v>0</v>
      </c>
      <c r="J65" s="73">
        <f>+'Budget Volumes Export'!J64</f>
        <v>0</v>
      </c>
      <c r="K65" s="73">
        <f>+'Budget Volumes Export'!K64</f>
        <v>0</v>
      </c>
      <c r="L65" s="73">
        <f>+'Budget Volumes Export'!L64</f>
        <v>0</v>
      </c>
      <c r="M65" s="73">
        <f>+'Budget Volumes Export'!M64</f>
        <v>0</v>
      </c>
      <c r="N65" s="70">
        <f>SUM(B65:M65)</f>
        <v>0</v>
      </c>
    </row>
    <row r="66" spans="1:14" x14ac:dyDescent="0.35">
      <c r="A66" s="32" t="s">
        <v>143</v>
      </c>
      <c r="B66" s="62">
        <v>7.4999999999999997E-2</v>
      </c>
      <c r="C66" s="62">
        <f>+B66</f>
        <v>7.4999999999999997E-2</v>
      </c>
      <c r="D66" s="62">
        <f t="shared" ref="D66" si="108">+C66</f>
        <v>7.4999999999999997E-2</v>
      </c>
      <c r="E66" s="62">
        <f t="shared" ref="E66" si="109">+D66</f>
        <v>7.4999999999999997E-2</v>
      </c>
      <c r="F66" s="62">
        <f t="shared" ref="F66" si="110">+E66</f>
        <v>7.4999999999999997E-2</v>
      </c>
      <c r="G66" s="62">
        <f t="shared" ref="G66" si="111">+F66</f>
        <v>7.4999999999999997E-2</v>
      </c>
      <c r="H66" s="62">
        <f t="shared" ref="H66" si="112">+G66</f>
        <v>7.4999999999999997E-2</v>
      </c>
      <c r="I66" s="62">
        <f t="shared" ref="I66" si="113">+H66</f>
        <v>7.4999999999999997E-2</v>
      </c>
      <c r="J66" s="62">
        <f t="shared" ref="J66" si="114">+I66</f>
        <v>7.4999999999999997E-2</v>
      </c>
      <c r="K66" s="62">
        <f t="shared" ref="K66" si="115">+J66</f>
        <v>7.4999999999999997E-2</v>
      </c>
      <c r="L66" s="62">
        <f t="shared" ref="L66" si="116">+K66</f>
        <v>7.4999999999999997E-2</v>
      </c>
      <c r="M66" s="62">
        <f t="shared" ref="M66" si="117">+L66</f>
        <v>7.4999999999999997E-2</v>
      </c>
      <c r="N66" s="70" t="e">
        <f>+N64/N65/1000</f>
        <v>#DIV/0!</v>
      </c>
    </row>
    <row r="67" spans="1:14" x14ac:dyDescent="0.35">
      <c r="A67" s="65" t="s">
        <v>378</v>
      </c>
      <c r="B67" s="80">
        <f>(B69*B68)*1000</f>
        <v>0</v>
      </c>
      <c r="C67" s="80">
        <f t="shared" ref="C67:M67" si="118">(C69*C68)*1000</f>
        <v>0</v>
      </c>
      <c r="D67" s="80">
        <f t="shared" si="118"/>
        <v>0</v>
      </c>
      <c r="E67" s="80">
        <f t="shared" si="118"/>
        <v>24837000</v>
      </c>
      <c r="F67" s="80">
        <f t="shared" si="118"/>
        <v>24837000</v>
      </c>
      <c r="G67" s="80">
        <f t="shared" si="118"/>
        <v>18627750</v>
      </c>
      <c r="H67" s="80">
        <f t="shared" si="118"/>
        <v>18627750</v>
      </c>
      <c r="I67" s="80">
        <f t="shared" si="118"/>
        <v>18627750</v>
      </c>
      <c r="J67" s="80">
        <f t="shared" si="118"/>
        <v>18627750</v>
      </c>
      <c r="K67" s="80">
        <f t="shared" si="118"/>
        <v>18627750</v>
      </c>
      <c r="L67" s="80">
        <f t="shared" si="118"/>
        <v>18627750</v>
      </c>
      <c r="M67" s="80">
        <f t="shared" si="118"/>
        <v>12418500</v>
      </c>
      <c r="N67" s="80">
        <f>SUM(B67:M67)</f>
        <v>173859000</v>
      </c>
    </row>
    <row r="68" spans="1:14" x14ac:dyDescent="0.35">
      <c r="A68" s="32" t="s">
        <v>142</v>
      </c>
      <c r="B68" s="73">
        <f>+'Budget Volumes Export'!B70</f>
        <v>0</v>
      </c>
      <c r="C68" s="73">
        <f>+'Budget Volumes Export'!C70</f>
        <v>0</v>
      </c>
      <c r="D68" s="73">
        <f>+'Budget Volumes Export'!D70</f>
        <v>0</v>
      </c>
      <c r="E68" s="73">
        <f>+'Budget Volumes Export'!E70</f>
        <v>331160</v>
      </c>
      <c r="F68" s="73">
        <f>+'Budget Volumes Export'!F70</f>
        <v>331160</v>
      </c>
      <c r="G68" s="73">
        <f>+'Budget Volumes Export'!G70</f>
        <v>248370</v>
      </c>
      <c r="H68" s="73">
        <f>+'Budget Volumes Export'!H70</f>
        <v>248370</v>
      </c>
      <c r="I68" s="73">
        <f>+'Budget Volumes Export'!I70</f>
        <v>248370</v>
      </c>
      <c r="J68" s="73">
        <f>+'Budget Volumes Export'!J70</f>
        <v>248370</v>
      </c>
      <c r="K68" s="73">
        <f>+'Budget Volumes Export'!K70</f>
        <v>248370</v>
      </c>
      <c r="L68" s="73">
        <f>+'Budget Volumes Export'!L70</f>
        <v>248370</v>
      </c>
      <c r="M68" s="73">
        <f>+'Budget Volumes Export'!M70</f>
        <v>165580</v>
      </c>
      <c r="N68" s="70">
        <f>SUM(B68:M68)</f>
        <v>2318120</v>
      </c>
    </row>
    <row r="69" spans="1:14" x14ac:dyDescent="0.35">
      <c r="A69" s="32" t="s">
        <v>143</v>
      </c>
      <c r="B69" s="62">
        <f t="shared" ref="B69:M69" si="119">+B66</f>
        <v>7.4999999999999997E-2</v>
      </c>
      <c r="C69" s="62">
        <f t="shared" si="119"/>
        <v>7.4999999999999997E-2</v>
      </c>
      <c r="D69" s="62">
        <f t="shared" si="119"/>
        <v>7.4999999999999997E-2</v>
      </c>
      <c r="E69" s="62">
        <f t="shared" si="119"/>
        <v>7.4999999999999997E-2</v>
      </c>
      <c r="F69" s="62">
        <f t="shared" si="119"/>
        <v>7.4999999999999997E-2</v>
      </c>
      <c r="G69" s="62">
        <f t="shared" si="119"/>
        <v>7.4999999999999997E-2</v>
      </c>
      <c r="H69" s="62">
        <f t="shared" si="119"/>
        <v>7.4999999999999997E-2</v>
      </c>
      <c r="I69" s="62">
        <f t="shared" si="119"/>
        <v>7.4999999999999997E-2</v>
      </c>
      <c r="J69" s="62">
        <f t="shared" si="119"/>
        <v>7.4999999999999997E-2</v>
      </c>
      <c r="K69" s="62">
        <f t="shared" si="119"/>
        <v>7.4999999999999997E-2</v>
      </c>
      <c r="L69" s="62">
        <f t="shared" si="119"/>
        <v>7.4999999999999997E-2</v>
      </c>
      <c r="M69" s="62">
        <f t="shared" si="119"/>
        <v>7.4999999999999997E-2</v>
      </c>
      <c r="N69" s="70">
        <f>+N67/N68/1000</f>
        <v>7.4999999999999997E-2</v>
      </c>
    </row>
    <row r="70" spans="1:14" x14ac:dyDescent="0.35">
      <c r="A70" s="72" t="s">
        <v>466</v>
      </c>
      <c r="B70" s="77">
        <f>+B73+B76</f>
        <v>0</v>
      </c>
      <c r="C70" s="77">
        <f t="shared" ref="C70:M70" si="120">+C73+C76</f>
        <v>0</v>
      </c>
      <c r="D70" s="77">
        <f t="shared" si="120"/>
        <v>0</v>
      </c>
      <c r="E70" s="77">
        <f t="shared" si="120"/>
        <v>0</v>
      </c>
      <c r="F70" s="77">
        <f t="shared" si="120"/>
        <v>0</v>
      </c>
      <c r="G70" s="77">
        <f t="shared" si="120"/>
        <v>0</v>
      </c>
      <c r="H70" s="77">
        <f t="shared" si="120"/>
        <v>0</v>
      </c>
      <c r="I70" s="77">
        <f t="shared" si="120"/>
        <v>0</v>
      </c>
      <c r="J70" s="77">
        <f t="shared" si="120"/>
        <v>0</v>
      </c>
      <c r="K70" s="77">
        <f t="shared" si="120"/>
        <v>0</v>
      </c>
      <c r="L70" s="77">
        <f t="shared" si="120"/>
        <v>0</v>
      </c>
      <c r="M70" s="77">
        <f t="shared" si="120"/>
        <v>0</v>
      </c>
      <c r="N70" s="78">
        <f>SUM(B70:M70)</f>
        <v>0</v>
      </c>
    </row>
    <row r="71" spans="1:14" x14ac:dyDescent="0.35">
      <c r="A71" s="72" t="s">
        <v>142</v>
      </c>
      <c r="B71" s="81">
        <f>+B74+B77</f>
        <v>0</v>
      </c>
      <c r="C71" s="81">
        <f t="shared" ref="C71:M71" si="121">+C74+C77</f>
        <v>0</v>
      </c>
      <c r="D71" s="81">
        <f t="shared" si="121"/>
        <v>0</v>
      </c>
      <c r="E71" s="81">
        <f t="shared" si="121"/>
        <v>0</v>
      </c>
      <c r="F71" s="81">
        <f t="shared" si="121"/>
        <v>0</v>
      </c>
      <c r="G71" s="81">
        <f t="shared" si="121"/>
        <v>0</v>
      </c>
      <c r="H71" s="81">
        <f t="shared" si="121"/>
        <v>0</v>
      </c>
      <c r="I71" s="81">
        <f t="shared" si="121"/>
        <v>0</v>
      </c>
      <c r="J71" s="81">
        <f t="shared" si="121"/>
        <v>0</v>
      </c>
      <c r="K71" s="81">
        <f t="shared" si="121"/>
        <v>0</v>
      </c>
      <c r="L71" s="81">
        <f t="shared" si="121"/>
        <v>0</v>
      </c>
      <c r="M71" s="81">
        <f t="shared" si="121"/>
        <v>0</v>
      </c>
      <c r="N71" s="82">
        <f>SUM(B71:M71)</f>
        <v>0</v>
      </c>
    </row>
    <row r="72" spans="1:14" x14ac:dyDescent="0.35">
      <c r="A72" s="72" t="s">
        <v>143</v>
      </c>
      <c r="B72" s="83" t="e">
        <f>+B70/B71/1000</f>
        <v>#DIV/0!</v>
      </c>
      <c r="C72" s="83" t="e">
        <f t="shared" ref="C72:N72" si="122">+C70/C71/1000</f>
        <v>#DIV/0!</v>
      </c>
      <c r="D72" s="83" t="e">
        <f t="shared" si="122"/>
        <v>#DIV/0!</v>
      </c>
      <c r="E72" s="83" t="e">
        <f t="shared" si="122"/>
        <v>#DIV/0!</v>
      </c>
      <c r="F72" s="83" t="e">
        <f t="shared" si="122"/>
        <v>#DIV/0!</v>
      </c>
      <c r="G72" s="83" t="e">
        <f t="shared" si="122"/>
        <v>#DIV/0!</v>
      </c>
      <c r="H72" s="83" t="e">
        <f t="shared" si="122"/>
        <v>#DIV/0!</v>
      </c>
      <c r="I72" s="83" t="e">
        <f t="shared" si="122"/>
        <v>#DIV/0!</v>
      </c>
      <c r="J72" s="83" t="e">
        <f t="shared" si="122"/>
        <v>#DIV/0!</v>
      </c>
      <c r="K72" s="83" t="e">
        <f t="shared" si="122"/>
        <v>#DIV/0!</v>
      </c>
      <c r="L72" s="83" t="e">
        <f t="shared" si="122"/>
        <v>#DIV/0!</v>
      </c>
      <c r="M72" s="83" t="e">
        <f t="shared" si="122"/>
        <v>#DIV/0!</v>
      </c>
      <c r="N72" s="83" t="e">
        <f t="shared" si="122"/>
        <v>#DIV/0!</v>
      </c>
    </row>
    <row r="73" spans="1:14" x14ac:dyDescent="0.35">
      <c r="A73" s="65" t="s">
        <v>90</v>
      </c>
      <c r="B73" s="80">
        <f>(B75*B74)*1000</f>
        <v>0</v>
      </c>
      <c r="C73" s="80">
        <f t="shared" ref="C73:M73" si="123">(C75*C74)*1000</f>
        <v>0</v>
      </c>
      <c r="D73" s="80">
        <f t="shared" si="123"/>
        <v>0</v>
      </c>
      <c r="E73" s="80">
        <f t="shared" si="123"/>
        <v>0</v>
      </c>
      <c r="F73" s="80">
        <f t="shared" si="123"/>
        <v>0</v>
      </c>
      <c r="G73" s="80">
        <f t="shared" si="123"/>
        <v>0</v>
      </c>
      <c r="H73" s="80">
        <f t="shared" si="123"/>
        <v>0</v>
      </c>
      <c r="I73" s="80">
        <f t="shared" si="123"/>
        <v>0</v>
      </c>
      <c r="J73" s="80">
        <f t="shared" si="123"/>
        <v>0</v>
      </c>
      <c r="K73" s="80">
        <f t="shared" si="123"/>
        <v>0</v>
      </c>
      <c r="L73" s="80">
        <f t="shared" si="123"/>
        <v>0</v>
      </c>
      <c r="M73" s="80">
        <f t="shared" si="123"/>
        <v>0</v>
      </c>
      <c r="N73" s="80">
        <f>SUM(B73:M73)</f>
        <v>0</v>
      </c>
    </row>
    <row r="74" spans="1:14" x14ac:dyDescent="0.35">
      <c r="A74" s="32" t="s">
        <v>142</v>
      </c>
      <c r="B74" s="73">
        <f>+'Budget Volumes Export'!B73</f>
        <v>0</v>
      </c>
      <c r="C74" s="73">
        <f>+'Budget Volumes Export'!C73</f>
        <v>0</v>
      </c>
      <c r="D74" s="73">
        <f>+'Budget Volumes Export'!D73</f>
        <v>0</v>
      </c>
      <c r="E74" s="73">
        <f>+'Budget Volumes Export'!E73</f>
        <v>0</v>
      </c>
      <c r="F74" s="73">
        <f>+'Budget Volumes Export'!F73</f>
        <v>0</v>
      </c>
      <c r="G74" s="73">
        <f>+'Budget Volumes Export'!G73</f>
        <v>0</v>
      </c>
      <c r="H74" s="73">
        <f>+'Budget Volumes Export'!H73</f>
        <v>0</v>
      </c>
      <c r="I74" s="73">
        <f>+'Budget Volumes Export'!I73</f>
        <v>0</v>
      </c>
      <c r="J74" s="73">
        <f>+'Budget Volumes Export'!J73</f>
        <v>0</v>
      </c>
      <c r="K74" s="73">
        <f>+'Budget Volumes Export'!K73</f>
        <v>0</v>
      </c>
      <c r="L74" s="73">
        <f>+'Budget Volumes Export'!L73</f>
        <v>0</v>
      </c>
      <c r="M74" s="73">
        <f>+'Budget Volumes Export'!M73</f>
        <v>0</v>
      </c>
      <c r="N74" s="70">
        <f>SUM(B74:M74)</f>
        <v>0</v>
      </c>
    </row>
    <row r="75" spans="1:14" x14ac:dyDescent="0.35">
      <c r="A75" s="32" t="s">
        <v>143</v>
      </c>
      <c r="B75" s="62">
        <v>7.4999999999999997E-2</v>
      </c>
      <c r="C75" s="62">
        <f>+B75</f>
        <v>7.4999999999999997E-2</v>
      </c>
      <c r="D75" s="62">
        <f t="shared" ref="D75" si="124">+C75</f>
        <v>7.4999999999999997E-2</v>
      </c>
      <c r="E75" s="62">
        <f t="shared" ref="E75" si="125">+D75</f>
        <v>7.4999999999999997E-2</v>
      </c>
      <c r="F75" s="62">
        <f t="shared" ref="F75" si="126">+E75</f>
        <v>7.4999999999999997E-2</v>
      </c>
      <c r="G75" s="62">
        <f t="shared" ref="G75" si="127">+F75</f>
        <v>7.4999999999999997E-2</v>
      </c>
      <c r="H75" s="62">
        <f t="shared" ref="H75" si="128">+G75</f>
        <v>7.4999999999999997E-2</v>
      </c>
      <c r="I75" s="62">
        <f t="shared" ref="I75" si="129">+H75</f>
        <v>7.4999999999999997E-2</v>
      </c>
      <c r="J75" s="62">
        <f t="shared" ref="J75" si="130">+I75</f>
        <v>7.4999999999999997E-2</v>
      </c>
      <c r="K75" s="62">
        <f t="shared" ref="K75" si="131">+J75</f>
        <v>7.4999999999999997E-2</v>
      </c>
      <c r="L75" s="62">
        <f t="shared" ref="L75" si="132">+K75</f>
        <v>7.4999999999999997E-2</v>
      </c>
      <c r="M75" s="62">
        <f t="shared" ref="M75" si="133">+L75</f>
        <v>7.4999999999999997E-2</v>
      </c>
      <c r="N75" s="70" t="e">
        <f>+N73/N74/1000</f>
        <v>#DIV/0!</v>
      </c>
    </row>
    <row r="76" spans="1:14" x14ac:dyDescent="0.35">
      <c r="A76" s="65" t="s">
        <v>91</v>
      </c>
      <c r="B76" s="80">
        <f>(B78*B77)*1000</f>
        <v>0</v>
      </c>
      <c r="C76" s="80">
        <f t="shared" ref="C76:M76" si="134">(C78*C77)*1000</f>
        <v>0</v>
      </c>
      <c r="D76" s="80">
        <f t="shared" si="134"/>
        <v>0</v>
      </c>
      <c r="E76" s="80">
        <f t="shared" si="134"/>
        <v>0</v>
      </c>
      <c r="F76" s="80">
        <f t="shared" si="134"/>
        <v>0</v>
      </c>
      <c r="G76" s="80">
        <f t="shared" si="134"/>
        <v>0</v>
      </c>
      <c r="H76" s="80">
        <f t="shared" si="134"/>
        <v>0</v>
      </c>
      <c r="I76" s="80">
        <f t="shared" si="134"/>
        <v>0</v>
      </c>
      <c r="J76" s="80">
        <f t="shared" si="134"/>
        <v>0</v>
      </c>
      <c r="K76" s="80">
        <f t="shared" si="134"/>
        <v>0</v>
      </c>
      <c r="L76" s="80">
        <f t="shared" si="134"/>
        <v>0</v>
      </c>
      <c r="M76" s="80">
        <f t="shared" si="134"/>
        <v>0</v>
      </c>
      <c r="N76" s="80">
        <f>SUM(B76:M76)</f>
        <v>0</v>
      </c>
    </row>
    <row r="77" spans="1:14" x14ac:dyDescent="0.35">
      <c r="A77" s="32" t="s">
        <v>142</v>
      </c>
      <c r="B77" s="73">
        <f>+'Budget Volumes Export'!B79</f>
        <v>0</v>
      </c>
      <c r="C77" s="73">
        <f>+'Budget Volumes Export'!C79</f>
        <v>0</v>
      </c>
      <c r="D77" s="73">
        <f>+'Budget Volumes Export'!D79</f>
        <v>0</v>
      </c>
      <c r="E77" s="73">
        <f>+'Budget Volumes Export'!E79</f>
        <v>0</v>
      </c>
      <c r="F77" s="73">
        <f>+'Budget Volumes Export'!F79</f>
        <v>0</v>
      </c>
      <c r="G77" s="73">
        <f>+'Budget Volumes Export'!G79</f>
        <v>0</v>
      </c>
      <c r="H77" s="73">
        <f>+'Budget Volumes Export'!H79</f>
        <v>0</v>
      </c>
      <c r="I77" s="73">
        <f>+'Budget Volumes Export'!I79</f>
        <v>0</v>
      </c>
      <c r="J77" s="73">
        <f>+'Budget Volumes Export'!J79</f>
        <v>0</v>
      </c>
      <c r="K77" s="73">
        <f>+'Budget Volumes Export'!K79</f>
        <v>0</v>
      </c>
      <c r="L77" s="73">
        <f>+'Budget Volumes Export'!L79</f>
        <v>0</v>
      </c>
      <c r="M77" s="73">
        <f>+'Budget Volumes Export'!M79</f>
        <v>0</v>
      </c>
      <c r="N77" s="70">
        <f>SUM(B77:M77)</f>
        <v>0</v>
      </c>
    </row>
    <row r="78" spans="1:14" x14ac:dyDescent="0.35">
      <c r="A78" s="32" t="s">
        <v>143</v>
      </c>
      <c r="B78" s="62">
        <f t="shared" ref="B78:M78" si="135">+B75</f>
        <v>7.4999999999999997E-2</v>
      </c>
      <c r="C78" s="62">
        <f t="shared" si="135"/>
        <v>7.4999999999999997E-2</v>
      </c>
      <c r="D78" s="62">
        <f t="shared" si="135"/>
        <v>7.4999999999999997E-2</v>
      </c>
      <c r="E78" s="62">
        <f t="shared" si="135"/>
        <v>7.4999999999999997E-2</v>
      </c>
      <c r="F78" s="62">
        <f t="shared" si="135"/>
        <v>7.4999999999999997E-2</v>
      </c>
      <c r="G78" s="62">
        <f t="shared" si="135"/>
        <v>7.4999999999999997E-2</v>
      </c>
      <c r="H78" s="62">
        <f t="shared" si="135"/>
        <v>7.4999999999999997E-2</v>
      </c>
      <c r="I78" s="62">
        <f t="shared" si="135"/>
        <v>7.4999999999999997E-2</v>
      </c>
      <c r="J78" s="62">
        <f t="shared" si="135"/>
        <v>7.4999999999999997E-2</v>
      </c>
      <c r="K78" s="62">
        <f t="shared" si="135"/>
        <v>7.4999999999999997E-2</v>
      </c>
      <c r="L78" s="62">
        <f t="shared" si="135"/>
        <v>7.4999999999999997E-2</v>
      </c>
      <c r="M78" s="62">
        <f t="shared" si="135"/>
        <v>7.4999999999999997E-2</v>
      </c>
      <c r="N78" s="70" t="e">
        <f>+N76/N77/1000</f>
        <v>#DIV/0!</v>
      </c>
    </row>
    <row r="79" spans="1:14" x14ac:dyDescent="0.35">
      <c r="A79" s="65" t="s">
        <v>376</v>
      </c>
      <c r="B79" s="80">
        <f>(B81*B80)*1000</f>
        <v>0</v>
      </c>
      <c r="C79" s="80">
        <f t="shared" ref="C79:M79" si="136">(C81*C80)*1000</f>
        <v>0</v>
      </c>
      <c r="D79" s="80">
        <f t="shared" si="136"/>
        <v>0</v>
      </c>
      <c r="E79" s="80">
        <f t="shared" si="136"/>
        <v>0</v>
      </c>
      <c r="F79" s="80">
        <f t="shared" si="136"/>
        <v>0</v>
      </c>
      <c r="G79" s="80">
        <f t="shared" si="136"/>
        <v>0</v>
      </c>
      <c r="H79" s="80">
        <f t="shared" si="136"/>
        <v>0</v>
      </c>
      <c r="I79" s="80">
        <f t="shared" si="136"/>
        <v>0</v>
      </c>
      <c r="J79" s="80">
        <f t="shared" si="136"/>
        <v>0</v>
      </c>
      <c r="K79" s="80">
        <f t="shared" si="136"/>
        <v>0</v>
      </c>
      <c r="L79" s="80">
        <f t="shared" si="136"/>
        <v>0</v>
      </c>
      <c r="M79" s="80">
        <f t="shared" si="136"/>
        <v>0</v>
      </c>
      <c r="N79" s="80">
        <f>SUM(B79:M79)</f>
        <v>0</v>
      </c>
    </row>
    <row r="80" spans="1:14" x14ac:dyDescent="0.35">
      <c r="A80" s="32" t="s">
        <v>142</v>
      </c>
      <c r="B80" s="73">
        <f>+'Budget Volumes Export'!B79</f>
        <v>0</v>
      </c>
      <c r="C80" s="73">
        <f>+'Budget Volumes Export'!C79</f>
        <v>0</v>
      </c>
      <c r="D80" s="73">
        <f>+'Budget Volumes Export'!D79</f>
        <v>0</v>
      </c>
      <c r="E80" s="73">
        <f>+'Budget Volumes Export'!E79</f>
        <v>0</v>
      </c>
      <c r="F80" s="73">
        <f>+'Budget Volumes Export'!F79</f>
        <v>0</v>
      </c>
      <c r="G80" s="73">
        <f>+'Budget Volumes Export'!G79</f>
        <v>0</v>
      </c>
      <c r="H80" s="73">
        <f>+'Budget Volumes Export'!H79</f>
        <v>0</v>
      </c>
      <c r="I80" s="73">
        <f>+'Budget Volumes Export'!I79</f>
        <v>0</v>
      </c>
      <c r="J80" s="73">
        <f>+'Budget Volumes Export'!J79</f>
        <v>0</v>
      </c>
      <c r="K80" s="73">
        <f>+'Budget Volumes Export'!K79</f>
        <v>0</v>
      </c>
      <c r="L80" s="73">
        <f>+'Budget Volumes Export'!L79</f>
        <v>0</v>
      </c>
      <c r="M80" s="73">
        <f>+'Budget Volumes Export'!M79</f>
        <v>0</v>
      </c>
      <c r="N80" s="70">
        <f>SUM(B80:M80)</f>
        <v>0</v>
      </c>
    </row>
    <row r="81" spans="1:14" x14ac:dyDescent="0.35">
      <c r="A81" s="32" t="s">
        <v>143</v>
      </c>
      <c r="B81" s="62">
        <v>7.4999999999999997E-2</v>
      </c>
      <c r="C81" s="62">
        <f>+B81</f>
        <v>7.4999999999999997E-2</v>
      </c>
      <c r="D81" s="62">
        <f t="shared" ref="D81" si="137">+C81</f>
        <v>7.4999999999999997E-2</v>
      </c>
      <c r="E81" s="62">
        <f t="shared" ref="E81" si="138">+D81</f>
        <v>7.4999999999999997E-2</v>
      </c>
      <c r="F81" s="62">
        <f t="shared" ref="F81" si="139">+E81</f>
        <v>7.4999999999999997E-2</v>
      </c>
      <c r="G81" s="62">
        <f t="shared" ref="G81" si="140">+F81</f>
        <v>7.4999999999999997E-2</v>
      </c>
      <c r="H81" s="62">
        <f t="shared" ref="H81" si="141">+G81</f>
        <v>7.4999999999999997E-2</v>
      </c>
      <c r="I81" s="62">
        <f t="shared" ref="I81" si="142">+H81</f>
        <v>7.4999999999999997E-2</v>
      </c>
      <c r="J81" s="62">
        <f t="shared" ref="J81" si="143">+I81</f>
        <v>7.4999999999999997E-2</v>
      </c>
      <c r="K81" s="62">
        <f t="shared" ref="K81" si="144">+J81</f>
        <v>7.4999999999999997E-2</v>
      </c>
      <c r="L81" s="62">
        <f t="shared" ref="L81" si="145">+K81</f>
        <v>7.4999999999999997E-2</v>
      </c>
      <c r="M81" s="62">
        <f t="shared" ref="M81" si="146">+L81</f>
        <v>7.4999999999999997E-2</v>
      </c>
      <c r="N81" s="70" t="e">
        <f>+N79/N80/1000</f>
        <v>#DIV/0!</v>
      </c>
    </row>
    <row r="82" spans="1:14" x14ac:dyDescent="0.35">
      <c r="A82" s="65" t="s">
        <v>92</v>
      </c>
      <c r="B82" s="80">
        <f>(B84*B83)*1000</f>
        <v>0</v>
      </c>
      <c r="C82" s="80">
        <f t="shared" ref="C82:M82" si="147">(C84*C83)*1000</f>
        <v>0</v>
      </c>
      <c r="D82" s="80">
        <f t="shared" si="147"/>
        <v>0</v>
      </c>
      <c r="E82" s="80">
        <f t="shared" si="147"/>
        <v>0</v>
      </c>
      <c r="F82" s="80">
        <f t="shared" si="147"/>
        <v>0</v>
      </c>
      <c r="G82" s="80">
        <f t="shared" si="147"/>
        <v>0</v>
      </c>
      <c r="H82" s="80">
        <f t="shared" si="147"/>
        <v>0</v>
      </c>
      <c r="I82" s="80">
        <f t="shared" si="147"/>
        <v>0</v>
      </c>
      <c r="J82" s="80">
        <f t="shared" si="147"/>
        <v>0</v>
      </c>
      <c r="K82" s="80">
        <f t="shared" si="147"/>
        <v>0</v>
      </c>
      <c r="L82" s="80">
        <f t="shared" si="147"/>
        <v>0</v>
      </c>
      <c r="M82" s="80">
        <f t="shared" si="147"/>
        <v>0</v>
      </c>
      <c r="N82" s="80">
        <f>SUM(B82:M82)</f>
        <v>0</v>
      </c>
    </row>
    <row r="83" spans="1:14" x14ac:dyDescent="0.35">
      <c r="A83" s="32" t="s">
        <v>142</v>
      </c>
      <c r="B83" s="73">
        <f>+'Budget Volumes Export'!B85</f>
        <v>0</v>
      </c>
      <c r="C83" s="73">
        <f>+'Budget Volumes Export'!C85</f>
        <v>0</v>
      </c>
      <c r="D83" s="73">
        <f>+'Budget Volumes Export'!D85</f>
        <v>0</v>
      </c>
      <c r="E83" s="73">
        <f>+'Budget Volumes Export'!E85</f>
        <v>0</v>
      </c>
      <c r="F83" s="73">
        <f>+'Budget Volumes Export'!F85</f>
        <v>0</v>
      </c>
      <c r="G83" s="73">
        <f>+'Budget Volumes Export'!G85</f>
        <v>0</v>
      </c>
      <c r="H83" s="73">
        <f>+'Budget Volumes Export'!H85</f>
        <v>0</v>
      </c>
      <c r="I83" s="73">
        <f>+'Budget Volumes Export'!I85</f>
        <v>0</v>
      </c>
      <c r="J83" s="73">
        <f>+'Budget Volumes Export'!J85</f>
        <v>0</v>
      </c>
      <c r="K83" s="73">
        <f>+'Budget Volumes Export'!K85</f>
        <v>0</v>
      </c>
      <c r="L83" s="73">
        <f>+'Budget Volumes Export'!L85</f>
        <v>0</v>
      </c>
      <c r="M83" s="73">
        <f>+'Budget Volumes Export'!M85</f>
        <v>0</v>
      </c>
      <c r="N83" s="70">
        <f>SUM(B83:M83)</f>
        <v>0</v>
      </c>
    </row>
    <row r="84" spans="1:14" x14ac:dyDescent="0.35">
      <c r="A84" s="32" t="s">
        <v>143</v>
      </c>
      <c r="B84" s="62">
        <f t="shared" ref="B84:M84" si="148">+B81</f>
        <v>7.4999999999999997E-2</v>
      </c>
      <c r="C84" s="62">
        <f t="shared" si="148"/>
        <v>7.4999999999999997E-2</v>
      </c>
      <c r="D84" s="62">
        <f t="shared" si="148"/>
        <v>7.4999999999999997E-2</v>
      </c>
      <c r="E84" s="62">
        <f t="shared" si="148"/>
        <v>7.4999999999999997E-2</v>
      </c>
      <c r="F84" s="62">
        <f t="shared" si="148"/>
        <v>7.4999999999999997E-2</v>
      </c>
      <c r="G84" s="62">
        <f t="shared" si="148"/>
        <v>7.4999999999999997E-2</v>
      </c>
      <c r="H84" s="62">
        <f t="shared" si="148"/>
        <v>7.4999999999999997E-2</v>
      </c>
      <c r="I84" s="62">
        <f t="shared" si="148"/>
        <v>7.4999999999999997E-2</v>
      </c>
      <c r="J84" s="62">
        <f t="shared" si="148"/>
        <v>7.4999999999999997E-2</v>
      </c>
      <c r="K84" s="62">
        <f t="shared" si="148"/>
        <v>7.4999999999999997E-2</v>
      </c>
      <c r="L84" s="62">
        <f t="shared" si="148"/>
        <v>7.4999999999999997E-2</v>
      </c>
      <c r="M84" s="62">
        <f t="shared" si="148"/>
        <v>7.4999999999999997E-2</v>
      </c>
      <c r="N84" s="70" t="e">
        <f>+N82/N83/1000</f>
        <v>#DIV/0!</v>
      </c>
    </row>
    <row r="85" spans="1:14" x14ac:dyDescent="0.35">
      <c r="A85" s="65" t="s">
        <v>377</v>
      </c>
      <c r="B85" s="80">
        <f>(B87*B86)*1000</f>
        <v>0</v>
      </c>
      <c r="C85" s="80">
        <f t="shared" ref="C85:M85" si="149">(C87*C86)*1000</f>
        <v>0</v>
      </c>
      <c r="D85" s="80">
        <f t="shared" si="149"/>
        <v>0</v>
      </c>
      <c r="E85" s="80">
        <f t="shared" si="149"/>
        <v>0</v>
      </c>
      <c r="F85" s="80">
        <f t="shared" si="149"/>
        <v>0</v>
      </c>
      <c r="G85" s="80">
        <f t="shared" si="149"/>
        <v>0</v>
      </c>
      <c r="H85" s="80">
        <f t="shared" si="149"/>
        <v>0</v>
      </c>
      <c r="I85" s="80">
        <f t="shared" si="149"/>
        <v>0</v>
      </c>
      <c r="J85" s="80">
        <f t="shared" si="149"/>
        <v>0</v>
      </c>
      <c r="K85" s="80">
        <f t="shared" si="149"/>
        <v>0</v>
      </c>
      <c r="L85" s="80">
        <f t="shared" si="149"/>
        <v>0</v>
      </c>
      <c r="M85" s="80">
        <f t="shared" si="149"/>
        <v>0</v>
      </c>
      <c r="N85" s="80">
        <f>SUM(B85:M85)</f>
        <v>0</v>
      </c>
    </row>
    <row r="86" spans="1:14" x14ac:dyDescent="0.35">
      <c r="A86" s="32" t="s">
        <v>142</v>
      </c>
      <c r="B86" s="73">
        <f>+'Budget Volumes Export'!B85</f>
        <v>0</v>
      </c>
      <c r="C86" s="73">
        <f>+'Budget Volumes Export'!C85</f>
        <v>0</v>
      </c>
      <c r="D86" s="73">
        <f>+'Budget Volumes Export'!D85</f>
        <v>0</v>
      </c>
      <c r="E86" s="73">
        <f>+'Budget Volumes Export'!E85</f>
        <v>0</v>
      </c>
      <c r="F86" s="73">
        <f>+'Budget Volumes Export'!F85</f>
        <v>0</v>
      </c>
      <c r="G86" s="73">
        <f>+'Budget Volumes Export'!G85</f>
        <v>0</v>
      </c>
      <c r="H86" s="73">
        <f>+'Budget Volumes Export'!H85</f>
        <v>0</v>
      </c>
      <c r="I86" s="73">
        <f>+'Budget Volumes Export'!I85</f>
        <v>0</v>
      </c>
      <c r="J86" s="73">
        <f>+'Budget Volumes Export'!J85</f>
        <v>0</v>
      </c>
      <c r="K86" s="73">
        <f>+'Budget Volumes Export'!K85</f>
        <v>0</v>
      </c>
      <c r="L86" s="73">
        <f>+'Budget Volumes Export'!L85</f>
        <v>0</v>
      </c>
      <c r="M86" s="73">
        <f>+'Budget Volumes Export'!M85</f>
        <v>0</v>
      </c>
      <c r="N86" s="70">
        <f>SUM(B86:M86)</f>
        <v>0</v>
      </c>
    </row>
    <row r="87" spans="1:14" x14ac:dyDescent="0.35">
      <c r="A87" s="32" t="s">
        <v>143</v>
      </c>
      <c r="B87" s="62">
        <v>7.4999999999999997E-2</v>
      </c>
      <c r="C87" s="62">
        <f>+B87</f>
        <v>7.4999999999999997E-2</v>
      </c>
      <c r="D87" s="62">
        <f t="shared" ref="D87" si="150">+C87</f>
        <v>7.4999999999999997E-2</v>
      </c>
      <c r="E87" s="62">
        <f t="shared" ref="E87" si="151">+D87</f>
        <v>7.4999999999999997E-2</v>
      </c>
      <c r="F87" s="62">
        <f t="shared" ref="F87" si="152">+E87</f>
        <v>7.4999999999999997E-2</v>
      </c>
      <c r="G87" s="62">
        <f t="shared" ref="G87" si="153">+F87</f>
        <v>7.4999999999999997E-2</v>
      </c>
      <c r="H87" s="62">
        <f t="shared" ref="H87" si="154">+G87</f>
        <v>7.4999999999999997E-2</v>
      </c>
      <c r="I87" s="62">
        <f t="shared" ref="I87" si="155">+H87</f>
        <v>7.4999999999999997E-2</v>
      </c>
      <c r="J87" s="62">
        <f t="shared" ref="J87" si="156">+I87</f>
        <v>7.4999999999999997E-2</v>
      </c>
      <c r="K87" s="62">
        <f t="shared" ref="K87" si="157">+J87</f>
        <v>7.4999999999999997E-2</v>
      </c>
      <c r="L87" s="62">
        <f t="shared" ref="L87" si="158">+K87</f>
        <v>7.4999999999999997E-2</v>
      </c>
      <c r="M87" s="62">
        <f t="shared" ref="M87" si="159">+L87</f>
        <v>7.4999999999999997E-2</v>
      </c>
      <c r="N87" s="70" t="e">
        <f>+N85/N86/1000</f>
        <v>#DIV/0!</v>
      </c>
    </row>
    <row r="88" spans="1:14" x14ac:dyDescent="0.35">
      <c r="A88" s="65" t="s">
        <v>378</v>
      </c>
      <c r="B88" s="80">
        <f>(B90*B89)*1000</f>
        <v>0</v>
      </c>
      <c r="C88" s="80">
        <f t="shared" ref="C88:M88" si="160">(C90*C89)*1000</f>
        <v>0</v>
      </c>
      <c r="D88" s="80">
        <f t="shared" si="160"/>
        <v>0</v>
      </c>
      <c r="E88" s="80">
        <f t="shared" si="160"/>
        <v>39135000</v>
      </c>
      <c r="F88" s="80">
        <f t="shared" si="160"/>
        <v>39135000</v>
      </c>
      <c r="G88" s="80">
        <f t="shared" si="160"/>
        <v>29351250</v>
      </c>
      <c r="H88" s="80">
        <f t="shared" si="160"/>
        <v>29351250</v>
      </c>
      <c r="I88" s="80">
        <f t="shared" si="160"/>
        <v>39135000</v>
      </c>
      <c r="J88" s="80">
        <f t="shared" si="160"/>
        <v>29351250</v>
      </c>
      <c r="K88" s="80">
        <f t="shared" si="160"/>
        <v>29351250</v>
      </c>
      <c r="L88" s="80">
        <f t="shared" si="160"/>
        <v>19567500</v>
      </c>
      <c r="M88" s="80">
        <f t="shared" si="160"/>
        <v>9783750</v>
      </c>
      <c r="N88" s="80">
        <f>SUM(B88:M88)</f>
        <v>264161250</v>
      </c>
    </row>
    <row r="89" spans="1:14" x14ac:dyDescent="0.35">
      <c r="A89" s="32" t="s">
        <v>142</v>
      </c>
      <c r="B89" s="73">
        <f>+'Budget Volumes Export'!B91</f>
        <v>0</v>
      </c>
      <c r="C89" s="73">
        <f>+'Budget Volumes Export'!C91</f>
        <v>0</v>
      </c>
      <c r="D89" s="73">
        <f>+'Budget Volumes Export'!D91</f>
        <v>0</v>
      </c>
      <c r="E89" s="73">
        <f>+'Budget Volumes Export'!E91</f>
        <v>521800</v>
      </c>
      <c r="F89" s="73">
        <f>+'Budget Volumes Export'!F91</f>
        <v>521800</v>
      </c>
      <c r="G89" s="73">
        <f>+'Budget Volumes Export'!G91</f>
        <v>391350</v>
      </c>
      <c r="H89" s="73">
        <f>+'Budget Volumes Export'!H91</f>
        <v>391350</v>
      </c>
      <c r="I89" s="73">
        <f>+'Budget Volumes Export'!I91</f>
        <v>521800</v>
      </c>
      <c r="J89" s="73">
        <f>+'Budget Volumes Export'!J91</f>
        <v>391350</v>
      </c>
      <c r="K89" s="73">
        <f>+'Budget Volumes Export'!K91</f>
        <v>391350</v>
      </c>
      <c r="L89" s="73">
        <f>+'Budget Volumes Export'!L91</f>
        <v>260900</v>
      </c>
      <c r="M89" s="73">
        <f>+'Budget Volumes Export'!M91</f>
        <v>130450</v>
      </c>
      <c r="N89" s="70">
        <f>SUM(B89:M89)</f>
        <v>3522150</v>
      </c>
    </row>
    <row r="90" spans="1:14" x14ac:dyDescent="0.35">
      <c r="A90" s="32" t="s">
        <v>143</v>
      </c>
      <c r="B90" s="62">
        <f t="shared" ref="B90:M90" si="161">+B87</f>
        <v>7.4999999999999997E-2</v>
      </c>
      <c r="C90" s="62">
        <f t="shared" si="161"/>
        <v>7.4999999999999997E-2</v>
      </c>
      <c r="D90" s="62">
        <f t="shared" si="161"/>
        <v>7.4999999999999997E-2</v>
      </c>
      <c r="E90" s="62">
        <f t="shared" si="161"/>
        <v>7.4999999999999997E-2</v>
      </c>
      <c r="F90" s="62">
        <f t="shared" si="161"/>
        <v>7.4999999999999997E-2</v>
      </c>
      <c r="G90" s="62">
        <f t="shared" si="161"/>
        <v>7.4999999999999997E-2</v>
      </c>
      <c r="H90" s="62">
        <f t="shared" si="161"/>
        <v>7.4999999999999997E-2</v>
      </c>
      <c r="I90" s="62">
        <f t="shared" si="161"/>
        <v>7.4999999999999997E-2</v>
      </c>
      <c r="J90" s="62">
        <f t="shared" si="161"/>
        <v>7.4999999999999997E-2</v>
      </c>
      <c r="K90" s="62">
        <f t="shared" si="161"/>
        <v>7.4999999999999997E-2</v>
      </c>
      <c r="L90" s="62">
        <f t="shared" si="161"/>
        <v>7.4999999999999997E-2</v>
      </c>
      <c r="M90" s="62">
        <f t="shared" si="161"/>
        <v>7.4999999999999997E-2</v>
      </c>
      <c r="N90" s="70">
        <f>+N88/N89/1000</f>
        <v>7.4999999999999997E-2</v>
      </c>
    </row>
    <row r="91" spans="1:14" x14ac:dyDescent="0.35">
      <c r="A91" s="72" t="s">
        <v>467</v>
      </c>
      <c r="B91" s="77">
        <f>+B94+B97</f>
        <v>0</v>
      </c>
      <c r="C91" s="77">
        <f t="shared" ref="C91:M91" si="162">+C94+C97</f>
        <v>0</v>
      </c>
      <c r="D91" s="77">
        <f t="shared" si="162"/>
        <v>0</v>
      </c>
      <c r="E91" s="77">
        <f t="shared" si="162"/>
        <v>0</v>
      </c>
      <c r="F91" s="77">
        <f t="shared" si="162"/>
        <v>0</v>
      </c>
      <c r="G91" s="77">
        <f t="shared" si="162"/>
        <v>0</v>
      </c>
      <c r="H91" s="77">
        <f t="shared" si="162"/>
        <v>0</v>
      </c>
      <c r="I91" s="77">
        <f t="shared" si="162"/>
        <v>0</v>
      </c>
      <c r="J91" s="77">
        <f t="shared" si="162"/>
        <v>0</v>
      </c>
      <c r="K91" s="77">
        <f t="shared" si="162"/>
        <v>0</v>
      </c>
      <c r="L91" s="77">
        <f t="shared" si="162"/>
        <v>0</v>
      </c>
      <c r="M91" s="77">
        <f t="shared" si="162"/>
        <v>0</v>
      </c>
      <c r="N91" s="78">
        <f>SUM(B91:M91)</f>
        <v>0</v>
      </c>
    </row>
    <row r="92" spans="1:14" x14ac:dyDescent="0.35">
      <c r="A92" s="72" t="s">
        <v>142</v>
      </c>
      <c r="B92" s="81">
        <f>+B95+B98</f>
        <v>0</v>
      </c>
      <c r="C92" s="81">
        <f t="shared" ref="C92:M92" si="163">+C95+C98</f>
        <v>0</v>
      </c>
      <c r="D92" s="81">
        <f t="shared" si="163"/>
        <v>0</v>
      </c>
      <c r="E92" s="81">
        <f t="shared" si="163"/>
        <v>0</v>
      </c>
      <c r="F92" s="81">
        <f t="shared" si="163"/>
        <v>0</v>
      </c>
      <c r="G92" s="81">
        <f t="shared" si="163"/>
        <v>0</v>
      </c>
      <c r="H92" s="81">
        <f t="shared" si="163"/>
        <v>0</v>
      </c>
      <c r="I92" s="81">
        <f t="shared" si="163"/>
        <v>0</v>
      </c>
      <c r="J92" s="81">
        <f t="shared" si="163"/>
        <v>0</v>
      </c>
      <c r="K92" s="81">
        <f t="shared" si="163"/>
        <v>0</v>
      </c>
      <c r="L92" s="81">
        <f t="shared" si="163"/>
        <v>0</v>
      </c>
      <c r="M92" s="81">
        <f t="shared" si="163"/>
        <v>0</v>
      </c>
      <c r="N92" s="82">
        <f>SUM(B92:M92)</f>
        <v>0</v>
      </c>
    </row>
    <row r="93" spans="1:14" x14ac:dyDescent="0.35">
      <c r="A93" s="72" t="s">
        <v>143</v>
      </c>
      <c r="B93" s="83" t="e">
        <f>+B91/B92/1000</f>
        <v>#DIV/0!</v>
      </c>
      <c r="C93" s="83" t="e">
        <f t="shared" ref="C93:N93" si="164">+C91/C92/1000</f>
        <v>#DIV/0!</v>
      </c>
      <c r="D93" s="83" t="e">
        <f t="shared" si="164"/>
        <v>#DIV/0!</v>
      </c>
      <c r="E93" s="83" t="e">
        <f t="shared" si="164"/>
        <v>#DIV/0!</v>
      </c>
      <c r="F93" s="83" t="e">
        <f t="shared" si="164"/>
        <v>#DIV/0!</v>
      </c>
      <c r="G93" s="83" t="e">
        <f t="shared" si="164"/>
        <v>#DIV/0!</v>
      </c>
      <c r="H93" s="83" t="e">
        <f t="shared" si="164"/>
        <v>#DIV/0!</v>
      </c>
      <c r="I93" s="83" t="e">
        <f t="shared" si="164"/>
        <v>#DIV/0!</v>
      </c>
      <c r="J93" s="83" t="e">
        <f t="shared" si="164"/>
        <v>#DIV/0!</v>
      </c>
      <c r="K93" s="83" t="e">
        <f t="shared" si="164"/>
        <v>#DIV/0!</v>
      </c>
      <c r="L93" s="83" t="e">
        <f t="shared" si="164"/>
        <v>#DIV/0!</v>
      </c>
      <c r="M93" s="83" t="e">
        <f t="shared" si="164"/>
        <v>#DIV/0!</v>
      </c>
      <c r="N93" s="83" t="e">
        <f t="shared" si="164"/>
        <v>#DIV/0!</v>
      </c>
    </row>
    <row r="94" spans="1:14" x14ac:dyDescent="0.35">
      <c r="A94" s="65" t="s">
        <v>90</v>
      </c>
      <c r="B94" s="80">
        <f>(B96*B95)*1000</f>
        <v>0</v>
      </c>
      <c r="C94" s="80">
        <f t="shared" ref="C94:M94" si="165">(C96*C95)*1000</f>
        <v>0</v>
      </c>
      <c r="D94" s="80">
        <f t="shared" si="165"/>
        <v>0</v>
      </c>
      <c r="E94" s="80">
        <f t="shared" si="165"/>
        <v>0</v>
      </c>
      <c r="F94" s="80">
        <f t="shared" si="165"/>
        <v>0</v>
      </c>
      <c r="G94" s="80">
        <f t="shared" si="165"/>
        <v>0</v>
      </c>
      <c r="H94" s="80">
        <f t="shared" si="165"/>
        <v>0</v>
      </c>
      <c r="I94" s="80">
        <f t="shared" si="165"/>
        <v>0</v>
      </c>
      <c r="J94" s="80">
        <f t="shared" si="165"/>
        <v>0</v>
      </c>
      <c r="K94" s="80">
        <f t="shared" si="165"/>
        <v>0</v>
      </c>
      <c r="L94" s="80">
        <f t="shared" si="165"/>
        <v>0</v>
      </c>
      <c r="M94" s="80">
        <f t="shared" si="165"/>
        <v>0</v>
      </c>
      <c r="N94" s="80">
        <f>SUM(B94:M94)</f>
        <v>0</v>
      </c>
    </row>
    <row r="95" spans="1:14" x14ac:dyDescent="0.35">
      <c r="A95" s="32" t="s">
        <v>142</v>
      </c>
      <c r="B95" s="73">
        <f>+'Budget Volumes Export'!B94</f>
        <v>0</v>
      </c>
      <c r="C95" s="73">
        <f>+'Budget Volumes Export'!C94</f>
        <v>0</v>
      </c>
      <c r="D95" s="73">
        <f>+'Budget Volumes Export'!D94</f>
        <v>0</v>
      </c>
      <c r="E95" s="73">
        <f>+'Budget Volumes Export'!E94</f>
        <v>0</v>
      </c>
      <c r="F95" s="73">
        <f>+'Budget Volumes Export'!F94</f>
        <v>0</v>
      </c>
      <c r="G95" s="73">
        <f>+'Budget Volumes Export'!G94</f>
        <v>0</v>
      </c>
      <c r="H95" s="73">
        <f>+'Budget Volumes Export'!H94</f>
        <v>0</v>
      </c>
      <c r="I95" s="73">
        <f>+'Budget Volumes Export'!I94</f>
        <v>0</v>
      </c>
      <c r="J95" s="73">
        <f>+'Budget Volumes Export'!J94</f>
        <v>0</v>
      </c>
      <c r="K95" s="73">
        <f>+'Budget Volumes Export'!K94</f>
        <v>0</v>
      </c>
      <c r="L95" s="73">
        <f>+'Budget Volumes Export'!L94</f>
        <v>0</v>
      </c>
      <c r="M95" s="73">
        <f>+'Budget Volumes Export'!M94</f>
        <v>0</v>
      </c>
      <c r="N95" s="70">
        <f>SUM(B95:M95)</f>
        <v>0</v>
      </c>
    </row>
    <row r="96" spans="1:14" x14ac:dyDescent="0.35">
      <c r="A96" s="32" t="s">
        <v>143</v>
      </c>
      <c r="B96" s="62">
        <v>7.4999999999999997E-2</v>
      </c>
      <c r="C96" s="62">
        <f>+B96</f>
        <v>7.4999999999999997E-2</v>
      </c>
      <c r="D96" s="62">
        <f t="shared" ref="D96" si="166">+C96</f>
        <v>7.4999999999999997E-2</v>
      </c>
      <c r="E96" s="62">
        <f t="shared" ref="E96" si="167">+D96</f>
        <v>7.4999999999999997E-2</v>
      </c>
      <c r="F96" s="62">
        <f t="shared" ref="F96" si="168">+E96</f>
        <v>7.4999999999999997E-2</v>
      </c>
      <c r="G96" s="62">
        <f t="shared" ref="G96" si="169">+F96</f>
        <v>7.4999999999999997E-2</v>
      </c>
      <c r="H96" s="62">
        <f t="shared" ref="H96" si="170">+G96</f>
        <v>7.4999999999999997E-2</v>
      </c>
      <c r="I96" s="62">
        <f t="shared" ref="I96" si="171">+H96</f>
        <v>7.4999999999999997E-2</v>
      </c>
      <c r="J96" s="62">
        <f t="shared" ref="J96" si="172">+I96</f>
        <v>7.4999999999999997E-2</v>
      </c>
      <c r="K96" s="62">
        <f t="shared" ref="K96" si="173">+J96</f>
        <v>7.4999999999999997E-2</v>
      </c>
      <c r="L96" s="62">
        <f t="shared" ref="L96" si="174">+K96</f>
        <v>7.4999999999999997E-2</v>
      </c>
      <c r="M96" s="62">
        <f t="shared" ref="M96" si="175">+L96</f>
        <v>7.4999999999999997E-2</v>
      </c>
      <c r="N96" s="70" t="e">
        <f>+N94/N95/1000</f>
        <v>#DIV/0!</v>
      </c>
    </row>
    <row r="97" spans="1:14" x14ac:dyDescent="0.35">
      <c r="A97" s="65" t="s">
        <v>91</v>
      </c>
      <c r="B97" s="80">
        <f>(B99*B98)*1000</f>
        <v>0</v>
      </c>
      <c r="C97" s="80">
        <f t="shared" ref="C97:M97" si="176">(C99*C98)*1000</f>
        <v>0</v>
      </c>
      <c r="D97" s="80">
        <f t="shared" si="176"/>
        <v>0</v>
      </c>
      <c r="E97" s="80">
        <f t="shared" si="176"/>
        <v>0</v>
      </c>
      <c r="F97" s="80">
        <f t="shared" si="176"/>
        <v>0</v>
      </c>
      <c r="G97" s="80">
        <f t="shared" si="176"/>
        <v>0</v>
      </c>
      <c r="H97" s="80">
        <f t="shared" si="176"/>
        <v>0</v>
      </c>
      <c r="I97" s="80">
        <f t="shared" si="176"/>
        <v>0</v>
      </c>
      <c r="J97" s="80">
        <f t="shared" si="176"/>
        <v>0</v>
      </c>
      <c r="K97" s="80">
        <f t="shared" si="176"/>
        <v>0</v>
      </c>
      <c r="L97" s="80">
        <f t="shared" si="176"/>
        <v>0</v>
      </c>
      <c r="M97" s="80">
        <f t="shared" si="176"/>
        <v>0</v>
      </c>
      <c r="N97" s="80">
        <f>SUM(B97:M97)</f>
        <v>0</v>
      </c>
    </row>
    <row r="98" spans="1:14" x14ac:dyDescent="0.35">
      <c r="A98" s="32" t="s">
        <v>142</v>
      </c>
      <c r="B98" s="73">
        <f>+'Budget Volumes Export'!B100</f>
        <v>0</v>
      </c>
      <c r="C98" s="73">
        <f>+'Budget Volumes Export'!C100</f>
        <v>0</v>
      </c>
      <c r="D98" s="73">
        <f>+'Budget Volumes Export'!D100</f>
        <v>0</v>
      </c>
      <c r="E98" s="73">
        <f>+'Budget Volumes Export'!E100</f>
        <v>0</v>
      </c>
      <c r="F98" s="73">
        <f>+'Budget Volumes Export'!F100</f>
        <v>0</v>
      </c>
      <c r="G98" s="73">
        <f>+'Budget Volumes Export'!G100</f>
        <v>0</v>
      </c>
      <c r="H98" s="73">
        <f>+'Budget Volumes Export'!H100</f>
        <v>0</v>
      </c>
      <c r="I98" s="73">
        <f>+'Budget Volumes Export'!I100</f>
        <v>0</v>
      </c>
      <c r="J98" s="73">
        <f>+'Budget Volumes Export'!J100</f>
        <v>0</v>
      </c>
      <c r="K98" s="73">
        <f>+'Budget Volumes Export'!K100</f>
        <v>0</v>
      </c>
      <c r="L98" s="73">
        <f>+'Budget Volumes Export'!L100</f>
        <v>0</v>
      </c>
      <c r="M98" s="73">
        <f>+'Budget Volumes Export'!M100</f>
        <v>0</v>
      </c>
      <c r="N98" s="70">
        <f>SUM(B98:M98)</f>
        <v>0</v>
      </c>
    </row>
    <row r="99" spans="1:14" x14ac:dyDescent="0.35">
      <c r="A99" s="32" t="s">
        <v>143</v>
      </c>
      <c r="B99" s="62">
        <f t="shared" ref="B99:M99" si="177">+B96</f>
        <v>7.4999999999999997E-2</v>
      </c>
      <c r="C99" s="62">
        <f t="shared" si="177"/>
        <v>7.4999999999999997E-2</v>
      </c>
      <c r="D99" s="62">
        <f t="shared" si="177"/>
        <v>7.4999999999999997E-2</v>
      </c>
      <c r="E99" s="62">
        <f t="shared" si="177"/>
        <v>7.4999999999999997E-2</v>
      </c>
      <c r="F99" s="62">
        <f t="shared" si="177"/>
        <v>7.4999999999999997E-2</v>
      </c>
      <c r="G99" s="62">
        <f t="shared" si="177"/>
        <v>7.4999999999999997E-2</v>
      </c>
      <c r="H99" s="62">
        <f t="shared" si="177"/>
        <v>7.4999999999999997E-2</v>
      </c>
      <c r="I99" s="62">
        <f t="shared" si="177"/>
        <v>7.4999999999999997E-2</v>
      </c>
      <c r="J99" s="62">
        <f t="shared" si="177"/>
        <v>7.4999999999999997E-2</v>
      </c>
      <c r="K99" s="62">
        <f t="shared" si="177"/>
        <v>7.4999999999999997E-2</v>
      </c>
      <c r="L99" s="62">
        <f t="shared" si="177"/>
        <v>7.4999999999999997E-2</v>
      </c>
      <c r="M99" s="62">
        <f t="shared" si="177"/>
        <v>7.4999999999999997E-2</v>
      </c>
      <c r="N99" s="70" t="e">
        <f>+N97/N98/1000</f>
        <v>#DIV/0!</v>
      </c>
    </row>
    <row r="100" spans="1:14" x14ac:dyDescent="0.35">
      <c r="A100" s="65" t="s">
        <v>376</v>
      </c>
      <c r="B100" s="80">
        <f>(B102*B101)*1000</f>
        <v>0</v>
      </c>
      <c r="C100" s="80">
        <f t="shared" ref="C100:M100" si="178">(C102*C101)*1000</f>
        <v>0</v>
      </c>
      <c r="D100" s="80">
        <f t="shared" si="178"/>
        <v>0</v>
      </c>
      <c r="E100" s="80">
        <f t="shared" si="178"/>
        <v>0</v>
      </c>
      <c r="F100" s="80">
        <f t="shared" si="178"/>
        <v>0</v>
      </c>
      <c r="G100" s="80">
        <f t="shared" si="178"/>
        <v>0</v>
      </c>
      <c r="H100" s="80">
        <f t="shared" si="178"/>
        <v>0</v>
      </c>
      <c r="I100" s="80">
        <f t="shared" si="178"/>
        <v>0</v>
      </c>
      <c r="J100" s="80">
        <f t="shared" si="178"/>
        <v>0</v>
      </c>
      <c r="K100" s="80">
        <f t="shared" si="178"/>
        <v>0</v>
      </c>
      <c r="L100" s="80">
        <f t="shared" si="178"/>
        <v>0</v>
      </c>
      <c r="M100" s="80">
        <f t="shared" si="178"/>
        <v>0</v>
      </c>
      <c r="N100" s="80">
        <f>SUM(B100:M100)</f>
        <v>0</v>
      </c>
    </row>
    <row r="101" spans="1:14" x14ac:dyDescent="0.35">
      <c r="A101" s="32" t="s">
        <v>142</v>
      </c>
      <c r="B101" s="73">
        <f>+'Budget Volumes Export'!B100</f>
        <v>0</v>
      </c>
      <c r="C101" s="73">
        <f>+'Budget Volumes Export'!C100</f>
        <v>0</v>
      </c>
      <c r="D101" s="73">
        <f>+'Budget Volumes Export'!D100</f>
        <v>0</v>
      </c>
      <c r="E101" s="73">
        <f>+'Budget Volumes Export'!E100</f>
        <v>0</v>
      </c>
      <c r="F101" s="73">
        <f>+'Budget Volumes Export'!F100</f>
        <v>0</v>
      </c>
      <c r="G101" s="73">
        <f>+'Budget Volumes Export'!G100</f>
        <v>0</v>
      </c>
      <c r="H101" s="73">
        <f>+'Budget Volumes Export'!H100</f>
        <v>0</v>
      </c>
      <c r="I101" s="73">
        <f>+'Budget Volumes Export'!I100</f>
        <v>0</v>
      </c>
      <c r="J101" s="73">
        <f>+'Budget Volumes Export'!J100</f>
        <v>0</v>
      </c>
      <c r="K101" s="73">
        <f>+'Budget Volumes Export'!K100</f>
        <v>0</v>
      </c>
      <c r="L101" s="73">
        <f>+'Budget Volumes Export'!L100</f>
        <v>0</v>
      </c>
      <c r="M101" s="73">
        <f>+'Budget Volumes Export'!M100</f>
        <v>0</v>
      </c>
      <c r="N101" s="70">
        <f>SUM(B101:M101)</f>
        <v>0</v>
      </c>
    </row>
    <row r="102" spans="1:14" x14ac:dyDescent="0.35">
      <c r="A102" s="32" t="s">
        <v>143</v>
      </c>
      <c r="B102" s="62">
        <v>7.4999999999999997E-2</v>
      </c>
      <c r="C102" s="62">
        <f>+B102</f>
        <v>7.4999999999999997E-2</v>
      </c>
      <c r="D102" s="62">
        <f t="shared" ref="D102" si="179">+C102</f>
        <v>7.4999999999999997E-2</v>
      </c>
      <c r="E102" s="62">
        <f t="shared" ref="E102" si="180">+D102</f>
        <v>7.4999999999999997E-2</v>
      </c>
      <c r="F102" s="62">
        <f t="shared" ref="F102" si="181">+E102</f>
        <v>7.4999999999999997E-2</v>
      </c>
      <c r="G102" s="62">
        <f t="shared" ref="G102" si="182">+F102</f>
        <v>7.4999999999999997E-2</v>
      </c>
      <c r="H102" s="62">
        <f t="shared" ref="H102" si="183">+G102</f>
        <v>7.4999999999999997E-2</v>
      </c>
      <c r="I102" s="62">
        <f t="shared" ref="I102" si="184">+H102</f>
        <v>7.4999999999999997E-2</v>
      </c>
      <c r="J102" s="62">
        <f t="shared" ref="J102" si="185">+I102</f>
        <v>7.4999999999999997E-2</v>
      </c>
      <c r="K102" s="62">
        <f t="shared" ref="K102" si="186">+J102</f>
        <v>7.4999999999999997E-2</v>
      </c>
      <c r="L102" s="62">
        <f t="shared" ref="L102" si="187">+K102</f>
        <v>7.4999999999999997E-2</v>
      </c>
      <c r="M102" s="62">
        <f t="shared" ref="M102" si="188">+L102</f>
        <v>7.4999999999999997E-2</v>
      </c>
      <c r="N102" s="70" t="e">
        <f>+N100/N101/1000</f>
        <v>#DIV/0!</v>
      </c>
    </row>
    <row r="103" spans="1:14" x14ac:dyDescent="0.35">
      <c r="A103" s="65" t="s">
        <v>92</v>
      </c>
      <c r="B103" s="80">
        <f>(B105*B104)*1000</f>
        <v>0</v>
      </c>
      <c r="C103" s="80">
        <f t="shared" ref="C103:M103" si="189">(C105*C104)*1000</f>
        <v>0</v>
      </c>
      <c r="D103" s="80">
        <f t="shared" si="189"/>
        <v>0</v>
      </c>
      <c r="E103" s="80">
        <f t="shared" si="189"/>
        <v>0</v>
      </c>
      <c r="F103" s="80">
        <f t="shared" si="189"/>
        <v>0</v>
      </c>
      <c r="G103" s="80">
        <f t="shared" si="189"/>
        <v>0</v>
      </c>
      <c r="H103" s="80">
        <f t="shared" si="189"/>
        <v>0</v>
      </c>
      <c r="I103" s="80">
        <f t="shared" si="189"/>
        <v>0</v>
      </c>
      <c r="J103" s="80">
        <f t="shared" si="189"/>
        <v>0</v>
      </c>
      <c r="K103" s="80">
        <f t="shared" si="189"/>
        <v>0</v>
      </c>
      <c r="L103" s="80">
        <f t="shared" si="189"/>
        <v>0</v>
      </c>
      <c r="M103" s="80">
        <f t="shared" si="189"/>
        <v>0</v>
      </c>
      <c r="N103" s="80">
        <f>SUM(B103:M103)</f>
        <v>0</v>
      </c>
    </row>
    <row r="104" spans="1:14" x14ac:dyDescent="0.35">
      <c r="A104" s="32" t="s">
        <v>142</v>
      </c>
      <c r="B104" s="73">
        <f>+'Budget Volumes Export'!B106</f>
        <v>0</v>
      </c>
      <c r="C104" s="73">
        <f>+'Budget Volumes Export'!C106</f>
        <v>0</v>
      </c>
      <c r="D104" s="73">
        <f>+'Budget Volumes Export'!D106</f>
        <v>0</v>
      </c>
      <c r="E104" s="73">
        <f>+'Budget Volumes Export'!E106</f>
        <v>0</v>
      </c>
      <c r="F104" s="73">
        <f>+'Budget Volumes Export'!F106</f>
        <v>0</v>
      </c>
      <c r="G104" s="73">
        <f>+'Budget Volumes Export'!G106</f>
        <v>0</v>
      </c>
      <c r="H104" s="73">
        <f>+'Budget Volumes Export'!H106</f>
        <v>0</v>
      </c>
      <c r="I104" s="73">
        <f>+'Budget Volumes Export'!I106</f>
        <v>0</v>
      </c>
      <c r="J104" s="73">
        <f>+'Budget Volumes Export'!J106</f>
        <v>0</v>
      </c>
      <c r="K104" s="73">
        <f>+'Budget Volumes Export'!K106</f>
        <v>0</v>
      </c>
      <c r="L104" s="73">
        <f>+'Budget Volumes Export'!L106</f>
        <v>0</v>
      </c>
      <c r="M104" s="73">
        <f>+'Budget Volumes Export'!M106</f>
        <v>0</v>
      </c>
      <c r="N104" s="70">
        <f>SUM(B104:M104)</f>
        <v>0</v>
      </c>
    </row>
    <row r="105" spans="1:14" x14ac:dyDescent="0.35">
      <c r="A105" s="32" t="s">
        <v>143</v>
      </c>
      <c r="B105" s="62">
        <f t="shared" ref="B105:M105" si="190">+B102</f>
        <v>7.4999999999999997E-2</v>
      </c>
      <c r="C105" s="62">
        <f t="shared" si="190"/>
        <v>7.4999999999999997E-2</v>
      </c>
      <c r="D105" s="62">
        <f t="shared" si="190"/>
        <v>7.4999999999999997E-2</v>
      </c>
      <c r="E105" s="62">
        <f t="shared" si="190"/>
        <v>7.4999999999999997E-2</v>
      </c>
      <c r="F105" s="62">
        <f t="shared" si="190"/>
        <v>7.4999999999999997E-2</v>
      </c>
      <c r="G105" s="62">
        <f t="shared" si="190"/>
        <v>7.4999999999999997E-2</v>
      </c>
      <c r="H105" s="62">
        <f t="shared" si="190"/>
        <v>7.4999999999999997E-2</v>
      </c>
      <c r="I105" s="62">
        <f t="shared" si="190"/>
        <v>7.4999999999999997E-2</v>
      </c>
      <c r="J105" s="62">
        <f t="shared" si="190"/>
        <v>7.4999999999999997E-2</v>
      </c>
      <c r="K105" s="62">
        <f t="shared" si="190"/>
        <v>7.4999999999999997E-2</v>
      </c>
      <c r="L105" s="62">
        <f t="shared" si="190"/>
        <v>7.4999999999999997E-2</v>
      </c>
      <c r="M105" s="62">
        <f t="shared" si="190"/>
        <v>7.4999999999999997E-2</v>
      </c>
      <c r="N105" s="70" t="e">
        <f>+N103/N104/1000</f>
        <v>#DIV/0!</v>
      </c>
    </row>
    <row r="106" spans="1:14" x14ac:dyDescent="0.35">
      <c r="A106" s="65" t="s">
        <v>377</v>
      </c>
      <c r="B106" s="80">
        <f>(B108*B107)*1000</f>
        <v>0</v>
      </c>
      <c r="C106" s="80">
        <f t="shared" ref="C106:M106" si="191">(C108*C107)*1000</f>
        <v>0</v>
      </c>
      <c r="D106" s="80">
        <f t="shared" si="191"/>
        <v>0</v>
      </c>
      <c r="E106" s="80">
        <f t="shared" si="191"/>
        <v>0</v>
      </c>
      <c r="F106" s="80">
        <f t="shared" si="191"/>
        <v>0</v>
      </c>
      <c r="G106" s="80">
        <f t="shared" si="191"/>
        <v>0</v>
      </c>
      <c r="H106" s="80">
        <f t="shared" si="191"/>
        <v>0</v>
      </c>
      <c r="I106" s="80">
        <f t="shared" si="191"/>
        <v>0</v>
      </c>
      <c r="J106" s="80">
        <f t="shared" si="191"/>
        <v>0</v>
      </c>
      <c r="K106" s="80">
        <f t="shared" si="191"/>
        <v>0</v>
      </c>
      <c r="L106" s="80">
        <f t="shared" si="191"/>
        <v>0</v>
      </c>
      <c r="M106" s="80">
        <f t="shared" si="191"/>
        <v>0</v>
      </c>
      <c r="N106" s="80">
        <f>SUM(B106:M106)</f>
        <v>0</v>
      </c>
    </row>
    <row r="107" spans="1:14" x14ac:dyDescent="0.35">
      <c r="A107" s="32" t="s">
        <v>142</v>
      </c>
      <c r="B107" s="73">
        <f>+'Budget Volumes Export'!B106</f>
        <v>0</v>
      </c>
      <c r="C107" s="73">
        <f>+'Budget Volumes Export'!C106</f>
        <v>0</v>
      </c>
      <c r="D107" s="73">
        <f>+'Budget Volumes Export'!D106</f>
        <v>0</v>
      </c>
      <c r="E107" s="73">
        <f>+'Budget Volumes Export'!E106</f>
        <v>0</v>
      </c>
      <c r="F107" s="73">
        <f>+'Budget Volumes Export'!F106</f>
        <v>0</v>
      </c>
      <c r="G107" s="73">
        <f>+'Budget Volumes Export'!G106</f>
        <v>0</v>
      </c>
      <c r="H107" s="73">
        <f>+'Budget Volumes Export'!H106</f>
        <v>0</v>
      </c>
      <c r="I107" s="73">
        <f>+'Budget Volumes Export'!I106</f>
        <v>0</v>
      </c>
      <c r="J107" s="73">
        <f>+'Budget Volumes Export'!J106</f>
        <v>0</v>
      </c>
      <c r="K107" s="73">
        <f>+'Budget Volumes Export'!K106</f>
        <v>0</v>
      </c>
      <c r="L107" s="73">
        <f>+'Budget Volumes Export'!L106</f>
        <v>0</v>
      </c>
      <c r="M107" s="73">
        <f>+'Budget Volumes Export'!M106</f>
        <v>0</v>
      </c>
      <c r="N107" s="70">
        <f>SUM(B107:M107)</f>
        <v>0</v>
      </c>
    </row>
    <row r="108" spans="1:14" x14ac:dyDescent="0.35">
      <c r="A108" s="32" t="s">
        <v>143</v>
      </c>
      <c r="B108" s="62">
        <v>7.4999999999999997E-2</v>
      </c>
      <c r="C108" s="62">
        <f>+B108</f>
        <v>7.4999999999999997E-2</v>
      </c>
      <c r="D108" s="62">
        <f t="shared" ref="D108" si="192">+C108</f>
        <v>7.4999999999999997E-2</v>
      </c>
      <c r="E108" s="62">
        <f t="shared" ref="E108" si="193">+D108</f>
        <v>7.4999999999999997E-2</v>
      </c>
      <c r="F108" s="62">
        <f t="shared" ref="F108" si="194">+E108</f>
        <v>7.4999999999999997E-2</v>
      </c>
      <c r="G108" s="62">
        <f t="shared" ref="G108" si="195">+F108</f>
        <v>7.4999999999999997E-2</v>
      </c>
      <c r="H108" s="62">
        <f t="shared" ref="H108" si="196">+G108</f>
        <v>7.4999999999999997E-2</v>
      </c>
      <c r="I108" s="62">
        <f t="shared" ref="I108" si="197">+H108</f>
        <v>7.4999999999999997E-2</v>
      </c>
      <c r="J108" s="62">
        <f t="shared" ref="J108" si="198">+I108</f>
        <v>7.4999999999999997E-2</v>
      </c>
      <c r="K108" s="62">
        <f t="shared" ref="K108" si="199">+J108</f>
        <v>7.4999999999999997E-2</v>
      </c>
      <c r="L108" s="62">
        <f t="shared" ref="L108" si="200">+K108</f>
        <v>7.4999999999999997E-2</v>
      </c>
      <c r="M108" s="62">
        <f t="shared" ref="M108" si="201">+L108</f>
        <v>7.4999999999999997E-2</v>
      </c>
      <c r="N108" s="70" t="e">
        <f>+N106/N107/1000</f>
        <v>#DIV/0!</v>
      </c>
    </row>
    <row r="109" spans="1:14" x14ac:dyDescent="0.35">
      <c r="A109" s="65" t="s">
        <v>378</v>
      </c>
      <c r="B109" s="80" t="e">
        <f>(B111*B110)*1000</f>
        <v>#REF!</v>
      </c>
      <c r="C109" s="80" t="e">
        <f t="shared" ref="C109:M109" si="202">(C111*C110)*1000</f>
        <v>#REF!</v>
      </c>
      <c r="D109" s="80" t="e">
        <f t="shared" si="202"/>
        <v>#REF!</v>
      </c>
      <c r="E109" s="80" t="e">
        <f t="shared" si="202"/>
        <v>#REF!</v>
      </c>
      <c r="F109" s="80" t="e">
        <f t="shared" si="202"/>
        <v>#REF!</v>
      </c>
      <c r="G109" s="80" t="e">
        <f t="shared" si="202"/>
        <v>#REF!</v>
      </c>
      <c r="H109" s="80" t="e">
        <f t="shared" si="202"/>
        <v>#REF!</v>
      </c>
      <c r="I109" s="80" t="e">
        <f t="shared" si="202"/>
        <v>#REF!</v>
      </c>
      <c r="J109" s="80" t="e">
        <f t="shared" si="202"/>
        <v>#REF!</v>
      </c>
      <c r="K109" s="80" t="e">
        <f t="shared" si="202"/>
        <v>#REF!</v>
      </c>
      <c r="L109" s="80" t="e">
        <f t="shared" si="202"/>
        <v>#REF!</v>
      </c>
      <c r="M109" s="80" t="e">
        <f t="shared" si="202"/>
        <v>#REF!</v>
      </c>
      <c r="N109" s="80" t="e">
        <f>SUM(B109:M109)</f>
        <v>#REF!</v>
      </c>
    </row>
    <row r="110" spans="1:14" x14ac:dyDescent="0.35">
      <c r="A110" s="32" t="s">
        <v>142</v>
      </c>
      <c r="B110" s="73" t="e">
        <f>+'Budget Volumes Export'!#REF!</f>
        <v>#REF!</v>
      </c>
      <c r="C110" s="73" t="e">
        <f>+'Budget Volumes Export'!#REF!</f>
        <v>#REF!</v>
      </c>
      <c r="D110" s="73" t="e">
        <f>+'Budget Volumes Export'!#REF!</f>
        <v>#REF!</v>
      </c>
      <c r="E110" s="73" t="e">
        <f>+'Budget Volumes Export'!#REF!</f>
        <v>#REF!</v>
      </c>
      <c r="F110" s="73" t="e">
        <f>+'Budget Volumes Export'!#REF!</f>
        <v>#REF!</v>
      </c>
      <c r="G110" s="73" t="e">
        <f>+'Budget Volumes Export'!#REF!</f>
        <v>#REF!</v>
      </c>
      <c r="H110" s="73" t="e">
        <f>+'Budget Volumes Export'!#REF!</f>
        <v>#REF!</v>
      </c>
      <c r="I110" s="73" t="e">
        <f>+'Budget Volumes Export'!#REF!</f>
        <v>#REF!</v>
      </c>
      <c r="J110" s="73" t="e">
        <f>+'Budget Volumes Export'!#REF!</f>
        <v>#REF!</v>
      </c>
      <c r="K110" s="73" t="e">
        <f>+'Budget Volumes Export'!#REF!</f>
        <v>#REF!</v>
      </c>
      <c r="L110" s="73" t="e">
        <f>+'Budget Volumes Export'!#REF!</f>
        <v>#REF!</v>
      </c>
      <c r="M110" s="73" t="e">
        <f>+'Budget Volumes Export'!#REF!</f>
        <v>#REF!</v>
      </c>
      <c r="N110" s="70" t="e">
        <f>SUM(B110:M110)</f>
        <v>#REF!</v>
      </c>
    </row>
    <row r="111" spans="1:14" x14ac:dyDescent="0.35">
      <c r="A111" s="32" t="s">
        <v>143</v>
      </c>
      <c r="B111" s="62">
        <f t="shared" ref="B111:M111" si="203">+B108</f>
        <v>7.4999999999999997E-2</v>
      </c>
      <c r="C111" s="62">
        <f t="shared" si="203"/>
        <v>7.4999999999999997E-2</v>
      </c>
      <c r="D111" s="62">
        <f t="shared" si="203"/>
        <v>7.4999999999999997E-2</v>
      </c>
      <c r="E111" s="62">
        <f t="shared" si="203"/>
        <v>7.4999999999999997E-2</v>
      </c>
      <c r="F111" s="62">
        <f t="shared" si="203"/>
        <v>7.4999999999999997E-2</v>
      </c>
      <c r="G111" s="62">
        <f t="shared" si="203"/>
        <v>7.4999999999999997E-2</v>
      </c>
      <c r="H111" s="62">
        <f t="shared" si="203"/>
        <v>7.4999999999999997E-2</v>
      </c>
      <c r="I111" s="62">
        <f t="shared" si="203"/>
        <v>7.4999999999999997E-2</v>
      </c>
      <c r="J111" s="62">
        <f t="shared" si="203"/>
        <v>7.4999999999999997E-2</v>
      </c>
      <c r="K111" s="62">
        <f t="shared" si="203"/>
        <v>7.4999999999999997E-2</v>
      </c>
      <c r="L111" s="62">
        <f t="shared" si="203"/>
        <v>7.4999999999999997E-2</v>
      </c>
      <c r="M111" s="62">
        <f t="shared" si="203"/>
        <v>7.4999999999999997E-2</v>
      </c>
      <c r="N111" s="70" t="e">
        <f>+N109/N110/1000</f>
        <v>#REF!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Q57"/>
  <sheetViews>
    <sheetView topLeftCell="A37" zoomScale="110" zoomScaleNormal="110" workbookViewId="0">
      <selection activeCell="A16" sqref="A16"/>
    </sheetView>
  </sheetViews>
  <sheetFormatPr baseColWidth="10" defaultColWidth="11.46484375" defaultRowHeight="11.65" x14ac:dyDescent="0.35"/>
  <cols>
    <col min="1" max="1" width="32" style="32" bestFit="1" customWidth="1"/>
    <col min="2" max="13" width="8.73046875" style="32" bestFit="1" customWidth="1"/>
    <col min="14" max="14" width="10" style="32" bestFit="1" customWidth="1"/>
    <col min="15" max="16384" width="11.46484375" style="32"/>
  </cols>
  <sheetData>
    <row r="1" spans="1:16" ht="35.25" thickBot="1" x14ac:dyDescent="0.4">
      <c r="A1" s="68" t="s">
        <v>320</v>
      </c>
    </row>
    <row r="3" spans="1:16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71" t="s">
        <v>115</v>
      </c>
      <c r="B4" s="76">
        <f>+B10+B17+B22+B30+B37+B46+B50</f>
        <v>273661.04166666663</v>
      </c>
      <c r="C4" s="76">
        <f t="shared" ref="C4:M4" si="1">+C10+C17+C22+C30+C37+C46+C50</f>
        <v>93061.041666666672</v>
      </c>
      <c r="D4" s="76">
        <f t="shared" si="1"/>
        <v>93061.041666666672</v>
      </c>
      <c r="E4" s="76">
        <f t="shared" si="1"/>
        <v>93061.041666666672</v>
      </c>
      <c r="F4" s="76">
        <f t="shared" si="1"/>
        <v>93061.041666666672</v>
      </c>
      <c r="G4" s="76">
        <f t="shared" si="1"/>
        <v>93061.041666666672</v>
      </c>
      <c r="H4" s="76">
        <f t="shared" si="1"/>
        <v>97261.041666666657</v>
      </c>
      <c r="I4" s="76">
        <f t="shared" si="1"/>
        <v>93061.041666666672</v>
      </c>
      <c r="J4" s="76">
        <f t="shared" si="1"/>
        <v>108061.04166666666</v>
      </c>
      <c r="K4" s="76">
        <f t="shared" si="1"/>
        <v>93061.041666666672</v>
      </c>
      <c r="L4" s="76">
        <f t="shared" si="1"/>
        <v>93061.041666666672</v>
      </c>
      <c r="M4" s="76">
        <f t="shared" si="1"/>
        <v>93061.041666666672</v>
      </c>
      <c r="N4" s="76">
        <f>SUM(B4:M4)</f>
        <v>1316532.5</v>
      </c>
    </row>
    <row r="5" spans="1:16" s="57" customFormat="1" x14ac:dyDescent="0.35">
      <c r="A5" s="71" t="s">
        <v>118</v>
      </c>
      <c r="B5" s="76">
        <f>+B4*6.8/17.3</f>
        <v>107566.18978805393</v>
      </c>
      <c r="C5" s="76">
        <f t="shared" ref="C5:M5" si="2">+C4*6.8/17.3</f>
        <v>36578.906551059728</v>
      </c>
      <c r="D5" s="76">
        <f t="shared" si="2"/>
        <v>36578.906551059728</v>
      </c>
      <c r="E5" s="76">
        <f t="shared" si="2"/>
        <v>36578.906551059728</v>
      </c>
      <c r="F5" s="76">
        <f t="shared" si="2"/>
        <v>36578.906551059728</v>
      </c>
      <c r="G5" s="76">
        <f t="shared" si="2"/>
        <v>36578.906551059728</v>
      </c>
      <c r="H5" s="76">
        <f t="shared" si="2"/>
        <v>38229.773603082846</v>
      </c>
      <c r="I5" s="76">
        <f t="shared" si="2"/>
        <v>36578.906551059728</v>
      </c>
      <c r="J5" s="76">
        <f t="shared" si="2"/>
        <v>42474.860308285155</v>
      </c>
      <c r="K5" s="76">
        <f t="shared" si="2"/>
        <v>36578.906551059728</v>
      </c>
      <c r="L5" s="76">
        <f t="shared" si="2"/>
        <v>36578.906551059728</v>
      </c>
      <c r="M5" s="76">
        <f t="shared" si="2"/>
        <v>36578.906551059728</v>
      </c>
      <c r="N5" s="76">
        <f>SUM(B5:M5)</f>
        <v>517480.98265895963</v>
      </c>
    </row>
    <row r="6" spans="1:16" s="57" customFormat="1" x14ac:dyDescent="0.35">
      <c r="A6" s="71" t="s">
        <v>119</v>
      </c>
      <c r="B6" s="76">
        <f>+B4*7.9/17.3</f>
        <v>124966.60284200383</v>
      </c>
      <c r="C6" s="76">
        <f t="shared" ref="C6:M6" si="3">+C4*7.9/17.3</f>
        <v>42496.082610789985</v>
      </c>
      <c r="D6" s="76">
        <f t="shared" si="3"/>
        <v>42496.082610789985</v>
      </c>
      <c r="E6" s="76">
        <f t="shared" si="3"/>
        <v>42496.082610789985</v>
      </c>
      <c r="F6" s="76">
        <f t="shared" si="3"/>
        <v>42496.082610789985</v>
      </c>
      <c r="G6" s="76">
        <f t="shared" si="3"/>
        <v>42496.082610789985</v>
      </c>
      <c r="H6" s="76">
        <f t="shared" si="3"/>
        <v>44414.001685934483</v>
      </c>
      <c r="I6" s="76">
        <f t="shared" si="3"/>
        <v>42496.082610789985</v>
      </c>
      <c r="J6" s="76">
        <f t="shared" si="3"/>
        <v>49345.793593448936</v>
      </c>
      <c r="K6" s="76">
        <f t="shared" si="3"/>
        <v>42496.082610789985</v>
      </c>
      <c r="L6" s="76">
        <f t="shared" si="3"/>
        <v>42496.082610789985</v>
      </c>
      <c r="M6" s="76">
        <f t="shared" si="3"/>
        <v>42496.082610789985</v>
      </c>
      <c r="N6" s="76">
        <f>SUM(B6:M6)</f>
        <v>601191.1416184972</v>
      </c>
    </row>
    <row r="7" spans="1:16" s="57" customFormat="1" x14ac:dyDescent="0.35">
      <c r="A7" s="71" t="s">
        <v>117</v>
      </c>
      <c r="B7" s="76">
        <f>+B4*2.6/17.3</f>
        <v>41128.24903660886</v>
      </c>
      <c r="C7" s="76">
        <f t="shared" ref="C7:M7" si="4">+C4*2.6/17.3</f>
        <v>13986.052504816957</v>
      </c>
      <c r="D7" s="76">
        <f t="shared" si="4"/>
        <v>13986.052504816957</v>
      </c>
      <c r="E7" s="76">
        <f t="shared" si="4"/>
        <v>13986.052504816957</v>
      </c>
      <c r="F7" s="76">
        <f t="shared" si="4"/>
        <v>13986.052504816957</v>
      </c>
      <c r="G7" s="76">
        <f t="shared" si="4"/>
        <v>13986.052504816957</v>
      </c>
      <c r="H7" s="76">
        <f t="shared" si="4"/>
        <v>14617.266377649325</v>
      </c>
      <c r="I7" s="76">
        <f t="shared" si="4"/>
        <v>13986.052504816957</v>
      </c>
      <c r="J7" s="76">
        <f t="shared" si="4"/>
        <v>16240.38776493256</v>
      </c>
      <c r="K7" s="76">
        <f t="shared" si="4"/>
        <v>13986.052504816957</v>
      </c>
      <c r="L7" s="76">
        <f t="shared" si="4"/>
        <v>13986.052504816957</v>
      </c>
      <c r="M7" s="76">
        <f t="shared" si="4"/>
        <v>13986.052504816957</v>
      </c>
      <c r="N7" s="76">
        <f>SUM(B7:M7)</f>
        <v>197860.37572254337</v>
      </c>
      <c r="P7" s="161"/>
    </row>
    <row r="8" spans="1:16" s="57" customFormat="1" x14ac:dyDescent="0.35">
      <c r="A8" s="71" t="s">
        <v>93</v>
      </c>
      <c r="B8" s="85">
        <f>+'Plan de culture 105'!B3+'Plan de culture 106'!C3+'Plan de culture 104 '!B3</f>
        <v>5.5750000000000002</v>
      </c>
      <c r="C8" s="85">
        <f>+B8</f>
        <v>5.5750000000000002</v>
      </c>
      <c r="D8" s="85">
        <f t="shared" ref="D8:M8" si="5">+C8</f>
        <v>5.5750000000000002</v>
      </c>
      <c r="E8" s="85">
        <f t="shared" si="5"/>
        <v>5.5750000000000002</v>
      </c>
      <c r="F8" s="85">
        <f t="shared" si="5"/>
        <v>5.5750000000000002</v>
      </c>
      <c r="G8" s="85">
        <f t="shared" si="5"/>
        <v>5.5750000000000002</v>
      </c>
      <c r="H8" s="85">
        <f t="shared" si="5"/>
        <v>5.5750000000000002</v>
      </c>
      <c r="I8" s="85">
        <f t="shared" si="5"/>
        <v>5.5750000000000002</v>
      </c>
      <c r="J8" s="85">
        <f t="shared" si="5"/>
        <v>5.5750000000000002</v>
      </c>
      <c r="K8" s="85">
        <f t="shared" si="5"/>
        <v>5.5750000000000002</v>
      </c>
      <c r="L8" s="85">
        <f t="shared" si="5"/>
        <v>5.5750000000000002</v>
      </c>
      <c r="M8" s="85">
        <f t="shared" si="5"/>
        <v>5.5750000000000002</v>
      </c>
      <c r="N8" s="85">
        <f>+M8</f>
        <v>5.5750000000000002</v>
      </c>
    </row>
    <row r="9" spans="1:16" s="57" customFormat="1" x14ac:dyDescent="0.35">
      <c r="A9" s="71" t="s">
        <v>116</v>
      </c>
      <c r="B9" s="75">
        <f>+B4/B8</f>
        <v>49087.182361733925</v>
      </c>
      <c r="C9" s="75">
        <f t="shared" ref="C9:M9" si="6">+C4/C8</f>
        <v>16692.563527653216</v>
      </c>
      <c r="D9" s="75">
        <f t="shared" si="6"/>
        <v>16692.563527653216</v>
      </c>
      <c r="E9" s="75">
        <f t="shared" si="6"/>
        <v>16692.563527653216</v>
      </c>
      <c r="F9" s="75">
        <f t="shared" si="6"/>
        <v>16692.563527653216</v>
      </c>
      <c r="G9" s="75">
        <f t="shared" si="6"/>
        <v>16692.563527653216</v>
      </c>
      <c r="H9" s="75">
        <f t="shared" si="6"/>
        <v>17445.926756352765</v>
      </c>
      <c r="I9" s="75">
        <f t="shared" si="6"/>
        <v>16692.563527653216</v>
      </c>
      <c r="J9" s="75">
        <f t="shared" si="6"/>
        <v>19383.146487294467</v>
      </c>
      <c r="K9" s="75">
        <f t="shared" si="6"/>
        <v>16692.563527653216</v>
      </c>
      <c r="L9" s="75">
        <f t="shared" si="6"/>
        <v>16692.563527653216</v>
      </c>
      <c r="M9" s="75">
        <f t="shared" si="6"/>
        <v>16692.563527653216</v>
      </c>
      <c r="N9" s="75">
        <f>+N4/N8</f>
        <v>236149.32735426008</v>
      </c>
    </row>
    <row r="10" spans="1:16" s="57" customFormat="1" x14ac:dyDescent="0.35">
      <c r="A10" s="97" t="s">
        <v>120</v>
      </c>
      <c r="B10" s="98">
        <f>+B11+B12</f>
        <v>2971.0416666666665</v>
      </c>
      <c r="C10" s="98">
        <f>+C11+C12</f>
        <v>2971.0416666666665</v>
      </c>
      <c r="D10" s="98">
        <f t="shared" ref="D10:M10" si="7">+D11+D12</f>
        <v>2971.0416666666665</v>
      </c>
      <c r="E10" s="98">
        <f t="shared" si="7"/>
        <v>2971.0416666666665</v>
      </c>
      <c r="F10" s="98">
        <f t="shared" si="7"/>
        <v>2971.0416666666665</v>
      </c>
      <c r="G10" s="98">
        <f t="shared" si="7"/>
        <v>2971.0416666666665</v>
      </c>
      <c r="H10" s="98">
        <f t="shared" si="7"/>
        <v>2971.0416666666665</v>
      </c>
      <c r="I10" s="98">
        <f t="shared" si="7"/>
        <v>2971.0416666666665</v>
      </c>
      <c r="J10" s="98">
        <f t="shared" si="7"/>
        <v>2971.0416666666665</v>
      </c>
      <c r="K10" s="98">
        <f t="shared" si="7"/>
        <v>2971.0416666666665</v>
      </c>
      <c r="L10" s="98">
        <f t="shared" si="7"/>
        <v>2971.0416666666665</v>
      </c>
      <c r="M10" s="98">
        <f t="shared" si="7"/>
        <v>2971.0416666666665</v>
      </c>
      <c r="N10" s="93">
        <f t="shared" ref="N10:N17" si="8">SUM(B10:M10)</f>
        <v>35652.500000000007</v>
      </c>
    </row>
    <row r="11" spans="1:16" s="57" customFormat="1" x14ac:dyDescent="0.35">
      <c r="A11" s="97" t="s">
        <v>243</v>
      </c>
      <c r="B11" s="98">
        <v>2971.0416666666665</v>
      </c>
      <c r="C11" s="98">
        <f>+B11</f>
        <v>2971.0416666666665</v>
      </c>
      <c r="D11" s="98">
        <f t="shared" ref="D11:M11" si="9">+C11</f>
        <v>2971.0416666666665</v>
      </c>
      <c r="E11" s="98">
        <f t="shared" si="9"/>
        <v>2971.0416666666665</v>
      </c>
      <c r="F11" s="98">
        <f t="shared" si="9"/>
        <v>2971.0416666666665</v>
      </c>
      <c r="G11" s="98">
        <f t="shared" si="9"/>
        <v>2971.0416666666665</v>
      </c>
      <c r="H11" s="98">
        <f t="shared" si="9"/>
        <v>2971.0416666666665</v>
      </c>
      <c r="I11" s="98">
        <f t="shared" si="9"/>
        <v>2971.0416666666665</v>
      </c>
      <c r="J11" s="98">
        <f t="shared" si="9"/>
        <v>2971.0416666666665</v>
      </c>
      <c r="K11" s="98">
        <f t="shared" si="9"/>
        <v>2971.0416666666665</v>
      </c>
      <c r="L11" s="98">
        <f t="shared" si="9"/>
        <v>2971.0416666666665</v>
      </c>
      <c r="M11" s="98">
        <f t="shared" si="9"/>
        <v>2971.0416666666665</v>
      </c>
      <c r="N11" s="93">
        <f t="shared" si="8"/>
        <v>35652.500000000007</v>
      </c>
    </row>
    <row r="12" spans="1:16" s="57" customFormat="1" x14ac:dyDescent="0.35">
      <c r="A12" s="97" t="s">
        <v>244</v>
      </c>
      <c r="B12" s="98">
        <f>(+B13/5)/12</f>
        <v>0</v>
      </c>
      <c r="C12" s="98">
        <f>+B12</f>
        <v>0</v>
      </c>
      <c r="D12" s="98">
        <f t="shared" ref="D12:M12" si="10">+C12</f>
        <v>0</v>
      </c>
      <c r="E12" s="98">
        <f t="shared" si="10"/>
        <v>0</v>
      </c>
      <c r="F12" s="98">
        <f t="shared" si="10"/>
        <v>0</v>
      </c>
      <c r="G12" s="98">
        <f t="shared" si="10"/>
        <v>0</v>
      </c>
      <c r="H12" s="98">
        <f t="shared" si="10"/>
        <v>0</v>
      </c>
      <c r="I12" s="98">
        <f t="shared" si="10"/>
        <v>0</v>
      </c>
      <c r="J12" s="98">
        <f t="shared" si="10"/>
        <v>0</v>
      </c>
      <c r="K12" s="98">
        <f t="shared" si="10"/>
        <v>0</v>
      </c>
      <c r="L12" s="98">
        <f t="shared" si="10"/>
        <v>0</v>
      </c>
      <c r="M12" s="98">
        <f t="shared" si="10"/>
        <v>0</v>
      </c>
      <c r="N12" s="93">
        <f t="shared" si="8"/>
        <v>0</v>
      </c>
    </row>
    <row r="13" spans="1:16" s="57" customFormat="1" x14ac:dyDescent="0.35">
      <c r="A13" s="97" t="s">
        <v>245</v>
      </c>
      <c r="B13" s="98">
        <v>0</v>
      </c>
      <c r="C13" s="98" t="s">
        <v>218</v>
      </c>
      <c r="D13" s="98" t="s">
        <v>218</v>
      </c>
      <c r="E13" s="98" t="s">
        <v>218</v>
      </c>
      <c r="F13" s="98" t="s">
        <v>218</v>
      </c>
      <c r="G13" s="98" t="s">
        <v>218</v>
      </c>
      <c r="H13" s="98" t="s">
        <v>218</v>
      </c>
      <c r="I13" s="98" t="s">
        <v>218</v>
      </c>
      <c r="J13" s="98" t="s">
        <v>218</v>
      </c>
      <c r="K13" s="98" t="s">
        <v>218</v>
      </c>
      <c r="L13" s="98" t="s">
        <v>218</v>
      </c>
      <c r="M13" s="98" t="s">
        <v>218</v>
      </c>
      <c r="N13" s="93">
        <f t="shared" si="8"/>
        <v>0</v>
      </c>
    </row>
    <row r="14" spans="1:16" s="57" customFormat="1" x14ac:dyDescent="0.35">
      <c r="A14" s="99" t="s">
        <v>118</v>
      </c>
      <c r="B14" s="100">
        <f>+B10*6.8/17.3</f>
        <v>1167.8082851637764</v>
      </c>
      <c r="C14" s="100">
        <f t="shared" ref="C14:M14" si="11">+C10*6.8/17.3</f>
        <v>1167.8082851637764</v>
      </c>
      <c r="D14" s="100">
        <f t="shared" si="11"/>
        <v>1167.8082851637764</v>
      </c>
      <c r="E14" s="100">
        <f t="shared" si="11"/>
        <v>1167.8082851637764</v>
      </c>
      <c r="F14" s="100">
        <f t="shared" si="11"/>
        <v>1167.8082851637764</v>
      </c>
      <c r="G14" s="100">
        <f t="shared" si="11"/>
        <v>1167.8082851637764</v>
      </c>
      <c r="H14" s="100">
        <f t="shared" si="11"/>
        <v>1167.8082851637764</v>
      </c>
      <c r="I14" s="100">
        <f t="shared" si="11"/>
        <v>1167.8082851637764</v>
      </c>
      <c r="J14" s="100">
        <f t="shared" si="11"/>
        <v>1167.8082851637764</v>
      </c>
      <c r="K14" s="100">
        <f t="shared" si="11"/>
        <v>1167.8082851637764</v>
      </c>
      <c r="L14" s="100">
        <f t="shared" si="11"/>
        <v>1167.8082851637764</v>
      </c>
      <c r="M14" s="100">
        <f t="shared" si="11"/>
        <v>1167.8082851637764</v>
      </c>
      <c r="N14" s="101">
        <f t="shared" si="8"/>
        <v>14013.699421965321</v>
      </c>
    </row>
    <row r="15" spans="1:16" s="57" customFormat="1" x14ac:dyDescent="0.35">
      <c r="A15" s="99" t="s">
        <v>119</v>
      </c>
      <c r="B15" s="100">
        <f>+B10*7.9/17.3</f>
        <v>1356.7184489402698</v>
      </c>
      <c r="C15" s="100">
        <f t="shared" ref="C15:M15" si="12">+C10*7.9/17.3</f>
        <v>1356.7184489402698</v>
      </c>
      <c r="D15" s="100">
        <f t="shared" si="12"/>
        <v>1356.7184489402698</v>
      </c>
      <c r="E15" s="100">
        <f t="shared" si="12"/>
        <v>1356.7184489402698</v>
      </c>
      <c r="F15" s="100">
        <f t="shared" si="12"/>
        <v>1356.7184489402698</v>
      </c>
      <c r="G15" s="100">
        <f t="shared" si="12"/>
        <v>1356.7184489402698</v>
      </c>
      <c r="H15" s="100">
        <f t="shared" si="12"/>
        <v>1356.7184489402698</v>
      </c>
      <c r="I15" s="100">
        <f t="shared" si="12"/>
        <v>1356.7184489402698</v>
      </c>
      <c r="J15" s="100">
        <f t="shared" si="12"/>
        <v>1356.7184489402698</v>
      </c>
      <c r="K15" s="100">
        <f t="shared" si="12"/>
        <v>1356.7184489402698</v>
      </c>
      <c r="L15" s="100">
        <f t="shared" si="12"/>
        <v>1356.7184489402698</v>
      </c>
      <c r="M15" s="100">
        <f t="shared" si="12"/>
        <v>1356.7184489402698</v>
      </c>
      <c r="N15" s="101">
        <f t="shared" si="8"/>
        <v>16280.621387283238</v>
      </c>
    </row>
    <row r="16" spans="1:16" s="57" customFormat="1" x14ac:dyDescent="0.35">
      <c r="A16" s="99" t="s">
        <v>117</v>
      </c>
      <c r="B16" s="100">
        <f>+B10*2.6/17.3</f>
        <v>446.5149325626204</v>
      </c>
      <c r="C16" s="100">
        <f t="shared" ref="C16:M16" si="13">+C10*2.6/17.3</f>
        <v>446.5149325626204</v>
      </c>
      <c r="D16" s="100">
        <f t="shared" si="13"/>
        <v>446.5149325626204</v>
      </c>
      <c r="E16" s="100">
        <f t="shared" si="13"/>
        <v>446.5149325626204</v>
      </c>
      <c r="F16" s="100">
        <f t="shared" si="13"/>
        <v>446.5149325626204</v>
      </c>
      <c r="G16" s="100">
        <f t="shared" si="13"/>
        <v>446.5149325626204</v>
      </c>
      <c r="H16" s="100">
        <f t="shared" si="13"/>
        <v>446.5149325626204</v>
      </c>
      <c r="I16" s="100">
        <f t="shared" si="13"/>
        <v>446.5149325626204</v>
      </c>
      <c r="J16" s="100">
        <f t="shared" si="13"/>
        <v>446.5149325626204</v>
      </c>
      <c r="K16" s="100">
        <f t="shared" si="13"/>
        <v>446.5149325626204</v>
      </c>
      <c r="L16" s="100">
        <f t="shared" si="13"/>
        <v>446.5149325626204</v>
      </c>
      <c r="M16" s="100">
        <f t="shared" si="13"/>
        <v>446.5149325626204</v>
      </c>
      <c r="N16" s="101">
        <f t="shared" si="8"/>
        <v>5358.1791907514453</v>
      </c>
    </row>
    <row r="17" spans="1:17" x14ac:dyDescent="0.35">
      <c r="A17" s="105" t="s">
        <v>121</v>
      </c>
      <c r="B17" s="106">
        <f>+B19+B20</f>
        <v>0</v>
      </c>
      <c r="C17" s="106">
        <f t="shared" ref="C17:M17" si="14">+C19+C20</f>
        <v>0</v>
      </c>
      <c r="D17" s="106">
        <f t="shared" si="14"/>
        <v>0</v>
      </c>
      <c r="E17" s="106">
        <f t="shared" si="14"/>
        <v>0</v>
      </c>
      <c r="F17" s="106">
        <f t="shared" si="14"/>
        <v>0</v>
      </c>
      <c r="G17" s="106">
        <f t="shared" si="14"/>
        <v>0</v>
      </c>
      <c r="H17" s="106">
        <f t="shared" si="14"/>
        <v>0</v>
      </c>
      <c r="I17" s="106">
        <f t="shared" si="14"/>
        <v>0</v>
      </c>
      <c r="J17" s="106">
        <f t="shared" si="14"/>
        <v>0</v>
      </c>
      <c r="K17" s="106">
        <f t="shared" si="14"/>
        <v>0</v>
      </c>
      <c r="L17" s="106">
        <f t="shared" si="14"/>
        <v>0</v>
      </c>
      <c r="M17" s="106">
        <f t="shared" si="14"/>
        <v>0</v>
      </c>
      <c r="N17" s="107">
        <f t="shared" si="8"/>
        <v>0</v>
      </c>
    </row>
    <row r="18" spans="1:17" x14ac:dyDescent="0.35">
      <c r="A18" s="102" t="s">
        <v>122</v>
      </c>
      <c r="B18" s="103">
        <f>1000*11</f>
        <v>11000</v>
      </c>
      <c r="C18" s="103">
        <f>+B18</f>
        <v>11000</v>
      </c>
      <c r="D18" s="103">
        <f t="shared" ref="D18:N18" si="15">+C18</f>
        <v>11000</v>
      </c>
      <c r="E18" s="103">
        <f t="shared" si="15"/>
        <v>11000</v>
      </c>
      <c r="F18" s="103">
        <f t="shared" si="15"/>
        <v>11000</v>
      </c>
      <c r="G18" s="103">
        <f t="shared" si="15"/>
        <v>11000</v>
      </c>
      <c r="H18" s="103">
        <f t="shared" si="15"/>
        <v>11000</v>
      </c>
      <c r="I18" s="103">
        <f t="shared" si="15"/>
        <v>11000</v>
      </c>
      <c r="J18" s="103">
        <f t="shared" si="15"/>
        <v>11000</v>
      </c>
      <c r="K18" s="103">
        <f t="shared" si="15"/>
        <v>11000</v>
      </c>
      <c r="L18" s="103">
        <f t="shared" si="15"/>
        <v>11000</v>
      </c>
      <c r="M18" s="103">
        <f t="shared" si="15"/>
        <v>11000</v>
      </c>
      <c r="N18" s="103">
        <f t="shared" si="15"/>
        <v>11000</v>
      </c>
      <c r="Q18" s="32">
        <v>900</v>
      </c>
    </row>
    <row r="19" spans="1:17" x14ac:dyDescent="0.35">
      <c r="A19" s="102" t="s">
        <v>118</v>
      </c>
      <c r="B19" s="103">
        <v>0</v>
      </c>
      <c r="C19" s="103">
        <f>++B19</f>
        <v>0</v>
      </c>
      <c r="D19" s="103">
        <f t="shared" ref="D19:M19" si="16">++C19</f>
        <v>0</v>
      </c>
      <c r="E19" s="103">
        <f t="shared" si="16"/>
        <v>0</v>
      </c>
      <c r="F19" s="103">
        <f t="shared" si="16"/>
        <v>0</v>
      </c>
      <c r="G19" s="103">
        <f t="shared" si="16"/>
        <v>0</v>
      </c>
      <c r="H19" s="103">
        <f t="shared" si="16"/>
        <v>0</v>
      </c>
      <c r="I19" s="103">
        <f t="shared" si="16"/>
        <v>0</v>
      </c>
      <c r="J19" s="103">
        <f t="shared" si="16"/>
        <v>0</v>
      </c>
      <c r="K19" s="103">
        <f t="shared" si="16"/>
        <v>0</v>
      </c>
      <c r="L19" s="103">
        <f t="shared" si="16"/>
        <v>0</v>
      </c>
      <c r="M19" s="103">
        <f t="shared" si="16"/>
        <v>0</v>
      </c>
      <c r="N19" s="104">
        <f>SUM(B19:M19)</f>
        <v>0</v>
      </c>
      <c r="Q19" s="32">
        <f>+Q18*11</f>
        <v>9900</v>
      </c>
    </row>
    <row r="20" spans="1:17" x14ac:dyDescent="0.35">
      <c r="A20" s="102" t="s">
        <v>119</v>
      </c>
      <c r="B20" s="103">
        <v>0</v>
      </c>
      <c r="C20" s="103">
        <f>++B20</f>
        <v>0</v>
      </c>
      <c r="D20" s="103">
        <f t="shared" ref="D20:M20" si="17">++C20</f>
        <v>0</v>
      </c>
      <c r="E20" s="103">
        <f t="shared" si="17"/>
        <v>0</v>
      </c>
      <c r="F20" s="103">
        <f t="shared" si="17"/>
        <v>0</v>
      </c>
      <c r="G20" s="103">
        <f t="shared" si="17"/>
        <v>0</v>
      </c>
      <c r="H20" s="103">
        <f t="shared" si="17"/>
        <v>0</v>
      </c>
      <c r="I20" s="103">
        <f t="shared" si="17"/>
        <v>0</v>
      </c>
      <c r="J20" s="103">
        <f t="shared" si="17"/>
        <v>0</v>
      </c>
      <c r="K20" s="103">
        <f t="shared" si="17"/>
        <v>0</v>
      </c>
      <c r="L20" s="103">
        <f t="shared" si="17"/>
        <v>0</v>
      </c>
      <c r="M20" s="103">
        <f t="shared" si="17"/>
        <v>0</v>
      </c>
      <c r="N20" s="104">
        <f>SUM(B20:M20)</f>
        <v>0</v>
      </c>
      <c r="Q20" s="32">
        <f>+Q19/0.9</f>
        <v>11000</v>
      </c>
    </row>
    <row r="21" spans="1:17" x14ac:dyDescent="0.35">
      <c r="A21" s="102" t="s">
        <v>117</v>
      </c>
      <c r="B21" s="103">
        <f>0*2.6/17.3</f>
        <v>0</v>
      </c>
      <c r="C21" s="103">
        <f t="shared" ref="C21:M21" si="18">0*2.6/17.3</f>
        <v>0</v>
      </c>
      <c r="D21" s="103">
        <f t="shared" si="18"/>
        <v>0</v>
      </c>
      <c r="E21" s="103">
        <f t="shared" si="18"/>
        <v>0</v>
      </c>
      <c r="F21" s="103">
        <f t="shared" si="18"/>
        <v>0</v>
      </c>
      <c r="G21" s="103">
        <f t="shared" si="18"/>
        <v>0</v>
      </c>
      <c r="H21" s="103">
        <f t="shared" si="18"/>
        <v>0</v>
      </c>
      <c r="I21" s="103">
        <f t="shared" si="18"/>
        <v>0</v>
      </c>
      <c r="J21" s="103">
        <f t="shared" si="18"/>
        <v>0</v>
      </c>
      <c r="K21" s="103">
        <f t="shared" si="18"/>
        <v>0</v>
      </c>
      <c r="L21" s="103">
        <f t="shared" si="18"/>
        <v>0</v>
      </c>
      <c r="M21" s="103">
        <f t="shared" si="18"/>
        <v>0</v>
      </c>
      <c r="N21" s="104">
        <f>SUM(B21:M21)</f>
        <v>0</v>
      </c>
      <c r="Q21" s="32">
        <f>+Q20*0.1</f>
        <v>1100</v>
      </c>
    </row>
    <row r="22" spans="1:17" x14ac:dyDescent="0.35">
      <c r="A22" s="108" t="s">
        <v>123</v>
      </c>
      <c r="B22" s="96">
        <f t="shared" ref="B22:M22" si="19">SUM(B23:B26)</f>
        <v>3200</v>
      </c>
      <c r="C22" s="96">
        <f t="shared" si="19"/>
        <v>3200</v>
      </c>
      <c r="D22" s="96">
        <f t="shared" si="19"/>
        <v>3200</v>
      </c>
      <c r="E22" s="96">
        <f t="shared" si="19"/>
        <v>3200</v>
      </c>
      <c r="F22" s="96">
        <f t="shared" si="19"/>
        <v>3200</v>
      </c>
      <c r="G22" s="96">
        <f t="shared" si="19"/>
        <v>3200</v>
      </c>
      <c r="H22" s="96">
        <f t="shared" si="19"/>
        <v>3200</v>
      </c>
      <c r="I22" s="96">
        <f t="shared" si="19"/>
        <v>3200</v>
      </c>
      <c r="J22" s="96">
        <f t="shared" si="19"/>
        <v>3200</v>
      </c>
      <c r="K22" s="96">
        <f t="shared" si="19"/>
        <v>3200</v>
      </c>
      <c r="L22" s="96">
        <f t="shared" si="19"/>
        <v>3200</v>
      </c>
      <c r="M22" s="96">
        <f t="shared" si="19"/>
        <v>3200</v>
      </c>
      <c r="N22" s="109">
        <f>SUM(B22:M22)</f>
        <v>38400</v>
      </c>
      <c r="Q22" s="32">
        <f>+Q21+Q19</f>
        <v>11000</v>
      </c>
    </row>
    <row r="23" spans="1:17" x14ac:dyDescent="0.35">
      <c r="A23" s="94" t="s">
        <v>124</v>
      </c>
      <c r="B23" s="95">
        <v>1200</v>
      </c>
      <c r="C23" s="95">
        <f>+B23</f>
        <v>1200</v>
      </c>
      <c r="D23" s="95">
        <f t="shared" ref="D23:M24" si="20">+C23</f>
        <v>1200</v>
      </c>
      <c r="E23" s="95">
        <f t="shared" si="20"/>
        <v>1200</v>
      </c>
      <c r="F23" s="95">
        <f t="shared" si="20"/>
        <v>1200</v>
      </c>
      <c r="G23" s="95">
        <f t="shared" si="20"/>
        <v>1200</v>
      </c>
      <c r="H23" s="95">
        <f t="shared" si="20"/>
        <v>1200</v>
      </c>
      <c r="I23" s="95">
        <f t="shared" si="20"/>
        <v>1200</v>
      </c>
      <c r="J23" s="95">
        <f t="shared" si="20"/>
        <v>1200</v>
      </c>
      <c r="K23" s="95">
        <f t="shared" si="20"/>
        <v>1200</v>
      </c>
      <c r="L23" s="95">
        <f t="shared" si="20"/>
        <v>1200</v>
      </c>
      <c r="M23" s="95">
        <f t="shared" si="20"/>
        <v>1200</v>
      </c>
      <c r="N23" s="109">
        <f t="shared" ref="N23:N26" si="21">SUM(B23:M23)</f>
        <v>14400</v>
      </c>
    </row>
    <row r="24" spans="1:17" x14ac:dyDescent="0.35">
      <c r="A24" s="94" t="s">
        <v>125</v>
      </c>
      <c r="B24" s="95">
        <v>500</v>
      </c>
      <c r="C24" s="95">
        <f>+B24</f>
        <v>500</v>
      </c>
      <c r="D24" s="95">
        <f t="shared" si="20"/>
        <v>500</v>
      </c>
      <c r="E24" s="95">
        <f t="shared" si="20"/>
        <v>500</v>
      </c>
      <c r="F24" s="95">
        <f t="shared" si="20"/>
        <v>500</v>
      </c>
      <c r="G24" s="95">
        <f t="shared" si="20"/>
        <v>500</v>
      </c>
      <c r="H24" s="95">
        <f t="shared" si="20"/>
        <v>500</v>
      </c>
      <c r="I24" s="95">
        <f t="shared" si="20"/>
        <v>500</v>
      </c>
      <c r="J24" s="95">
        <f t="shared" si="20"/>
        <v>500</v>
      </c>
      <c r="K24" s="95">
        <f t="shared" si="20"/>
        <v>500</v>
      </c>
      <c r="L24" s="95">
        <f t="shared" si="20"/>
        <v>500</v>
      </c>
      <c r="M24" s="95">
        <f t="shared" si="20"/>
        <v>500</v>
      </c>
      <c r="N24" s="109">
        <f t="shared" si="21"/>
        <v>6000</v>
      </c>
    </row>
    <row r="25" spans="1:17" x14ac:dyDescent="0.35">
      <c r="A25" s="94" t="s">
        <v>126</v>
      </c>
      <c r="B25" s="95">
        <v>1000</v>
      </c>
      <c r="C25" s="95">
        <f>+B25</f>
        <v>1000</v>
      </c>
      <c r="D25" s="95">
        <f t="shared" ref="D25" si="22">+C25</f>
        <v>1000</v>
      </c>
      <c r="E25" s="95">
        <f t="shared" ref="E25" si="23">+D25</f>
        <v>1000</v>
      </c>
      <c r="F25" s="95">
        <f t="shared" ref="F25" si="24">+E25</f>
        <v>1000</v>
      </c>
      <c r="G25" s="95">
        <f t="shared" ref="G25" si="25">+F25</f>
        <v>1000</v>
      </c>
      <c r="H25" s="95">
        <f t="shared" ref="H25" si="26">+G25</f>
        <v>1000</v>
      </c>
      <c r="I25" s="95">
        <f t="shared" ref="I25" si="27">+H25</f>
        <v>1000</v>
      </c>
      <c r="J25" s="95">
        <f t="shared" ref="J25" si="28">+I25</f>
        <v>1000</v>
      </c>
      <c r="K25" s="95">
        <f t="shared" ref="K25" si="29">+J25</f>
        <v>1000</v>
      </c>
      <c r="L25" s="95">
        <f t="shared" ref="L25" si="30">+K25</f>
        <v>1000</v>
      </c>
      <c r="M25" s="95">
        <f t="shared" ref="M25" si="31">+L25</f>
        <v>1000</v>
      </c>
      <c r="N25" s="109">
        <f t="shared" si="21"/>
        <v>12000</v>
      </c>
    </row>
    <row r="26" spans="1:17" x14ac:dyDescent="0.35">
      <c r="A26" s="94" t="s">
        <v>127</v>
      </c>
      <c r="B26" s="95">
        <v>500</v>
      </c>
      <c r="C26" s="95">
        <f>+B26</f>
        <v>500</v>
      </c>
      <c r="D26" s="95">
        <f t="shared" ref="D26" si="32">+C26</f>
        <v>500</v>
      </c>
      <c r="E26" s="95">
        <f t="shared" ref="E26" si="33">+D26</f>
        <v>500</v>
      </c>
      <c r="F26" s="95">
        <f t="shared" ref="F26" si="34">+E26</f>
        <v>500</v>
      </c>
      <c r="G26" s="95">
        <f t="shared" ref="G26" si="35">+F26</f>
        <v>500</v>
      </c>
      <c r="H26" s="95">
        <f t="shared" ref="H26" si="36">+G26</f>
        <v>500</v>
      </c>
      <c r="I26" s="95">
        <f t="shared" ref="I26" si="37">+H26</f>
        <v>500</v>
      </c>
      <c r="J26" s="95">
        <f t="shared" ref="J26" si="38">+I26</f>
        <v>500</v>
      </c>
      <c r="K26" s="95">
        <f t="shared" ref="K26" si="39">+J26</f>
        <v>500</v>
      </c>
      <c r="L26" s="95">
        <f t="shared" ref="L26" si="40">+K26</f>
        <v>500</v>
      </c>
      <c r="M26" s="95">
        <f t="shared" ref="M26" si="41">+L26</f>
        <v>500</v>
      </c>
      <c r="N26" s="109">
        <f t="shared" si="21"/>
        <v>6000</v>
      </c>
    </row>
    <row r="27" spans="1:17" x14ac:dyDescent="0.35">
      <c r="A27" s="94" t="s">
        <v>118</v>
      </c>
      <c r="B27" s="95">
        <f t="shared" ref="B27:M27" si="42">+B22*6.8/17.3</f>
        <v>1257.8034682080925</v>
      </c>
      <c r="C27" s="95">
        <f t="shared" si="42"/>
        <v>1257.8034682080925</v>
      </c>
      <c r="D27" s="95">
        <f t="shared" si="42"/>
        <v>1257.8034682080925</v>
      </c>
      <c r="E27" s="95">
        <f t="shared" si="42"/>
        <v>1257.8034682080925</v>
      </c>
      <c r="F27" s="95">
        <f t="shared" si="42"/>
        <v>1257.8034682080925</v>
      </c>
      <c r="G27" s="95">
        <f t="shared" si="42"/>
        <v>1257.8034682080925</v>
      </c>
      <c r="H27" s="95">
        <f t="shared" si="42"/>
        <v>1257.8034682080925</v>
      </c>
      <c r="I27" s="95">
        <f t="shared" si="42"/>
        <v>1257.8034682080925</v>
      </c>
      <c r="J27" s="95">
        <f t="shared" si="42"/>
        <v>1257.8034682080925</v>
      </c>
      <c r="K27" s="95">
        <f t="shared" si="42"/>
        <v>1257.8034682080925</v>
      </c>
      <c r="L27" s="95">
        <f t="shared" si="42"/>
        <v>1257.8034682080925</v>
      </c>
      <c r="M27" s="95">
        <f t="shared" si="42"/>
        <v>1257.8034682080925</v>
      </c>
      <c r="N27" s="109">
        <f t="shared" ref="N27:N29" si="43">SUM(B27:M27)</f>
        <v>15093.641618497109</v>
      </c>
    </row>
    <row r="28" spans="1:17" x14ac:dyDescent="0.35">
      <c r="A28" s="94" t="s">
        <v>119</v>
      </c>
      <c r="B28" s="95">
        <f t="shared" ref="B28:M28" si="44">+B22*7.9/17.3</f>
        <v>1461.2716763005781</v>
      </c>
      <c r="C28" s="95">
        <f t="shared" si="44"/>
        <v>1461.2716763005781</v>
      </c>
      <c r="D28" s="95">
        <f t="shared" si="44"/>
        <v>1461.2716763005781</v>
      </c>
      <c r="E28" s="95">
        <f t="shared" si="44"/>
        <v>1461.2716763005781</v>
      </c>
      <c r="F28" s="95">
        <f t="shared" si="44"/>
        <v>1461.2716763005781</v>
      </c>
      <c r="G28" s="95">
        <f t="shared" si="44"/>
        <v>1461.2716763005781</v>
      </c>
      <c r="H28" s="95">
        <f t="shared" si="44"/>
        <v>1461.2716763005781</v>
      </c>
      <c r="I28" s="95">
        <f t="shared" si="44"/>
        <v>1461.2716763005781</v>
      </c>
      <c r="J28" s="95">
        <f t="shared" si="44"/>
        <v>1461.2716763005781</v>
      </c>
      <c r="K28" s="95">
        <f t="shared" si="44"/>
        <v>1461.2716763005781</v>
      </c>
      <c r="L28" s="95">
        <f t="shared" si="44"/>
        <v>1461.2716763005781</v>
      </c>
      <c r="M28" s="95">
        <f t="shared" si="44"/>
        <v>1461.2716763005781</v>
      </c>
      <c r="N28" s="109">
        <f t="shared" si="43"/>
        <v>17535.260115606932</v>
      </c>
    </row>
    <row r="29" spans="1:17" x14ac:dyDescent="0.35">
      <c r="A29" s="94" t="s">
        <v>117</v>
      </c>
      <c r="B29" s="95">
        <f t="shared" ref="B29:M29" si="45">+B22*2.6/17.3</f>
        <v>480.92485549132948</v>
      </c>
      <c r="C29" s="95">
        <f t="shared" si="45"/>
        <v>480.92485549132948</v>
      </c>
      <c r="D29" s="95">
        <f t="shared" si="45"/>
        <v>480.92485549132948</v>
      </c>
      <c r="E29" s="95">
        <f t="shared" si="45"/>
        <v>480.92485549132948</v>
      </c>
      <c r="F29" s="95">
        <f t="shared" si="45"/>
        <v>480.92485549132948</v>
      </c>
      <c r="G29" s="95">
        <f t="shared" si="45"/>
        <v>480.92485549132948</v>
      </c>
      <c r="H29" s="95">
        <f t="shared" si="45"/>
        <v>480.92485549132948</v>
      </c>
      <c r="I29" s="95">
        <f t="shared" si="45"/>
        <v>480.92485549132948</v>
      </c>
      <c r="J29" s="95">
        <f t="shared" si="45"/>
        <v>480.92485549132948</v>
      </c>
      <c r="K29" s="95">
        <f t="shared" si="45"/>
        <v>480.92485549132948</v>
      </c>
      <c r="L29" s="95">
        <f t="shared" si="45"/>
        <v>480.92485549132948</v>
      </c>
      <c r="M29" s="95">
        <f t="shared" si="45"/>
        <v>480.92485549132948</v>
      </c>
      <c r="N29" s="109">
        <f t="shared" si="43"/>
        <v>5771.098265895952</v>
      </c>
    </row>
    <row r="30" spans="1:17" x14ac:dyDescent="0.35">
      <c r="A30" s="97" t="s">
        <v>159</v>
      </c>
      <c r="B30" s="98">
        <f>SUM(B31:B33)</f>
        <v>186100</v>
      </c>
      <c r="C30" s="98">
        <f t="shared" ref="C30:M30" si="46">SUM(C31:C33)</f>
        <v>5500</v>
      </c>
      <c r="D30" s="98">
        <f t="shared" si="46"/>
        <v>5500</v>
      </c>
      <c r="E30" s="98">
        <f t="shared" si="46"/>
        <v>5500</v>
      </c>
      <c r="F30" s="98">
        <f t="shared" si="46"/>
        <v>5500</v>
      </c>
      <c r="G30" s="98">
        <f t="shared" si="46"/>
        <v>5500</v>
      </c>
      <c r="H30" s="98">
        <f t="shared" si="46"/>
        <v>5500</v>
      </c>
      <c r="I30" s="98">
        <f t="shared" si="46"/>
        <v>5500</v>
      </c>
      <c r="J30" s="98">
        <f t="shared" si="46"/>
        <v>5500</v>
      </c>
      <c r="K30" s="98">
        <f t="shared" si="46"/>
        <v>5500</v>
      </c>
      <c r="L30" s="98">
        <f t="shared" si="46"/>
        <v>5500</v>
      </c>
      <c r="M30" s="98">
        <f t="shared" si="46"/>
        <v>5500</v>
      </c>
      <c r="N30" s="93">
        <f>SUM(B30:M30)</f>
        <v>246600</v>
      </c>
    </row>
    <row r="31" spans="1:17" x14ac:dyDescent="0.35">
      <c r="A31" s="99" t="s">
        <v>128</v>
      </c>
      <c r="B31" s="100">
        <f>5500+180000</f>
        <v>185500</v>
      </c>
      <c r="C31" s="100">
        <v>5500</v>
      </c>
      <c r="D31" s="100">
        <f t="shared" ref="D31:M31" si="47">+C31</f>
        <v>5500</v>
      </c>
      <c r="E31" s="100">
        <f t="shared" si="47"/>
        <v>5500</v>
      </c>
      <c r="F31" s="100">
        <f t="shared" si="47"/>
        <v>5500</v>
      </c>
      <c r="G31" s="100">
        <f t="shared" si="47"/>
        <v>5500</v>
      </c>
      <c r="H31" s="100">
        <f t="shared" si="47"/>
        <v>5500</v>
      </c>
      <c r="I31" s="100">
        <f t="shared" si="47"/>
        <v>5500</v>
      </c>
      <c r="J31" s="100">
        <f t="shared" si="47"/>
        <v>5500</v>
      </c>
      <c r="K31" s="100">
        <f t="shared" si="47"/>
        <v>5500</v>
      </c>
      <c r="L31" s="100">
        <f t="shared" si="47"/>
        <v>5500</v>
      </c>
      <c r="M31" s="100">
        <f t="shared" si="47"/>
        <v>5500</v>
      </c>
      <c r="N31" s="101">
        <f t="shared" ref="N31:N33" si="48">SUM(B31:M31)</f>
        <v>246000</v>
      </c>
      <c r="P31" s="32">
        <v>4800</v>
      </c>
    </row>
    <row r="32" spans="1:17" x14ac:dyDescent="0.35">
      <c r="A32" s="99" t="s">
        <v>129</v>
      </c>
      <c r="B32" s="100">
        <v>600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1">
        <f t="shared" si="48"/>
        <v>600</v>
      </c>
      <c r="P32" s="32">
        <f>+P31*12</f>
        <v>57600</v>
      </c>
    </row>
    <row r="33" spans="1:16" x14ac:dyDescent="0.35">
      <c r="A33" s="99" t="s">
        <v>130</v>
      </c>
      <c r="B33" s="100">
        <v>0</v>
      </c>
      <c r="C33" s="100">
        <f>+B33</f>
        <v>0</v>
      </c>
      <c r="D33" s="100">
        <f t="shared" ref="D33:M33" si="49">+C33</f>
        <v>0</v>
      </c>
      <c r="E33" s="100">
        <f t="shared" si="49"/>
        <v>0</v>
      </c>
      <c r="F33" s="100">
        <f t="shared" si="49"/>
        <v>0</v>
      </c>
      <c r="G33" s="100">
        <f t="shared" si="49"/>
        <v>0</v>
      </c>
      <c r="H33" s="100">
        <f t="shared" si="49"/>
        <v>0</v>
      </c>
      <c r="I33" s="100">
        <f t="shared" si="49"/>
        <v>0</v>
      </c>
      <c r="J33" s="100">
        <f t="shared" si="49"/>
        <v>0</v>
      </c>
      <c r="K33" s="100">
        <f t="shared" si="49"/>
        <v>0</v>
      </c>
      <c r="L33" s="100">
        <f t="shared" si="49"/>
        <v>0</v>
      </c>
      <c r="M33" s="100">
        <f t="shared" si="49"/>
        <v>0</v>
      </c>
      <c r="N33" s="101">
        <f t="shared" si="48"/>
        <v>0</v>
      </c>
      <c r="P33" s="32">
        <f>8000*1.2</f>
        <v>9600</v>
      </c>
    </row>
    <row r="34" spans="1:16" x14ac:dyDescent="0.35">
      <c r="A34" s="99" t="s">
        <v>118</v>
      </c>
      <c r="B34" s="100">
        <f>+B30*6.8/17.3</f>
        <v>73149.132947976876</v>
      </c>
      <c r="C34" s="100">
        <f t="shared" ref="C34" si="50">+C30*6.8/17.3</f>
        <v>2161.849710982659</v>
      </c>
      <c r="D34" s="100">
        <f t="shared" ref="D34" si="51">+D30*6.8/17.3</f>
        <v>2161.849710982659</v>
      </c>
      <c r="E34" s="100">
        <f t="shared" ref="E34" si="52">+E30*6.8/17.3</f>
        <v>2161.849710982659</v>
      </c>
      <c r="F34" s="100">
        <f t="shared" ref="F34" si="53">+F30*6.8/17.3</f>
        <v>2161.849710982659</v>
      </c>
      <c r="G34" s="100">
        <f t="shared" ref="G34" si="54">+G30*6.8/17.3</f>
        <v>2161.849710982659</v>
      </c>
      <c r="H34" s="100">
        <f t="shared" ref="H34" si="55">+H30*6.8/17.3</f>
        <v>2161.849710982659</v>
      </c>
      <c r="I34" s="100">
        <f t="shared" ref="I34" si="56">+I30*6.8/17.3</f>
        <v>2161.849710982659</v>
      </c>
      <c r="J34" s="100">
        <f t="shared" ref="J34" si="57">+J30*6.8/17.3</f>
        <v>2161.849710982659</v>
      </c>
      <c r="K34" s="100">
        <f t="shared" ref="K34" si="58">+K30*6.8/17.3</f>
        <v>2161.849710982659</v>
      </c>
      <c r="L34" s="100">
        <f t="shared" ref="L34" si="59">+L30*6.8/17.3</f>
        <v>2161.849710982659</v>
      </c>
      <c r="M34" s="100">
        <f t="shared" ref="M34" si="60">+M30*6.8/17.3</f>
        <v>2161.849710982659</v>
      </c>
      <c r="N34" s="101">
        <f>SUM(B34:M34)</f>
        <v>96929.479768786099</v>
      </c>
      <c r="P34" s="32">
        <f>+P32+P33</f>
        <v>67200</v>
      </c>
    </row>
    <row r="35" spans="1:16" x14ac:dyDescent="0.35">
      <c r="A35" s="99" t="s">
        <v>119</v>
      </c>
      <c r="B35" s="100">
        <f>+B30*7.9/17.3</f>
        <v>84982.080924855487</v>
      </c>
      <c r="C35" s="100">
        <f t="shared" ref="C35:M35" si="61">+C30*7.9/17.3</f>
        <v>2511.5606936416184</v>
      </c>
      <c r="D35" s="100">
        <f t="shared" si="61"/>
        <v>2511.5606936416184</v>
      </c>
      <c r="E35" s="100">
        <f t="shared" si="61"/>
        <v>2511.5606936416184</v>
      </c>
      <c r="F35" s="100">
        <f t="shared" si="61"/>
        <v>2511.5606936416184</v>
      </c>
      <c r="G35" s="100">
        <f t="shared" si="61"/>
        <v>2511.5606936416184</v>
      </c>
      <c r="H35" s="100">
        <f t="shared" si="61"/>
        <v>2511.5606936416184</v>
      </c>
      <c r="I35" s="100">
        <f t="shared" si="61"/>
        <v>2511.5606936416184</v>
      </c>
      <c r="J35" s="100">
        <f t="shared" si="61"/>
        <v>2511.5606936416184</v>
      </c>
      <c r="K35" s="100">
        <f t="shared" si="61"/>
        <v>2511.5606936416184</v>
      </c>
      <c r="L35" s="100">
        <f t="shared" si="61"/>
        <v>2511.5606936416184</v>
      </c>
      <c r="M35" s="100">
        <f t="shared" si="61"/>
        <v>2511.5606936416184</v>
      </c>
      <c r="N35" s="101">
        <f>SUM(B35:M35)</f>
        <v>112609.24855491325</v>
      </c>
    </row>
    <row r="36" spans="1:16" x14ac:dyDescent="0.35">
      <c r="A36" s="99" t="s">
        <v>117</v>
      </c>
      <c r="B36" s="100">
        <f>+B30*2.6/17.3</f>
        <v>27968.78612716763</v>
      </c>
      <c r="C36" s="100">
        <f t="shared" ref="C36:M36" si="62">+C30*2.6/17.3</f>
        <v>826.58959537572252</v>
      </c>
      <c r="D36" s="100">
        <f t="shared" si="62"/>
        <v>826.58959537572252</v>
      </c>
      <c r="E36" s="100">
        <f t="shared" si="62"/>
        <v>826.58959537572252</v>
      </c>
      <c r="F36" s="100">
        <f t="shared" si="62"/>
        <v>826.58959537572252</v>
      </c>
      <c r="G36" s="100">
        <f t="shared" si="62"/>
        <v>826.58959537572252</v>
      </c>
      <c r="H36" s="100">
        <f t="shared" si="62"/>
        <v>826.58959537572252</v>
      </c>
      <c r="I36" s="100">
        <f t="shared" si="62"/>
        <v>826.58959537572252</v>
      </c>
      <c r="J36" s="100">
        <f t="shared" si="62"/>
        <v>826.58959537572252</v>
      </c>
      <c r="K36" s="100">
        <f t="shared" si="62"/>
        <v>826.58959537572252</v>
      </c>
      <c r="L36" s="100">
        <f t="shared" si="62"/>
        <v>826.58959537572252</v>
      </c>
      <c r="M36" s="100">
        <f t="shared" si="62"/>
        <v>826.58959537572252</v>
      </c>
      <c r="N36" s="101">
        <f>SUM(B36:M36)</f>
        <v>37061.271676300559</v>
      </c>
    </row>
    <row r="37" spans="1:16" x14ac:dyDescent="0.35">
      <c r="A37" s="105" t="s">
        <v>131</v>
      </c>
      <c r="B37" s="106">
        <f>SUM(B38:B42)</f>
        <v>4050</v>
      </c>
      <c r="C37" s="106">
        <f t="shared" ref="C37" si="63">SUM(C38:C42)</f>
        <v>4050</v>
      </c>
      <c r="D37" s="106">
        <f t="shared" ref="D37" si="64">SUM(D38:D42)</f>
        <v>4050</v>
      </c>
      <c r="E37" s="106">
        <f t="shared" ref="E37" si="65">SUM(E38:E42)</f>
        <v>4050</v>
      </c>
      <c r="F37" s="106">
        <f t="shared" ref="F37" si="66">SUM(F38:F42)</f>
        <v>4050</v>
      </c>
      <c r="G37" s="106">
        <f t="shared" ref="G37" si="67">SUM(G38:G42)</f>
        <v>4050</v>
      </c>
      <c r="H37" s="106">
        <f t="shared" ref="H37" si="68">SUM(H38:H42)</f>
        <v>8250</v>
      </c>
      <c r="I37" s="106">
        <f t="shared" ref="I37" si="69">SUM(I38:I42)</f>
        <v>4050</v>
      </c>
      <c r="J37" s="106">
        <f t="shared" ref="J37" si="70">SUM(J38:J42)</f>
        <v>19050</v>
      </c>
      <c r="K37" s="106">
        <f t="shared" ref="K37" si="71">SUM(K38:K42)</f>
        <v>4050</v>
      </c>
      <c r="L37" s="106">
        <f t="shared" ref="L37" si="72">SUM(L38:L42)</f>
        <v>4050</v>
      </c>
      <c r="M37" s="106">
        <f t="shared" ref="M37" si="73">SUM(M38:M42)</f>
        <v>4050</v>
      </c>
      <c r="N37" s="107">
        <f>SUM(B37:M37)</f>
        <v>67800</v>
      </c>
    </row>
    <row r="38" spans="1:16" x14ac:dyDescent="0.35">
      <c r="A38" s="102" t="s">
        <v>132</v>
      </c>
      <c r="B38" s="103">
        <v>2500</v>
      </c>
      <c r="C38" s="103">
        <f>+B38</f>
        <v>2500</v>
      </c>
      <c r="D38" s="103">
        <f t="shared" ref="D38:M38" si="74">+C38</f>
        <v>2500</v>
      </c>
      <c r="E38" s="103">
        <f t="shared" si="74"/>
        <v>2500</v>
      </c>
      <c r="F38" s="103">
        <f t="shared" si="74"/>
        <v>2500</v>
      </c>
      <c r="G38" s="103">
        <f t="shared" si="74"/>
        <v>2500</v>
      </c>
      <c r="H38" s="103">
        <f t="shared" si="74"/>
        <v>2500</v>
      </c>
      <c r="I38" s="103">
        <f t="shared" si="74"/>
        <v>2500</v>
      </c>
      <c r="J38" s="103">
        <f t="shared" si="74"/>
        <v>2500</v>
      </c>
      <c r="K38" s="103">
        <f t="shared" si="74"/>
        <v>2500</v>
      </c>
      <c r="L38" s="103">
        <f t="shared" si="74"/>
        <v>2500</v>
      </c>
      <c r="M38" s="103">
        <f t="shared" si="74"/>
        <v>2500</v>
      </c>
      <c r="N38" s="104">
        <f t="shared" ref="N38:N42" si="75">SUM(B38:M38)</f>
        <v>30000</v>
      </c>
    </row>
    <row r="39" spans="1:16" x14ac:dyDescent="0.35">
      <c r="A39" s="102" t="s">
        <v>133</v>
      </c>
      <c r="B39" s="103">
        <v>50</v>
      </c>
      <c r="C39" s="103">
        <f>+B39</f>
        <v>50</v>
      </c>
      <c r="D39" s="103">
        <f t="shared" ref="D39:M39" si="76">+C39</f>
        <v>50</v>
      </c>
      <c r="E39" s="103">
        <f t="shared" si="76"/>
        <v>50</v>
      </c>
      <c r="F39" s="103">
        <f t="shared" si="76"/>
        <v>50</v>
      </c>
      <c r="G39" s="103">
        <f t="shared" si="76"/>
        <v>50</v>
      </c>
      <c r="H39" s="103">
        <f t="shared" si="76"/>
        <v>50</v>
      </c>
      <c r="I39" s="103">
        <f t="shared" si="76"/>
        <v>50</v>
      </c>
      <c r="J39" s="103">
        <f t="shared" si="76"/>
        <v>50</v>
      </c>
      <c r="K39" s="103">
        <f t="shared" si="76"/>
        <v>50</v>
      </c>
      <c r="L39" s="103">
        <f t="shared" si="76"/>
        <v>50</v>
      </c>
      <c r="M39" s="103">
        <f t="shared" si="76"/>
        <v>50</v>
      </c>
      <c r="N39" s="104">
        <f t="shared" si="75"/>
        <v>600</v>
      </c>
    </row>
    <row r="40" spans="1:16" x14ac:dyDescent="0.35">
      <c r="A40" s="102" t="s">
        <v>135</v>
      </c>
      <c r="B40" s="103"/>
      <c r="C40" s="103"/>
      <c r="D40" s="103"/>
      <c r="E40" s="103"/>
      <c r="F40" s="103"/>
      <c r="G40" s="103"/>
      <c r="H40" s="103"/>
      <c r="I40" s="103"/>
      <c r="J40" s="103">
        <v>15000</v>
      </c>
      <c r="K40" s="103"/>
      <c r="L40" s="103"/>
      <c r="M40" s="103"/>
      <c r="N40" s="104">
        <f t="shared" si="75"/>
        <v>15000</v>
      </c>
    </row>
    <row r="41" spans="1:16" x14ac:dyDescent="0.35">
      <c r="A41" s="102" t="s">
        <v>134</v>
      </c>
      <c r="B41" s="103"/>
      <c r="C41" s="103"/>
      <c r="D41" s="103"/>
      <c r="E41" s="103"/>
      <c r="F41" s="103"/>
      <c r="G41" s="103"/>
      <c r="H41" s="103">
        <v>4200</v>
      </c>
      <c r="I41" s="103"/>
      <c r="J41" s="103"/>
      <c r="K41" s="103"/>
      <c r="L41" s="103"/>
      <c r="M41" s="103"/>
      <c r="N41" s="104">
        <f t="shared" ref="N41" si="77">SUM(B41:M41)</f>
        <v>4200</v>
      </c>
    </row>
    <row r="42" spans="1:16" x14ac:dyDescent="0.35">
      <c r="A42" s="102" t="s">
        <v>136</v>
      </c>
      <c r="B42" s="103">
        <v>1500</v>
      </c>
      <c r="C42" s="103">
        <v>1500</v>
      </c>
      <c r="D42" s="103">
        <v>1500</v>
      </c>
      <c r="E42" s="103">
        <v>1500</v>
      </c>
      <c r="F42" s="103">
        <v>1500</v>
      </c>
      <c r="G42" s="103">
        <v>1500</v>
      </c>
      <c r="H42" s="103">
        <v>1500</v>
      </c>
      <c r="I42" s="103">
        <v>1500</v>
      </c>
      <c r="J42" s="103">
        <v>1500</v>
      </c>
      <c r="K42" s="103">
        <v>1500</v>
      </c>
      <c r="L42" s="103">
        <v>1500</v>
      </c>
      <c r="M42" s="103">
        <v>1500</v>
      </c>
      <c r="N42" s="104">
        <f t="shared" si="75"/>
        <v>18000</v>
      </c>
    </row>
    <row r="43" spans="1:16" x14ac:dyDescent="0.35">
      <c r="A43" s="102" t="s">
        <v>118</v>
      </c>
      <c r="B43" s="103">
        <f>+B37*6.8/17.3</f>
        <v>1591.907514450867</v>
      </c>
      <c r="C43" s="103">
        <f t="shared" ref="C43" si="78">+C37*6.8/17.3</f>
        <v>1591.907514450867</v>
      </c>
      <c r="D43" s="103">
        <f t="shared" ref="D43" si="79">+D37*6.8/17.3</f>
        <v>1591.907514450867</v>
      </c>
      <c r="E43" s="103">
        <f t="shared" ref="E43" si="80">+E37*6.8/17.3</f>
        <v>1591.907514450867</v>
      </c>
      <c r="F43" s="103">
        <f t="shared" ref="F43" si="81">+F37*6.8/17.3</f>
        <v>1591.907514450867</v>
      </c>
      <c r="G43" s="103">
        <f t="shared" ref="G43" si="82">+G37*6.8/17.3</f>
        <v>1591.907514450867</v>
      </c>
      <c r="H43" s="103">
        <f t="shared" ref="H43" si="83">+H37*6.8/17.3</f>
        <v>3242.7745664739882</v>
      </c>
      <c r="I43" s="103">
        <f t="shared" ref="I43" si="84">+I37*6.8/17.3</f>
        <v>1591.907514450867</v>
      </c>
      <c r="J43" s="103">
        <f t="shared" ref="J43" si="85">+J37*6.8/17.3</f>
        <v>7487.8612716763</v>
      </c>
      <c r="K43" s="103">
        <f t="shared" ref="K43" si="86">+K37*6.8/17.3</f>
        <v>1591.907514450867</v>
      </c>
      <c r="L43" s="103">
        <f t="shared" ref="L43" si="87">+L37*6.8/17.3</f>
        <v>1591.907514450867</v>
      </c>
      <c r="M43" s="103">
        <f t="shared" ref="M43" si="88">+M37*6.8/17.3</f>
        <v>1591.907514450867</v>
      </c>
      <c r="N43" s="104">
        <f t="shared" ref="N43:N50" si="89">SUM(B43:M43)</f>
        <v>26649.710982658959</v>
      </c>
    </row>
    <row r="44" spans="1:16" x14ac:dyDescent="0.35">
      <c r="A44" s="102" t="s">
        <v>119</v>
      </c>
      <c r="B44" s="103">
        <f>+B37*7.9/17.3</f>
        <v>1849.4219653179191</v>
      </c>
      <c r="C44" s="103">
        <f t="shared" ref="C44:M44" si="90">+C37*7.9/17.3</f>
        <v>1849.4219653179191</v>
      </c>
      <c r="D44" s="103">
        <f t="shared" si="90"/>
        <v>1849.4219653179191</v>
      </c>
      <c r="E44" s="103">
        <f t="shared" si="90"/>
        <v>1849.4219653179191</v>
      </c>
      <c r="F44" s="103">
        <f t="shared" si="90"/>
        <v>1849.4219653179191</v>
      </c>
      <c r="G44" s="103">
        <f t="shared" si="90"/>
        <v>1849.4219653179191</v>
      </c>
      <c r="H44" s="103">
        <f t="shared" si="90"/>
        <v>3767.3410404624274</v>
      </c>
      <c r="I44" s="103">
        <f t="shared" si="90"/>
        <v>1849.4219653179191</v>
      </c>
      <c r="J44" s="103">
        <f t="shared" si="90"/>
        <v>8699.1329479768774</v>
      </c>
      <c r="K44" s="103">
        <f t="shared" si="90"/>
        <v>1849.4219653179191</v>
      </c>
      <c r="L44" s="103">
        <f t="shared" si="90"/>
        <v>1849.4219653179191</v>
      </c>
      <c r="M44" s="103">
        <f t="shared" si="90"/>
        <v>1849.4219653179191</v>
      </c>
      <c r="N44" s="104">
        <f t="shared" si="89"/>
        <v>30960.693641618502</v>
      </c>
    </row>
    <row r="45" spans="1:16" x14ac:dyDescent="0.35">
      <c r="A45" s="102" t="s">
        <v>117</v>
      </c>
      <c r="B45" s="103">
        <f>+B37*2.6/17.3</f>
        <v>608.6705202312138</v>
      </c>
      <c r="C45" s="103">
        <f t="shared" ref="C45:M45" si="91">+C37*2.6/17.3</f>
        <v>608.6705202312138</v>
      </c>
      <c r="D45" s="103">
        <f t="shared" si="91"/>
        <v>608.6705202312138</v>
      </c>
      <c r="E45" s="103">
        <f t="shared" si="91"/>
        <v>608.6705202312138</v>
      </c>
      <c r="F45" s="103">
        <f t="shared" si="91"/>
        <v>608.6705202312138</v>
      </c>
      <c r="G45" s="103">
        <f t="shared" si="91"/>
        <v>608.6705202312138</v>
      </c>
      <c r="H45" s="103">
        <f t="shared" si="91"/>
        <v>1239.8843930635837</v>
      </c>
      <c r="I45" s="103">
        <f t="shared" si="91"/>
        <v>608.6705202312138</v>
      </c>
      <c r="J45" s="103">
        <f t="shared" si="91"/>
        <v>2863.0057803468208</v>
      </c>
      <c r="K45" s="103">
        <f t="shared" si="91"/>
        <v>608.6705202312138</v>
      </c>
      <c r="L45" s="103">
        <f t="shared" si="91"/>
        <v>608.6705202312138</v>
      </c>
      <c r="M45" s="103">
        <f t="shared" si="91"/>
        <v>608.6705202312138</v>
      </c>
      <c r="N45" s="104">
        <f t="shared" si="89"/>
        <v>10189.595375722542</v>
      </c>
    </row>
    <row r="46" spans="1:16" x14ac:dyDescent="0.35">
      <c r="A46" s="110" t="s">
        <v>137</v>
      </c>
      <c r="B46" s="111"/>
      <c r="C46" s="111">
        <f>+B46</f>
        <v>0</v>
      </c>
      <c r="D46" s="111">
        <f t="shared" ref="D46:M46" si="92">+C46</f>
        <v>0</v>
      </c>
      <c r="E46" s="111">
        <v>0</v>
      </c>
      <c r="F46" s="111">
        <f t="shared" si="92"/>
        <v>0</v>
      </c>
      <c r="G46" s="111">
        <f t="shared" si="92"/>
        <v>0</v>
      </c>
      <c r="H46" s="111">
        <f t="shared" si="92"/>
        <v>0</v>
      </c>
      <c r="I46" s="111">
        <f t="shared" si="92"/>
        <v>0</v>
      </c>
      <c r="J46" s="111">
        <f t="shared" si="92"/>
        <v>0</v>
      </c>
      <c r="K46" s="111">
        <f t="shared" si="92"/>
        <v>0</v>
      </c>
      <c r="L46" s="111">
        <f t="shared" si="92"/>
        <v>0</v>
      </c>
      <c r="M46" s="111">
        <f t="shared" si="92"/>
        <v>0</v>
      </c>
      <c r="N46" s="96">
        <f t="shared" si="89"/>
        <v>0</v>
      </c>
    </row>
    <row r="47" spans="1:16" x14ac:dyDescent="0.35">
      <c r="A47" s="112" t="s">
        <v>118</v>
      </c>
      <c r="B47" s="113">
        <f>+B46*6.8/17.3</f>
        <v>0</v>
      </c>
      <c r="C47" s="113">
        <f t="shared" ref="C47" si="93">+C46*6.8/17.3</f>
        <v>0</v>
      </c>
      <c r="D47" s="113">
        <f t="shared" ref="D47" si="94">+D46*6.8/17.3</f>
        <v>0</v>
      </c>
      <c r="E47" s="113">
        <f t="shared" ref="E47" si="95">+E46*6.8/17.3</f>
        <v>0</v>
      </c>
      <c r="F47" s="113">
        <f t="shared" ref="F47" si="96">+F46*6.8/17.3</f>
        <v>0</v>
      </c>
      <c r="G47" s="113">
        <f t="shared" ref="G47" si="97">+G46*6.8/17.3</f>
        <v>0</v>
      </c>
      <c r="H47" s="113">
        <f t="shared" ref="H47" si="98">+H46*6.8/17.3</f>
        <v>0</v>
      </c>
      <c r="I47" s="113">
        <f t="shared" ref="I47" si="99">+I46*6.8/17.3</f>
        <v>0</v>
      </c>
      <c r="J47" s="113">
        <f t="shared" ref="J47" si="100">+J46*6.8/17.3</f>
        <v>0</v>
      </c>
      <c r="K47" s="113">
        <f t="shared" ref="K47" si="101">+K46*6.8/17.3</f>
        <v>0</v>
      </c>
      <c r="L47" s="113">
        <f t="shared" ref="L47" si="102">+L46*6.8/17.3</f>
        <v>0</v>
      </c>
      <c r="M47" s="113">
        <f t="shared" ref="M47" si="103">+M46*6.8/17.3</f>
        <v>0</v>
      </c>
      <c r="N47" s="114">
        <f t="shared" si="89"/>
        <v>0</v>
      </c>
    </row>
    <row r="48" spans="1:16" x14ac:dyDescent="0.35">
      <c r="A48" s="112" t="s">
        <v>119</v>
      </c>
      <c r="B48" s="113">
        <f>+B46*7.9/17.3</f>
        <v>0</v>
      </c>
      <c r="C48" s="113">
        <f t="shared" ref="C48:M48" si="104">+C46*7.9/17.3</f>
        <v>0</v>
      </c>
      <c r="D48" s="113">
        <f t="shared" si="104"/>
        <v>0</v>
      </c>
      <c r="E48" s="113">
        <f t="shared" si="104"/>
        <v>0</v>
      </c>
      <c r="F48" s="113">
        <f t="shared" si="104"/>
        <v>0</v>
      </c>
      <c r="G48" s="113">
        <f t="shared" si="104"/>
        <v>0</v>
      </c>
      <c r="H48" s="113">
        <f t="shared" si="104"/>
        <v>0</v>
      </c>
      <c r="I48" s="113">
        <f t="shared" si="104"/>
        <v>0</v>
      </c>
      <c r="J48" s="113">
        <f t="shared" si="104"/>
        <v>0</v>
      </c>
      <c r="K48" s="113">
        <f t="shared" si="104"/>
        <v>0</v>
      </c>
      <c r="L48" s="113">
        <f t="shared" si="104"/>
        <v>0</v>
      </c>
      <c r="M48" s="113">
        <f t="shared" si="104"/>
        <v>0</v>
      </c>
      <c r="N48" s="114">
        <f t="shared" si="89"/>
        <v>0</v>
      </c>
    </row>
    <row r="49" spans="1:14" x14ac:dyDescent="0.35">
      <c r="A49" s="112" t="s">
        <v>117</v>
      </c>
      <c r="B49" s="113">
        <f>+B46*2.6/17.3</f>
        <v>0</v>
      </c>
      <c r="C49" s="113">
        <f t="shared" ref="C49:M49" si="105">+C46*2.6/17.3</f>
        <v>0</v>
      </c>
      <c r="D49" s="113">
        <f t="shared" si="105"/>
        <v>0</v>
      </c>
      <c r="E49" s="113">
        <f t="shared" si="105"/>
        <v>0</v>
      </c>
      <c r="F49" s="113">
        <f t="shared" si="105"/>
        <v>0</v>
      </c>
      <c r="G49" s="113">
        <f t="shared" si="105"/>
        <v>0</v>
      </c>
      <c r="H49" s="113">
        <f t="shared" si="105"/>
        <v>0</v>
      </c>
      <c r="I49" s="113">
        <f t="shared" si="105"/>
        <v>0</v>
      </c>
      <c r="J49" s="113">
        <f t="shared" si="105"/>
        <v>0</v>
      </c>
      <c r="K49" s="113">
        <f t="shared" si="105"/>
        <v>0</v>
      </c>
      <c r="L49" s="113">
        <f t="shared" si="105"/>
        <v>0</v>
      </c>
      <c r="M49" s="113">
        <f t="shared" si="105"/>
        <v>0</v>
      </c>
      <c r="N49" s="114">
        <f t="shared" si="89"/>
        <v>0</v>
      </c>
    </row>
    <row r="50" spans="1:14" x14ac:dyDescent="0.35">
      <c r="A50" s="97" t="s">
        <v>138</v>
      </c>
      <c r="B50" s="98">
        <f t="shared" ref="B50:M50" si="106">SUM(B51:B53)</f>
        <v>77340</v>
      </c>
      <c r="C50" s="98">
        <f t="shared" si="106"/>
        <v>77340</v>
      </c>
      <c r="D50" s="98">
        <f t="shared" si="106"/>
        <v>77340</v>
      </c>
      <c r="E50" s="98">
        <f t="shared" si="106"/>
        <v>77340</v>
      </c>
      <c r="F50" s="98">
        <f t="shared" si="106"/>
        <v>77340</v>
      </c>
      <c r="G50" s="98">
        <f t="shared" si="106"/>
        <v>77340</v>
      </c>
      <c r="H50" s="98">
        <f t="shared" si="106"/>
        <v>77340</v>
      </c>
      <c r="I50" s="98">
        <f t="shared" si="106"/>
        <v>77340</v>
      </c>
      <c r="J50" s="98">
        <f t="shared" si="106"/>
        <v>77340</v>
      </c>
      <c r="K50" s="98">
        <f t="shared" si="106"/>
        <v>77340</v>
      </c>
      <c r="L50" s="98">
        <f t="shared" si="106"/>
        <v>77340</v>
      </c>
      <c r="M50" s="98">
        <f t="shared" si="106"/>
        <v>77340</v>
      </c>
      <c r="N50" s="93">
        <f t="shared" si="89"/>
        <v>928080</v>
      </c>
    </row>
    <row r="51" spans="1:14" x14ac:dyDescent="0.35">
      <c r="A51" s="99" t="s">
        <v>139</v>
      </c>
      <c r="B51" s="100">
        <v>3000</v>
      </c>
      <c r="C51" s="100">
        <f>+B51</f>
        <v>3000</v>
      </c>
      <c r="D51" s="100">
        <f t="shared" ref="D51:M52" si="107">+C51</f>
        <v>3000</v>
      </c>
      <c r="E51" s="100">
        <f t="shared" si="107"/>
        <v>3000</v>
      </c>
      <c r="F51" s="100">
        <f t="shared" si="107"/>
        <v>3000</v>
      </c>
      <c r="G51" s="100">
        <f t="shared" si="107"/>
        <v>3000</v>
      </c>
      <c r="H51" s="100">
        <f t="shared" si="107"/>
        <v>3000</v>
      </c>
      <c r="I51" s="100">
        <f t="shared" si="107"/>
        <v>3000</v>
      </c>
      <c r="J51" s="100">
        <f t="shared" si="107"/>
        <v>3000</v>
      </c>
      <c r="K51" s="100">
        <f t="shared" si="107"/>
        <v>3000</v>
      </c>
      <c r="L51" s="100">
        <f t="shared" si="107"/>
        <v>3000</v>
      </c>
      <c r="M51" s="100">
        <f t="shared" si="107"/>
        <v>3000</v>
      </c>
      <c r="N51" s="101">
        <f t="shared" ref="N51:N53" si="108">SUM(B51:M51)</f>
        <v>36000</v>
      </c>
    </row>
    <row r="52" spans="1:14" x14ac:dyDescent="0.35">
      <c r="A52" s="99" t="s">
        <v>140</v>
      </c>
      <c r="B52" s="100">
        <v>63000</v>
      </c>
      <c r="C52" s="100">
        <f>+B52</f>
        <v>63000</v>
      </c>
      <c r="D52" s="100">
        <f t="shared" si="107"/>
        <v>63000</v>
      </c>
      <c r="E52" s="100">
        <f t="shared" si="107"/>
        <v>63000</v>
      </c>
      <c r="F52" s="100">
        <f t="shared" si="107"/>
        <v>63000</v>
      </c>
      <c r="G52" s="100">
        <f t="shared" si="107"/>
        <v>63000</v>
      </c>
      <c r="H52" s="100">
        <f t="shared" si="107"/>
        <v>63000</v>
      </c>
      <c r="I52" s="100">
        <f t="shared" si="107"/>
        <v>63000</v>
      </c>
      <c r="J52" s="100">
        <f t="shared" si="107"/>
        <v>63000</v>
      </c>
      <c r="K52" s="100">
        <f t="shared" si="107"/>
        <v>63000</v>
      </c>
      <c r="L52" s="100">
        <f t="shared" si="107"/>
        <v>63000</v>
      </c>
      <c r="M52" s="100">
        <f t="shared" si="107"/>
        <v>63000</v>
      </c>
      <c r="N52" s="101">
        <f t="shared" si="108"/>
        <v>756000</v>
      </c>
    </row>
    <row r="53" spans="1:14" x14ac:dyDescent="0.35">
      <c r="A53" s="99" t="s">
        <v>113</v>
      </c>
      <c r="B53" s="100">
        <f>+B52*18%</f>
        <v>11340</v>
      </c>
      <c r="C53" s="100">
        <f t="shared" ref="C53:M53" si="109">+C52*18%</f>
        <v>11340</v>
      </c>
      <c r="D53" s="100">
        <f t="shared" si="109"/>
        <v>11340</v>
      </c>
      <c r="E53" s="100">
        <f t="shared" si="109"/>
        <v>11340</v>
      </c>
      <c r="F53" s="100">
        <f t="shared" si="109"/>
        <v>11340</v>
      </c>
      <c r="G53" s="100">
        <f t="shared" si="109"/>
        <v>11340</v>
      </c>
      <c r="H53" s="100">
        <f t="shared" si="109"/>
        <v>11340</v>
      </c>
      <c r="I53" s="100">
        <f t="shared" si="109"/>
        <v>11340</v>
      </c>
      <c r="J53" s="100">
        <f t="shared" si="109"/>
        <v>11340</v>
      </c>
      <c r="K53" s="100">
        <f t="shared" si="109"/>
        <v>11340</v>
      </c>
      <c r="L53" s="100">
        <f t="shared" si="109"/>
        <v>11340</v>
      </c>
      <c r="M53" s="100">
        <f t="shared" si="109"/>
        <v>11340</v>
      </c>
      <c r="N53" s="101">
        <f t="shared" si="108"/>
        <v>136080</v>
      </c>
    </row>
    <row r="54" spans="1:14" x14ac:dyDescent="0.35">
      <c r="A54" s="99" t="s">
        <v>118</v>
      </c>
      <c r="B54" s="100">
        <f t="shared" ref="B54:M54" si="110">+B50*6.8/17.3</f>
        <v>30399.537572254336</v>
      </c>
      <c r="C54" s="100">
        <f t="shared" si="110"/>
        <v>30399.537572254336</v>
      </c>
      <c r="D54" s="100">
        <f t="shared" si="110"/>
        <v>30399.537572254336</v>
      </c>
      <c r="E54" s="100">
        <f t="shared" si="110"/>
        <v>30399.537572254336</v>
      </c>
      <c r="F54" s="100">
        <f t="shared" si="110"/>
        <v>30399.537572254336</v>
      </c>
      <c r="G54" s="100">
        <f t="shared" si="110"/>
        <v>30399.537572254336</v>
      </c>
      <c r="H54" s="100">
        <f t="shared" si="110"/>
        <v>30399.537572254336</v>
      </c>
      <c r="I54" s="100">
        <f t="shared" si="110"/>
        <v>30399.537572254336</v>
      </c>
      <c r="J54" s="100">
        <f t="shared" si="110"/>
        <v>30399.537572254336</v>
      </c>
      <c r="K54" s="100">
        <f t="shared" si="110"/>
        <v>30399.537572254336</v>
      </c>
      <c r="L54" s="100">
        <f t="shared" si="110"/>
        <v>30399.537572254336</v>
      </c>
      <c r="M54" s="100">
        <f t="shared" si="110"/>
        <v>30399.537572254336</v>
      </c>
      <c r="N54" s="101">
        <f>SUM(B54:M54)</f>
        <v>364794.45086705196</v>
      </c>
    </row>
    <row r="55" spans="1:14" x14ac:dyDescent="0.35">
      <c r="A55" s="99" t="s">
        <v>119</v>
      </c>
      <c r="B55" s="100">
        <f t="shared" ref="B55:M55" si="111">+B50*7.9/17.3</f>
        <v>35317.109826589593</v>
      </c>
      <c r="C55" s="100">
        <f t="shared" si="111"/>
        <v>35317.109826589593</v>
      </c>
      <c r="D55" s="100">
        <f t="shared" si="111"/>
        <v>35317.109826589593</v>
      </c>
      <c r="E55" s="100">
        <f t="shared" si="111"/>
        <v>35317.109826589593</v>
      </c>
      <c r="F55" s="100">
        <f t="shared" si="111"/>
        <v>35317.109826589593</v>
      </c>
      <c r="G55" s="100">
        <f t="shared" si="111"/>
        <v>35317.109826589593</v>
      </c>
      <c r="H55" s="100">
        <f t="shared" si="111"/>
        <v>35317.109826589593</v>
      </c>
      <c r="I55" s="100">
        <f t="shared" si="111"/>
        <v>35317.109826589593</v>
      </c>
      <c r="J55" s="100">
        <f t="shared" si="111"/>
        <v>35317.109826589593</v>
      </c>
      <c r="K55" s="100">
        <f t="shared" si="111"/>
        <v>35317.109826589593</v>
      </c>
      <c r="L55" s="100">
        <f t="shared" si="111"/>
        <v>35317.109826589593</v>
      </c>
      <c r="M55" s="100">
        <f t="shared" si="111"/>
        <v>35317.109826589593</v>
      </c>
      <c r="N55" s="101">
        <f>SUM(B55:M55)</f>
        <v>423805.31791907508</v>
      </c>
    </row>
    <row r="56" spans="1:14" x14ac:dyDescent="0.35">
      <c r="A56" s="99" t="s">
        <v>117</v>
      </c>
      <c r="B56" s="100">
        <f t="shared" ref="B56:M56" si="112">+B50*2.6/17.3</f>
        <v>11623.35260115607</v>
      </c>
      <c r="C56" s="100">
        <f t="shared" si="112"/>
        <v>11623.35260115607</v>
      </c>
      <c r="D56" s="100">
        <f t="shared" si="112"/>
        <v>11623.35260115607</v>
      </c>
      <c r="E56" s="100">
        <f t="shared" si="112"/>
        <v>11623.35260115607</v>
      </c>
      <c r="F56" s="100">
        <f t="shared" si="112"/>
        <v>11623.35260115607</v>
      </c>
      <c r="G56" s="100">
        <f t="shared" si="112"/>
        <v>11623.35260115607</v>
      </c>
      <c r="H56" s="100">
        <f t="shared" si="112"/>
        <v>11623.35260115607</v>
      </c>
      <c r="I56" s="100">
        <f t="shared" si="112"/>
        <v>11623.35260115607</v>
      </c>
      <c r="J56" s="100">
        <f t="shared" si="112"/>
        <v>11623.35260115607</v>
      </c>
      <c r="K56" s="100">
        <f t="shared" si="112"/>
        <v>11623.35260115607</v>
      </c>
      <c r="L56" s="100">
        <f t="shared" si="112"/>
        <v>11623.35260115607</v>
      </c>
      <c r="M56" s="100">
        <f t="shared" si="112"/>
        <v>11623.35260115607</v>
      </c>
      <c r="N56" s="101">
        <f>SUM(B56:M56)</f>
        <v>139480.23121387287</v>
      </c>
    </row>
    <row r="57" spans="1:14" x14ac:dyDescent="0.35">
      <c r="A57" s="115" t="s">
        <v>141</v>
      </c>
      <c r="B57" s="116">
        <f>+B50+B46+B37+B30+B22+B17+B10-B4</f>
        <v>0</v>
      </c>
      <c r="C57" s="116">
        <f t="shared" ref="C57:N57" si="113">+C50+C46+C37+C30+C22+C17+C10-C4</f>
        <v>0</v>
      </c>
      <c r="D57" s="116">
        <f t="shared" si="113"/>
        <v>0</v>
      </c>
      <c r="E57" s="116">
        <f t="shared" si="113"/>
        <v>0</v>
      </c>
      <c r="F57" s="116">
        <f t="shared" si="113"/>
        <v>0</v>
      </c>
      <c r="G57" s="116">
        <f t="shared" si="113"/>
        <v>0</v>
      </c>
      <c r="H57" s="116">
        <f t="shared" si="113"/>
        <v>0</v>
      </c>
      <c r="I57" s="116">
        <f t="shared" si="113"/>
        <v>0</v>
      </c>
      <c r="J57" s="116">
        <f t="shared" si="113"/>
        <v>0</v>
      </c>
      <c r="K57" s="116">
        <f t="shared" si="113"/>
        <v>0</v>
      </c>
      <c r="L57" s="116">
        <f t="shared" si="113"/>
        <v>0</v>
      </c>
      <c r="M57" s="116">
        <f t="shared" si="113"/>
        <v>0</v>
      </c>
      <c r="N57" s="116">
        <f t="shared" si="113"/>
        <v>0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P11"/>
  <sheetViews>
    <sheetView zoomScale="140" zoomScaleNormal="140" workbookViewId="0">
      <selection activeCell="A13" sqref="A13"/>
    </sheetView>
  </sheetViews>
  <sheetFormatPr baseColWidth="10" defaultColWidth="11.46484375" defaultRowHeight="11.65" x14ac:dyDescent="0.35"/>
  <cols>
    <col min="1" max="1" width="30" style="32" customWidth="1"/>
    <col min="2" max="13" width="8.73046875" style="32" bestFit="1" customWidth="1"/>
    <col min="14" max="14" width="10" style="32" bestFit="1" customWidth="1"/>
    <col min="15" max="15" width="7.53125" style="152" bestFit="1" customWidth="1"/>
    <col min="16" max="16" width="8" style="152" bestFit="1" customWidth="1"/>
    <col min="17" max="16384" width="11.46484375" style="32"/>
  </cols>
  <sheetData>
    <row r="1" spans="1:16" ht="35.25" thickBot="1" x14ac:dyDescent="0.4">
      <c r="A1" s="68" t="s">
        <v>321</v>
      </c>
    </row>
    <row r="3" spans="1:16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  <c r="O3" s="153" t="s">
        <v>217</v>
      </c>
      <c r="P3" s="153" t="s">
        <v>79</v>
      </c>
    </row>
    <row r="4" spans="1:16" s="57" customFormat="1" x14ac:dyDescent="0.35">
      <c r="A4" s="71" t="s">
        <v>215</v>
      </c>
      <c r="B4" s="76">
        <f>SUM(B5:B7)</f>
        <v>650319.098</v>
      </c>
      <c r="C4" s="76">
        <f t="shared" ref="C4:M4" si="1">SUM(C5:C7)</f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72380</v>
      </c>
      <c r="L4" s="76">
        <f t="shared" si="1"/>
        <v>0</v>
      </c>
      <c r="M4" s="76">
        <f t="shared" si="1"/>
        <v>0</v>
      </c>
      <c r="N4" s="76">
        <f t="shared" ref="N4:N11" si="2">SUM(B4:M4)</f>
        <v>722699.098</v>
      </c>
      <c r="O4" s="154">
        <f>+'Budget Constructions'!N4+'Budget Electrification'!N4+'Budget Serres'!N4+'Budget Irrigation'!N4+'Budget Plastique'!N4+'Budget Fibre de coco'!N4+'Budget Filet'!N4+'Budget Mel agricole'!N4+'Budget MMB'!N4</f>
        <v>722699.098</v>
      </c>
      <c r="P4" s="154">
        <f>+O4-N4</f>
        <v>0</v>
      </c>
    </row>
    <row r="5" spans="1:16" s="57" customFormat="1" x14ac:dyDescent="0.35">
      <c r="A5" s="71" t="s">
        <v>293</v>
      </c>
      <c r="B5" s="76">
        <f>+'Budget Constructions'!B5+'Budget Electrification'!B5+'Budget Serres'!B5+'Budget Irrigation'!B5+'Budget Plastique'!B5+'Budget Fibre de coco'!B5+'Budget Filet'!B5+'Budget Mel agricole'!B5+'Budget MMB'!B5</f>
        <v>419676.4</v>
      </c>
      <c r="C5" s="76">
        <f>+'Budget Constructions'!C5+'Budget Electrification'!C5+'Budget Serres'!C5+'Budget Irrigation'!C5+'Budget Plastique'!C5+'Budget Fibre de coco'!C5+'Budget Filet'!C5+'Budget Mel agricole'!C5+'Budget MMB'!C5</f>
        <v>0</v>
      </c>
      <c r="D5" s="76">
        <f>+'Budget Constructions'!D5+'Budget Electrification'!D5+'Budget Serres'!D5+'Budget Irrigation'!D5+'Budget Plastique'!D5+'Budget Fibre de coco'!D5+'Budget Filet'!D5+'Budget Mel agricole'!D5+'Budget MMB'!D5</f>
        <v>0</v>
      </c>
      <c r="E5" s="76">
        <f>+'Budget Constructions'!E5+'Budget Electrification'!E5+'Budget Serres'!E5+'Budget Irrigation'!E5+'Budget Plastique'!E5+'Budget Fibre de coco'!E5+'Budget Filet'!E5+'Budget Mel agricole'!E5+'Budget MMB'!E5</f>
        <v>0</v>
      </c>
      <c r="F5" s="76">
        <f>+'Budget Constructions'!F5+'Budget Electrification'!F5+'Budget Serres'!F5+'Budget Irrigation'!F5+'Budget Plastique'!F5+'Budget Fibre de coco'!F5+'Budget Filet'!F5+'Budget Mel agricole'!F5+'Budget MMB'!F5</f>
        <v>0</v>
      </c>
      <c r="G5" s="76">
        <f>+'Budget Constructions'!G5+'Budget Electrification'!G5+'Budget Serres'!G5+'Budget Irrigation'!G5+'Budget Plastique'!G5+'Budget Fibre de coco'!G5+'Budget Filet'!G5+'Budget Mel agricole'!G5+'Budget MMB'!G5</f>
        <v>0</v>
      </c>
      <c r="H5" s="76">
        <f>+'Budget Constructions'!H5+'Budget Electrification'!H5+'Budget Serres'!H5+'Budget Irrigation'!H5+'Budget Plastique'!H5+'Budget Fibre de coco'!H5+'Budget Filet'!H5+'Budget Mel agricole'!H5+'Budget MMB'!H5</f>
        <v>0</v>
      </c>
      <c r="I5" s="76">
        <f>+'Budget Constructions'!I5+'Budget Electrification'!I5+'Budget Serres'!I5+'Budget Irrigation'!I5+'Budget Plastique'!I5+'Budget Fibre de coco'!I5+'Budget Filet'!I5+'Budget Mel agricole'!I5+'Budget MMB'!I5</f>
        <v>0</v>
      </c>
      <c r="J5" s="76">
        <f>+'Budget Constructions'!J5+'Budget Electrification'!J5+'Budget Serres'!J5+'Budget Irrigation'!J5+'Budget Plastique'!J5+'Budget Fibre de coco'!J5+'Budget Filet'!J5+'Budget Mel agricole'!J5+'Budget MMB'!J5</f>
        <v>0</v>
      </c>
      <c r="K5" s="76">
        <f>+'Budget Constructions'!K5+'Budget Electrification'!K5+'Budget Serres'!K5+'Budget Irrigation'!K5+'Budget Plastique'!K5+'Budget Fibre de coco'!K5+'Budget Filet'!K5+'Budget Mel agricole'!K5+'Budget MMB'!K5</f>
        <v>72380</v>
      </c>
      <c r="L5" s="76">
        <f>+'Budget Constructions'!L5+'Budget Electrification'!L5+'Budget Serres'!L5+'Budget Irrigation'!L5+'Budget Plastique'!L5+'Budget Fibre de coco'!L5+'Budget Filet'!L5+'Budget Mel agricole'!L5+'Budget MMB'!L5</f>
        <v>0</v>
      </c>
      <c r="M5" s="76">
        <f>+'Budget Constructions'!M5+'Budget Electrification'!M5+'Budget Serres'!M5+'Budget Irrigation'!M5+'Budget Plastique'!M5+'Budget Fibre de coco'!M5+'Budget Filet'!M5+'Budget Mel agricole'!M5+'Budget MMB'!M5</f>
        <v>0</v>
      </c>
      <c r="N5" s="76">
        <f t="shared" si="2"/>
        <v>492056.4</v>
      </c>
      <c r="O5" s="154">
        <f>+'Budget Constructions'!N5+'Budget Electrification'!N5+'Budget Serres'!N5+'Budget Irrigation'!N5+'Budget Plastique'!N5+'Budget Fibre de coco'!N5+'Budget Filet'!N5+'Budget Mel agricole'!N5+'Budget MMB'!N5</f>
        <v>492056.4</v>
      </c>
      <c r="P5" s="154">
        <f t="shared" ref="P5:P11" si="3">+O5-N5</f>
        <v>0</v>
      </c>
    </row>
    <row r="6" spans="1:16" s="57" customFormat="1" x14ac:dyDescent="0.35">
      <c r="A6" s="71" t="s">
        <v>292</v>
      </c>
      <c r="B6" s="76">
        <f>+'Budget Constructions'!B14+'Budget Electrification'!B8+'Budget Serres'!B8+'Budget Irrigation'!B18+'Budget Plastique'!B11+'Budget Fibre de coco'!B11+'Budget Filet'!B11+'Budget Mel agricole'!B8+'Budget MMB'!B8</f>
        <v>0</v>
      </c>
      <c r="C6" s="76">
        <f>+'Budget Constructions'!C14+'Budget Electrification'!C8+'Budget Serres'!C8+'Budget Irrigation'!C18+'Budget Plastique'!C11+'Budget Fibre de coco'!C11+'Budget Filet'!C11+'Budget Mel agricole'!C8+'Budget MMB'!C8</f>
        <v>0</v>
      </c>
      <c r="D6" s="76">
        <f>+'Budget Constructions'!D14+'Budget Electrification'!D8+'Budget Serres'!D8+'Budget Irrigation'!D18+'Budget Plastique'!D11+'Budget Fibre de coco'!D11+'Budget Filet'!D11+'Budget Mel agricole'!D8+'Budget MMB'!D8</f>
        <v>0</v>
      </c>
      <c r="E6" s="76">
        <f>+'Budget Constructions'!E14+'Budget Electrification'!E8+'Budget Serres'!E8+'Budget Irrigation'!E18+'Budget Plastique'!E11+'Budget Fibre de coco'!E11+'Budget Filet'!E11+'Budget Mel agricole'!E8+'Budget MMB'!E8</f>
        <v>0</v>
      </c>
      <c r="F6" s="76">
        <f>+'Budget Constructions'!F14+'Budget Electrification'!F8+'Budget Serres'!F8+'Budget Irrigation'!F18+'Budget Plastique'!F11+'Budget Fibre de coco'!F11+'Budget Filet'!F11+'Budget Mel agricole'!F8+'Budget MMB'!F8</f>
        <v>0</v>
      </c>
      <c r="G6" s="76">
        <f>+'Budget Constructions'!G14+'Budget Electrification'!G8+'Budget Serres'!G8+'Budget Irrigation'!G18+'Budget Plastique'!G11+'Budget Fibre de coco'!G11+'Budget Filet'!G11+'Budget Mel agricole'!G8+'Budget MMB'!G8</f>
        <v>0</v>
      </c>
      <c r="H6" s="76">
        <f>+'Budget Constructions'!H14+'Budget Electrification'!H8+'Budget Serres'!H8+'Budget Irrigation'!H18+'Budget Plastique'!H11+'Budget Fibre de coco'!H11+'Budget Filet'!H11+'Budget Mel agricole'!H8+'Budget MMB'!H8</f>
        <v>0</v>
      </c>
      <c r="I6" s="76">
        <f>+'Budget Constructions'!I14+'Budget Electrification'!I8+'Budget Serres'!I8+'Budget Irrigation'!I18+'Budget Plastique'!I11+'Budget Fibre de coco'!I11+'Budget Filet'!I11+'Budget Mel agricole'!I8+'Budget MMB'!I8</f>
        <v>0</v>
      </c>
      <c r="J6" s="76">
        <f>+'Budget Constructions'!J14+'Budget Electrification'!J8+'Budget Serres'!J8+'Budget Irrigation'!J18+'Budget Plastique'!J11+'Budget Fibre de coco'!J11+'Budget Filet'!J11+'Budget Mel agricole'!J8+'Budget MMB'!J8</f>
        <v>0</v>
      </c>
      <c r="K6" s="76">
        <f>+'Budget Constructions'!K14+'Budget Electrification'!K8+'Budget Serres'!K8+'Budget Irrigation'!K18+'Budget Plastique'!K11+'Budget Fibre de coco'!K11+'Budget Filet'!K11+'Budget Mel agricole'!K8+'Budget MMB'!K8</f>
        <v>0</v>
      </c>
      <c r="L6" s="76">
        <f>+'Budget Constructions'!L14+'Budget Electrification'!L8+'Budget Serres'!L8+'Budget Irrigation'!L18+'Budget Plastique'!L11+'Budget Fibre de coco'!L11+'Budget Filet'!L11+'Budget Mel agricole'!L8+'Budget MMB'!L8</f>
        <v>0</v>
      </c>
      <c r="M6" s="76">
        <f>+'Budget Constructions'!M14+'Budget Electrification'!M8+'Budget Serres'!M8+'Budget Irrigation'!M18+'Budget Plastique'!M11+'Budget Fibre de coco'!M11+'Budget Filet'!M11+'Budget Mel agricole'!M8+'Budget MMB'!M8</f>
        <v>0</v>
      </c>
      <c r="N6" s="76">
        <f t="shared" si="2"/>
        <v>0</v>
      </c>
      <c r="O6" s="154">
        <f>+'Budget Constructions'!N14+'Budget Electrification'!N8+'Budget Serres'!N8+'Budget Irrigation'!N18+'Budget Plastique'!N11+'Budget Fibre de coco'!N11+'Budget Filet'!N11+'Budget Mel agricole'!N8+'Budget MMB'!N8</f>
        <v>0</v>
      </c>
      <c r="P6" s="154">
        <f t="shared" si="3"/>
        <v>0</v>
      </c>
    </row>
    <row r="7" spans="1:16" s="57" customFormat="1" x14ac:dyDescent="0.35">
      <c r="A7" s="71" t="s">
        <v>294</v>
      </c>
      <c r="B7" s="76">
        <f>+'Budget Constructions'!B23+'Budget Electrification'!B11+'Budget Serres'!B11+'Budget Irrigation'!B31+'Budget Plastique'!B17+'Budget Fibre de coco'!B17+'Budget Filet'!B17+'Budget Mel agricole'!B11+'Budget MMB'!B11</f>
        <v>230642.69800000003</v>
      </c>
      <c r="C7" s="76">
        <f>+'Budget Constructions'!C23+'Budget Electrification'!C11+'Budget Serres'!C11+'Budget Irrigation'!C31+'Budget Plastique'!C17+'Budget Fibre de coco'!C17+'Budget Filet'!C17+'Budget Mel agricole'!C11+'Budget MMB'!C11</f>
        <v>0</v>
      </c>
      <c r="D7" s="76">
        <f>+'Budget Constructions'!D23+'Budget Electrification'!D11+'Budget Serres'!D11+'Budget Irrigation'!D31+'Budget Plastique'!D17+'Budget Fibre de coco'!D17+'Budget Filet'!D17+'Budget Mel agricole'!D11+'Budget MMB'!D11</f>
        <v>0</v>
      </c>
      <c r="E7" s="76">
        <f>+'Budget Constructions'!E23+'Budget Electrification'!E11+'Budget Serres'!E11+'Budget Irrigation'!E31+'Budget Plastique'!E17+'Budget Fibre de coco'!E17+'Budget Filet'!E17+'Budget Mel agricole'!E11+'Budget MMB'!E11</f>
        <v>0</v>
      </c>
      <c r="F7" s="76">
        <f>+'Budget Constructions'!F23+'Budget Electrification'!F11+'Budget Serres'!F11+'Budget Irrigation'!F31+'Budget Plastique'!F17+'Budget Fibre de coco'!F17+'Budget Filet'!F17+'Budget Mel agricole'!F11+'Budget MMB'!F11</f>
        <v>0</v>
      </c>
      <c r="G7" s="76">
        <f>+'Budget Constructions'!G23+'Budget Electrification'!G11+'Budget Serres'!G11+'Budget Irrigation'!G31+'Budget Plastique'!G17+'Budget Fibre de coco'!G17+'Budget Filet'!G17+'Budget Mel agricole'!G11+'Budget MMB'!G11</f>
        <v>0</v>
      </c>
      <c r="H7" s="76">
        <f>+'Budget Constructions'!H23+'Budget Electrification'!H11+'Budget Serres'!H11+'Budget Irrigation'!H31+'Budget Plastique'!H17+'Budget Fibre de coco'!H17+'Budget Filet'!H17+'Budget Mel agricole'!H11+'Budget MMB'!H11</f>
        <v>0</v>
      </c>
      <c r="I7" s="76">
        <f>+'Budget Constructions'!I23+'Budget Electrification'!I11+'Budget Serres'!I11+'Budget Irrigation'!I31+'Budget Plastique'!I17+'Budget Fibre de coco'!I17+'Budget Filet'!I17+'Budget Mel agricole'!I11+'Budget MMB'!I11</f>
        <v>0</v>
      </c>
      <c r="J7" s="76">
        <f>+'Budget Constructions'!J23+'Budget Electrification'!J11+'Budget Serres'!J11+'Budget Irrigation'!J31+'Budget Plastique'!J17+'Budget Fibre de coco'!J17+'Budget Filet'!J17+'Budget Mel agricole'!J11+'Budget MMB'!J11</f>
        <v>0</v>
      </c>
      <c r="K7" s="76">
        <f>+'Budget Constructions'!K23+'Budget Electrification'!K11+'Budget Serres'!K11+'Budget Irrigation'!K31+'Budget Plastique'!K17+'Budget Fibre de coco'!K17+'Budget Filet'!K17+'Budget Mel agricole'!K11+'Budget MMB'!K11</f>
        <v>0</v>
      </c>
      <c r="L7" s="76">
        <f>+'Budget Constructions'!L23+'Budget Electrification'!L11+'Budget Serres'!L11+'Budget Irrigation'!L31+'Budget Plastique'!L17+'Budget Fibre de coco'!L17+'Budget Filet'!L17+'Budget Mel agricole'!L11+'Budget MMB'!L11</f>
        <v>0</v>
      </c>
      <c r="M7" s="76">
        <f>+'Budget Constructions'!M23+'Budget Electrification'!M11+'Budget Serres'!M11+'Budget Irrigation'!M31+'Budget Plastique'!M17+'Budget Fibre de coco'!M17+'Budget Filet'!M17+'Budget Mel agricole'!M11+'Budget MMB'!M11</f>
        <v>0</v>
      </c>
      <c r="N7" s="76">
        <f t="shared" si="2"/>
        <v>230642.69800000003</v>
      </c>
      <c r="O7" s="154">
        <f>+'Budget Constructions'!N23+'Budget Electrification'!N11+'Budget Serres'!N11+'Budget Irrigation'!N31+'Budget Plastique'!N17+'Budget Fibre de coco'!N17+'Budget Filet'!N17+'Budget Mel agricole'!N11+'Budget MMB'!N11</f>
        <v>230642.69800000003</v>
      </c>
      <c r="P7" s="154">
        <f t="shared" si="3"/>
        <v>0</v>
      </c>
    </row>
    <row r="8" spans="1:16" s="57" customFormat="1" x14ac:dyDescent="0.35">
      <c r="A8" s="151" t="s">
        <v>216</v>
      </c>
      <c r="B8" s="79">
        <f>SUM(B9:B11)</f>
        <v>237368.28343239523</v>
      </c>
      <c r="C8" s="79">
        <f t="shared" ref="C8" si="4">SUM(C9:C11)</f>
        <v>237368.28343239523</v>
      </c>
      <c r="D8" s="79">
        <f t="shared" ref="D8" si="5">SUM(D9:D11)</f>
        <v>237368.28343239523</v>
      </c>
      <c r="E8" s="79">
        <f t="shared" ref="E8" si="6">SUM(E9:E11)</f>
        <v>237368.28343239523</v>
      </c>
      <c r="F8" s="79">
        <f t="shared" ref="F8" si="7">SUM(F9:F11)</f>
        <v>237368.28343239523</v>
      </c>
      <c r="G8" s="79">
        <f t="shared" ref="G8" si="8">SUM(G9:G11)</f>
        <v>237368.28343239523</v>
      </c>
      <c r="H8" s="79">
        <f t="shared" ref="H8" si="9">SUM(H9:H11)</f>
        <v>237368.28343239523</v>
      </c>
      <c r="I8" s="79">
        <f t="shared" ref="I8" si="10">SUM(I9:I11)</f>
        <v>237368.28343239523</v>
      </c>
      <c r="J8" s="79">
        <f t="shared" ref="J8" si="11">SUM(J9:J11)</f>
        <v>237368.28343239523</v>
      </c>
      <c r="K8" s="79">
        <f t="shared" ref="K8" si="12">SUM(K9:K11)</f>
        <v>240384.11676572857</v>
      </c>
      <c r="L8" s="79">
        <f t="shared" ref="L8" si="13">SUM(L9:L11)</f>
        <v>240384.11676572857</v>
      </c>
      <c r="M8" s="79">
        <f t="shared" ref="M8" si="14">SUM(M9:M11)</f>
        <v>240384.11676572857</v>
      </c>
      <c r="N8" s="78">
        <f t="shared" si="2"/>
        <v>2857466.9011887433</v>
      </c>
      <c r="O8" s="154">
        <f>+'Budget Constructions'!N32+'Budget Electrification'!N14+'Budget Serres'!N14+'Budget Irrigation'!N45+'Budget Plastique'!N23+'Budget Fibre de coco'!N23+'Budget Filet'!N23+'Budget Mel agricole'!N14+'Budget MMB'!N14</f>
        <v>2857466.9011887428</v>
      </c>
      <c r="P8" s="154">
        <f t="shared" si="3"/>
        <v>0</v>
      </c>
    </row>
    <row r="9" spans="1:16" s="57" customFormat="1" x14ac:dyDescent="0.35">
      <c r="A9" s="151" t="s">
        <v>293</v>
      </c>
      <c r="B9" s="79">
        <f>+'Budget Constructions'!B33+'Budget Electrification'!B15+'Budget Serres'!B15+'Budget Irrigation'!B46+'Budget Plastique'!B24+'Budget Fibre de coco'!B24+'Budget Filet'!B24+'Budget Mel agricole'!B15+'Budget MMB'!B15</f>
        <v>83063.877338532751</v>
      </c>
      <c r="C9" s="79">
        <f>+'Budget Constructions'!C33+'Budget Electrification'!C15+'Budget Serres'!C15+'Budget Irrigation'!C46+'Budget Plastique'!C24+'Budget Fibre de coco'!C24+'Budget Filet'!C24+'Budget Mel agricole'!C15+'Budget MMB'!C15</f>
        <v>83063.877338532751</v>
      </c>
      <c r="D9" s="79">
        <f>+'Budget Constructions'!D33+'Budget Electrification'!D15+'Budget Serres'!D15+'Budget Irrigation'!D46+'Budget Plastique'!D24+'Budget Fibre de coco'!D24+'Budget Filet'!D24+'Budget Mel agricole'!D15+'Budget MMB'!D15</f>
        <v>83063.877338532751</v>
      </c>
      <c r="E9" s="79">
        <f>+'Budget Constructions'!E33+'Budget Electrification'!E15+'Budget Serres'!E15+'Budget Irrigation'!E46+'Budget Plastique'!E24+'Budget Fibre de coco'!E24+'Budget Filet'!E24+'Budget Mel agricole'!E15+'Budget MMB'!E15</f>
        <v>83063.877338532751</v>
      </c>
      <c r="F9" s="79">
        <f>+'Budget Constructions'!F33+'Budget Electrification'!F15+'Budget Serres'!F15+'Budget Irrigation'!F46+'Budget Plastique'!F24+'Budget Fibre de coco'!F24+'Budget Filet'!F24+'Budget Mel agricole'!F15+'Budget MMB'!F15</f>
        <v>83063.877338532751</v>
      </c>
      <c r="G9" s="79">
        <f>+'Budget Constructions'!G33+'Budget Electrification'!G15+'Budget Serres'!G15+'Budget Irrigation'!G46+'Budget Plastique'!G24+'Budget Fibre de coco'!G24+'Budget Filet'!G24+'Budget Mel agricole'!G15+'Budget MMB'!G15</f>
        <v>83063.877338532751</v>
      </c>
      <c r="H9" s="79">
        <f>+'Budget Constructions'!H33+'Budget Electrification'!H15+'Budget Serres'!H15+'Budget Irrigation'!H46+'Budget Plastique'!H24+'Budget Fibre de coco'!H24+'Budget Filet'!H24+'Budget Mel agricole'!H15+'Budget MMB'!H15</f>
        <v>83063.877338532751</v>
      </c>
      <c r="I9" s="79">
        <f>+'Budget Constructions'!I33+'Budget Electrification'!I15+'Budget Serres'!I15+'Budget Irrigation'!I46+'Budget Plastique'!I24+'Budget Fibre de coco'!I24+'Budget Filet'!I24+'Budget Mel agricole'!I15+'Budget MMB'!I15</f>
        <v>83063.877338532751</v>
      </c>
      <c r="J9" s="79">
        <f>+'Budget Constructions'!J33+'Budget Electrification'!J15+'Budget Serres'!J15+'Budget Irrigation'!J46+'Budget Plastique'!J24+'Budget Fibre de coco'!J24+'Budget Filet'!J24+'Budget Mel agricole'!J15+'Budget MMB'!J15</f>
        <v>83063.877338532751</v>
      </c>
      <c r="K9" s="79">
        <f>+'Budget Constructions'!K33+'Budget Electrification'!K15+'Budget Serres'!K15+'Budget Irrigation'!K46+'Budget Plastique'!K24+'Budget Fibre de coco'!K24+'Budget Filet'!K24+'Budget Mel agricole'!K15+'Budget MMB'!K15</f>
        <v>86079.71067186608</v>
      </c>
      <c r="L9" s="79">
        <f>+'Budget Constructions'!L33+'Budget Electrification'!L15+'Budget Serres'!L15+'Budget Irrigation'!L46+'Budget Plastique'!L24+'Budget Fibre de coco'!L24+'Budget Filet'!L24+'Budget Mel agricole'!L15+'Budget MMB'!L15</f>
        <v>86079.71067186608</v>
      </c>
      <c r="M9" s="79">
        <f>+'Budget Constructions'!M33+'Budget Electrification'!M15+'Budget Serres'!M15+'Budget Irrigation'!M46+'Budget Plastique'!M24+'Budget Fibre de coco'!M24+'Budget Filet'!M24+'Budget Mel agricole'!M15+'Budget MMB'!M15</f>
        <v>86079.71067186608</v>
      </c>
      <c r="N9" s="78">
        <f t="shared" si="2"/>
        <v>1005814.028062393</v>
      </c>
      <c r="O9" s="154">
        <f>+'Budget Constructions'!N33+'Budget Electrification'!N15+'Budget Serres'!N15+'Budget Irrigation'!N46+'Budget Plastique'!N24+'Budget Fibre de coco'!N24+'Budget Filet'!N24+'Budget Mel agricole'!N15+'Budget MMB'!N15</f>
        <v>1005814.028062393</v>
      </c>
      <c r="P9" s="154">
        <f t="shared" si="3"/>
        <v>0</v>
      </c>
    </row>
    <row r="10" spans="1:16" s="57" customFormat="1" x14ac:dyDescent="0.35">
      <c r="A10" s="151" t="s">
        <v>292</v>
      </c>
      <c r="B10" s="79">
        <f>+'Budget Constructions'!B37+'Budget Electrification'!B19+'Budget Serres'!B19+'Budget Irrigation'!B50+'Budget Plastique'!B28+'Budget Fibre de coco'!B28+'Budget Filet'!B28+'Budget Mel agricole'!B19+'Budget MMB'!B19</f>
        <v>130346.56815793391</v>
      </c>
      <c r="C10" s="79">
        <f>+'Budget Constructions'!C37+'Budget Electrification'!C19+'Budget Serres'!C19+'Budget Irrigation'!C50+'Budget Plastique'!C28+'Budget Fibre de coco'!C28+'Budget Filet'!C28+'Budget Mel agricole'!C19+'Budget MMB'!C19</f>
        <v>130346.56815793391</v>
      </c>
      <c r="D10" s="79">
        <f>+'Budget Constructions'!D37+'Budget Electrification'!D19+'Budget Serres'!D19+'Budget Irrigation'!D50+'Budget Plastique'!D28+'Budget Fibre de coco'!D28+'Budget Filet'!D28+'Budget Mel agricole'!D19+'Budget MMB'!D19</f>
        <v>130346.56815793391</v>
      </c>
      <c r="E10" s="79">
        <f>+'Budget Constructions'!E37+'Budget Electrification'!E19+'Budget Serres'!E19+'Budget Irrigation'!E50+'Budget Plastique'!E28+'Budget Fibre de coco'!E28+'Budget Filet'!E28+'Budget Mel agricole'!E19+'Budget MMB'!E19</f>
        <v>130346.56815793391</v>
      </c>
      <c r="F10" s="79">
        <f>+'Budget Constructions'!F37+'Budget Electrification'!F19+'Budget Serres'!F19+'Budget Irrigation'!F50+'Budget Plastique'!F28+'Budget Fibre de coco'!F28+'Budget Filet'!F28+'Budget Mel agricole'!F19+'Budget MMB'!F19</f>
        <v>130346.56815793391</v>
      </c>
      <c r="G10" s="79">
        <f>+'Budget Constructions'!G37+'Budget Electrification'!G19+'Budget Serres'!G19+'Budget Irrigation'!G50+'Budget Plastique'!G28+'Budget Fibre de coco'!G28+'Budget Filet'!G28+'Budget Mel agricole'!G19+'Budget MMB'!G19</f>
        <v>130346.56815793391</v>
      </c>
      <c r="H10" s="79">
        <f>+'Budget Constructions'!H37+'Budget Electrification'!H19+'Budget Serres'!H19+'Budget Irrigation'!H50+'Budget Plastique'!H28+'Budget Fibre de coco'!H28+'Budget Filet'!H28+'Budget Mel agricole'!H19+'Budget MMB'!H19</f>
        <v>130346.56815793391</v>
      </c>
      <c r="I10" s="79">
        <f>+'Budget Constructions'!I37+'Budget Electrification'!I19+'Budget Serres'!I19+'Budget Irrigation'!I50+'Budget Plastique'!I28+'Budget Fibre de coco'!I28+'Budget Filet'!I28+'Budget Mel agricole'!I19+'Budget MMB'!I19</f>
        <v>130346.56815793391</v>
      </c>
      <c r="J10" s="79">
        <f>+'Budget Constructions'!J37+'Budget Electrification'!J19+'Budget Serres'!J19+'Budget Irrigation'!J50+'Budget Plastique'!J28+'Budget Fibre de coco'!J28+'Budget Filet'!J28+'Budget Mel agricole'!J19+'Budget MMB'!J19</f>
        <v>130346.56815793391</v>
      </c>
      <c r="K10" s="79">
        <f>+'Budget Constructions'!K37+'Budget Electrification'!K19+'Budget Serres'!K19+'Budget Irrigation'!K50+'Budget Plastique'!K28+'Budget Fibre de coco'!K28+'Budget Filet'!K28+'Budget Mel agricole'!K19+'Budget MMB'!K19</f>
        <v>130346.56815793391</v>
      </c>
      <c r="L10" s="79">
        <f>+'Budget Constructions'!L37+'Budget Electrification'!L19+'Budget Serres'!L19+'Budget Irrigation'!L50+'Budget Plastique'!L28+'Budget Fibre de coco'!L28+'Budget Filet'!L28+'Budget Mel agricole'!L19+'Budget MMB'!L19</f>
        <v>130346.56815793391</v>
      </c>
      <c r="M10" s="79">
        <f>+'Budget Constructions'!M37+'Budget Electrification'!M19+'Budget Serres'!M19+'Budget Irrigation'!M50+'Budget Plastique'!M28+'Budget Fibre de coco'!M28+'Budget Filet'!M28+'Budget Mel agricole'!M19+'Budget MMB'!M19</f>
        <v>130346.56815793391</v>
      </c>
      <c r="N10" s="78">
        <f t="shared" si="2"/>
        <v>1564158.8178952069</v>
      </c>
      <c r="O10" s="154">
        <f>+'Budget Constructions'!N37+'Budget Electrification'!N19+'Budget Serres'!N19+'Budget Irrigation'!N50+'Budget Plastique'!N28+'Budget Fibre de coco'!N28+'Budget Filet'!N28+'Budget Mel agricole'!N19+'Budget MMB'!N19</f>
        <v>1564158.8178952071</v>
      </c>
      <c r="P10" s="154">
        <f t="shared" si="3"/>
        <v>0</v>
      </c>
    </row>
    <row r="11" spans="1:16" s="57" customFormat="1" x14ac:dyDescent="0.35">
      <c r="A11" s="151" t="s">
        <v>294</v>
      </c>
      <c r="B11" s="79">
        <f>+'Budget Constructions'!B41+'Budget Electrification'!B23+'Budget Serres'!B23+'Budget Irrigation'!B54+'Budget Plastique'!B32+'Budget Fibre de coco'!B32+'Budget Filet'!B32+'Budget Mel agricole'!B23+'Budget MMB'!B23</f>
        <v>23957.837935928586</v>
      </c>
      <c r="C11" s="79">
        <f>+'Budget Constructions'!C41+'Budget Electrification'!C23+'Budget Serres'!C23+'Budget Irrigation'!C54+'Budget Plastique'!C32+'Budget Fibre de coco'!C32+'Budget Filet'!C32+'Budget Mel agricole'!C23+'Budget MMB'!C23</f>
        <v>23957.837935928586</v>
      </c>
      <c r="D11" s="79">
        <f>+'Budget Constructions'!D41+'Budget Electrification'!D23+'Budget Serres'!D23+'Budget Irrigation'!D54+'Budget Plastique'!D32+'Budget Fibre de coco'!D32+'Budget Filet'!D32+'Budget Mel agricole'!D23+'Budget MMB'!D23</f>
        <v>23957.837935928586</v>
      </c>
      <c r="E11" s="79">
        <f>+'Budget Constructions'!E41+'Budget Electrification'!E23+'Budget Serres'!E23+'Budget Irrigation'!E54+'Budget Plastique'!E32+'Budget Fibre de coco'!E32+'Budget Filet'!E32+'Budget Mel agricole'!E23+'Budget MMB'!E23</f>
        <v>23957.837935928586</v>
      </c>
      <c r="F11" s="79">
        <f>+'Budget Constructions'!F41+'Budget Electrification'!F23+'Budget Serres'!F23+'Budget Irrigation'!F54+'Budget Plastique'!F32+'Budget Fibre de coco'!F32+'Budget Filet'!F32+'Budget Mel agricole'!F23+'Budget MMB'!F23</f>
        <v>23957.837935928586</v>
      </c>
      <c r="G11" s="79">
        <f>+'Budget Constructions'!G41+'Budget Electrification'!G23+'Budget Serres'!G23+'Budget Irrigation'!G54+'Budget Plastique'!G32+'Budget Fibre de coco'!G32+'Budget Filet'!G32+'Budget Mel agricole'!G23+'Budget MMB'!G23</f>
        <v>23957.837935928586</v>
      </c>
      <c r="H11" s="79">
        <f>+'Budget Constructions'!H41+'Budget Electrification'!H23+'Budget Serres'!H23+'Budget Irrigation'!H54+'Budget Plastique'!H32+'Budget Fibre de coco'!H32+'Budget Filet'!H32+'Budget Mel agricole'!H23+'Budget MMB'!H23</f>
        <v>23957.837935928586</v>
      </c>
      <c r="I11" s="79">
        <f>+'Budget Constructions'!I41+'Budget Electrification'!I23+'Budget Serres'!I23+'Budget Irrigation'!I54+'Budget Plastique'!I32+'Budget Fibre de coco'!I32+'Budget Filet'!I32+'Budget Mel agricole'!I23+'Budget MMB'!I23</f>
        <v>23957.837935928586</v>
      </c>
      <c r="J11" s="79">
        <f>+'Budget Constructions'!J41+'Budget Electrification'!J23+'Budget Serres'!J23+'Budget Irrigation'!J54+'Budget Plastique'!J32+'Budget Fibre de coco'!J32+'Budget Filet'!J32+'Budget Mel agricole'!J23+'Budget MMB'!J23</f>
        <v>23957.837935928586</v>
      </c>
      <c r="K11" s="79">
        <f>+'Budget Constructions'!K41+'Budget Electrification'!K23+'Budget Serres'!K23+'Budget Irrigation'!K54+'Budget Plastique'!K32+'Budget Fibre de coco'!K32+'Budget Filet'!K32+'Budget Mel agricole'!K23+'Budget MMB'!K23</f>
        <v>23957.837935928586</v>
      </c>
      <c r="L11" s="79">
        <f>+'Budget Constructions'!L41+'Budget Electrification'!L23+'Budget Serres'!L23+'Budget Irrigation'!L54+'Budget Plastique'!L32+'Budget Fibre de coco'!L32+'Budget Filet'!L32+'Budget Mel agricole'!L23+'Budget MMB'!L23</f>
        <v>23957.837935928586</v>
      </c>
      <c r="M11" s="79">
        <f>+'Budget Constructions'!M41+'Budget Electrification'!M23+'Budget Serres'!M23+'Budget Irrigation'!M54+'Budget Plastique'!M32+'Budget Fibre de coco'!M32+'Budget Filet'!M32+'Budget Mel agricole'!M23+'Budget MMB'!M23</f>
        <v>23957.837935928586</v>
      </c>
      <c r="N11" s="78">
        <f t="shared" si="2"/>
        <v>287494.05523114302</v>
      </c>
      <c r="O11" s="154">
        <f>+'Budget Constructions'!N41+'Budget Electrification'!N23+'Budget Serres'!N23+'Budget Irrigation'!N54+'Budget Plastique'!N32+'Budget Fibre de coco'!N32+'Budget Filet'!N32+'Budget Mel agricole'!N23+'Budget MMB'!N23</f>
        <v>287494.05523114308</v>
      </c>
      <c r="P11" s="154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W215"/>
  <sheetViews>
    <sheetView topLeftCell="A21" workbookViewId="0">
      <selection activeCell="C14" sqref="C14"/>
    </sheetView>
  </sheetViews>
  <sheetFormatPr baseColWidth="10" defaultColWidth="11.46484375" defaultRowHeight="11.65" outlineLevelRow="1" x14ac:dyDescent="0.35"/>
  <cols>
    <col min="1" max="1" width="27.19921875" style="32" customWidth="1"/>
    <col min="2" max="3" width="8" style="32" customWidth="1"/>
    <col min="4" max="4" width="10.796875" style="32" bestFit="1" customWidth="1"/>
    <col min="5" max="5" width="8.53125" style="32" bestFit="1" customWidth="1"/>
    <col min="6" max="6" width="10.46484375" style="32" bestFit="1" customWidth="1"/>
    <col min="7" max="7" width="10.265625" style="32" bestFit="1" customWidth="1"/>
    <col min="8" max="8" width="8.19921875" style="32" bestFit="1" customWidth="1"/>
    <col min="9" max="14" width="8" style="32" customWidth="1"/>
    <col min="15" max="16384" width="11.46484375" style="32"/>
  </cols>
  <sheetData>
    <row r="1" spans="1:14" ht="35.25" thickBot="1" x14ac:dyDescent="0.4">
      <c r="A1" s="68" t="s">
        <v>238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71" t="s">
        <v>179</v>
      </c>
      <c r="B4" s="76">
        <f>+B5+B14+B23</f>
        <v>0</v>
      </c>
      <c r="C4" s="76">
        <f t="shared" ref="C4:M4" si="1">+C5+C14+C23</f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0</v>
      </c>
      <c r="L4" s="76">
        <f t="shared" si="1"/>
        <v>0</v>
      </c>
      <c r="M4" s="76">
        <f t="shared" si="1"/>
        <v>0</v>
      </c>
      <c r="N4" s="76">
        <f>SUM(B4:M4)</f>
        <v>0</v>
      </c>
    </row>
    <row r="5" spans="1:14" s="57" customFormat="1" x14ac:dyDescent="0.35">
      <c r="A5" s="72" t="s">
        <v>282</v>
      </c>
      <c r="B5" s="79">
        <f>+B13*B12</f>
        <v>0</v>
      </c>
      <c r="C5" s="79">
        <f t="shared" ref="C5:M5" si="2">+C13*C12</f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>SUM(B5:M5)</f>
        <v>0</v>
      </c>
    </row>
    <row r="6" spans="1:14" hidden="1" outlineLevel="1" x14ac:dyDescent="0.35">
      <c r="A6" s="66" t="s">
        <v>180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>
        <f>SUM(B6:M6)</f>
        <v>0</v>
      </c>
    </row>
    <row r="7" spans="1:14" hidden="1" outlineLevel="1" x14ac:dyDescent="0.35">
      <c r="A7" s="66" t="s">
        <v>181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>
        <f t="shared" ref="N7:N12" si="3">SUM(B7:M7)</f>
        <v>0</v>
      </c>
    </row>
    <row r="8" spans="1:14" hidden="1" outlineLevel="1" x14ac:dyDescent="0.35">
      <c r="A8" s="66" t="s">
        <v>182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>
        <f t="shared" si="3"/>
        <v>0</v>
      </c>
    </row>
    <row r="9" spans="1:14" hidden="1" outlineLevel="1" x14ac:dyDescent="0.35">
      <c r="A9" s="66" t="s">
        <v>183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>
        <f t="shared" si="3"/>
        <v>0</v>
      </c>
    </row>
    <row r="10" spans="1:14" hidden="1" outlineLevel="1" x14ac:dyDescent="0.35">
      <c r="A10" s="66" t="s">
        <v>184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>
        <f t="shared" si="3"/>
        <v>0</v>
      </c>
    </row>
    <row r="11" spans="1:14" hidden="1" outlineLevel="1" x14ac:dyDescent="0.35">
      <c r="A11" s="66" t="s">
        <v>185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>
        <f t="shared" si="3"/>
        <v>0</v>
      </c>
    </row>
    <row r="12" spans="1:14" hidden="1" outlineLevel="1" x14ac:dyDescent="0.35">
      <c r="A12" s="65" t="s">
        <v>186</v>
      </c>
      <c r="B12" s="147">
        <f>SUM(B6:B11)</f>
        <v>0</v>
      </c>
      <c r="C12" s="147">
        <f t="shared" ref="C12:M12" si="4">SUM(C6:C11)</f>
        <v>0</v>
      </c>
      <c r="D12" s="147">
        <f t="shared" si="4"/>
        <v>0</v>
      </c>
      <c r="E12" s="147">
        <f t="shared" si="4"/>
        <v>0</v>
      </c>
      <c r="F12" s="147">
        <f t="shared" si="4"/>
        <v>0</v>
      </c>
      <c r="G12" s="147">
        <f t="shared" si="4"/>
        <v>0</v>
      </c>
      <c r="H12" s="147">
        <f t="shared" si="4"/>
        <v>0</v>
      </c>
      <c r="I12" s="147">
        <f t="shared" si="4"/>
        <v>0</v>
      </c>
      <c r="J12" s="147">
        <f t="shared" si="4"/>
        <v>0</v>
      </c>
      <c r="K12" s="147">
        <f t="shared" si="4"/>
        <v>0</v>
      </c>
      <c r="L12" s="147">
        <f t="shared" si="4"/>
        <v>0</v>
      </c>
      <c r="M12" s="147">
        <f t="shared" si="4"/>
        <v>0</v>
      </c>
      <c r="N12" s="148">
        <f t="shared" si="3"/>
        <v>0</v>
      </c>
    </row>
    <row r="13" spans="1:14" hidden="1" outlineLevel="1" x14ac:dyDescent="0.35">
      <c r="A13" s="66" t="s">
        <v>187</v>
      </c>
      <c r="B13" s="146">
        <v>900</v>
      </c>
      <c r="C13" s="146">
        <v>900</v>
      </c>
      <c r="D13" s="146">
        <v>900</v>
      </c>
      <c r="E13" s="146">
        <v>900</v>
      </c>
      <c r="F13" s="146">
        <v>900</v>
      </c>
      <c r="G13" s="146">
        <v>900</v>
      </c>
      <c r="H13" s="146">
        <v>900</v>
      </c>
      <c r="I13" s="146">
        <v>900</v>
      </c>
      <c r="J13" s="146">
        <v>900</v>
      </c>
      <c r="K13" s="146">
        <v>900</v>
      </c>
      <c r="L13" s="146">
        <v>900</v>
      </c>
      <c r="M13" s="146">
        <v>900</v>
      </c>
      <c r="N13" s="146"/>
    </row>
    <row r="14" spans="1:14" collapsed="1" x14ac:dyDescent="0.35">
      <c r="A14" s="72" t="s">
        <v>284</v>
      </c>
      <c r="B14" s="79">
        <f>+B22*B21</f>
        <v>0</v>
      </c>
      <c r="C14" s="79">
        <f t="shared" ref="C14:M14" si="5">+C22*C21</f>
        <v>0</v>
      </c>
      <c r="D14" s="79">
        <f t="shared" si="5"/>
        <v>0</v>
      </c>
      <c r="E14" s="79">
        <f t="shared" si="5"/>
        <v>0</v>
      </c>
      <c r="F14" s="79">
        <f t="shared" si="5"/>
        <v>0</v>
      </c>
      <c r="G14" s="79">
        <f t="shared" si="5"/>
        <v>0</v>
      </c>
      <c r="H14" s="79">
        <f t="shared" si="5"/>
        <v>0</v>
      </c>
      <c r="I14" s="79">
        <f t="shared" si="5"/>
        <v>0</v>
      </c>
      <c r="J14" s="79">
        <f t="shared" si="5"/>
        <v>0</v>
      </c>
      <c r="K14" s="79">
        <f t="shared" si="5"/>
        <v>0</v>
      </c>
      <c r="L14" s="79">
        <f t="shared" si="5"/>
        <v>0</v>
      </c>
      <c r="M14" s="79">
        <f t="shared" si="5"/>
        <v>0</v>
      </c>
      <c r="N14" s="79">
        <f>SUM(B14:M14)</f>
        <v>0</v>
      </c>
    </row>
    <row r="15" spans="1:14" outlineLevel="1" x14ac:dyDescent="0.35">
      <c r="A15" s="66" t="s">
        <v>180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>
        <f>SUM(B15:M15)</f>
        <v>0</v>
      </c>
    </row>
    <row r="16" spans="1:14" outlineLevel="1" x14ac:dyDescent="0.35">
      <c r="A16" s="66" t="s">
        <v>181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>
        <f t="shared" ref="N16:N21" si="6">SUM(B16:M16)</f>
        <v>0</v>
      </c>
    </row>
    <row r="17" spans="1:23" outlineLevel="1" x14ac:dyDescent="0.35">
      <c r="A17" s="66" t="s">
        <v>182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>
        <f t="shared" si="6"/>
        <v>0</v>
      </c>
      <c r="O17" s="74"/>
      <c r="P17" s="74"/>
      <c r="Q17" s="74"/>
      <c r="R17" s="74"/>
      <c r="S17" s="74"/>
      <c r="T17" s="74"/>
      <c r="U17" s="74"/>
      <c r="V17" s="74"/>
      <c r="W17" s="74"/>
    </row>
    <row r="18" spans="1:23" outlineLevel="1" x14ac:dyDescent="0.35">
      <c r="A18" s="66" t="s">
        <v>183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>
        <f t="shared" si="6"/>
        <v>0</v>
      </c>
    </row>
    <row r="19" spans="1:23" outlineLevel="1" x14ac:dyDescent="0.35">
      <c r="A19" s="66" t="s">
        <v>184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>
        <f t="shared" si="6"/>
        <v>0</v>
      </c>
    </row>
    <row r="20" spans="1:23" outlineLevel="1" x14ac:dyDescent="0.35">
      <c r="A20" s="66" t="s">
        <v>185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>
        <f t="shared" si="6"/>
        <v>0</v>
      </c>
    </row>
    <row r="21" spans="1:23" outlineLevel="1" x14ac:dyDescent="0.35">
      <c r="A21" s="65" t="s">
        <v>186</v>
      </c>
      <c r="B21" s="147">
        <f>SUM(B15:B20)</f>
        <v>0</v>
      </c>
      <c r="C21" s="147">
        <f t="shared" ref="C21" si="7">SUM(C15:C20)</f>
        <v>0</v>
      </c>
      <c r="D21" s="147">
        <f t="shared" ref="D21" si="8">SUM(D15:D20)</f>
        <v>0</v>
      </c>
      <c r="E21" s="147">
        <f t="shared" ref="E21" si="9">SUM(E15:E20)</f>
        <v>0</v>
      </c>
      <c r="F21" s="147">
        <f t="shared" ref="F21" si="10">SUM(F15:F20)</f>
        <v>0</v>
      </c>
      <c r="G21" s="147">
        <f t="shared" ref="G21" si="11">SUM(G15:G20)</f>
        <v>0</v>
      </c>
      <c r="H21" s="147">
        <f t="shared" ref="H21" si="12">SUM(H15:H20)</f>
        <v>0</v>
      </c>
      <c r="I21" s="147">
        <f t="shared" ref="I21" si="13">SUM(I15:I20)</f>
        <v>0</v>
      </c>
      <c r="J21" s="147">
        <f t="shared" ref="J21" si="14">SUM(J15:J20)</f>
        <v>0</v>
      </c>
      <c r="K21" s="147">
        <f t="shared" ref="K21" si="15">SUM(K15:K20)</f>
        <v>0</v>
      </c>
      <c r="L21" s="147">
        <f t="shared" ref="L21" si="16">SUM(L15:L20)</f>
        <v>0</v>
      </c>
      <c r="M21" s="147">
        <f t="shared" ref="M21" si="17">SUM(M15:M20)</f>
        <v>0</v>
      </c>
      <c r="N21" s="148">
        <f t="shared" si="6"/>
        <v>0</v>
      </c>
    </row>
    <row r="22" spans="1:23" outlineLevel="1" x14ac:dyDescent="0.35">
      <c r="A22" s="66" t="s">
        <v>187</v>
      </c>
      <c r="B22" s="146">
        <v>900</v>
      </c>
      <c r="C22" s="146">
        <v>900</v>
      </c>
      <c r="D22" s="146">
        <v>900</v>
      </c>
      <c r="E22" s="146">
        <v>900</v>
      </c>
      <c r="F22" s="146">
        <v>900</v>
      </c>
      <c r="G22" s="146">
        <v>900</v>
      </c>
      <c r="H22" s="146">
        <v>900</v>
      </c>
      <c r="I22" s="146">
        <v>900</v>
      </c>
      <c r="J22" s="146">
        <v>900</v>
      </c>
      <c r="K22" s="146">
        <v>900</v>
      </c>
      <c r="L22" s="146">
        <v>900</v>
      </c>
      <c r="M22" s="146">
        <v>900</v>
      </c>
      <c r="N22" s="146"/>
    </row>
    <row r="23" spans="1:23" x14ac:dyDescent="0.35">
      <c r="A23" s="72" t="s">
        <v>286</v>
      </c>
      <c r="B23" s="79">
        <f>+B31*B30</f>
        <v>0</v>
      </c>
      <c r="C23" s="79">
        <f t="shared" ref="C23:M23" si="18">+C31*C30</f>
        <v>0</v>
      </c>
      <c r="D23" s="79">
        <f t="shared" si="18"/>
        <v>0</v>
      </c>
      <c r="E23" s="79">
        <f t="shared" si="18"/>
        <v>0</v>
      </c>
      <c r="F23" s="79">
        <f t="shared" si="18"/>
        <v>0</v>
      </c>
      <c r="G23" s="79">
        <f t="shared" si="18"/>
        <v>0</v>
      </c>
      <c r="H23" s="79">
        <f t="shared" si="18"/>
        <v>0</v>
      </c>
      <c r="I23" s="79">
        <f t="shared" si="18"/>
        <v>0</v>
      </c>
      <c r="J23" s="79">
        <f t="shared" si="18"/>
        <v>0</v>
      </c>
      <c r="K23" s="79">
        <f t="shared" si="18"/>
        <v>0</v>
      </c>
      <c r="L23" s="79">
        <f t="shared" si="18"/>
        <v>0</v>
      </c>
      <c r="M23" s="79">
        <f t="shared" si="18"/>
        <v>0</v>
      </c>
      <c r="N23" s="79">
        <f>SUM(B23:M23)</f>
        <v>0</v>
      </c>
    </row>
    <row r="24" spans="1:23" x14ac:dyDescent="0.35">
      <c r="A24" s="66" t="s">
        <v>180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>
        <f>SUM(B24:M24)</f>
        <v>0</v>
      </c>
    </row>
    <row r="25" spans="1:23" outlineLevel="1" x14ac:dyDescent="0.35">
      <c r="A25" s="66" t="s">
        <v>181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>
        <f t="shared" ref="N25:N30" si="19">SUM(B25:M25)</f>
        <v>0</v>
      </c>
    </row>
    <row r="26" spans="1:23" outlineLevel="1" x14ac:dyDescent="0.35">
      <c r="A26" s="66" t="s">
        <v>182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>
        <f t="shared" si="19"/>
        <v>0</v>
      </c>
    </row>
    <row r="27" spans="1:23" outlineLevel="1" x14ac:dyDescent="0.35">
      <c r="A27" s="66" t="s">
        <v>183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>
        <f t="shared" si="19"/>
        <v>0</v>
      </c>
    </row>
    <row r="28" spans="1:23" outlineLevel="1" x14ac:dyDescent="0.35">
      <c r="A28" s="66" t="s">
        <v>184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>
        <f t="shared" si="19"/>
        <v>0</v>
      </c>
    </row>
    <row r="29" spans="1:23" outlineLevel="1" x14ac:dyDescent="0.35">
      <c r="A29" s="66" t="s">
        <v>185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>
        <f t="shared" si="19"/>
        <v>0</v>
      </c>
    </row>
    <row r="30" spans="1:23" outlineLevel="1" x14ac:dyDescent="0.35">
      <c r="A30" s="65" t="s">
        <v>186</v>
      </c>
      <c r="B30" s="147">
        <f>SUM(B24:B29)</f>
        <v>0</v>
      </c>
      <c r="C30" s="147">
        <f t="shared" ref="C30" si="20">SUM(C24:C29)</f>
        <v>0</v>
      </c>
      <c r="D30" s="147">
        <f t="shared" ref="D30" si="21">SUM(D24:D29)</f>
        <v>0</v>
      </c>
      <c r="E30" s="147">
        <f t="shared" ref="E30" si="22">SUM(E24:E29)</f>
        <v>0</v>
      </c>
      <c r="F30" s="147">
        <f t="shared" ref="F30" si="23">SUM(F24:F29)</f>
        <v>0</v>
      </c>
      <c r="G30" s="147">
        <f t="shared" ref="G30" si="24">SUM(G24:G29)</f>
        <v>0</v>
      </c>
      <c r="H30" s="147">
        <f t="shared" ref="H30" si="25">SUM(H24:H29)</f>
        <v>0</v>
      </c>
      <c r="I30" s="147">
        <f t="shared" ref="I30" si="26">SUM(I24:I29)</f>
        <v>0</v>
      </c>
      <c r="J30" s="147">
        <f t="shared" ref="J30" si="27">SUM(J24:J29)</f>
        <v>0</v>
      </c>
      <c r="K30" s="147">
        <f t="shared" ref="K30" si="28">SUM(K24:K29)</f>
        <v>0</v>
      </c>
      <c r="L30" s="147">
        <f t="shared" ref="L30" si="29">SUM(L24:L29)</f>
        <v>0</v>
      </c>
      <c r="M30" s="147">
        <f t="shared" ref="M30" si="30">SUM(M24:M29)</f>
        <v>0</v>
      </c>
      <c r="N30" s="148">
        <f t="shared" si="19"/>
        <v>0</v>
      </c>
    </row>
    <row r="31" spans="1:23" outlineLevel="1" x14ac:dyDescent="0.35">
      <c r="A31" s="66" t="s">
        <v>187</v>
      </c>
      <c r="B31" s="146">
        <v>900</v>
      </c>
      <c r="C31" s="146">
        <v>900</v>
      </c>
      <c r="D31" s="146">
        <v>900</v>
      </c>
      <c r="E31" s="146">
        <v>900</v>
      </c>
      <c r="F31" s="146">
        <v>900</v>
      </c>
      <c r="G31" s="146">
        <v>900</v>
      </c>
      <c r="H31" s="146">
        <v>900</v>
      </c>
      <c r="I31" s="146">
        <v>900</v>
      </c>
      <c r="J31" s="146">
        <v>900</v>
      </c>
      <c r="K31" s="146">
        <v>900</v>
      </c>
      <c r="L31" s="146">
        <v>900</v>
      </c>
      <c r="M31" s="146">
        <v>900</v>
      </c>
      <c r="N31" s="146"/>
    </row>
    <row r="32" spans="1:23" x14ac:dyDescent="0.35">
      <c r="A32" s="71" t="s">
        <v>188</v>
      </c>
      <c r="B32" s="76">
        <f>+B33+B37+B41</f>
        <v>8342.5360000000001</v>
      </c>
      <c r="C32" s="76">
        <f t="shared" ref="C32:M32" si="31">+C33+C37+C41</f>
        <v>8342.5360000000001</v>
      </c>
      <c r="D32" s="76">
        <f t="shared" si="31"/>
        <v>8342.5360000000001</v>
      </c>
      <c r="E32" s="76">
        <f t="shared" si="31"/>
        <v>8342.5360000000001</v>
      </c>
      <c r="F32" s="76">
        <f t="shared" si="31"/>
        <v>8342.5360000000001</v>
      </c>
      <c r="G32" s="76">
        <f t="shared" si="31"/>
        <v>8342.5360000000001</v>
      </c>
      <c r="H32" s="76">
        <f t="shared" si="31"/>
        <v>8342.5360000000001</v>
      </c>
      <c r="I32" s="76">
        <f t="shared" si="31"/>
        <v>8342.5360000000001</v>
      </c>
      <c r="J32" s="76">
        <f t="shared" si="31"/>
        <v>8342.5360000000001</v>
      </c>
      <c r="K32" s="76">
        <f t="shared" si="31"/>
        <v>8342.5360000000001</v>
      </c>
      <c r="L32" s="76">
        <f t="shared" si="31"/>
        <v>8342.5360000000001</v>
      </c>
      <c r="M32" s="76">
        <f t="shared" si="31"/>
        <v>8342.5360000000001</v>
      </c>
      <c r="N32" s="76">
        <f>SUM(B32:M32)</f>
        <v>100110.43199999997</v>
      </c>
    </row>
    <row r="33" spans="1:23" s="57" customFormat="1" x14ac:dyDescent="0.35">
      <c r="A33" s="72" t="s">
        <v>283</v>
      </c>
      <c r="B33" s="79">
        <f>+B34+B36</f>
        <v>2479.1209166666663</v>
      </c>
      <c r="C33" s="79">
        <f t="shared" ref="C33:M33" si="32">+C34+C36</f>
        <v>2479.1209166666663</v>
      </c>
      <c r="D33" s="79">
        <f t="shared" si="32"/>
        <v>2479.1209166666663</v>
      </c>
      <c r="E33" s="79">
        <f t="shared" si="32"/>
        <v>2479.1209166666663</v>
      </c>
      <c r="F33" s="79">
        <f t="shared" si="32"/>
        <v>2479.1209166666663</v>
      </c>
      <c r="G33" s="79">
        <f t="shared" si="32"/>
        <v>2479.1209166666663</v>
      </c>
      <c r="H33" s="79">
        <f t="shared" si="32"/>
        <v>2479.1209166666663</v>
      </c>
      <c r="I33" s="79">
        <f t="shared" si="32"/>
        <v>2479.1209166666663</v>
      </c>
      <c r="J33" s="79">
        <f t="shared" si="32"/>
        <v>2479.1209166666663</v>
      </c>
      <c r="K33" s="79">
        <f t="shared" si="32"/>
        <v>2479.1209166666663</v>
      </c>
      <c r="L33" s="79">
        <f t="shared" si="32"/>
        <v>2479.1209166666663</v>
      </c>
      <c r="M33" s="79">
        <f t="shared" si="32"/>
        <v>2479.1209166666663</v>
      </c>
      <c r="N33" s="79">
        <f>SUM(B33:M33)</f>
        <v>29749.450999999997</v>
      </c>
    </row>
    <row r="34" spans="1:23" outlineLevel="1" x14ac:dyDescent="0.35">
      <c r="A34" s="66" t="s">
        <v>189</v>
      </c>
      <c r="B34" s="146">
        <v>2479.1209166666663</v>
      </c>
      <c r="C34" s="146">
        <f>+B34</f>
        <v>2479.1209166666663</v>
      </c>
      <c r="D34" s="146">
        <f t="shared" ref="D34:M34" si="33">+C34</f>
        <v>2479.1209166666663</v>
      </c>
      <c r="E34" s="146">
        <f t="shared" si="33"/>
        <v>2479.1209166666663</v>
      </c>
      <c r="F34" s="146">
        <f t="shared" si="33"/>
        <v>2479.1209166666663</v>
      </c>
      <c r="G34" s="146">
        <f t="shared" si="33"/>
        <v>2479.1209166666663</v>
      </c>
      <c r="H34" s="146">
        <f t="shared" si="33"/>
        <v>2479.1209166666663</v>
      </c>
      <c r="I34" s="146">
        <f t="shared" si="33"/>
        <v>2479.1209166666663</v>
      </c>
      <c r="J34" s="146">
        <f t="shared" si="33"/>
        <v>2479.1209166666663</v>
      </c>
      <c r="K34" s="146">
        <f t="shared" si="33"/>
        <v>2479.1209166666663</v>
      </c>
      <c r="L34" s="146">
        <f t="shared" si="33"/>
        <v>2479.1209166666663</v>
      </c>
      <c r="M34" s="146">
        <f t="shared" si="33"/>
        <v>2479.1209166666663</v>
      </c>
      <c r="N34" s="146">
        <f>SUM(B34:M34)</f>
        <v>29749.450999999997</v>
      </c>
    </row>
    <row r="35" spans="1:23" outlineLevel="1" x14ac:dyDescent="0.35">
      <c r="A35" s="66" t="s">
        <v>190</v>
      </c>
      <c r="B35" s="149">
        <v>0.1</v>
      </c>
      <c r="C35" s="149">
        <f>+B35</f>
        <v>0.1</v>
      </c>
      <c r="D35" s="149">
        <f t="shared" ref="D35:M35" si="34">+C35</f>
        <v>0.1</v>
      </c>
      <c r="E35" s="149">
        <f t="shared" si="34"/>
        <v>0.1</v>
      </c>
      <c r="F35" s="149">
        <f t="shared" si="34"/>
        <v>0.1</v>
      </c>
      <c r="G35" s="149">
        <f t="shared" si="34"/>
        <v>0.1</v>
      </c>
      <c r="H35" s="149">
        <f t="shared" si="34"/>
        <v>0.1</v>
      </c>
      <c r="I35" s="149">
        <f t="shared" si="34"/>
        <v>0.1</v>
      </c>
      <c r="J35" s="149">
        <f t="shared" si="34"/>
        <v>0.1</v>
      </c>
      <c r="K35" s="149">
        <f t="shared" si="34"/>
        <v>0.1</v>
      </c>
      <c r="L35" s="149">
        <f t="shared" si="34"/>
        <v>0.1</v>
      </c>
      <c r="M35" s="149">
        <f t="shared" si="34"/>
        <v>0.1</v>
      </c>
      <c r="N35" s="146"/>
    </row>
    <row r="36" spans="1:23" outlineLevel="1" x14ac:dyDescent="0.35">
      <c r="A36" s="66" t="s">
        <v>288</v>
      </c>
      <c r="B36" s="146">
        <f>+B46</f>
        <v>0</v>
      </c>
      <c r="C36" s="146">
        <f t="shared" ref="C36:M36" si="35">+C46</f>
        <v>0</v>
      </c>
      <c r="D36" s="146">
        <f t="shared" si="35"/>
        <v>0</v>
      </c>
      <c r="E36" s="146">
        <f t="shared" si="35"/>
        <v>0</v>
      </c>
      <c r="F36" s="146">
        <f t="shared" si="35"/>
        <v>0</v>
      </c>
      <c r="G36" s="146">
        <f t="shared" si="35"/>
        <v>0</v>
      </c>
      <c r="H36" s="146">
        <f t="shared" si="35"/>
        <v>0</v>
      </c>
      <c r="I36" s="146">
        <f t="shared" si="35"/>
        <v>0</v>
      </c>
      <c r="J36" s="146">
        <f t="shared" si="35"/>
        <v>0</v>
      </c>
      <c r="K36" s="146">
        <f t="shared" si="35"/>
        <v>0</v>
      </c>
      <c r="L36" s="146">
        <f t="shared" si="35"/>
        <v>0</v>
      </c>
      <c r="M36" s="146">
        <f t="shared" si="35"/>
        <v>0</v>
      </c>
      <c r="N36" s="146">
        <f t="shared" ref="N36" si="36">SUM(B36:M36)</f>
        <v>0</v>
      </c>
    </row>
    <row r="37" spans="1:23" x14ac:dyDescent="0.35">
      <c r="A37" s="72" t="s">
        <v>285</v>
      </c>
      <c r="B37" s="79">
        <f>+B38+B40</f>
        <v>5863.4150833333333</v>
      </c>
      <c r="C37" s="79">
        <f t="shared" ref="C37" si="37">+C38+C40</f>
        <v>5863.4150833333333</v>
      </c>
      <c r="D37" s="79">
        <f t="shared" ref="D37" si="38">+D38+D40</f>
        <v>5863.4150833333333</v>
      </c>
      <c r="E37" s="79">
        <f t="shared" ref="E37" si="39">+E38+E40</f>
        <v>5863.4150833333333</v>
      </c>
      <c r="F37" s="79">
        <f t="shared" ref="F37" si="40">+F38+F40</f>
        <v>5863.4150833333333</v>
      </c>
      <c r="G37" s="79">
        <f t="shared" ref="G37" si="41">+G38+G40</f>
        <v>5863.4150833333333</v>
      </c>
      <c r="H37" s="79">
        <f t="shared" ref="H37" si="42">+H38+H40</f>
        <v>5863.4150833333333</v>
      </c>
      <c r="I37" s="79">
        <f t="shared" ref="I37" si="43">+I38+I40</f>
        <v>5863.4150833333333</v>
      </c>
      <c r="J37" s="79">
        <f t="shared" ref="J37" si="44">+J38+J40</f>
        <v>5863.4150833333333</v>
      </c>
      <c r="K37" s="79">
        <f t="shared" ref="K37" si="45">+K38+K40</f>
        <v>5863.4150833333333</v>
      </c>
      <c r="L37" s="79">
        <f t="shared" ref="L37" si="46">+L38+L40</f>
        <v>5863.4150833333333</v>
      </c>
      <c r="M37" s="79">
        <f t="shared" ref="M37" si="47">+M38+M40</f>
        <v>5863.4150833333333</v>
      </c>
      <c r="N37" s="79">
        <f>SUM(B37:M37)</f>
        <v>70360.981</v>
      </c>
    </row>
    <row r="38" spans="1:23" outlineLevel="1" x14ac:dyDescent="0.35">
      <c r="A38" s="66" t="s">
        <v>189</v>
      </c>
      <c r="B38" s="146">
        <v>5863.4150833333333</v>
      </c>
      <c r="C38" s="146">
        <f>+B38</f>
        <v>5863.4150833333333</v>
      </c>
      <c r="D38" s="146">
        <f t="shared" ref="D38:M38" si="48">+C38</f>
        <v>5863.4150833333333</v>
      </c>
      <c r="E38" s="146">
        <f t="shared" si="48"/>
        <v>5863.4150833333333</v>
      </c>
      <c r="F38" s="146">
        <f t="shared" si="48"/>
        <v>5863.4150833333333</v>
      </c>
      <c r="G38" s="146">
        <f t="shared" si="48"/>
        <v>5863.4150833333333</v>
      </c>
      <c r="H38" s="146">
        <f t="shared" si="48"/>
        <v>5863.4150833333333</v>
      </c>
      <c r="I38" s="146">
        <f t="shared" si="48"/>
        <v>5863.4150833333333</v>
      </c>
      <c r="J38" s="146">
        <f t="shared" si="48"/>
        <v>5863.4150833333333</v>
      </c>
      <c r="K38" s="146">
        <f t="shared" si="48"/>
        <v>5863.4150833333333</v>
      </c>
      <c r="L38" s="146">
        <f t="shared" si="48"/>
        <v>5863.4150833333333</v>
      </c>
      <c r="M38" s="146">
        <f t="shared" si="48"/>
        <v>5863.4150833333333</v>
      </c>
      <c r="N38" s="146">
        <f>SUM(B38:M38)</f>
        <v>70360.981</v>
      </c>
    </row>
    <row r="39" spans="1:23" outlineLevel="1" x14ac:dyDescent="0.35">
      <c r="A39" s="66" t="s">
        <v>190</v>
      </c>
      <c r="B39" s="149">
        <v>0.1</v>
      </c>
      <c r="C39" s="149">
        <f>+B39</f>
        <v>0.1</v>
      </c>
      <c r="D39" s="149">
        <f t="shared" ref="D39:M39" si="49">+C39</f>
        <v>0.1</v>
      </c>
      <c r="E39" s="149">
        <f t="shared" si="49"/>
        <v>0.1</v>
      </c>
      <c r="F39" s="149">
        <f t="shared" si="49"/>
        <v>0.1</v>
      </c>
      <c r="G39" s="149">
        <f t="shared" si="49"/>
        <v>0.1</v>
      </c>
      <c r="H39" s="149">
        <f t="shared" si="49"/>
        <v>0.1</v>
      </c>
      <c r="I39" s="149">
        <f t="shared" si="49"/>
        <v>0.1</v>
      </c>
      <c r="J39" s="149">
        <f t="shared" si="49"/>
        <v>0.1</v>
      </c>
      <c r="K39" s="149">
        <f t="shared" si="49"/>
        <v>0.1</v>
      </c>
      <c r="L39" s="149">
        <f t="shared" si="49"/>
        <v>0.1</v>
      </c>
      <c r="M39" s="149">
        <f t="shared" si="49"/>
        <v>0.1</v>
      </c>
      <c r="N39" s="146"/>
    </row>
    <row r="40" spans="1:23" outlineLevel="1" x14ac:dyDescent="0.35">
      <c r="A40" s="66" t="s">
        <v>288</v>
      </c>
      <c r="B40" s="146">
        <f>+B60</f>
        <v>0</v>
      </c>
      <c r="C40" s="146">
        <f t="shared" ref="C40:M40" si="50">+C60</f>
        <v>0</v>
      </c>
      <c r="D40" s="146">
        <f t="shared" si="50"/>
        <v>0</v>
      </c>
      <c r="E40" s="146">
        <f t="shared" si="50"/>
        <v>0</v>
      </c>
      <c r="F40" s="146">
        <f t="shared" si="50"/>
        <v>0</v>
      </c>
      <c r="G40" s="146">
        <f t="shared" si="50"/>
        <v>0</v>
      </c>
      <c r="H40" s="146">
        <f t="shared" si="50"/>
        <v>0</v>
      </c>
      <c r="I40" s="146">
        <f t="shared" si="50"/>
        <v>0</v>
      </c>
      <c r="J40" s="146">
        <f t="shared" si="50"/>
        <v>0</v>
      </c>
      <c r="K40" s="146">
        <f t="shared" si="50"/>
        <v>0</v>
      </c>
      <c r="L40" s="146">
        <f t="shared" si="50"/>
        <v>0</v>
      </c>
      <c r="M40" s="146">
        <f t="shared" si="50"/>
        <v>0</v>
      </c>
      <c r="N40" s="146">
        <f t="shared" ref="N40" si="51">SUM(B40:M40)</f>
        <v>0</v>
      </c>
      <c r="O40" s="74"/>
      <c r="P40" s="74"/>
      <c r="Q40" s="74"/>
      <c r="R40" s="74"/>
      <c r="S40" s="74"/>
      <c r="T40" s="74"/>
      <c r="U40" s="74"/>
      <c r="V40" s="74"/>
      <c r="W40" s="74"/>
    </row>
    <row r="41" spans="1:23" x14ac:dyDescent="0.35">
      <c r="A41" s="72" t="s">
        <v>287</v>
      </c>
      <c r="B41" s="79">
        <f>+B42+B44</f>
        <v>0</v>
      </c>
      <c r="C41" s="79">
        <f t="shared" ref="C41:M41" si="52">+C42+C44</f>
        <v>0</v>
      </c>
      <c r="D41" s="79">
        <f t="shared" si="52"/>
        <v>0</v>
      </c>
      <c r="E41" s="79">
        <f t="shared" si="52"/>
        <v>0</v>
      </c>
      <c r="F41" s="79">
        <f t="shared" si="52"/>
        <v>0</v>
      </c>
      <c r="G41" s="79">
        <f t="shared" si="52"/>
        <v>0</v>
      </c>
      <c r="H41" s="79">
        <f t="shared" si="52"/>
        <v>0</v>
      </c>
      <c r="I41" s="79">
        <f t="shared" si="52"/>
        <v>0</v>
      </c>
      <c r="J41" s="79">
        <f t="shared" si="52"/>
        <v>0</v>
      </c>
      <c r="K41" s="79">
        <f t="shared" si="52"/>
        <v>0</v>
      </c>
      <c r="L41" s="79">
        <f t="shared" si="52"/>
        <v>0</v>
      </c>
      <c r="M41" s="79">
        <f t="shared" si="52"/>
        <v>0</v>
      </c>
      <c r="N41" s="79">
        <f>SUM(B41:M41)</f>
        <v>0</v>
      </c>
    </row>
    <row r="42" spans="1:23" outlineLevel="1" x14ac:dyDescent="0.35">
      <c r="A42" s="66" t="s">
        <v>189</v>
      </c>
      <c r="B42" s="146">
        <v>0</v>
      </c>
      <c r="C42" s="146">
        <v>0</v>
      </c>
      <c r="D42" s="146">
        <v>0</v>
      </c>
      <c r="E42" s="146">
        <v>0</v>
      </c>
      <c r="F42" s="146">
        <v>0</v>
      </c>
      <c r="G42" s="146">
        <v>0</v>
      </c>
      <c r="H42" s="146">
        <v>0</v>
      </c>
      <c r="I42" s="146">
        <v>0</v>
      </c>
      <c r="J42" s="146">
        <v>0</v>
      </c>
      <c r="K42" s="146">
        <v>0</v>
      </c>
      <c r="L42" s="146">
        <v>0</v>
      </c>
      <c r="M42" s="146">
        <v>0</v>
      </c>
      <c r="N42" s="146">
        <f>SUM(B42:M42)</f>
        <v>0</v>
      </c>
    </row>
    <row r="43" spans="1:23" outlineLevel="1" x14ac:dyDescent="0.35">
      <c r="A43" s="66" t="s">
        <v>190</v>
      </c>
      <c r="B43" s="149">
        <v>0.1</v>
      </c>
      <c r="C43" s="149">
        <f>+B43</f>
        <v>0.1</v>
      </c>
      <c r="D43" s="149">
        <f t="shared" ref="D43:M43" si="53">+C43</f>
        <v>0.1</v>
      </c>
      <c r="E43" s="149">
        <f t="shared" si="53"/>
        <v>0.1</v>
      </c>
      <c r="F43" s="149">
        <f t="shared" si="53"/>
        <v>0.1</v>
      </c>
      <c r="G43" s="149">
        <f t="shared" si="53"/>
        <v>0.1</v>
      </c>
      <c r="H43" s="149">
        <f t="shared" si="53"/>
        <v>0.1</v>
      </c>
      <c r="I43" s="149">
        <f t="shared" si="53"/>
        <v>0.1</v>
      </c>
      <c r="J43" s="149">
        <f t="shared" si="53"/>
        <v>0.1</v>
      </c>
      <c r="K43" s="149">
        <f t="shared" si="53"/>
        <v>0.1</v>
      </c>
      <c r="L43" s="149">
        <f t="shared" si="53"/>
        <v>0.1</v>
      </c>
      <c r="M43" s="149">
        <f t="shared" si="53"/>
        <v>0.1</v>
      </c>
      <c r="N43" s="146"/>
    </row>
    <row r="44" spans="1:23" outlineLevel="1" x14ac:dyDescent="0.35">
      <c r="A44" s="66" t="s">
        <v>288</v>
      </c>
      <c r="B44" s="146">
        <f>+B74</f>
        <v>0</v>
      </c>
      <c r="C44" s="146">
        <f t="shared" ref="C44:M44" si="54">+C74</f>
        <v>0</v>
      </c>
      <c r="D44" s="146">
        <f t="shared" si="54"/>
        <v>0</v>
      </c>
      <c r="E44" s="146">
        <f t="shared" si="54"/>
        <v>0</v>
      </c>
      <c r="F44" s="146">
        <f t="shared" si="54"/>
        <v>0</v>
      </c>
      <c r="G44" s="146">
        <f t="shared" si="54"/>
        <v>0</v>
      </c>
      <c r="H44" s="146">
        <f t="shared" si="54"/>
        <v>0</v>
      </c>
      <c r="I44" s="146">
        <f t="shared" si="54"/>
        <v>0</v>
      </c>
      <c r="J44" s="146">
        <f t="shared" si="54"/>
        <v>0</v>
      </c>
      <c r="K44" s="146">
        <f t="shared" si="54"/>
        <v>0</v>
      </c>
      <c r="L44" s="146">
        <f t="shared" si="54"/>
        <v>0</v>
      </c>
      <c r="M44" s="146">
        <f t="shared" si="54"/>
        <v>0</v>
      </c>
      <c r="N44" s="146">
        <f t="shared" ref="N44" si="55">SUM(B44:M44)</f>
        <v>0</v>
      </c>
    </row>
    <row r="45" spans="1:23" x14ac:dyDescent="0.35">
      <c r="B45" s="160">
        <v>43647</v>
      </c>
      <c r="C45" s="160">
        <f>+B45+31</f>
        <v>43678</v>
      </c>
      <c r="D45" s="160">
        <f t="shared" ref="D45:M45" si="56">+C45+31</f>
        <v>43709</v>
      </c>
      <c r="E45" s="160">
        <f t="shared" si="56"/>
        <v>43740</v>
      </c>
      <c r="F45" s="160">
        <f t="shared" si="56"/>
        <v>43771</v>
      </c>
      <c r="G45" s="160">
        <f t="shared" si="56"/>
        <v>43802</v>
      </c>
      <c r="H45" s="160">
        <f t="shared" si="56"/>
        <v>43833</v>
      </c>
      <c r="I45" s="160">
        <f t="shared" si="56"/>
        <v>43864</v>
      </c>
      <c r="J45" s="160">
        <f t="shared" si="56"/>
        <v>43895</v>
      </c>
      <c r="K45" s="160">
        <f t="shared" si="56"/>
        <v>43926</v>
      </c>
      <c r="L45" s="160">
        <f t="shared" si="56"/>
        <v>43957</v>
      </c>
      <c r="M45" s="160">
        <f t="shared" si="56"/>
        <v>43988</v>
      </c>
      <c r="N45" s="159" t="s">
        <v>84</v>
      </c>
    </row>
    <row r="46" spans="1:23" s="17" customFormat="1" x14ac:dyDescent="0.35">
      <c r="A46" s="17" t="s">
        <v>289</v>
      </c>
      <c r="B46" s="17">
        <f>SUM(B47:B58)</f>
        <v>0</v>
      </c>
      <c r="C46" s="17">
        <f t="shared" ref="C46:M46" si="57">SUM(C47:C58)</f>
        <v>0</v>
      </c>
      <c r="D46" s="17">
        <f t="shared" si="57"/>
        <v>0</v>
      </c>
      <c r="E46" s="17">
        <f t="shared" si="57"/>
        <v>0</v>
      </c>
      <c r="F46" s="17">
        <f t="shared" si="57"/>
        <v>0</v>
      </c>
      <c r="G46" s="17">
        <f t="shared" si="57"/>
        <v>0</v>
      </c>
      <c r="H46" s="17">
        <f t="shared" si="57"/>
        <v>0</v>
      </c>
      <c r="I46" s="17">
        <f t="shared" si="57"/>
        <v>0</v>
      </c>
      <c r="J46" s="17">
        <f t="shared" si="57"/>
        <v>0</v>
      </c>
      <c r="K46" s="17">
        <f t="shared" si="57"/>
        <v>0</v>
      </c>
      <c r="L46" s="17">
        <f t="shared" si="57"/>
        <v>0</v>
      </c>
      <c r="M46" s="17">
        <f t="shared" si="57"/>
        <v>0</v>
      </c>
      <c r="N46" s="156">
        <f>SUM(B46:M46)</f>
        <v>0</v>
      </c>
    </row>
    <row r="47" spans="1:23" s="156" customFormat="1" ht="10.5" x14ac:dyDescent="0.35">
      <c r="A47" s="157">
        <v>43647</v>
      </c>
      <c r="B47" s="156">
        <f>+B5*B35/12</f>
        <v>0</v>
      </c>
      <c r="C47" s="156">
        <f>+B47</f>
        <v>0</v>
      </c>
      <c r="D47" s="156">
        <f t="shared" ref="D47:M57" si="58">+C47</f>
        <v>0</v>
      </c>
      <c r="E47" s="156">
        <f t="shared" si="58"/>
        <v>0</v>
      </c>
      <c r="F47" s="156">
        <f t="shared" si="58"/>
        <v>0</v>
      </c>
      <c r="G47" s="156">
        <f t="shared" si="58"/>
        <v>0</v>
      </c>
      <c r="H47" s="156">
        <f t="shared" si="58"/>
        <v>0</v>
      </c>
      <c r="I47" s="156">
        <f t="shared" si="58"/>
        <v>0</v>
      </c>
      <c r="J47" s="156">
        <f t="shared" si="58"/>
        <v>0</v>
      </c>
      <c r="K47" s="156">
        <f t="shared" si="58"/>
        <v>0</v>
      </c>
      <c r="L47" s="156">
        <f t="shared" si="58"/>
        <v>0</v>
      </c>
      <c r="M47" s="156">
        <f t="shared" si="58"/>
        <v>0</v>
      </c>
      <c r="N47" s="156">
        <f>SUM(B47:M47)</f>
        <v>0</v>
      </c>
    </row>
    <row r="48" spans="1:23" s="156" customFormat="1" ht="10.5" x14ac:dyDescent="0.35">
      <c r="A48" s="157">
        <f>+A47+31</f>
        <v>43678</v>
      </c>
      <c r="B48" s="158"/>
      <c r="C48" s="156">
        <f>+(C5*C35*11/12)/11</f>
        <v>0</v>
      </c>
      <c r="D48" s="156">
        <f t="shared" si="58"/>
        <v>0</v>
      </c>
      <c r="E48" s="156">
        <f t="shared" si="58"/>
        <v>0</v>
      </c>
      <c r="F48" s="156">
        <f t="shared" si="58"/>
        <v>0</v>
      </c>
      <c r="G48" s="156">
        <f t="shared" si="58"/>
        <v>0</v>
      </c>
      <c r="H48" s="156">
        <f t="shared" si="58"/>
        <v>0</v>
      </c>
      <c r="I48" s="156">
        <f t="shared" si="58"/>
        <v>0</v>
      </c>
      <c r="J48" s="156">
        <f t="shared" si="58"/>
        <v>0</v>
      </c>
      <c r="K48" s="156">
        <f t="shared" si="58"/>
        <v>0</v>
      </c>
      <c r="L48" s="156">
        <f t="shared" si="58"/>
        <v>0</v>
      </c>
      <c r="M48" s="156">
        <f t="shared" si="58"/>
        <v>0</v>
      </c>
      <c r="N48" s="156">
        <f t="shared" ref="N48:N58" si="59">SUM(B48:M48)</f>
        <v>0</v>
      </c>
    </row>
    <row r="49" spans="1:14" s="156" customFormat="1" ht="10.5" x14ac:dyDescent="0.35">
      <c r="A49" s="157">
        <f t="shared" ref="A49:A58" si="60">+A48+31</f>
        <v>43709</v>
      </c>
      <c r="B49" s="158"/>
      <c r="C49" s="158"/>
      <c r="D49" s="156">
        <f>+(D5*D35*10/12)/10</f>
        <v>0</v>
      </c>
      <c r="E49" s="156">
        <f t="shared" si="58"/>
        <v>0</v>
      </c>
      <c r="F49" s="156">
        <f t="shared" si="58"/>
        <v>0</v>
      </c>
      <c r="G49" s="156">
        <f t="shared" si="58"/>
        <v>0</v>
      </c>
      <c r="H49" s="156">
        <f t="shared" si="58"/>
        <v>0</v>
      </c>
      <c r="I49" s="156">
        <f t="shared" si="58"/>
        <v>0</v>
      </c>
      <c r="J49" s="156">
        <f t="shared" si="58"/>
        <v>0</v>
      </c>
      <c r="K49" s="156">
        <f t="shared" si="58"/>
        <v>0</v>
      </c>
      <c r="L49" s="156">
        <f t="shared" si="58"/>
        <v>0</v>
      </c>
      <c r="M49" s="156">
        <f t="shared" si="58"/>
        <v>0</v>
      </c>
      <c r="N49" s="156">
        <f t="shared" si="59"/>
        <v>0</v>
      </c>
    </row>
    <row r="50" spans="1:14" s="156" customFormat="1" ht="10.5" x14ac:dyDescent="0.35">
      <c r="A50" s="157">
        <f t="shared" si="60"/>
        <v>43740</v>
      </c>
      <c r="B50" s="158"/>
      <c r="C50" s="158"/>
      <c r="D50" s="158"/>
      <c r="E50" s="156">
        <f>+(E5*E35*9/12)/9</f>
        <v>0</v>
      </c>
      <c r="F50" s="156">
        <f t="shared" si="58"/>
        <v>0</v>
      </c>
      <c r="G50" s="156">
        <f t="shared" si="58"/>
        <v>0</v>
      </c>
      <c r="H50" s="156">
        <f t="shared" si="58"/>
        <v>0</v>
      </c>
      <c r="I50" s="156">
        <f t="shared" si="58"/>
        <v>0</v>
      </c>
      <c r="J50" s="156">
        <f t="shared" si="58"/>
        <v>0</v>
      </c>
      <c r="K50" s="156">
        <f t="shared" si="58"/>
        <v>0</v>
      </c>
      <c r="L50" s="156">
        <f t="shared" si="58"/>
        <v>0</v>
      </c>
      <c r="M50" s="156">
        <f t="shared" si="58"/>
        <v>0</v>
      </c>
      <c r="N50" s="156">
        <f t="shared" si="59"/>
        <v>0</v>
      </c>
    </row>
    <row r="51" spans="1:14" s="156" customFormat="1" ht="10.5" x14ac:dyDescent="0.35">
      <c r="A51" s="157">
        <f t="shared" si="60"/>
        <v>43771</v>
      </c>
      <c r="B51" s="158"/>
      <c r="C51" s="158"/>
      <c r="D51" s="158"/>
      <c r="E51" s="158"/>
      <c r="F51" s="156">
        <f>+(F5*F35*8/12)/8</f>
        <v>0</v>
      </c>
      <c r="G51" s="156">
        <f t="shared" si="58"/>
        <v>0</v>
      </c>
      <c r="H51" s="156">
        <f t="shared" si="58"/>
        <v>0</v>
      </c>
      <c r="I51" s="156">
        <f t="shared" si="58"/>
        <v>0</v>
      </c>
      <c r="J51" s="156">
        <f t="shared" si="58"/>
        <v>0</v>
      </c>
      <c r="K51" s="156">
        <f t="shared" si="58"/>
        <v>0</v>
      </c>
      <c r="L51" s="156">
        <f t="shared" si="58"/>
        <v>0</v>
      </c>
      <c r="M51" s="156">
        <f t="shared" si="58"/>
        <v>0</v>
      </c>
      <c r="N51" s="156">
        <f t="shared" si="59"/>
        <v>0</v>
      </c>
    </row>
    <row r="52" spans="1:14" s="156" customFormat="1" ht="10.5" x14ac:dyDescent="0.35">
      <c r="A52" s="157">
        <f t="shared" si="60"/>
        <v>43802</v>
      </c>
      <c r="B52" s="158"/>
      <c r="C52" s="158"/>
      <c r="D52" s="158"/>
      <c r="E52" s="158"/>
      <c r="F52" s="158"/>
      <c r="G52" s="156">
        <f>+(G5*G35*7/12)/7</f>
        <v>0</v>
      </c>
      <c r="H52" s="156">
        <f t="shared" si="58"/>
        <v>0</v>
      </c>
      <c r="I52" s="156">
        <f t="shared" si="58"/>
        <v>0</v>
      </c>
      <c r="J52" s="156">
        <f t="shared" si="58"/>
        <v>0</v>
      </c>
      <c r="K52" s="156">
        <f t="shared" si="58"/>
        <v>0</v>
      </c>
      <c r="L52" s="156">
        <f t="shared" si="58"/>
        <v>0</v>
      </c>
      <c r="M52" s="156">
        <f t="shared" si="58"/>
        <v>0</v>
      </c>
      <c r="N52" s="156">
        <f t="shared" si="59"/>
        <v>0</v>
      </c>
    </row>
    <row r="53" spans="1:14" s="156" customFormat="1" ht="10.5" x14ac:dyDescent="0.35">
      <c r="A53" s="157">
        <f t="shared" si="60"/>
        <v>43833</v>
      </c>
      <c r="B53" s="158"/>
      <c r="C53" s="158"/>
      <c r="D53" s="158"/>
      <c r="E53" s="158"/>
      <c r="F53" s="158"/>
      <c r="G53" s="158"/>
      <c r="H53" s="156">
        <f>+(H5*H35*6/12)/6</f>
        <v>0</v>
      </c>
      <c r="I53" s="156">
        <f t="shared" si="58"/>
        <v>0</v>
      </c>
      <c r="J53" s="156">
        <f t="shared" si="58"/>
        <v>0</v>
      </c>
      <c r="K53" s="156">
        <f t="shared" si="58"/>
        <v>0</v>
      </c>
      <c r="L53" s="156">
        <f t="shared" si="58"/>
        <v>0</v>
      </c>
      <c r="M53" s="156">
        <f t="shared" si="58"/>
        <v>0</v>
      </c>
      <c r="N53" s="156">
        <f t="shared" si="59"/>
        <v>0</v>
      </c>
    </row>
    <row r="54" spans="1:14" s="156" customFormat="1" ht="10.5" x14ac:dyDescent="0.35">
      <c r="A54" s="157">
        <f t="shared" si="60"/>
        <v>43864</v>
      </c>
      <c r="B54" s="158"/>
      <c r="C54" s="158"/>
      <c r="D54" s="158"/>
      <c r="E54" s="158"/>
      <c r="F54" s="158"/>
      <c r="G54" s="158"/>
      <c r="H54" s="158"/>
      <c r="I54" s="156">
        <f>(I5*I35*5/12)/5</f>
        <v>0</v>
      </c>
      <c r="J54" s="156">
        <f t="shared" si="58"/>
        <v>0</v>
      </c>
      <c r="K54" s="156">
        <f t="shared" si="58"/>
        <v>0</v>
      </c>
      <c r="L54" s="156">
        <f t="shared" si="58"/>
        <v>0</v>
      </c>
      <c r="M54" s="156">
        <f t="shared" si="58"/>
        <v>0</v>
      </c>
      <c r="N54" s="156">
        <f t="shared" si="59"/>
        <v>0</v>
      </c>
    </row>
    <row r="55" spans="1:14" s="156" customFormat="1" ht="10.5" x14ac:dyDescent="0.35">
      <c r="A55" s="157">
        <f t="shared" si="60"/>
        <v>43895</v>
      </c>
      <c r="B55" s="158"/>
      <c r="C55" s="158"/>
      <c r="D55" s="158"/>
      <c r="E55" s="158"/>
      <c r="F55" s="158"/>
      <c r="G55" s="158"/>
      <c r="H55" s="158"/>
      <c r="I55" s="158"/>
      <c r="J55" s="156">
        <f>(J5*J35*4/12)/4</f>
        <v>0</v>
      </c>
      <c r="K55" s="156">
        <f t="shared" si="58"/>
        <v>0</v>
      </c>
      <c r="L55" s="156">
        <f t="shared" si="58"/>
        <v>0</v>
      </c>
      <c r="M55" s="156">
        <f t="shared" si="58"/>
        <v>0</v>
      </c>
      <c r="N55" s="156">
        <f t="shared" si="59"/>
        <v>0</v>
      </c>
    </row>
    <row r="56" spans="1:14" s="156" customFormat="1" ht="10.5" x14ac:dyDescent="0.35">
      <c r="A56" s="157">
        <f t="shared" si="60"/>
        <v>43926</v>
      </c>
      <c r="B56" s="158"/>
      <c r="C56" s="158"/>
      <c r="D56" s="158"/>
      <c r="E56" s="158"/>
      <c r="F56" s="158"/>
      <c r="G56" s="158"/>
      <c r="H56" s="158"/>
      <c r="I56" s="158"/>
      <c r="J56" s="158"/>
      <c r="K56" s="156">
        <f>(K5*K35*3/12)/3</f>
        <v>0</v>
      </c>
      <c r="L56" s="156">
        <f t="shared" si="58"/>
        <v>0</v>
      </c>
      <c r="M56" s="156">
        <f t="shared" si="58"/>
        <v>0</v>
      </c>
      <c r="N56" s="156">
        <f t="shared" si="59"/>
        <v>0</v>
      </c>
    </row>
    <row r="57" spans="1:14" s="156" customFormat="1" ht="10.5" x14ac:dyDescent="0.35">
      <c r="A57" s="157">
        <f t="shared" si="60"/>
        <v>43957</v>
      </c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6">
        <f>(L5*L35*2/12)/2</f>
        <v>0</v>
      </c>
      <c r="M57" s="156">
        <f t="shared" si="58"/>
        <v>0</v>
      </c>
      <c r="N57" s="156">
        <f t="shared" si="59"/>
        <v>0</v>
      </c>
    </row>
    <row r="58" spans="1:14" s="156" customFormat="1" ht="10.5" x14ac:dyDescent="0.35">
      <c r="A58" s="157">
        <f t="shared" si="60"/>
        <v>43988</v>
      </c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6">
        <f>(M5*M35/12)</f>
        <v>0</v>
      </c>
      <c r="N58" s="156">
        <f t="shared" si="59"/>
        <v>0</v>
      </c>
    </row>
    <row r="59" spans="1:14" s="156" customFormat="1" x14ac:dyDescent="0.35">
      <c r="A59" s="32"/>
      <c r="B59" s="160">
        <v>43647</v>
      </c>
      <c r="C59" s="160">
        <f>+B59+31</f>
        <v>43678</v>
      </c>
      <c r="D59" s="160">
        <f t="shared" ref="D59:M59" si="61">+C59+31</f>
        <v>43709</v>
      </c>
      <c r="E59" s="160">
        <f t="shared" si="61"/>
        <v>43740</v>
      </c>
      <c r="F59" s="160">
        <f t="shared" si="61"/>
        <v>43771</v>
      </c>
      <c r="G59" s="160">
        <f t="shared" si="61"/>
        <v>43802</v>
      </c>
      <c r="H59" s="160">
        <f t="shared" si="61"/>
        <v>43833</v>
      </c>
      <c r="I59" s="160">
        <f t="shared" si="61"/>
        <v>43864</v>
      </c>
      <c r="J59" s="160">
        <f t="shared" si="61"/>
        <v>43895</v>
      </c>
      <c r="K59" s="160">
        <f t="shared" si="61"/>
        <v>43926</v>
      </c>
      <c r="L59" s="160">
        <f t="shared" si="61"/>
        <v>43957</v>
      </c>
      <c r="M59" s="160">
        <f t="shared" si="61"/>
        <v>43988</v>
      </c>
      <c r="N59" s="159" t="s">
        <v>84</v>
      </c>
    </row>
    <row r="60" spans="1:14" s="156" customFormat="1" x14ac:dyDescent="0.35">
      <c r="A60" s="17" t="s">
        <v>290</v>
      </c>
      <c r="B60" s="17">
        <f>SUM(B61:B72)</f>
        <v>0</v>
      </c>
      <c r="C60" s="17">
        <f t="shared" ref="C60" si="62">SUM(C61:C72)</f>
        <v>0</v>
      </c>
      <c r="D60" s="17">
        <f t="shared" ref="D60" si="63">SUM(D61:D72)</f>
        <v>0</v>
      </c>
      <c r="E60" s="17">
        <f t="shared" ref="E60" si="64">SUM(E61:E72)</f>
        <v>0</v>
      </c>
      <c r="F60" s="17">
        <f t="shared" ref="F60" si="65">SUM(F61:F72)</f>
        <v>0</v>
      </c>
      <c r="G60" s="17">
        <f t="shared" ref="G60" si="66">SUM(G61:G72)</f>
        <v>0</v>
      </c>
      <c r="H60" s="17">
        <f t="shared" ref="H60" si="67">SUM(H61:H72)</f>
        <v>0</v>
      </c>
      <c r="I60" s="17">
        <f t="shared" ref="I60" si="68">SUM(I61:I72)</f>
        <v>0</v>
      </c>
      <c r="J60" s="17">
        <f t="shared" ref="J60" si="69">SUM(J61:J72)</f>
        <v>0</v>
      </c>
      <c r="K60" s="17">
        <f t="shared" ref="K60" si="70">SUM(K61:K72)</f>
        <v>0</v>
      </c>
      <c r="L60" s="17">
        <f t="shared" ref="L60" si="71">SUM(L61:L72)</f>
        <v>0</v>
      </c>
      <c r="M60" s="17">
        <f t="shared" ref="M60" si="72">SUM(M61:M72)</f>
        <v>0</v>
      </c>
      <c r="N60" s="156">
        <f>SUM(B60:M60)</f>
        <v>0</v>
      </c>
    </row>
    <row r="61" spans="1:14" s="156" customFormat="1" ht="10.5" x14ac:dyDescent="0.35">
      <c r="A61" s="157">
        <v>43647</v>
      </c>
      <c r="B61" s="156">
        <f>+B39*B14/12</f>
        <v>0</v>
      </c>
      <c r="C61" s="156">
        <f>+B61</f>
        <v>0</v>
      </c>
      <c r="D61" s="156">
        <f t="shared" ref="D61:M70" si="73">+C61</f>
        <v>0</v>
      </c>
      <c r="E61" s="156">
        <f t="shared" si="73"/>
        <v>0</v>
      </c>
      <c r="F61" s="156">
        <f t="shared" si="73"/>
        <v>0</v>
      </c>
      <c r="G61" s="156">
        <f t="shared" si="73"/>
        <v>0</v>
      </c>
      <c r="H61" s="156">
        <f t="shared" si="73"/>
        <v>0</v>
      </c>
      <c r="I61" s="156">
        <f t="shared" si="73"/>
        <v>0</v>
      </c>
      <c r="J61" s="156">
        <f t="shared" si="73"/>
        <v>0</v>
      </c>
      <c r="K61" s="156">
        <f t="shared" si="73"/>
        <v>0</v>
      </c>
      <c r="L61" s="156">
        <f t="shared" si="73"/>
        <v>0</v>
      </c>
      <c r="M61" s="156">
        <f t="shared" si="73"/>
        <v>0</v>
      </c>
      <c r="N61" s="156">
        <f>SUM(B61:M61)</f>
        <v>0</v>
      </c>
    </row>
    <row r="62" spans="1:14" s="156" customFormat="1" ht="10.5" x14ac:dyDescent="0.35">
      <c r="A62" s="157">
        <f>+A61+31</f>
        <v>43678</v>
      </c>
      <c r="B62" s="158"/>
      <c r="C62" s="156">
        <f>+(C39*C14*11/12)/11</f>
        <v>0</v>
      </c>
      <c r="D62" s="156">
        <f t="shared" si="73"/>
        <v>0</v>
      </c>
      <c r="E62" s="156">
        <f t="shared" si="73"/>
        <v>0</v>
      </c>
      <c r="F62" s="156">
        <f t="shared" si="73"/>
        <v>0</v>
      </c>
      <c r="G62" s="156">
        <f t="shared" si="73"/>
        <v>0</v>
      </c>
      <c r="H62" s="156">
        <f t="shared" si="73"/>
        <v>0</v>
      </c>
      <c r="I62" s="156">
        <f t="shared" si="73"/>
        <v>0</v>
      </c>
      <c r="J62" s="156">
        <f t="shared" si="73"/>
        <v>0</v>
      </c>
      <c r="K62" s="156">
        <f t="shared" si="73"/>
        <v>0</v>
      </c>
      <c r="L62" s="156">
        <f t="shared" si="73"/>
        <v>0</v>
      </c>
      <c r="M62" s="156">
        <f t="shared" si="73"/>
        <v>0</v>
      </c>
      <c r="N62" s="156">
        <f t="shared" ref="N62:N72" si="74">SUM(B62:M62)</f>
        <v>0</v>
      </c>
    </row>
    <row r="63" spans="1:14" s="156" customFormat="1" ht="10.5" x14ac:dyDescent="0.35">
      <c r="A63" s="157">
        <f t="shared" ref="A63:A72" si="75">+A62+31</f>
        <v>43709</v>
      </c>
      <c r="B63" s="158"/>
      <c r="C63" s="158"/>
      <c r="D63" s="156">
        <f>+(D39*D14*10/12)/10</f>
        <v>0</v>
      </c>
      <c r="E63" s="156">
        <f t="shared" si="73"/>
        <v>0</v>
      </c>
      <c r="F63" s="156">
        <f t="shared" si="73"/>
        <v>0</v>
      </c>
      <c r="G63" s="156">
        <f t="shared" si="73"/>
        <v>0</v>
      </c>
      <c r="H63" s="156">
        <f t="shared" si="73"/>
        <v>0</v>
      </c>
      <c r="I63" s="156">
        <f t="shared" si="73"/>
        <v>0</v>
      </c>
      <c r="J63" s="156">
        <f t="shared" si="73"/>
        <v>0</v>
      </c>
      <c r="K63" s="156">
        <f t="shared" si="73"/>
        <v>0</v>
      </c>
      <c r="L63" s="156">
        <f t="shared" si="73"/>
        <v>0</v>
      </c>
      <c r="M63" s="156">
        <f t="shared" si="73"/>
        <v>0</v>
      </c>
      <c r="N63" s="156">
        <f t="shared" si="74"/>
        <v>0</v>
      </c>
    </row>
    <row r="64" spans="1:14" s="156" customFormat="1" ht="10.5" x14ac:dyDescent="0.35">
      <c r="A64" s="157">
        <f t="shared" si="75"/>
        <v>43740</v>
      </c>
      <c r="B64" s="158"/>
      <c r="C64" s="158"/>
      <c r="D64" s="158"/>
      <c r="E64" s="156">
        <f>+(E39*E14*9/12)/9</f>
        <v>0</v>
      </c>
      <c r="F64" s="156">
        <f t="shared" si="73"/>
        <v>0</v>
      </c>
      <c r="G64" s="156">
        <f t="shared" si="73"/>
        <v>0</v>
      </c>
      <c r="H64" s="156">
        <f t="shared" si="73"/>
        <v>0</v>
      </c>
      <c r="I64" s="156">
        <f t="shared" si="73"/>
        <v>0</v>
      </c>
      <c r="J64" s="156">
        <f t="shared" si="73"/>
        <v>0</v>
      </c>
      <c r="K64" s="156">
        <f t="shared" si="73"/>
        <v>0</v>
      </c>
      <c r="L64" s="156">
        <f t="shared" si="73"/>
        <v>0</v>
      </c>
      <c r="M64" s="156">
        <f t="shared" si="73"/>
        <v>0</v>
      </c>
      <c r="N64" s="156">
        <f t="shared" si="74"/>
        <v>0</v>
      </c>
    </row>
    <row r="65" spans="1:14" s="156" customFormat="1" ht="10.5" x14ac:dyDescent="0.35">
      <c r="A65" s="157">
        <f t="shared" si="75"/>
        <v>43771</v>
      </c>
      <c r="B65" s="158"/>
      <c r="C65" s="158"/>
      <c r="D65" s="158"/>
      <c r="E65" s="158"/>
      <c r="F65" s="156">
        <f>(+F39*F14*8/12)/8</f>
        <v>0</v>
      </c>
      <c r="G65" s="156">
        <f t="shared" si="73"/>
        <v>0</v>
      </c>
      <c r="H65" s="156">
        <f t="shared" si="73"/>
        <v>0</v>
      </c>
      <c r="I65" s="156">
        <f t="shared" si="73"/>
        <v>0</v>
      </c>
      <c r="J65" s="156">
        <f t="shared" si="73"/>
        <v>0</v>
      </c>
      <c r="K65" s="156">
        <f t="shared" si="73"/>
        <v>0</v>
      </c>
      <c r="L65" s="156">
        <f t="shared" si="73"/>
        <v>0</v>
      </c>
      <c r="M65" s="156">
        <f t="shared" si="73"/>
        <v>0</v>
      </c>
      <c r="N65" s="156">
        <f t="shared" si="74"/>
        <v>0</v>
      </c>
    </row>
    <row r="66" spans="1:14" s="156" customFormat="1" ht="10.5" x14ac:dyDescent="0.35">
      <c r="A66" s="157">
        <f t="shared" si="75"/>
        <v>43802</v>
      </c>
      <c r="B66" s="158"/>
      <c r="C66" s="158"/>
      <c r="D66" s="158"/>
      <c r="E66" s="158"/>
      <c r="F66" s="158"/>
      <c r="G66" s="156">
        <f>+(G39*G14*7/12)/7</f>
        <v>0</v>
      </c>
      <c r="H66" s="156">
        <f>+G66</f>
        <v>0</v>
      </c>
      <c r="I66" s="156">
        <f t="shared" si="73"/>
        <v>0</v>
      </c>
      <c r="J66" s="156">
        <f t="shared" si="73"/>
        <v>0</v>
      </c>
      <c r="K66" s="156">
        <f t="shared" si="73"/>
        <v>0</v>
      </c>
      <c r="L66" s="156">
        <f t="shared" si="73"/>
        <v>0</v>
      </c>
      <c r="M66" s="156">
        <f t="shared" ref="M66" si="76">+L66</f>
        <v>0</v>
      </c>
      <c r="N66" s="156">
        <f t="shared" si="74"/>
        <v>0</v>
      </c>
    </row>
    <row r="67" spans="1:14" s="156" customFormat="1" ht="10.5" x14ac:dyDescent="0.35">
      <c r="A67" s="157">
        <f t="shared" si="75"/>
        <v>43833</v>
      </c>
      <c r="B67" s="158"/>
      <c r="C67" s="158"/>
      <c r="D67" s="158"/>
      <c r="E67" s="158"/>
      <c r="F67" s="158"/>
      <c r="G67" s="158"/>
      <c r="H67" s="156">
        <f>+(H39*H14*6/12)/6</f>
        <v>0</v>
      </c>
      <c r="I67" s="156">
        <f t="shared" si="73"/>
        <v>0</v>
      </c>
      <c r="J67" s="156">
        <f t="shared" si="73"/>
        <v>0</v>
      </c>
      <c r="K67" s="156">
        <f t="shared" si="73"/>
        <v>0</v>
      </c>
      <c r="L67" s="156">
        <f t="shared" si="73"/>
        <v>0</v>
      </c>
      <c r="M67" s="156">
        <f t="shared" ref="M67" si="77">+L67</f>
        <v>0</v>
      </c>
      <c r="N67" s="156">
        <f t="shared" si="74"/>
        <v>0</v>
      </c>
    </row>
    <row r="68" spans="1:14" s="156" customFormat="1" ht="10.5" x14ac:dyDescent="0.35">
      <c r="A68" s="157">
        <f t="shared" si="75"/>
        <v>43864</v>
      </c>
      <c r="B68" s="158"/>
      <c r="C68" s="158"/>
      <c r="D68" s="158"/>
      <c r="E68" s="158"/>
      <c r="F68" s="158"/>
      <c r="G68" s="158"/>
      <c r="H68" s="158"/>
      <c r="I68" s="156">
        <f>+(I39*I14*5/12)/5</f>
        <v>0</v>
      </c>
      <c r="J68" s="156">
        <f t="shared" si="73"/>
        <v>0</v>
      </c>
      <c r="K68" s="156">
        <f t="shared" si="73"/>
        <v>0</v>
      </c>
      <c r="L68" s="156">
        <f t="shared" si="73"/>
        <v>0</v>
      </c>
      <c r="M68" s="156">
        <f t="shared" ref="M68" si="78">+L68</f>
        <v>0</v>
      </c>
      <c r="N68" s="156">
        <f t="shared" si="74"/>
        <v>0</v>
      </c>
    </row>
    <row r="69" spans="1:14" s="156" customFormat="1" ht="10.5" x14ac:dyDescent="0.35">
      <c r="A69" s="157">
        <f t="shared" si="75"/>
        <v>43895</v>
      </c>
      <c r="B69" s="158"/>
      <c r="C69" s="158"/>
      <c r="D69" s="158"/>
      <c r="E69" s="158"/>
      <c r="F69" s="158"/>
      <c r="G69" s="158"/>
      <c r="H69" s="158"/>
      <c r="I69" s="158"/>
      <c r="J69" s="156">
        <f>+(J39*J14*4/12)/4</f>
        <v>0</v>
      </c>
      <c r="K69" s="156">
        <f t="shared" si="73"/>
        <v>0</v>
      </c>
      <c r="L69" s="156">
        <f t="shared" si="73"/>
        <v>0</v>
      </c>
      <c r="M69" s="156">
        <f t="shared" ref="M69" si="79">+L69</f>
        <v>0</v>
      </c>
      <c r="N69" s="156">
        <f t="shared" si="74"/>
        <v>0</v>
      </c>
    </row>
    <row r="70" spans="1:14" s="156" customFormat="1" ht="10.5" x14ac:dyDescent="0.35">
      <c r="A70" s="157">
        <f t="shared" si="75"/>
        <v>43926</v>
      </c>
      <c r="B70" s="158"/>
      <c r="C70" s="158"/>
      <c r="D70" s="158"/>
      <c r="E70" s="158"/>
      <c r="F70" s="158"/>
      <c r="G70" s="158"/>
      <c r="H70" s="158"/>
      <c r="I70" s="158"/>
      <c r="J70" s="158"/>
      <c r="K70" s="156">
        <f>+(K39*K14*3/12)/3</f>
        <v>0</v>
      </c>
      <c r="L70" s="156">
        <f t="shared" si="73"/>
        <v>0</v>
      </c>
      <c r="M70" s="156">
        <f t="shared" ref="M70:M71" si="80">+L70</f>
        <v>0</v>
      </c>
      <c r="N70" s="156">
        <f t="shared" si="74"/>
        <v>0</v>
      </c>
    </row>
    <row r="71" spans="1:14" s="156" customFormat="1" ht="10.5" x14ac:dyDescent="0.35">
      <c r="A71" s="157">
        <f t="shared" si="75"/>
        <v>43957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6">
        <f>+(L39*L14*2/12)/2</f>
        <v>0</v>
      </c>
      <c r="M71" s="156">
        <f t="shared" si="80"/>
        <v>0</v>
      </c>
      <c r="N71" s="156">
        <f t="shared" si="74"/>
        <v>0</v>
      </c>
    </row>
    <row r="72" spans="1:14" s="156" customFormat="1" ht="10.5" x14ac:dyDescent="0.35">
      <c r="A72" s="157">
        <f t="shared" si="75"/>
        <v>43988</v>
      </c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6">
        <f>+(M39*M14/12)</f>
        <v>0</v>
      </c>
      <c r="N72" s="156">
        <f t="shared" si="74"/>
        <v>0</v>
      </c>
    </row>
    <row r="73" spans="1:14" s="156" customFormat="1" x14ac:dyDescent="0.35">
      <c r="A73" s="32"/>
      <c r="B73" s="160">
        <v>43647</v>
      </c>
      <c r="C73" s="160">
        <f>+B73+31</f>
        <v>43678</v>
      </c>
      <c r="D73" s="160">
        <f t="shared" ref="D73:M73" si="81">+C73+31</f>
        <v>43709</v>
      </c>
      <c r="E73" s="160">
        <f t="shared" si="81"/>
        <v>43740</v>
      </c>
      <c r="F73" s="160">
        <f t="shared" si="81"/>
        <v>43771</v>
      </c>
      <c r="G73" s="160">
        <f t="shared" si="81"/>
        <v>43802</v>
      </c>
      <c r="H73" s="160">
        <f t="shared" si="81"/>
        <v>43833</v>
      </c>
      <c r="I73" s="160">
        <f t="shared" si="81"/>
        <v>43864</v>
      </c>
      <c r="J73" s="160">
        <f t="shared" si="81"/>
        <v>43895</v>
      </c>
      <c r="K73" s="160">
        <f t="shared" si="81"/>
        <v>43926</v>
      </c>
      <c r="L73" s="160">
        <f t="shared" si="81"/>
        <v>43957</v>
      </c>
      <c r="M73" s="160">
        <f t="shared" si="81"/>
        <v>43988</v>
      </c>
      <c r="N73" s="159" t="s">
        <v>84</v>
      </c>
    </row>
    <row r="74" spans="1:14" s="156" customFormat="1" x14ac:dyDescent="0.35">
      <c r="A74" s="17" t="s">
        <v>291</v>
      </c>
      <c r="B74" s="17">
        <f>SUM(B75:B86)</f>
        <v>0</v>
      </c>
      <c r="C74" s="17">
        <f t="shared" ref="C74" si="82">SUM(C75:C86)</f>
        <v>0</v>
      </c>
      <c r="D74" s="17">
        <f t="shared" ref="D74" si="83">SUM(D75:D86)</f>
        <v>0</v>
      </c>
      <c r="E74" s="17">
        <f t="shared" ref="E74" si="84">SUM(E75:E86)</f>
        <v>0</v>
      </c>
      <c r="F74" s="17">
        <f t="shared" ref="F74" si="85">SUM(F75:F86)</f>
        <v>0</v>
      </c>
      <c r="G74" s="17">
        <f t="shared" ref="G74" si="86">SUM(G75:G86)</f>
        <v>0</v>
      </c>
      <c r="H74" s="17">
        <f t="shared" ref="H74" si="87">SUM(H75:H86)</f>
        <v>0</v>
      </c>
      <c r="I74" s="17">
        <f t="shared" ref="I74" si="88">SUM(I75:I86)</f>
        <v>0</v>
      </c>
      <c r="J74" s="17">
        <f t="shared" ref="J74" si="89">SUM(J75:J86)</f>
        <v>0</v>
      </c>
      <c r="K74" s="17">
        <f t="shared" ref="K74" si="90">SUM(K75:K86)</f>
        <v>0</v>
      </c>
      <c r="L74" s="17">
        <f t="shared" ref="L74" si="91">SUM(L75:L86)</f>
        <v>0</v>
      </c>
      <c r="M74" s="17">
        <f t="shared" ref="M74" si="92">SUM(M75:M86)</f>
        <v>0</v>
      </c>
      <c r="N74" s="156">
        <f>SUM(B74:M74)</f>
        <v>0</v>
      </c>
    </row>
    <row r="75" spans="1:14" s="156" customFormat="1" ht="10.5" x14ac:dyDescent="0.35">
      <c r="A75" s="157">
        <v>43647</v>
      </c>
      <c r="B75" s="156">
        <f>+B43*B23/12</f>
        <v>0</v>
      </c>
      <c r="C75" s="156">
        <f>+B75</f>
        <v>0</v>
      </c>
      <c r="D75" s="156">
        <f t="shared" ref="D75:M75" si="93">+C75</f>
        <v>0</v>
      </c>
      <c r="E75" s="156">
        <f t="shared" si="93"/>
        <v>0</v>
      </c>
      <c r="F75" s="156">
        <f t="shared" si="93"/>
        <v>0</v>
      </c>
      <c r="G75" s="156">
        <f t="shared" si="93"/>
        <v>0</v>
      </c>
      <c r="H75" s="156">
        <f t="shared" si="93"/>
        <v>0</v>
      </c>
      <c r="I75" s="156">
        <f t="shared" si="93"/>
        <v>0</v>
      </c>
      <c r="J75" s="156">
        <f t="shared" si="93"/>
        <v>0</v>
      </c>
      <c r="K75" s="156">
        <f t="shared" si="93"/>
        <v>0</v>
      </c>
      <c r="L75" s="156">
        <f t="shared" si="93"/>
        <v>0</v>
      </c>
      <c r="M75" s="156">
        <f t="shared" si="93"/>
        <v>0</v>
      </c>
      <c r="N75" s="156">
        <f>SUM(B75:M75)</f>
        <v>0</v>
      </c>
    </row>
    <row r="76" spans="1:14" s="156" customFormat="1" ht="10.5" x14ac:dyDescent="0.35">
      <c r="A76" s="157">
        <f>+A75+31</f>
        <v>43678</v>
      </c>
      <c r="B76" s="158"/>
      <c r="C76" s="156">
        <f>+(C43*C23*11/12)/11</f>
        <v>0</v>
      </c>
      <c r="D76" s="156">
        <f t="shared" ref="D76:M76" si="94">+C76</f>
        <v>0</v>
      </c>
      <c r="E76" s="156">
        <f t="shared" si="94"/>
        <v>0</v>
      </c>
      <c r="F76" s="156">
        <f t="shared" si="94"/>
        <v>0</v>
      </c>
      <c r="G76" s="156">
        <f t="shared" si="94"/>
        <v>0</v>
      </c>
      <c r="H76" s="156">
        <f t="shared" si="94"/>
        <v>0</v>
      </c>
      <c r="I76" s="156">
        <f t="shared" si="94"/>
        <v>0</v>
      </c>
      <c r="J76" s="156">
        <f t="shared" si="94"/>
        <v>0</v>
      </c>
      <c r="K76" s="156">
        <f t="shared" si="94"/>
        <v>0</v>
      </c>
      <c r="L76" s="156">
        <f t="shared" si="94"/>
        <v>0</v>
      </c>
      <c r="M76" s="156">
        <f t="shared" si="94"/>
        <v>0</v>
      </c>
      <c r="N76" s="156">
        <f t="shared" ref="N76:N86" si="95">SUM(B76:M76)</f>
        <v>0</v>
      </c>
    </row>
    <row r="77" spans="1:14" s="156" customFormat="1" ht="10.5" x14ac:dyDescent="0.35">
      <c r="A77" s="157">
        <f t="shared" ref="A77:A86" si="96">+A76+31</f>
        <v>43709</v>
      </c>
      <c r="B77" s="158"/>
      <c r="C77" s="158"/>
      <c r="D77" s="156">
        <f>+(D43*D23*10/12)/10</f>
        <v>0</v>
      </c>
      <c r="E77" s="156">
        <f t="shared" ref="E77:M77" si="97">+D77</f>
        <v>0</v>
      </c>
      <c r="F77" s="156">
        <f t="shared" si="97"/>
        <v>0</v>
      </c>
      <c r="G77" s="156">
        <f t="shared" si="97"/>
        <v>0</v>
      </c>
      <c r="H77" s="156">
        <f t="shared" si="97"/>
        <v>0</v>
      </c>
      <c r="I77" s="156">
        <f t="shared" si="97"/>
        <v>0</v>
      </c>
      <c r="J77" s="156">
        <f t="shared" si="97"/>
        <v>0</v>
      </c>
      <c r="K77" s="156">
        <f t="shared" si="97"/>
        <v>0</v>
      </c>
      <c r="L77" s="156">
        <f t="shared" si="97"/>
        <v>0</v>
      </c>
      <c r="M77" s="156">
        <f t="shared" si="97"/>
        <v>0</v>
      </c>
      <c r="N77" s="156">
        <f t="shared" si="95"/>
        <v>0</v>
      </c>
    </row>
    <row r="78" spans="1:14" s="156" customFormat="1" ht="10.5" x14ac:dyDescent="0.35">
      <c r="A78" s="157">
        <f t="shared" si="96"/>
        <v>43740</v>
      </c>
      <c r="B78" s="158"/>
      <c r="C78" s="158"/>
      <c r="D78" s="158"/>
      <c r="E78" s="156">
        <f>+(E43*E23*9/12)/9</f>
        <v>0</v>
      </c>
      <c r="F78" s="156">
        <f t="shared" ref="F78:M78" si="98">+E78</f>
        <v>0</v>
      </c>
      <c r="G78" s="156">
        <f t="shared" si="98"/>
        <v>0</v>
      </c>
      <c r="H78" s="156">
        <f t="shared" si="98"/>
        <v>0</v>
      </c>
      <c r="I78" s="156">
        <f t="shared" si="98"/>
        <v>0</v>
      </c>
      <c r="J78" s="156">
        <f t="shared" si="98"/>
        <v>0</v>
      </c>
      <c r="K78" s="156">
        <f t="shared" si="98"/>
        <v>0</v>
      </c>
      <c r="L78" s="156">
        <f t="shared" si="98"/>
        <v>0</v>
      </c>
      <c r="M78" s="156">
        <f t="shared" si="98"/>
        <v>0</v>
      </c>
      <c r="N78" s="156">
        <f t="shared" si="95"/>
        <v>0</v>
      </c>
    </row>
    <row r="79" spans="1:14" s="156" customFormat="1" ht="10.5" x14ac:dyDescent="0.35">
      <c r="A79" s="157">
        <f t="shared" si="96"/>
        <v>43771</v>
      </c>
      <c r="B79" s="158"/>
      <c r="C79" s="158"/>
      <c r="D79" s="158"/>
      <c r="E79" s="158"/>
      <c r="F79" s="156">
        <f>(+F43*F23*8/12)/8</f>
        <v>0</v>
      </c>
      <c r="G79" s="156">
        <f t="shared" ref="G79:M85" si="99">+F79</f>
        <v>0</v>
      </c>
      <c r="H79" s="156">
        <f t="shared" si="99"/>
        <v>0</v>
      </c>
      <c r="I79" s="156">
        <f t="shared" si="99"/>
        <v>0</v>
      </c>
      <c r="J79" s="156">
        <f t="shared" si="99"/>
        <v>0</v>
      </c>
      <c r="K79" s="156">
        <f t="shared" si="99"/>
        <v>0</v>
      </c>
      <c r="L79" s="156">
        <f t="shared" si="99"/>
        <v>0</v>
      </c>
      <c r="M79" s="156">
        <f t="shared" si="99"/>
        <v>0</v>
      </c>
      <c r="N79" s="156">
        <f t="shared" si="95"/>
        <v>0</v>
      </c>
    </row>
    <row r="80" spans="1:14" s="156" customFormat="1" ht="10.5" x14ac:dyDescent="0.35">
      <c r="A80" s="157">
        <f t="shared" si="96"/>
        <v>43802</v>
      </c>
      <c r="B80" s="158"/>
      <c r="C80" s="158"/>
      <c r="D80" s="158"/>
      <c r="E80" s="158"/>
      <c r="F80" s="158"/>
      <c r="G80" s="156">
        <f>+(G43*G23*7/12)/7</f>
        <v>0</v>
      </c>
      <c r="H80" s="156">
        <f>+G80</f>
        <v>0</v>
      </c>
      <c r="I80" s="156">
        <f t="shared" ref="I80:L80" si="100">+H80</f>
        <v>0</v>
      </c>
      <c r="J80" s="156">
        <f t="shared" si="100"/>
        <v>0</v>
      </c>
      <c r="K80" s="156">
        <f t="shared" si="100"/>
        <v>0</v>
      </c>
      <c r="L80" s="156">
        <f t="shared" si="100"/>
        <v>0</v>
      </c>
      <c r="M80" s="156">
        <f t="shared" si="99"/>
        <v>0</v>
      </c>
      <c r="N80" s="156">
        <f t="shared" si="95"/>
        <v>0</v>
      </c>
    </row>
    <row r="81" spans="1:14" s="156" customFormat="1" ht="10.5" x14ac:dyDescent="0.35">
      <c r="A81" s="157">
        <f t="shared" si="96"/>
        <v>43833</v>
      </c>
      <c r="B81" s="158"/>
      <c r="C81" s="158"/>
      <c r="D81" s="158"/>
      <c r="E81" s="158"/>
      <c r="F81" s="158"/>
      <c r="G81" s="158"/>
      <c r="H81" s="156">
        <f>+(H43*H23*6/12)/6</f>
        <v>0</v>
      </c>
      <c r="I81" s="156">
        <f t="shared" ref="I81:L81" si="101">+H81</f>
        <v>0</v>
      </c>
      <c r="J81" s="156">
        <f t="shared" si="101"/>
        <v>0</v>
      </c>
      <c r="K81" s="156">
        <f t="shared" si="101"/>
        <v>0</v>
      </c>
      <c r="L81" s="156">
        <f t="shared" si="101"/>
        <v>0</v>
      </c>
      <c r="M81" s="156">
        <f t="shared" si="99"/>
        <v>0</v>
      </c>
      <c r="N81" s="156">
        <f t="shared" si="95"/>
        <v>0</v>
      </c>
    </row>
    <row r="82" spans="1:14" s="156" customFormat="1" ht="10.5" x14ac:dyDescent="0.35">
      <c r="A82" s="157">
        <f t="shared" si="96"/>
        <v>43864</v>
      </c>
      <c r="B82" s="158"/>
      <c r="C82" s="158"/>
      <c r="D82" s="158"/>
      <c r="E82" s="158"/>
      <c r="F82" s="158"/>
      <c r="G82" s="158"/>
      <c r="H82" s="158"/>
      <c r="I82" s="156">
        <f>+(I43*I23*5/12)/5</f>
        <v>0</v>
      </c>
      <c r="J82" s="156">
        <f t="shared" ref="J82:L82" si="102">+I82</f>
        <v>0</v>
      </c>
      <c r="K82" s="156">
        <f t="shared" si="102"/>
        <v>0</v>
      </c>
      <c r="L82" s="156">
        <f t="shared" si="102"/>
        <v>0</v>
      </c>
      <c r="M82" s="156">
        <f t="shared" si="99"/>
        <v>0</v>
      </c>
      <c r="N82" s="156">
        <f t="shared" si="95"/>
        <v>0</v>
      </c>
    </row>
    <row r="83" spans="1:14" s="156" customFormat="1" ht="10.5" x14ac:dyDescent="0.35">
      <c r="A83" s="157">
        <f t="shared" si="96"/>
        <v>43895</v>
      </c>
      <c r="B83" s="158"/>
      <c r="C83" s="158"/>
      <c r="D83" s="158"/>
      <c r="E83" s="158"/>
      <c r="F83" s="158"/>
      <c r="G83" s="158"/>
      <c r="H83" s="158"/>
      <c r="I83" s="158"/>
      <c r="J83" s="156">
        <f>+(J43*J23*4/12)/4</f>
        <v>0</v>
      </c>
      <c r="K83" s="156">
        <f t="shared" ref="K83:L83" si="103">+J83</f>
        <v>0</v>
      </c>
      <c r="L83" s="156">
        <f t="shared" si="103"/>
        <v>0</v>
      </c>
      <c r="M83" s="156">
        <f t="shared" si="99"/>
        <v>0</v>
      </c>
      <c r="N83" s="156">
        <f t="shared" si="95"/>
        <v>0</v>
      </c>
    </row>
    <row r="84" spans="1:14" s="156" customFormat="1" ht="10.5" x14ac:dyDescent="0.35">
      <c r="A84" s="157">
        <f t="shared" si="96"/>
        <v>43926</v>
      </c>
      <c r="B84" s="158"/>
      <c r="C84" s="158"/>
      <c r="D84" s="158"/>
      <c r="E84" s="158"/>
      <c r="F84" s="158"/>
      <c r="G84" s="158"/>
      <c r="H84" s="158"/>
      <c r="I84" s="158"/>
      <c r="J84" s="158"/>
      <c r="K84" s="156">
        <f>+(K43*K23*3/12)/3</f>
        <v>0</v>
      </c>
      <c r="L84" s="156">
        <f t="shared" ref="L84" si="104">+K84</f>
        <v>0</v>
      </c>
      <c r="M84" s="156">
        <f t="shared" si="99"/>
        <v>0</v>
      </c>
      <c r="N84" s="156">
        <f t="shared" si="95"/>
        <v>0</v>
      </c>
    </row>
    <row r="85" spans="1:14" s="156" customFormat="1" ht="10.5" x14ac:dyDescent="0.35">
      <c r="A85" s="157">
        <f t="shared" si="96"/>
        <v>43957</v>
      </c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6">
        <f>+(L43*L23*2/12)/2</f>
        <v>0</v>
      </c>
      <c r="M85" s="156">
        <f t="shared" si="99"/>
        <v>0</v>
      </c>
      <c r="N85" s="156">
        <f t="shared" si="95"/>
        <v>0</v>
      </c>
    </row>
    <row r="86" spans="1:14" s="156" customFormat="1" ht="10.5" x14ac:dyDescent="0.35">
      <c r="A86" s="157">
        <f t="shared" si="96"/>
        <v>43988</v>
      </c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6">
        <f>+(M43*M23/12)</f>
        <v>0</v>
      </c>
      <c r="N86" s="156">
        <f t="shared" si="95"/>
        <v>0</v>
      </c>
    </row>
    <row r="87" spans="1:14" s="156" customFormat="1" ht="10.5" x14ac:dyDescent="0.35"/>
    <row r="88" spans="1:14" s="156" customFormat="1" ht="10.5" x14ac:dyDescent="0.35"/>
    <row r="89" spans="1:14" s="156" customFormat="1" ht="10.5" x14ac:dyDescent="0.35"/>
    <row r="90" spans="1:14" s="156" customFormat="1" ht="10.5" x14ac:dyDescent="0.35"/>
    <row r="91" spans="1:14" s="156" customFormat="1" ht="10.5" x14ac:dyDescent="0.35"/>
    <row r="92" spans="1:14" s="156" customFormat="1" ht="10.5" x14ac:dyDescent="0.35"/>
    <row r="93" spans="1:14" s="156" customFormat="1" ht="10.5" x14ac:dyDescent="0.35"/>
    <row r="94" spans="1:14" s="156" customFormat="1" ht="10.5" x14ac:dyDescent="0.35"/>
    <row r="95" spans="1:14" s="156" customFormat="1" ht="10.5" x14ac:dyDescent="0.35"/>
    <row r="96" spans="1:14" s="156" customFormat="1" ht="10.5" x14ac:dyDescent="0.35"/>
    <row r="97" s="156" customFormat="1" ht="10.5" x14ac:dyDescent="0.35"/>
    <row r="98" s="156" customFormat="1" ht="10.5" x14ac:dyDescent="0.35"/>
    <row r="99" s="156" customFormat="1" ht="10.5" x14ac:dyDescent="0.35"/>
    <row r="100" s="156" customFormat="1" ht="10.5" x14ac:dyDescent="0.35"/>
    <row r="101" s="156" customFormat="1" ht="10.5" x14ac:dyDescent="0.35"/>
    <row r="102" s="155" customFormat="1" ht="10.5" x14ac:dyDescent="0.35"/>
    <row r="103" s="155" customFormat="1" ht="10.5" x14ac:dyDescent="0.35"/>
    <row r="104" s="155" customFormat="1" ht="10.5" x14ac:dyDescent="0.35"/>
    <row r="105" s="155" customFormat="1" ht="10.5" x14ac:dyDescent="0.35"/>
    <row r="106" s="155" customFormat="1" ht="10.5" x14ac:dyDescent="0.35"/>
    <row r="107" s="155" customFormat="1" ht="10.5" x14ac:dyDescent="0.35"/>
    <row r="108" s="155" customFormat="1" ht="10.5" x14ac:dyDescent="0.35"/>
    <row r="109" s="155" customFormat="1" ht="10.5" x14ac:dyDescent="0.35"/>
    <row r="110" s="155" customFormat="1" ht="10.5" x14ac:dyDescent="0.35"/>
    <row r="111" s="155" customFormat="1" ht="10.5" x14ac:dyDescent="0.35"/>
    <row r="112" s="155" customFormat="1" ht="10.5" x14ac:dyDescent="0.35"/>
    <row r="113" s="155" customFormat="1" ht="10.5" x14ac:dyDescent="0.35"/>
    <row r="114" s="155" customFormat="1" ht="10.5" x14ac:dyDescent="0.35"/>
    <row r="115" s="155" customFormat="1" ht="10.5" x14ac:dyDescent="0.35"/>
    <row r="116" s="155" customFormat="1" ht="10.5" x14ac:dyDescent="0.35"/>
    <row r="117" s="155" customFormat="1" ht="10.5" x14ac:dyDescent="0.35"/>
    <row r="118" s="155" customFormat="1" ht="10.5" x14ac:dyDescent="0.35"/>
    <row r="119" s="155" customFormat="1" ht="10.5" x14ac:dyDescent="0.35"/>
    <row r="120" s="155" customFormat="1" ht="10.5" x14ac:dyDescent="0.35"/>
    <row r="121" s="155" customFormat="1" ht="10.5" x14ac:dyDescent="0.35"/>
    <row r="122" s="155" customFormat="1" ht="10.5" x14ac:dyDescent="0.35"/>
    <row r="123" s="155" customFormat="1" ht="10.5" x14ac:dyDescent="0.35"/>
    <row r="124" s="155" customFormat="1" ht="10.5" x14ac:dyDescent="0.35"/>
    <row r="125" s="155" customFormat="1" ht="10.5" x14ac:dyDescent="0.35"/>
    <row r="126" s="155" customFormat="1" ht="10.5" x14ac:dyDescent="0.35"/>
    <row r="127" s="155" customFormat="1" ht="10.5" x14ac:dyDescent="0.35"/>
    <row r="128" s="155" customFormat="1" ht="10.5" x14ac:dyDescent="0.35"/>
    <row r="129" s="155" customFormat="1" ht="10.5" x14ac:dyDescent="0.35"/>
    <row r="130" s="155" customFormat="1" ht="10.5" x14ac:dyDescent="0.35"/>
    <row r="131" s="155" customFormat="1" ht="10.5" x14ac:dyDescent="0.35"/>
    <row r="132" s="155" customFormat="1" ht="10.5" x14ac:dyDescent="0.35"/>
    <row r="133" s="155" customFormat="1" ht="10.5" x14ac:dyDescent="0.35"/>
    <row r="134" s="155" customFormat="1" ht="10.5" x14ac:dyDescent="0.35"/>
    <row r="135" s="155" customFormat="1" ht="10.5" x14ac:dyDescent="0.35"/>
    <row r="136" s="155" customFormat="1" ht="10.5" x14ac:dyDescent="0.35"/>
    <row r="137" s="155" customFormat="1" ht="10.5" x14ac:dyDescent="0.35"/>
    <row r="138" s="155" customFormat="1" ht="10.5" x14ac:dyDescent="0.35"/>
    <row r="139" s="155" customFormat="1" ht="10.5" x14ac:dyDescent="0.35"/>
    <row r="140" s="155" customFormat="1" ht="10.5" x14ac:dyDescent="0.35"/>
    <row r="141" s="155" customFormat="1" ht="10.5" x14ac:dyDescent="0.35"/>
    <row r="142" s="155" customFormat="1" ht="10.5" x14ac:dyDescent="0.35"/>
    <row r="143" s="155" customFormat="1" ht="10.5" x14ac:dyDescent="0.35"/>
    <row r="144" s="155" customFormat="1" ht="10.5" x14ac:dyDescent="0.35"/>
    <row r="145" s="155" customFormat="1" ht="10.5" x14ac:dyDescent="0.35"/>
    <row r="146" s="155" customFormat="1" ht="10.5" x14ac:dyDescent="0.35"/>
    <row r="147" s="155" customFormat="1" ht="10.5" x14ac:dyDescent="0.35"/>
    <row r="148" s="155" customFormat="1" ht="10.5" x14ac:dyDescent="0.35"/>
    <row r="149" s="155" customFormat="1" ht="10.5" x14ac:dyDescent="0.35"/>
    <row r="150" s="155" customFormat="1" ht="10.5" x14ac:dyDescent="0.35"/>
    <row r="151" s="155" customFormat="1" ht="10.5" x14ac:dyDescent="0.35"/>
    <row r="152" s="155" customFormat="1" ht="10.5" x14ac:dyDescent="0.35"/>
    <row r="153" s="155" customFormat="1" ht="10.5" x14ac:dyDescent="0.35"/>
    <row r="154" s="155" customFormat="1" ht="10.5" x14ac:dyDescent="0.35"/>
    <row r="155" s="155" customFormat="1" ht="10.5" x14ac:dyDescent="0.35"/>
    <row r="156" s="155" customFormat="1" ht="10.5" x14ac:dyDescent="0.35"/>
    <row r="157" s="155" customFormat="1" ht="10.5" x14ac:dyDescent="0.35"/>
    <row r="158" s="155" customFormat="1" ht="10.5" x14ac:dyDescent="0.35"/>
    <row r="159" s="155" customFormat="1" ht="10.5" x14ac:dyDescent="0.35"/>
    <row r="160" s="155" customFormat="1" ht="10.5" x14ac:dyDescent="0.35"/>
    <row r="161" s="155" customFormat="1" ht="10.5" x14ac:dyDescent="0.35"/>
    <row r="162" s="155" customFormat="1" ht="10.5" x14ac:dyDescent="0.35"/>
    <row r="163" s="155" customFormat="1" ht="10.5" x14ac:dyDescent="0.35"/>
    <row r="164" s="155" customFormat="1" ht="10.5" x14ac:dyDescent="0.35"/>
    <row r="165" s="155" customFormat="1" ht="10.5" x14ac:dyDescent="0.35"/>
    <row r="166" s="155" customFormat="1" ht="10.5" x14ac:dyDescent="0.35"/>
    <row r="167" s="155" customFormat="1" ht="10.5" x14ac:dyDescent="0.35"/>
    <row r="168" s="155" customFormat="1" ht="10.5" x14ac:dyDescent="0.35"/>
    <row r="169" s="155" customFormat="1" ht="10.5" x14ac:dyDescent="0.35"/>
    <row r="170" s="155" customFormat="1" ht="10.5" x14ac:dyDescent="0.35"/>
    <row r="171" s="155" customFormat="1" ht="10.5" x14ac:dyDescent="0.35"/>
    <row r="172" s="155" customFormat="1" ht="10.5" x14ac:dyDescent="0.35"/>
    <row r="173" s="155" customFormat="1" ht="10.5" x14ac:dyDescent="0.35"/>
    <row r="174" s="155" customFormat="1" ht="10.5" x14ac:dyDescent="0.35"/>
    <row r="175" s="155" customFormat="1" ht="10.5" x14ac:dyDescent="0.35"/>
    <row r="176" s="155" customFormat="1" ht="10.5" x14ac:dyDescent="0.35"/>
    <row r="177" s="155" customFormat="1" ht="10.5" x14ac:dyDescent="0.35"/>
    <row r="178" s="155" customFormat="1" ht="10.5" x14ac:dyDescent="0.35"/>
    <row r="179" s="155" customFormat="1" ht="10.5" x14ac:dyDescent="0.35"/>
    <row r="180" s="155" customFormat="1" ht="10.5" x14ac:dyDescent="0.35"/>
    <row r="181" s="155" customFormat="1" ht="10.5" x14ac:dyDescent="0.35"/>
    <row r="182" s="155" customFormat="1" ht="10.5" x14ac:dyDescent="0.35"/>
    <row r="183" s="155" customFormat="1" ht="10.5" x14ac:dyDescent="0.35"/>
    <row r="184" s="155" customFormat="1" ht="10.5" x14ac:dyDescent="0.35"/>
    <row r="185" s="155" customFormat="1" ht="10.5" x14ac:dyDescent="0.35"/>
    <row r="186" s="155" customFormat="1" ht="10.5" x14ac:dyDescent="0.35"/>
    <row r="187" s="155" customFormat="1" ht="10.5" x14ac:dyDescent="0.35"/>
    <row r="188" s="155" customFormat="1" ht="10.5" x14ac:dyDescent="0.35"/>
    <row r="189" s="155" customFormat="1" ht="10.5" x14ac:dyDescent="0.35"/>
    <row r="190" s="155" customFormat="1" ht="10.5" x14ac:dyDescent="0.35"/>
    <row r="191" s="155" customFormat="1" ht="10.5" x14ac:dyDescent="0.35"/>
    <row r="192" s="155" customFormat="1" ht="10.5" x14ac:dyDescent="0.35"/>
    <row r="193" s="155" customFormat="1" ht="10.5" x14ac:dyDescent="0.35"/>
    <row r="194" s="155" customFormat="1" ht="10.5" x14ac:dyDescent="0.35"/>
    <row r="195" s="155" customFormat="1" ht="10.5" x14ac:dyDescent="0.35"/>
    <row r="196" s="155" customFormat="1" ht="10.5" x14ac:dyDescent="0.35"/>
    <row r="197" s="155" customFormat="1" ht="10.5" x14ac:dyDescent="0.35"/>
    <row r="198" s="155" customFormat="1" ht="10.5" x14ac:dyDescent="0.35"/>
    <row r="199" s="155" customFormat="1" ht="10.5" x14ac:dyDescent="0.35"/>
    <row r="200" s="155" customFormat="1" ht="10.5" x14ac:dyDescent="0.35"/>
    <row r="201" s="155" customFormat="1" ht="10.5" x14ac:dyDescent="0.35"/>
    <row r="202" s="155" customFormat="1" ht="10.5" x14ac:dyDescent="0.35"/>
    <row r="203" s="155" customFormat="1" ht="10.5" x14ac:dyDescent="0.35"/>
    <row r="204" s="155" customFormat="1" ht="10.5" x14ac:dyDescent="0.35"/>
    <row r="205" s="155" customFormat="1" ht="10.5" x14ac:dyDescent="0.35"/>
    <row r="206" s="155" customFormat="1" ht="10.5" x14ac:dyDescent="0.35"/>
    <row r="207" s="155" customFormat="1" ht="10.5" x14ac:dyDescent="0.35"/>
    <row r="208" s="155" customFormat="1" ht="10.5" x14ac:dyDescent="0.35"/>
    <row r="209" s="155" customFormat="1" ht="10.5" x14ac:dyDescent="0.35"/>
    <row r="210" s="155" customFormat="1" ht="10.5" x14ac:dyDescent="0.35"/>
    <row r="211" s="155" customFormat="1" ht="10.5" x14ac:dyDescent="0.35"/>
    <row r="212" s="155" customFormat="1" ht="10.5" x14ac:dyDescent="0.35"/>
    <row r="213" s="155" customFormat="1" ht="10.5" x14ac:dyDescent="0.35"/>
    <row r="214" s="155" customFormat="1" ht="10.5" x14ac:dyDescent="0.35"/>
    <row r="215" s="155" customFormat="1" ht="10.5" x14ac:dyDescent="0.35"/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W68"/>
  <sheetViews>
    <sheetView workbookViewId="0">
      <selection activeCell="B1" sqref="B1"/>
    </sheetView>
  </sheetViews>
  <sheetFormatPr baseColWidth="10" defaultColWidth="11.46484375" defaultRowHeight="11.65" x14ac:dyDescent="0.35"/>
  <cols>
    <col min="1" max="1" width="30.53125" style="32" bestFit="1" customWidth="1"/>
    <col min="2" max="2" width="7.265625" style="32" bestFit="1" customWidth="1"/>
    <col min="3" max="3" width="6.46484375" style="32" bestFit="1" customWidth="1"/>
    <col min="4" max="4" width="10.796875" style="32" bestFit="1" customWidth="1"/>
    <col min="5" max="5" width="8.53125" style="32" bestFit="1" customWidth="1"/>
    <col min="6" max="6" width="10.46484375" style="32" bestFit="1" customWidth="1"/>
    <col min="7" max="7" width="10.265625" style="32" bestFit="1" customWidth="1"/>
    <col min="8" max="8" width="8.19921875" style="32" bestFit="1" customWidth="1"/>
    <col min="9" max="9" width="8" style="32" customWidth="1"/>
    <col min="10" max="10" width="6.796875" style="32" bestFit="1" customWidth="1"/>
    <col min="11" max="11" width="6.46484375" style="32" bestFit="1" customWidth="1"/>
    <col min="12" max="12" width="6" style="32" bestFit="1" customWidth="1"/>
    <col min="13" max="13" width="5.796875" style="32" bestFit="1" customWidth="1"/>
    <col min="14" max="14" width="5.73046875" style="32" bestFit="1" customWidth="1"/>
    <col min="15" max="16384" width="11.46484375" style="32"/>
  </cols>
  <sheetData>
    <row r="1" spans="1:14" ht="35.25" thickBot="1" x14ac:dyDescent="0.4">
      <c r="A1" s="68" t="s">
        <v>232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71" t="s">
        <v>179</v>
      </c>
      <c r="B4" s="76">
        <f t="shared" ref="B4:M4" si="1">+B5+B8+B11</f>
        <v>0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0</v>
      </c>
      <c r="L4" s="76">
        <f t="shared" si="1"/>
        <v>0</v>
      </c>
      <c r="M4" s="76">
        <f t="shared" si="1"/>
        <v>0</v>
      </c>
      <c r="N4" s="76">
        <f>SUM(B4:M4)</f>
        <v>0</v>
      </c>
    </row>
    <row r="5" spans="1:14" s="57" customFormat="1" x14ac:dyDescent="0.35">
      <c r="A5" s="72" t="s">
        <v>282</v>
      </c>
      <c r="B5" s="79">
        <f>+B6+B7</f>
        <v>0</v>
      </c>
      <c r="C5" s="79">
        <f t="shared" ref="C5:M5" si="2">+C6+C7</f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>SUM(B5:M5)</f>
        <v>0</v>
      </c>
    </row>
    <row r="6" spans="1:14" x14ac:dyDescent="0.35">
      <c r="A6" s="66" t="s">
        <v>192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>
        <f>SUM(B6:M6)</f>
        <v>0</v>
      </c>
    </row>
    <row r="7" spans="1:14" x14ac:dyDescent="0.35">
      <c r="A7" s="66" t="s">
        <v>193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>
        <f t="shared" ref="N7" si="3">SUM(B7:M7)</f>
        <v>0</v>
      </c>
    </row>
    <row r="8" spans="1:14" x14ac:dyDescent="0.35">
      <c r="A8" s="72" t="s">
        <v>284</v>
      </c>
      <c r="B8" s="79">
        <f t="shared" ref="B8:M8" si="4">+B9+B10</f>
        <v>0</v>
      </c>
      <c r="C8" s="79">
        <f t="shared" si="4"/>
        <v>0</v>
      </c>
      <c r="D8" s="79">
        <f t="shared" si="4"/>
        <v>0</v>
      </c>
      <c r="E8" s="79">
        <f t="shared" si="4"/>
        <v>0</v>
      </c>
      <c r="F8" s="79">
        <f t="shared" si="4"/>
        <v>0</v>
      </c>
      <c r="G8" s="79">
        <f t="shared" si="4"/>
        <v>0</v>
      </c>
      <c r="H8" s="79">
        <f t="shared" si="4"/>
        <v>0</v>
      </c>
      <c r="I8" s="79">
        <f t="shared" si="4"/>
        <v>0</v>
      </c>
      <c r="J8" s="79">
        <f t="shared" si="4"/>
        <v>0</v>
      </c>
      <c r="K8" s="79">
        <f t="shared" si="4"/>
        <v>0</v>
      </c>
      <c r="L8" s="79">
        <f t="shared" si="4"/>
        <v>0</v>
      </c>
      <c r="M8" s="79">
        <f t="shared" si="4"/>
        <v>0</v>
      </c>
      <c r="N8" s="79">
        <f>SUM(B8:M8)</f>
        <v>0</v>
      </c>
    </row>
    <row r="9" spans="1:14" x14ac:dyDescent="0.35">
      <c r="A9" s="66" t="s">
        <v>192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>
        <f>SUM(B9:M9)</f>
        <v>0</v>
      </c>
    </row>
    <row r="10" spans="1:14" x14ac:dyDescent="0.35">
      <c r="A10" s="66" t="s">
        <v>193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>
        <f t="shared" ref="N10" si="5">SUM(B10:M10)</f>
        <v>0</v>
      </c>
    </row>
    <row r="11" spans="1:14" x14ac:dyDescent="0.35">
      <c r="A11" s="72" t="s">
        <v>286</v>
      </c>
      <c r="B11" s="79">
        <f t="shared" ref="B11:M11" si="6">+B12+B13</f>
        <v>0</v>
      </c>
      <c r="C11" s="79">
        <f t="shared" si="6"/>
        <v>0</v>
      </c>
      <c r="D11" s="79">
        <f t="shared" si="6"/>
        <v>0</v>
      </c>
      <c r="E11" s="79">
        <f t="shared" si="6"/>
        <v>0</v>
      </c>
      <c r="F11" s="79">
        <f t="shared" si="6"/>
        <v>0</v>
      </c>
      <c r="G11" s="79">
        <f t="shared" si="6"/>
        <v>0</v>
      </c>
      <c r="H11" s="79">
        <f t="shared" si="6"/>
        <v>0</v>
      </c>
      <c r="I11" s="79">
        <f t="shared" si="6"/>
        <v>0</v>
      </c>
      <c r="J11" s="79">
        <f t="shared" si="6"/>
        <v>0</v>
      </c>
      <c r="K11" s="79">
        <f t="shared" si="6"/>
        <v>0</v>
      </c>
      <c r="L11" s="79">
        <f t="shared" si="6"/>
        <v>0</v>
      </c>
      <c r="M11" s="79">
        <f t="shared" si="6"/>
        <v>0</v>
      </c>
      <c r="N11" s="79">
        <f>SUM(B11:M11)</f>
        <v>0</v>
      </c>
    </row>
    <row r="12" spans="1:14" x14ac:dyDescent="0.35">
      <c r="A12" s="66" t="s">
        <v>192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>
        <f>SUM(B12:M12)</f>
        <v>0</v>
      </c>
    </row>
    <row r="13" spans="1:14" x14ac:dyDescent="0.35">
      <c r="A13" s="66" t="s">
        <v>193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>
        <f t="shared" ref="N13" si="7">SUM(B13:M13)</f>
        <v>0</v>
      </c>
    </row>
    <row r="14" spans="1:14" x14ac:dyDescent="0.35">
      <c r="A14" s="71" t="s">
        <v>188</v>
      </c>
      <c r="B14" s="76">
        <f>+B15+B19+B23</f>
        <v>0</v>
      </c>
      <c r="C14" s="76">
        <f t="shared" ref="C14:M14" si="8">+C15+C19+C23</f>
        <v>0</v>
      </c>
      <c r="D14" s="76">
        <f t="shared" si="8"/>
        <v>0</v>
      </c>
      <c r="E14" s="76">
        <f t="shared" si="8"/>
        <v>0</v>
      </c>
      <c r="F14" s="76">
        <f t="shared" si="8"/>
        <v>0</v>
      </c>
      <c r="G14" s="76">
        <f t="shared" si="8"/>
        <v>0</v>
      </c>
      <c r="H14" s="76">
        <f t="shared" si="8"/>
        <v>0</v>
      </c>
      <c r="I14" s="76">
        <f t="shared" si="8"/>
        <v>0</v>
      </c>
      <c r="J14" s="76">
        <f t="shared" si="8"/>
        <v>0</v>
      </c>
      <c r="K14" s="76">
        <f t="shared" si="8"/>
        <v>0</v>
      </c>
      <c r="L14" s="76">
        <f t="shared" si="8"/>
        <v>0</v>
      </c>
      <c r="M14" s="76">
        <f t="shared" si="8"/>
        <v>0</v>
      </c>
      <c r="N14" s="76">
        <f>SUM(B14:M14)</f>
        <v>0</v>
      </c>
    </row>
    <row r="15" spans="1:14" s="57" customFormat="1" x14ac:dyDescent="0.35">
      <c r="A15" s="72" t="s">
        <v>283</v>
      </c>
      <c r="B15" s="79">
        <f>+B16+B18</f>
        <v>0</v>
      </c>
      <c r="C15" s="79">
        <f t="shared" ref="C15:M15" si="9">+C16+C18</f>
        <v>0</v>
      </c>
      <c r="D15" s="79">
        <f t="shared" si="9"/>
        <v>0</v>
      </c>
      <c r="E15" s="79">
        <f t="shared" si="9"/>
        <v>0</v>
      </c>
      <c r="F15" s="79">
        <f t="shared" si="9"/>
        <v>0</v>
      </c>
      <c r="G15" s="79">
        <f t="shared" si="9"/>
        <v>0</v>
      </c>
      <c r="H15" s="79">
        <f t="shared" si="9"/>
        <v>0</v>
      </c>
      <c r="I15" s="79">
        <f t="shared" si="9"/>
        <v>0</v>
      </c>
      <c r="J15" s="79">
        <f t="shared" si="9"/>
        <v>0</v>
      </c>
      <c r="K15" s="79">
        <f t="shared" si="9"/>
        <v>0</v>
      </c>
      <c r="L15" s="79">
        <f t="shared" si="9"/>
        <v>0</v>
      </c>
      <c r="M15" s="79">
        <f t="shared" si="9"/>
        <v>0</v>
      </c>
      <c r="N15" s="79">
        <f>SUM(B15:M15)</f>
        <v>0</v>
      </c>
    </row>
    <row r="16" spans="1:14" x14ac:dyDescent="0.35">
      <c r="A16" s="66" t="s">
        <v>189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>
        <f>SUM(B16:M16)</f>
        <v>0</v>
      </c>
    </row>
    <row r="17" spans="1:23" x14ac:dyDescent="0.35">
      <c r="A17" s="66" t="s">
        <v>190</v>
      </c>
      <c r="B17" s="149">
        <v>0.1</v>
      </c>
      <c r="C17" s="149">
        <f>+B17</f>
        <v>0.1</v>
      </c>
      <c r="D17" s="149">
        <f t="shared" ref="D17:M17" si="10">+C17</f>
        <v>0.1</v>
      </c>
      <c r="E17" s="149">
        <f t="shared" si="10"/>
        <v>0.1</v>
      </c>
      <c r="F17" s="149">
        <f t="shared" si="10"/>
        <v>0.1</v>
      </c>
      <c r="G17" s="149">
        <f t="shared" si="10"/>
        <v>0.1</v>
      </c>
      <c r="H17" s="149">
        <f t="shared" si="10"/>
        <v>0.1</v>
      </c>
      <c r="I17" s="149">
        <f t="shared" si="10"/>
        <v>0.1</v>
      </c>
      <c r="J17" s="149">
        <f t="shared" si="10"/>
        <v>0.1</v>
      </c>
      <c r="K17" s="149">
        <f t="shared" si="10"/>
        <v>0.1</v>
      </c>
      <c r="L17" s="149">
        <f t="shared" si="10"/>
        <v>0.1</v>
      </c>
      <c r="M17" s="149">
        <f t="shared" si="10"/>
        <v>0.1</v>
      </c>
      <c r="N17" s="146"/>
    </row>
    <row r="18" spans="1:23" x14ac:dyDescent="0.35">
      <c r="A18" s="66" t="s">
        <v>288</v>
      </c>
      <c r="B18" s="146">
        <f>+B28</f>
        <v>0</v>
      </c>
      <c r="C18" s="146">
        <f t="shared" ref="C18:M18" si="11">+C28</f>
        <v>0</v>
      </c>
      <c r="D18" s="146">
        <f t="shared" si="11"/>
        <v>0</v>
      </c>
      <c r="E18" s="146">
        <f t="shared" si="11"/>
        <v>0</v>
      </c>
      <c r="F18" s="146">
        <f t="shared" si="11"/>
        <v>0</v>
      </c>
      <c r="G18" s="146">
        <f t="shared" si="11"/>
        <v>0</v>
      </c>
      <c r="H18" s="146">
        <f t="shared" si="11"/>
        <v>0</v>
      </c>
      <c r="I18" s="146">
        <f t="shared" si="11"/>
        <v>0</v>
      </c>
      <c r="J18" s="146">
        <f t="shared" si="11"/>
        <v>0</v>
      </c>
      <c r="K18" s="146">
        <f t="shared" si="11"/>
        <v>0</v>
      </c>
      <c r="L18" s="146">
        <f t="shared" si="11"/>
        <v>0</v>
      </c>
      <c r="M18" s="146">
        <f t="shared" si="11"/>
        <v>0</v>
      </c>
      <c r="N18" s="146">
        <f t="shared" ref="N18" si="12">SUM(B18:M18)</f>
        <v>0</v>
      </c>
    </row>
    <row r="19" spans="1:23" x14ac:dyDescent="0.35">
      <c r="A19" s="72" t="s">
        <v>285</v>
      </c>
      <c r="B19" s="79">
        <f>+B20+B22</f>
        <v>0</v>
      </c>
      <c r="C19" s="79">
        <f t="shared" ref="C19:M19" si="13">+C20+C22</f>
        <v>0</v>
      </c>
      <c r="D19" s="79">
        <f t="shared" si="13"/>
        <v>0</v>
      </c>
      <c r="E19" s="79">
        <f t="shared" si="13"/>
        <v>0</v>
      </c>
      <c r="F19" s="79">
        <f t="shared" si="13"/>
        <v>0</v>
      </c>
      <c r="G19" s="79">
        <f t="shared" si="13"/>
        <v>0</v>
      </c>
      <c r="H19" s="79">
        <f t="shared" si="13"/>
        <v>0</v>
      </c>
      <c r="I19" s="79">
        <f t="shared" si="13"/>
        <v>0</v>
      </c>
      <c r="J19" s="79">
        <f t="shared" si="13"/>
        <v>0</v>
      </c>
      <c r="K19" s="79">
        <f t="shared" si="13"/>
        <v>0</v>
      </c>
      <c r="L19" s="79">
        <f t="shared" si="13"/>
        <v>0</v>
      </c>
      <c r="M19" s="79">
        <f t="shared" si="13"/>
        <v>0</v>
      </c>
      <c r="N19" s="79">
        <f>SUM(B19:M19)</f>
        <v>0</v>
      </c>
    </row>
    <row r="20" spans="1:23" x14ac:dyDescent="0.35">
      <c r="A20" s="66" t="s">
        <v>189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>
        <f>SUM(B20:M20)</f>
        <v>0</v>
      </c>
    </row>
    <row r="21" spans="1:23" x14ac:dyDescent="0.35">
      <c r="A21" s="66" t="s">
        <v>190</v>
      </c>
      <c r="B21" s="149">
        <v>0.1</v>
      </c>
      <c r="C21" s="149">
        <f>+B21</f>
        <v>0.1</v>
      </c>
      <c r="D21" s="149">
        <f t="shared" ref="D21:M21" si="14">+C21</f>
        <v>0.1</v>
      </c>
      <c r="E21" s="149">
        <f t="shared" si="14"/>
        <v>0.1</v>
      </c>
      <c r="F21" s="149">
        <f t="shared" si="14"/>
        <v>0.1</v>
      </c>
      <c r="G21" s="149">
        <f t="shared" si="14"/>
        <v>0.1</v>
      </c>
      <c r="H21" s="149">
        <f t="shared" si="14"/>
        <v>0.1</v>
      </c>
      <c r="I21" s="149">
        <f t="shared" si="14"/>
        <v>0.1</v>
      </c>
      <c r="J21" s="149">
        <f t="shared" si="14"/>
        <v>0.1</v>
      </c>
      <c r="K21" s="149">
        <f t="shared" si="14"/>
        <v>0.1</v>
      </c>
      <c r="L21" s="149">
        <f t="shared" si="14"/>
        <v>0.1</v>
      </c>
      <c r="M21" s="149">
        <f t="shared" si="14"/>
        <v>0.1</v>
      </c>
      <c r="N21" s="146"/>
    </row>
    <row r="22" spans="1:23" x14ac:dyDescent="0.35">
      <c r="A22" s="66" t="s">
        <v>288</v>
      </c>
      <c r="B22" s="146">
        <f>+B42</f>
        <v>0</v>
      </c>
      <c r="C22" s="146">
        <f t="shared" ref="C22:M22" si="15">+C42</f>
        <v>0</v>
      </c>
      <c r="D22" s="146">
        <f t="shared" si="15"/>
        <v>0</v>
      </c>
      <c r="E22" s="146">
        <f t="shared" si="15"/>
        <v>0</v>
      </c>
      <c r="F22" s="146">
        <f t="shared" si="15"/>
        <v>0</v>
      </c>
      <c r="G22" s="146">
        <f t="shared" si="15"/>
        <v>0</v>
      </c>
      <c r="H22" s="146">
        <f t="shared" si="15"/>
        <v>0</v>
      </c>
      <c r="I22" s="146">
        <f t="shared" si="15"/>
        <v>0</v>
      </c>
      <c r="J22" s="146">
        <f t="shared" si="15"/>
        <v>0</v>
      </c>
      <c r="K22" s="146">
        <f t="shared" si="15"/>
        <v>0</v>
      </c>
      <c r="L22" s="146">
        <f t="shared" si="15"/>
        <v>0</v>
      </c>
      <c r="M22" s="146">
        <f t="shared" si="15"/>
        <v>0</v>
      </c>
      <c r="N22" s="146">
        <f t="shared" ref="N22" si="16">SUM(B22:M22)</f>
        <v>0</v>
      </c>
      <c r="O22" s="74"/>
      <c r="P22" s="74"/>
      <c r="Q22" s="74"/>
      <c r="R22" s="74"/>
      <c r="S22" s="74"/>
      <c r="T22" s="74"/>
      <c r="U22" s="74"/>
      <c r="V22" s="74"/>
      <c r="W22" s="74"/>
    </row>
    <row r="23" spans="1:23" x14ac:dyDescent="0.35">
      <c r="A23" s="72" t="s">
        <v>287</v>
      </c>
      <c r="B23" s="79">
        <f>+B24+B26</f>
        <v>0</v>
      </c>
      <c r="C23" s="79">
        <f t="shared" ref="C23:M23" si="17">+C24+C26</f>
        <v>0</v>
      </c>
      <c r="D23" s="79">
        <f t="shared" si="17"/>
        <v>0</v>
      </c>
      <c r="E23" s="79">
        <f t="shared" si="17"/>
        <v>0</v>
      </c>
      <c r="F23" s="79">
        <f t="shared" si="17"/>
        <v>0</v>
      </c>
      <c r="G23" s="79">
        <f t="shared" si="17"/>
        <v>0</v>
      </c>
      <c r="H23" s="79">
        <f t="shared" si="17"/>
        <v>0</v>
      </c>
      <c r="I23" s="79">
        <f t="shared" si="17"/>
        <v>0</v>
      </c>
      <c r="J23" s="79">
        <f t="shared" si="17"/>
        <v>0</v>
      </c>
      <c r="K23" s="79">
        <f t="shared" si="17"/>
        <v>0</v>
      </c>
      <c r="L23" s="79">
        <f t="shared" si="17"/>
        <v>0</v>
      </c>
      <c r="M23" s="79">
        <f t="shared" si="17"/>
        <v>0</v>
      </c>
      <c r="N23" s="79">
        <f>SUM(B23:M23)</f>
        <v>0</v>
      </c>
    </row>
    <row r="24" spans="1:23" x14ac:dyDescent="0.35">
      <c r="A24" s="66" t="s">
        <v>189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0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146">
        <f>SUM(B24:M24)</f>
        <v>0</v>
      </c>
    </row>
    <row r="25" spans="1:23" x14ac:dyDescent="0.35">
      <c r="A25" s="66" t="s">
        <v>190</v>
      </c>
      <c r="B25" s="149">
        <v>0.1</v>
      </c>
      <c r="C25" s="149">
        <f>+B25</f>
        <v>0.1</v>
      </c>
      <c r="D25" s="149">
        <f t="shared" ref="D25:M25" si="18">+C25</f>
        <v>0.1</v>
      </c>
      <c r="E25" s="149">
        <f t="shared" si="18"/>
        <v>0.1</v>
      </c>
      <c r="F25" s="149">
        <f t="shared" si="18"/>
        <v>0.1</v>
      </c>
      <c r="G25" s="149">
        <f t="shared" si="18"/>
        <v>0.1</v>
      </c>
      <c r="H25" s="149">
        <f t="shared" si="18"/>
        <v>0.1</v>
      </c>
      <c r="I25" s="149">
        <f t="shared" si="18"/>
        <v>0.1</v>
      </c>
      <c r="J25" s="149">
        <f t="shared" si="18"/>
        <v>0.1</v>
      </c>
      <c r="K25" s="149">
        <f t="shared" si="18"/>
        <v>0.1</v>
      </c>
      <c r="L25" s="149">
        <f t="shared" si="18"/>
        <v>0.1</v>
      </c>
      <c r="M25" s="149">
        <f t="shared" si="18"/>
        <v>0.1</v>
      </c>
      <c r="N25" s="146"/>
    </row>
    <row r="26" spans="1:23" x14ac:dyDescent="0.35">
      <c r="A26" s="66" t="s">
        <v>288</v>
      </c>
      <c r="B26" s="146">
        <f>+B56</f>
        <v>0</v>
      </c>
      <c r="C26" s="146">
        <f t="shared" ref="C26:M26" si="19">+C56</f>
        <v>0</v>
      </c>
      <c r="D26" s="146">
        <f t="shared" si="19"/>
        <v>0</v>
      </c>
      <c r="E26" s="146">
        <f t="shared" si="19"/>
        <v>0</v>
      </c>
      <c r="F26" s="146">
        <f t="shared" si="19"/>
        <v>0</v>
      </c>
      <c r="G26" s="146">
        <f t="shared" si="19"/>
        <v>0</v>
      </c>
      <c r="H26" s="146">
        <f t="shared" si="19"/>
        <v>0</v>
      </c>
      <c r="I26" s="146">
        <f t="shared" si="19"/>
        <v>0</v>
      </c>
      <c r="J26" s="146">
        <f t="shared" si="19"/>
        <v>0</v>
      </c>
      <c r="K26" s="146">
        <f t="shared" si="19"/>
        <v>0</v>
      </c>
      <c r="L26" s="146">
        <f t="shared" si="19"/>
        <v>0</v>
      </c>
      <c r="M26" s="146">
        <f t="shared" si="19"/>
        <v>0</v>
      </c>
      <c r="N26" s="146">
        <f t="shared" ref="N26" si="20">SUM(B26:M26)</f>
        <v>0</v>
      </c>
    </row>
    <row r="27" spans="1:23" x14ac:dyDescent="0.35">
      <c r="B27" s="160">
        <v>43647</v>
      </c>
      <c r="C27" s="160">
        <f>+B27+31</f>
        <v>43678</v>
      </c>
      <c r="D27" s="160">
        <f t="shared" ref="D27:M27" si="21">+C27+31</f>
        <v>43709</v>
      </c>
      <c r="E27" s="160">
        <f t="shared" si="21"/>
        <v>43740</v>
      </c>
      <c r="F27" s="160">
        <f t="shared" si="21"/>
        <v>43771</v>
      </c>
      <c r="G27" s="160">
        <f t="shared" si="21"/>
        <v>43802</v>
      </c>
      <c r="H27" s="160">
        <f t="shared" si="21"/>
        <v>43833</v>
      </c>
      <c r="I27" s="160">
        <f t="shared" si="21"/>
        <v>43864</v>
      </c>
      <c r="J27" s="160">
        <f t="shared" si="21"/>
        <v>43895</v>
      </c>
      <c r="K27" s="160">
        <f t="shared" si="21"/>
        <v>43926</v>
      </c>
      <c r="L27" s="160">
        <f t="shared" si="21"/>
        <v>43957</v>
      </c>
      <c r="M27" s="160">
        <f t="shared" si="21"/>
        <v>43988</v>
      </c>
      <c r="N27" s="159" t="s">
        <v>84</v>
      </c>
    </row>
    <row r="28" spans="1:23" x14ac:dyDescent="0.35">
      <c r="A28" s="17" t="s">
        <v>289</v>
      </c>
      <c r="B28" s="17">
        <f>SUM(B29:B40)</f>
        <v>0</v>
      </c>
      <c r="C28" s="17">
        <f t="shared" ref="C28:M28" si="22">SUM(C29:C40)</f>
        <v>0</v>
      </c>
      <c r="D28" s="17">
        <f t="shared" si="22"/>
        <v>0</v>
      </c>
      <c r="E28" s="17">
        <f t="shared" si="22"/>
        <v>0</v>
      </c>
      <c r="F28" s="17">
        <f t="shared" si="22"/>
        <v>0</v>
      </c>
      <c r="G28" s="17">
        <f t="shared" si="22"/>
        <v>0</v>
      </c>
      <c r="H28" s="17">
        <f t="shared" si="22"/>
        <v>0</v>
      </c>
      <c r="I28" s="17">
        <f t="shared" si="22"/>
        <v>0</v>
      </c>
      <c r="J28" s="17">
        <f t="shared" si="22"/>
        <v>0</v>
      </c>
      <c r="K28" s="17">
        <f t="shared" si="22"/>
        <v>0</v>
      </c>
      <c r="L28" s="17">
        <f t="shared" si="22"/>
        <v>0</v>
      </c>
      <c r="M28" s="17">
        <f t="shared" si="22"/>
        <v>0</v>
      </c>
      <c r="N28" s="156">
        <f>SUM(B28:M28)</f>
        <v>0</v>
      </c>
    </row>
    <row r="29" spans="1:23" x14ac:dyDescent="0.35">
      <c r="A29" s="157">
        <v>43647</v>
      </c>
      <c r="B29" s="156">
        <f>+B17*B5</f>
        <v>0</v>
      </c>
      <c r="C29" s="156">
        <f>+B29</f>
        <v>0</v>
      </c>
      <c r="D29" s="156">
        <f t="shared" ref="D29:M39" si="23">+C29</f>
        <v>0</v>
      </c>
      <c r="E29" s="156">
        <f t="shared" si="23"/>
        <v>0</v>
      </c>
      <c r="F29" s="156">
        <f t="shared" si="23"/>
        <v>0</v>
      </c>
      <c r="G29" s="156">
        <f t="shared" si="23"/>
        <v>0</v>
      </c>
      <c r="H29" s="156">
        <f t="shared" si="23"/>
        <v>0</v>
      </c>
      <c r="I29" s="156">
        <f t="shared" si="23"/>
        <v>0</v>
      </c>
      <c r="J29" s="156">
        <f t="shared" si="23"/>
        <v>0</v>
      </c>
      <c r="K29" s="156">
        <f t="shared" si="23"/>
        <v>0</v>
      </c>
      <c r="L29" s="156">
        <f t="shared" si="23"/>
        <v>0</v>
      </c>
      <c r="M29" s="156">
        <f t="shared" si="23"/>
        <v>0</v>
      </c>
      <c r="N29" s="156">
        <f>SUM(B29:M29)</f>
        <v>0</v>
      </c>
    </row>
    <row r="30" spans="1:23" x14ac:dyDescent="0.35">
      <c r="A30" s="157">
        <f>+A29+31</f>
        <v>43678</v>
      </c>
      <c r="B30" s="158"/>
      <c r="C30" s="156">
        <f>+(C5*C17*11/12)/11</f>
        <v>0</v>
      </c>
      <c r="D30" s="156">
        <f t="shared" si="23"/>
        <v>0</v>
      </c>
      <c r="E30" s="156">
        <f t="shared" si="23"/>
        <v>0</v>
      </c>
      <c r="F30" s="156">
        <f t="shared" si="23"/>
        <v>0</v>
      </c>
      <c r="G30" s="156">
        <f t="shared" si="23"/>
        <v>0</v>
      </c>
      <c r="H30" s="156">
        <f t="shared" si="23"/>
        <v>0</v>
      </c>
      <c r="I30" s="156">
        <f t="shared" si="23"/>
        <v>0</v>
      </c>
      <c r="J30" s="156">
        <f t="shared" si="23"/>
        <v>0</v>
      </c>
      <c r="K30" s="156">
        <f t="shared" si="23"/>
        <v>0</v>
      </c>
      <c r="L30" s="156">
        <f t="shared" si="23"/>
        <v>0</v>
      </c>
      <c r="M30" s="156">
        <f t="shared" si="23"/>
        <v>0</v>
      </c>
      <c r="N30" s="156">
        <f t="shared" ref="N30:N40" si="24">SUM(B30:M30)</f>
        <v>0</v>
      </c>
    </row>
    <row r="31" spans="1:23" x14ac:dyDescent="0.35">
      <c r="A31" s="157">
        <f t="shared" ref="A31:A40" si="25">+A30+31</f>
        <v>43709</v>
      </c>
      <c r="B31" s="158"/>
      <c r="C31" s="158"/>
      <c r="D31" s="156">
        <f>+(D5*D17*10/12)/10</f>
        <v>0</v>
      </c>
      <c r="E31" s="156">
        <f t="shared" si="23"/>
        <v>0</v>
      </c>
      <c r="F31" s="156">
        <f t="shared" si="23"/>
        <v>0</v>
      </c>
      <c r="G31" s="156">
        <f t="shared" si="23"/>
        <v>0</v>
      </c>
      <c r="H31" s="156">
        <f t="shared" si="23"/>
        <v>0</v>
      </c>
      <c r="I31" s="156">
        <f t="shared" si="23"/>
        <v>0</v>
      </c>
      <c r="J31" s="156">
        <f t="shared" si="23"/>
        <v>0</v>
      </c>
      <c r="K31" s="156">
        <f t="shared" si="23"/>
        <v>0</v>
      </c>
      <c r="L31" s="156">
        <f t="shared" si="23"/>
        <v>0</v>
      </c>
      <c r="M31" s="156">
        <f t="shared" si="23"/>
        <v>0</v>
      </c>
      <c r="N31" s="156">
        <f t="shared" si="24"/>
        <v>0</v>
      </c>
    </row>
    <row r="32" spans="1:23" x14ac:dyDescent="0.35">
      <c r="A32" s="157">
        <f t="shared" si="25"/>
        <v>43740</v>
      </c>
      <c r="B32" s="158"/>
      <c r="C32" s="158"/>
      <c r="D32" s="158"/>
      <c r="E32" s="156">
        <f>+(E5*E17*9/12)/9</f>
        <v>0</v>
      </c>
      <c r="F32" s="156">
        <f t="shared" si="23"/>
        <v>0</v>
      </c>
      <c r="G32" s="156">
        <f t="shared" si="23"/>
        <v>0</v>
      </c>
      <c r="H32" s="156">
        <f t="shared" si="23"/>
        <v>0</v>
      </c>
      <c r="I32" s="156">
        <f t="shared" si="23"/>
        <v>0</v>
      </c>
      <c r="J32" s="156">
        <f t="shared" si="23"/>
        <v>0</v>
      </c>
      <c r="K32" s="156">
        <f t="shared" si="23"/>
        <v>0</v>
      </c>
      <c r="L32" s="156">
        <f t="shared" si="23"/>
        <v>0</v>
      </c>
      <c r="M32" s="156">
        <f t="shared" si="23"/>
        <v>0</v>
      </c>
      <c r="N32" s="156">
        <f t="shared" si="24"/>
        <v>0</v>
      </c>
    </row>
    <row r="33" spans="1:14" x14ac:dyDescent="0.35">
      <c r="A33" s="157">
        <f t="shared" si="25"/>
        <v>43771</v>
      </c>
      <c r="B33" s="158"/>
      <c r="C33" s="158"/>
      <c r="D33" s="158"/>
      <c r="E33" s="158"/>
      <c r="F33" s="156">
        <f>+(F5*F17*8/12)/8</f>
        <v>0</v>
      </c>
      <c r="G33" s="156">
        <f t="shared" si="23"/>
        <v>0</v>
      </c>
      <c r="H33" s="156">
        <f t="shared" si="23"/>
        <v>0</v>
      </c>
      <c r="I33" s="156">
        <f t="shared" si="23"/>
        <v>0</v>
      </c>
      <c r="J33" s="156">
        <f t="shared" si="23"/>
        <v>0</v>
      </c>
      <c r="K33" s="156">
        <f t="shared" si="23"/>
        <v>0</v>
      </c>
      <c r="L33" s="156">
        <f t="shared" si="23"/>
        <v>0</v>
      </c>
      <c r="M33" s="156">
        <f t="shared" si="23"/>
        <v>0</v>
      </c>
      <c r="N33" s="156">
        <f t="shared" si="24"/>
        <v>0</v>
      </c>
    </row>
    <row r="34" spans="1:14" x14ac:dyDescent="0.35">
      <c r="A34" s="157">
        <f t="shared" si="25"/>
        <v>43802</v>
      </c>
      <c r="B34" s="158"/>
      <c r="C34" s="158"/>
      <c r="D34" s="158"/>
      <c r="E34" s="158"/>
      <c r="F34" s="158"/>
      <c r="G34" s="156">
        <f>+(G5*G17*7/12)/7</f>
        <v>0</v>
      </c>
      <c r="H34" s="156">
        <f t="shared" si="23"/>
        <v>0</v>
      </c>
      <c r="I34" s="156">
        <f t="shared" si="23"/>
        <v>0</v>
      </c>
      <c r="J34" s="156">
        <f t="shared" si="23"/>
        <v>0</v>
      </c>
      <c r="K34" s="156">
        <f t="shared" si="23"/>
        <v>0</v>
      </c>
      <c r="L34" s="156">
        <f t="shared" si="23"/>
        <v>0</v>
      </c>
      <c r="M34" s="156">
        <f t="shared" si="23"/>
        <v>0</v>
      </c>
      <c r="N34" s="156">
        <f t="shared" si="24"/>
        <v>0</v>
      </c>
    </row>
    <row r="35" spans="1:14" x14ac:dyDescent="0.35">
      <c r="A35" s="157">
        <f t="shared" si="25"/>
        <v>43833</v>
      </c>
      <c r="B35" s="158"/>
      <c r="C35" s="158"/>
      <c r="D35" s="158"/>
      <c r="E35" s="158"/>
      <c r="F35" s="158"/>
      <c r="G35" s="158"/>
      <c r="H35" s="156">
        <f>+(H5*H17*6/12)/6</f>
        <v>0</v>
      </c>
      <c r="I35" s="156">
        <f t="shared" si="23"/>
        <v>0</v>
      </c>
      <c r="J35" s="156">
        <f t="shared" si="23"/>
        <v>0</v>
      </c>
      <c r="K35" s="156">
        <f t="shared" si="23"/>
        <v>0</v>
      </c>
      <c r="L35" s="156">
        <f t="shared" si="23"/>
        <v>0</v>
      </c>
      <c r="M35" s="156">
        <f t="shared" si="23"/>
        <v>0</v>
      </c>
      <c r="N35" s="156">
        <f t="shared" si="24"/>
        <v>0</v>
      </c>
    </row>
    <row r="36" spans="1:14" x14ac:dyDescent="0.35">
      <c r="A36" s="157">
        <f t="shared" si="25"/>
        <v>43864</v>
      </c>
      <c r="B36" s="158"/>
      <c r="C36" s="158"/>
      <c r="D36" s="158"/>
      <c r="E36" s="158"/>
      <c r="F36" s="158"/>
      <c r="G36" s="158"/>
      <c r="H36" s="158"/>
      <c r="I36" s="156">
        <f>(I5*I17*5/12)/5</f>
        <v>0</v>
      </c>
      <c r="J36" s="156">
        <f t="shared" si="23"/>
        <v>0</v>
      </c>
      <c r="K36" s="156">
        <f t="shared" si="23"/>
        <v>0</v>
      </c>
      <c r="L36" s="156">
        <f t="shared" si="23"/>
        <v>0</v>
      </c>
      <c r="M36" s="156">
        <f t="shared" si="23"/>
        <v>0</v>
      </c>
      <c r="N36" s="156">
        <f t="shared" si="24"/>
        <v>0</v>
      </c>
    </row>
    <row r="37" spans="1:14" x14ac:dyDescent="0.35">
      <c r="A37" s="157">
        <f t="shared" si="25"/>
        <v>43895</v>
      </c>
      <c r="B37" s="158"/>
      <c r="C37" s="158"/>
      <c r="D37" s="158"/>
      <c r="E37" s="158"/>
      <c r="F37" s="158"/>
      <c r="G37" s="158"/>
      <c r="H37" s="158"/>
      <c r="I37" s="158"/>
      <c r="J37" s="156">
        <f>(J5*J17*4/12)/4</f>
        <v>0</v>
      </c>
      <c r="K37" s="156">
        <f t="shared" si="23"/>
        <v>0</v>
      </c>
      <c r="L37" s="156">
        <f t="shared" si="23"/>
        <v>0</v>
      </c>
      <c r="M37" s="156">
        <f t="shared" si="23"/>
        <v>0</v>
      </c>
      <c r="N37" s="156">
        <f t="shared" si="24"/>
        <v>0</v>
      </c>
    </row>
    <row r="38" spans="1:14" x14ac:dyDescent="0.35">
      <c r="A38" s="157">
        <f t="shared" si="25"/>
        <v>43926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6">
        <f>(K5*K17*3/12)/3</f>
        <v>0</v>
      </c>
      <c r="L38" s="156">
        <f t="shared" si="23"/>
        <v>0</v>
      </c>
      <c r="M38" s="156">
        <f t="shared" si="23"/>
        <v>0</v>
      </c>
      <c r="N38" s="156">
        <f t="shared" si="24"/>
        <v>0</v>
      </c>
    </row>
    <row r="39" spans="1:14" x14ac:dyDescent="0.35">
      <c r="A39" s="157">
        <f t="shared" si="25"/>
        <v>43957</v>
      </c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6">
        <f>(L5*L17*2/12)/2</f>
        <v>0</v>
      </c>
      <c r="M39" s="156">
        <f t="shared" si="23"/>
        <v>0</v>
      </c>
      <c r="N39" s="156">
        <f t="shared" si="24"/>
        <v>0</v>
      </c>
    </row>
    <row r="40" spans="1:14" x14ac:dyDescent="0.35">
      <c r="A40" s="157">
        <f t="shared" si="25"/>
        <v>43988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6">
        <f>(M5*M17/12)</f>
        <v>0</v>
      </c>
      <c r="N40" s="156">
        <f t="shared" si="24"/>
        <v>0</v>
      </c>
    </row>
    <row r="41" spans="1:14" x14ac:dyDescent="0.35">
      <c r="B41" s="160">
        <v>43647</v>
      </c>
      <c r="C41" s="160">
        <f>+B41+31</f>
        <v>43678</v>
      </c>
      <c r="D41" s="160">
        <f t="shared" ref="D41:M41" si="26">+C41+31</f>
        <v>43709</v>
      </c>
      <c r="E41" s="160">
        <f t="shared" si="26"/>
        <v>43740</v>
      </c>
      <c r="F41" s="160">
        <f t="shared" si="26"/>
        <v>43771</v>
      </c>
      <c r="G41" s="160">
        <f t="shared" si="26"/>
        <v>43802</v>
      </c>
      <c r="H41" s="160">
        <f t="shared" si="26"/>
        <v>43833</v>
      </c>
      <c r="I41" s="160">
        <f t="shared" si="26"/>
        <v>43864</v>
      </c>
      <c r="J41" s="160">
        <f t="shared" si="26"/>
        <v>43895</v>
      </c>
      <c r="K41" s="160">
        <f t="shared" si="26"/>
        <v>43926</v>
      </c>
      <c r="L41" s="160">
        <f t="shared" si="26"/>
        <v>43957</v>
      </c>
      <c r="M41" s="160">
        <f t="shared" si="26"/>
        <v>43988</v>
      </c>
      <c r="N41" s="159" t="s">
        <v>84</v>
      </c>
    </row>
    <row r="42" spans="1:14" x14ac:dyDescent="0.35">
      <c r="A42" s="17" t="s">
        <v>290</v>
      </c>
      <c r="B42" s="17">
        <f>SUM(B43:B54)</f>
        <v>0</v>
      </c>
      <c r="C42" s="17">
        <f t="shared" ref="C42:M42" si="27">SUM(C43:C54)</f>
        <v>0</v>
      </c>
      <c r="D42" s="17">
        <f t="shared" si="27"/>
        <v>0</v>
      </c>
      <c r="E42" s="17">
        <f t="shared" si="27"/>
        <v>0</v>
      </c>
      <c r="F42" s="17">
        <f t="shared" si="27"/>
        <v>0</v>
      </c>
      <c r="G42" s="17">
        <f t="shared" si="27"/>
        <v>0</v>
      </c>
      <c r="H42" s="17">
        <f t="shared" si="27"/>
        <v>0</v>
      </c>
      <c r="I42" s="17">
        <f t="shared" si="27"/>
        <v>0</v>
      </c>
      <c r="J42" s="17">
        <f t="shared" si="27"/>
        <v>0</v>
      </c>
      <c r="K42" s="17">
        <f t="shared" si="27"/>
        <v>0</v>
      </c>
      <c r="L42" s="17">
        <f t="shared" si="27"/>
        <v>0</v>
      </c>
      <c r="M42" s="17">
        <f t="shared" si="27"/>
        <v>0</v>
      </c>
      <c r="N42" s="156">
        <f>SUM(B42:M42)</f>
        <v>0</v>
      </c>
    </row>
    <row r="43" spans="1:14" x14ac:dyDescent="0.35">
      <c r="A43" s="157">
        <v>43647</v>
      </c>
      <c r="B43" s="156">
        <f>+B21*B8/12</f>
        <v>0</v>
      </c>
      <c r="C43" s="156">
        <f>+B43</f>
        <v>0</v>
      </c>
      <c r="D43" s="156">
        <f t="shared" ref="D43:M53" si="28">+C43</f>
        <v>0</v>
      </c>
      <c r="E43" s="156">
        <f t="shared" si="28"/>
        <v>0</v>
      </c>
      <c r="F43" s="156">
        <f t="shared" si="28"/>
        <v>0</v>
      </c>
      <c r="G43" s="156">
        <f t="shared" si="28"/>
        <v>0</v>
      </c>
      <c r="H43" s="156">
        <f t="shared" si="28"/>
        <v>0</v>
      </c>
      <c r="I43" s="156">
        <f t="shared" si="28"/>
        <v>0</v>
      </c>
      <c r="J43" s="156">
        <f t="shared" si="28"/>
        <v>0</v>
      </c>
      <c r="K43" s="156">
        <f t="shared" si="28"/>
        <v>0</v>
      </c>
      <c r="L43" s="156">
        <f t="shared" si="28"/>
        <v>0</v>
      </c>
      <c r="M43" s="156">
        <f t="shared" si="28"/>
        <v>0</v>
      </c>
      <c r="N43" s="156">
        <f>SUM(B43:M43)</f>
        <v>0</v>
      </c>
    </row>
    <row r="44" spans="1:14" x14ac:dyDescent="0.35">
      <c r="A44" s="157">
        <f>+A43+31</f>
        <v>43678</v>
      </c>
      <c r="B44" s="158"/>
      <c r="C44" s="156">
        <f>+(C21*C8*11/12)/11</f>
        <v>0</v>
      </c>
      <c r="D44" s="156">
        <f t="shared" si="28"/>
        <v>0</v>
      </c>
      <c r="E44" s="156">
        <f t="shared" si="28"/>
        <v>0</v>
      </c>
      <c r="F44" s="156">
        <f t="shared" si="28"/>
        <v>0</v>
      </c>
      <c r="G44" s="156">
        <f t="shared" si="28"/>
        <v>0</v>
      </c>
      <c r="H44" s="156">
        <f t="shared" si="28"/>
        <v>0</v>
      </c>
      <c r="I44" s="156">
        <f t="shared" si="28"/>
        <v>0</v>
      </c>
      <c r="J44" s="156">
        <f t="shared" si="28"/>
        <v>0</v>
      </c>
      <c r="K44" s="156">
        <f t="shared" si="28"/>
        <v>0</v>
      </c>
      <c r="L44" s="156">
        <f t="shared" si="28"/>
        <v>0</v>
      </c>
      <c r="M44" s="156">
        <f t="shared" si="28"/>
        <v>0</v>
      </c>
      <c r="N44" s="156">
        <f t="shared" ref="N44:N54" si="29">SUM(B44:M44)</f>
        <v>0</v>
      </c>
    </row>
    <row r="45" spans="1:14" x14ac:dyDescent="0.35">
      <c r="A45" s="157">
        <f t="shared" ref="A45:A54" si="30">+A44+31</f>
        <v>43709</v>
      </c>
      <c r="B45" s="158"/>
      <c r="C45" s="158"/>
      <c r="D45" s="156">
        <f>+(D21*D8*10/12)/10</f>
        <v>0</v>
      </c>
      <c r="E45" s="156">
        <f t="shared" si="28"/>
        <v>0</v>
      </c>
      <c r="F45" s="156">
        <f t="shared" si="28"/>
        <v>0</v>
      </c>
      <c r="G45" s="156">
        <f t="shared" si="28"/>
        <v>0</v>
      </c>
      <c r="H45" s="156">
        <f t="shared" si="28"/>
        <v>0</v>
      </c>
      <c r="I45" s="156">
        <f t="shared" si="28"/>
        <v>0</v>
      </c>
      <c r="J45" s="156">
        <f t="shared" si="28"/>
        <v>0</v>
      </c>
      <c r="K45" s="156">
        <f t="shared" si="28"/>
        <v>0</v>
      </c>
      <c r="L45" s="156">
        <f t="shared" si="28"/>
        <v>0</v>
      </c>
      <c r="M45" s="156">
        <f t="shared" si="28"/>
        <v>0</v>
      </c>
      <c r="N45" s="156">
        <f t="shared" si="29"/>
        <v>0</v>
      </c>
    </row>
    <row r="46" spans="1:14" x14ac:dyDescent="0.35">
      <c r="A46" s="157">
        <f t="shared" si="30"/>
        <v>43740</v>
      </c>
      <c r="B46" s="158"/>
      <c r="C46" s="158"/>
      <c r="D46" s="158"/>
      <c r="E46" s="156">
        <f>+(E21*E8*9/12)/9</f>
        <v>0</v>
      </c>
      <c r="F46" s="156">
        <f t="shared" si="28"/>
        <v>0</v>
      </c>
      <c r="G46" s="156">
        <f t="shared" si="28"/>
        <v>0</v>
      </c>
      <c r="H46" s="156">
        <f t="shared" si="28"/>
        <v>0</v>
      </c>
      <c r="I46" s="156">
        <f t="shared" si="28"/>
        <v>0</v>
      </c>
      <c r="J46" s="156">
        <f t="shared" si="28"/>
        <v>0</v>
      </c>
      <c r="K46" s="156">
        <f t="shared" si="28"/>
        <v>0</v>
      </c>
      <c r="L46" s="156">
        <f t="shared" si="28"/>
        <v>0</v>
      </c>
      <c r="M46" s="156">
        <f t="shared" si="28"/>
        <v>0</v>
      </c>
      <c r="N46" s="156">
        <f t="shared" si="29"/>
        <v>0</v>
      </c>
    </row>
    <row r="47" spans="1:14" x14ac:dyDescent="0.35">
      <c r="A47" s="157">
        <f t="shared" si="30"/>
        <v>43771</v>
      </c>
      <c r="B47" s="158"/>
      <c r="C47" s="158"/>
      <c r="D47" s="158"/>
      <c r="E47" s="158"/>
      <c r="F47" s="156">
        <f>(+F21*F8*8/12)/8</f>
        <v>0</v>
      </c>
      <c r="G47" s="156">
        <f t="shared" si="28"/>
        <v>0</v>
      </c>
      <c r="H47" s="156">
        <f t="shared" si="28"/>
        <v>0</v>
      </c>
      <c r="I47" s="156">
        <f t="shared" si="28"/>
        <v>0</v>
      </c>
      <c r="J47" s="156">
        <f t="shared" si="28"/>
        <v>0</v>
      </c>
      <c r="K47" s="156">
        <f t="shared" si="28"/>
        <v>0</v>
      </c>
      <c r="L47" s="156">
        <f t="shared" si="28"/>
        <v>0</v>
      </c>
      <c r="M47" s="156">
        <f t="shared" si="28"/>
        <v>0</v>
      </c>
      <c r="N47" s="156">
        <f t="shared" si="29"/>
        <v>0</v>
      </c>
    </row>
    <row r="48" spans="1:14" x14ac:dyDescent="0.35">
      <c r="A48" s="157">
        <f t="shared" si="30"/>
        <v>43802</v>
      </c>
      <c r="B48" s="158"/>
      <c r="C48" s="158"/>
      <c r="D48" s="158"/>
      <c r="E48" s="158"/>
      <c r="F48" s="158"/>
      <c r="G48" s="156">
        <f>+(G21*G8*7/12)/7</f>
        <v>0</v>
      </c>
      <c r="H48" s="156">
        <f>+G48</f>
        <v>0</v>
      </c>
      <c r="I48" s="156">
        <f t="shared" si="28"/>
        <v>0</v>
      </c>
      <c r="J48" s="156">
        <f t="shared" si="28"/>
        <v>0</v>
      </c>
      <c r="K48" s="156">
        <f t="shared" si="28"/>
        <v>0</v>
      </c>
      <c r="L48" s="156">
        <f t="shared" si="28"/>
        <v>0</v>
      </c>
      <c r="M48" s="156">
        <f t="shared" si="28"/>
        <v>0</v>
      </c>
      <c r="N48" s="156">
        <f t="shared" si="29"/>
        <v>0</v>
      </c>
    </row>
    <row r="49" spans="1:14" x14ac:dyDescent="0.35">
      <c r="A49" s="157">
        <f t="shared" si="30"/>
        <v>43833</v>
      </c>
      <c r="B49" s="158"/>
      <c r="C49" s="158"/>
      <c r="D49" s="158"/>
      <c r="E49" s="158"/>
      <c r="F49" s="158"/>
      <c r="G49" s="158"/>
      <c r="H49" s="156">
        <f>+(H21*H8*6/12)/6</f>
        <v>0</v>
      </c>
      <c r="I49" s="156">
        <f t="shared" si="28"/>
        <v>0</v>
      </c>
      <c r="J49" s="156">
        <f t="shared" si="28"/>
        <v>0</v>
      </c>
      <c r="K49" s="156">
        <f t="shared" si="28"/>
        <v>0</v>
      </c>
      <c r="L49" s="156">
        <f t="shared" si="28"/>
        <v>0</v>
      </c>
      <c r="M49" s="156">
        <f t="shared" si="28"/>
        <v>0</v>
      </c>
      <c r="N49" s="156">
        <f t="shared" si="29"/>
        <v>0</v>
      </c>
    </row>
    <row r="50" spans="1:14" x14ac:dyDescent="0.35">
      <c r="A50" s="157">
        <f t="shared" si="30"/>
        <v>43864</v>
      </c>
      <c r="B50" s="158"/>
      <c r="C50" s="158"/>
      <c r="D50" s="158"/>
      <c r="E50" s="158"/>
      <c r="F50" s="158"/>
      <c r="G50" s="158"/>
      <c r="H50" s="158"/>
      <c r="I50" s="156">
        <f>+(I21*I8*5/12)/5</f>
        <v>0</v>
      </c>
      <c r="J50" s="156">
        <f t="shared" si="28"/>
        <v>0</v>
      </c>
      <c r="K50" s="156">
        <f t="shared" si="28"/>
        <v>0</v>
      </c>
      <c r="L50" s="156">
        <f t="shared" si="28"/>
        <v>0</v>
      </c>
      <c r="M50" s="156">
        <f t="shared" si="28"/>
        <v>0</v>
      </c>
      <c r="N50" s="156">
        <f t="shared" si="29"/>
        <v>0</v>
      </c>
    </row>
    <row r="51" spans="1:14" x14ac:dyDescent="0.35">
      <c r="A51" s="157">
        <f t="shared" si="30"/>
        <v>43895</v>
      </c>
      <c r="B51" s="158"/>
      <c r="C51" s="158"/>
      <c r="D51" s="158"/>
      <c r="E51" s="158"/>
      <c r="F51" s="158"/>
      <c r="G51" s="158"/>
      <c r="H51" s="158"/>
      <c r="I51" s="158"/>
      <c r="J51" s="156">
        <f>+(J21*J8*4/12)/4</f>
        <v>0</v>
      </c>
      <c r="K51" s="156">
        <f t="shared" si="28"/>
        <v>0</v>
      </c>
      <c r="L51" s="156">
        <f t="shared" si="28"/>
        <v>0</v>
      </c>
      <c r="M51" s="156">
        <f t="shared" si="28"/>
        <v>0</v>
      </c>
      <c r="N51" s="156">
        <f t="shared" si="29"/>
        <v>0</v>
      </c>
    </row>
    <row r="52" spans="1:14" x14ac:dyDescent="0.35">
      <c r="A52" s="157">
        <f t="shared" si="30"/>
        <v>43926</v>
      </c>
      <c r="B52" s="158"/>
      <c r="C52" s="158"/>
      <c r="D52" s="158"/>
      <c r="E52" s="158"/>
      <c r="F52" s="158"/>
      <c r="G52" s="158"/>
      <c r="H52" s="158"/>
      <c r="I52" s="158"/>
      <c r="J52" s="158"/>
      <c r="K52" s="156">
        <f>+(K21*K8*3/12)/3</f>
        <v>0</v>
      </c>
      <c r="L52" s="156">
        <f t="shared" si="28"/>
        <v>0</v>
      </c>
      <c r="M52" s="156">
        <f t="shared" si="28"/>
        <v>0</v>
      </c>
      <c r="N52" s="156">
        <f t="shared" si="29"/>
        <v>0</v>
      </c>
    </row>
    <row r="53" spans="1:14" x14ac:dyDescent="0.35">
      <c r="A53" s="157">
        <f t="shared" si="30"/>
        <v>43957</v>
      </c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6">
        <f>+(L21*L8*2/12)/2</f>
        <v>0</v>
      </c>
      <c r="M53" s="156">
        <f t="shared" si="28"/>
        <v>0</v>
      </c>
      <c r="N53" s="156">
        <f t="shared" si="29"/>
        <v>0</v>
      </c>
    </row>
    <row r="54" spans="1:14" x14ac:dyDescent="0.35">
      <c r="A54" s="157">
        <f t="shared" si="30"/>
        <v>43988</v>
      </c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6">
        <f>+(M21*M8/12)</f>
        <v>0</v>
      </c>
      <c r="N54" s="156">
        <f t="shared" si="29"/>
        <v>0</v>
      </c>
    </row>
    <row r="55" spans="1:14" x14ac:dyDescent="0.35">
      <c r="B55" s="160">
        <v>43647</v>
      </c>
      <c r="C55" s="160">
        <f>+B55+31</f>
        <v>43678</v>
      </c>
      <c r="D55" s="160">
        <f t="shared" ref="D55:M55" si="31">+C55+31</f>
        <v>43709</v>
      </c>
      <c r="E55" s="160">
        <f t="shared" si="31"/>
        <v>43740</v>
      </c>
      <c r="F55" s="160">
        <f t="shared" si="31"/>
        <v>43771</v>
      </c>
      <c r="G55" s="160">
        <f t="shared" si="31"/>
        <v>43802</v>
      </c>
      <c r="H55" s="160">
        <f t="shared" si="31"/>
        <v>43833</v>
      </c>
      <c r="I55" s="160">
        <f t="shared" si="31"/>
        <v>43864</v>
      </c>
      <c r="J55" s="160">
        <f t="shared" si="31"/>
        <v>43895</v>
      </c>
      <c r="K55" s="160">
        <f t="shared" si="31"/>
        <v>43926</v>
      </c>
      <c r="L55" s="160">
        <f t="shared" si="31"/>
        <v>43957</v>
      </c>
      <c r="M55" s="160">
        <f t="shared" si="31"/>
        <v>43988</v>
      </c>
      <c r="N55" s="159" t="s">
        <v>84</v>
      </c>
    </row>
    <row r="56" spans="1:14" x14ac:dyDescent="0.35">
      <c r="A56" s="17" t="s">
        <v>291</v>
      </c>
      <c r="B56" s="17">
        <f>SUM(B57:B68)</f>
        <v>0</v>
      </c>
      <c r="C56" s="17">
        <f t="shared" ref="C56:M56" si="32">SUM(C57:C68)</f>
        <v>0</v>
      </c>
      <c r="D56" s="17">
        <f t="shared" si="32"/>
        <v>0</v>
      </c>
      <c r="E56" s="17">
        <f t="shared" si="32"/>
        <v>0</v>
      </c>
      <c r="F56" s="17">
        <f t="shared" si="32"/>
        <v>0</v>
      </c>
      <c r="G56" s="17">
        <f t="shared" si="32"/>
        <v>0</v>
      </c>
      <c r="H56" s="17">
        <f t="shared" si="32"/>
        <v>0</v>
      </c>
      <c r="I56" s="17">
        <f t="shared" si="32"/>
        <v>0</v>
      </c>
      <c r="J56" s="17">
        <f t="shared" si="32"/>
        <v>0</v>
      </c>
      <c r="K56" s="17">
        <f t="shared" si="32"/>
        <v>0</v>
      </c>
      <c r="L56" s="17">
        <f t="shared" si="32"/>
        <v>0</v>
      </c>
      <c r="M56" s="17">
        <f t="shared" si="32"/>
        <v>0</v>
      </c>
      <c r="N56" s="156">
        <f>SUM(B56:M56)</f>
        <v>0</v>
      </c>
    </row>
    <row r="57" spans="1:14" x14ac:dyDescent="0.35">
      <c r="A57" s="157">
        <v>43647</v>
      </c>
      <c r="B57" s="156">
        <f>+B25*B11/12</f>
        <v>0</v>
      </c>
      <c r="C57" s="156">
        <f>+B57</f>
        <v>0</v>
      </c>
      <c r="D57" s="156">
        <f t="shared" ref="D57:M67" si="33">+C57</f>
        <v>0</v>
      </c>
      <c r="E57" s="156">
        <f t="shared" si="33"/>
        <v>0</v>
      </c>
      <c r="F57" s="156">
        <f t="shared" si="33"/>
        <v>0</v>
      </c>
      <c r="G57" s="156">
        <f t="shared" si="33"/>
        <v>0</v>
      </c>
      <c r="H57" s="156">
        <f t="shared" si="33"/>
        <v>0</v>
      </c>
      <c r="I57" s="156">
        <f t="shared" si="33"/>
        <v>0</v>
      </c>
      <c r="J57" s="156">
        <f t="shared" si="33"/>
        <v>0</v>
      </c>
      <c r="K57" s="156">
        <f t="shared" si="33"/>
        <v>0</v>
      </c>
      <c r="L57" s="156">
        <f t="shared" si="33"/>
        <v>0</v>
      </c>
      <c r="M57" s="156">
        <f t="shared" si="33"/>
        <v>0</v>
      </c>
      <c r="N57" s="156">
        <f>SUM(B57:M57)</f>
        <v>0</v>
      </c>
    </row>
    <row r="58" spans="1:14" x14ac:dyDescent="0.35">
      <c r="A58" s="157">
        <f>+A57+31</f>
        <v>43678</v>
      </c>
      <c r="B58" s="158"/>
      <c r="C58" s="156">
        <f>+(C25*C11*11/12)/11</f>
        <v>0</v>
      </c>
      <c r="D58" s="156">
        <f t="shared" si="33"/>
        <v>0</v>
      </c>
      <c r="E58" s="156">
        <f t="shared" si="33"/>
        <v>0</v>
      </c>
      <c r="F58" s="156">
        <f t="shared" si="33"/>
        <v>0</v>
      </c>
      <c r="G58" s="156">
        <f t="shared" si="33"/>
        <v>0</v>
      </c>
      <c r="H58" s="156">
        <f t="shared" si="33"/>
        <v>0</v>
      </c>
      <c r="I58" s="156">
        <f t="shared" si="33"/>
        <v>0</v>
      </c>
      <c r="J58" s="156">
        <f t="shared" si="33"/>
        <v>0</v>
      </c>
      <c r="K58" s="156">
        <f t="shared" si="33"/>
        <v>0</v>
      </c>
      <c r="L58" s="156">
        <f t="shared" si="33"/>
        <v>0</v>
      </c>
      <c r="M58" s="156">
        <f t="shared" si="33"/>
        <v>0</v>
      </c>
      <c r="N58" s="156">
        <f t="shared" ref="N58:N68" si="34">SUM(B58:M58)</f>
        <v>0</v>
      </c>
    </row>
    <row r="59" spans="1:14" x14ac:dyDescent="0.35">
      <c r="A59" s="157">
        <f t="shared" ref="A59:A68" si="35">+A58+31</f>
        <v>43709</v>
      </c>
      <c r="B59" s="158"/>
      <c r="C59" s="158"/>
      <c r="D59" s="156">
        <f>+(D25*D11*10/12)/10</f>
        <v>0</v>
      </c>
      <c r="E59" s="156">
        <f t="shared" si="33"/>
        <v>0</v>
      </c>
      <c r="F59" s="156">
        <f t="shared" si="33"/>
        <v>0</v>
      </c>
      <c r="G59" s="156">
        <f t="shared" si="33"/>
        <v>0</v>
      </c>
      <c r="H59" s="156">
        <f t="shared" si="33"/>
        <v>0</v>
      </c>
      <c r="I59" s="156">
        <f t="shared" si="33"/>
        <v>0</v>
      </c>
      <c r="J59" s="156">
        <f t="shared" si="33"/>
        <v>0</v>
      </c>
      <c r="K59" s="156">
        <f t="shared" si="33"/>
        <v>0</v>
      </c>
      <c r="L59" s="156">
        <f t="shared" si="33"/>
        <v>0</v>
      </c>
      <c r="M59" s="156">
        <f t="shared" si="33"/>
        <v>0</v>
      </c>
      <c r="N59" s="156">
        <f t="shared" si="34"/>
        <v>0</v>
      </c>
    </row>
    <row r="60" spans="1:14" x14ac:dyDescent="0.35">
      <c r="A60" s="157">
        <f t="shared" si="35"/>
        <v>43740</v>
      </c>
      <c r="B60" s="158"/>
      <c r="C60" s="158"/>
      <c r="D60" s="158"/>
      <c r="E60" s="156">
        <f>+(E25*E11*9/12)/9</f>
        <v>0</v>
      </c>
      <c r="F60" s="156">
        <f t="shared" si="33"/>
        <v>0</v>
      </c>
      <c r="G60" s="156">
        <f t="shared" si="33"/>
        <v>0</v>
      </c>
      <c r="H60" s="156">
        <f t="shared" si="33"/>
        <v>0</v>
      </c>
      <c r="I60" s="156">
        <f t="shared" si="33"/>
        <v>0</v>
      </c>
      <c r="J60" s="156">
        <f t="shared" si="33"/>
        <v>0</v>
      </c>
      <c r="K60" s="156">
        <f t="shared" si="33"/>
        <v>0</v>
      </c>
      <c r="L60" s="156">
        <f t="shared" si="33"/>
        <v>0</v>
      </c>
      <c r="M60" s="156">
        <f t="shared" si="33"/>
        <v>0</v>
      </c>
      <c r="N60" s="156">
        <f t="shared" si="34"/>
        <v>0</v>
      </c>
    </row>
    <row r="61" spans="1:14" x14ac:dyDescent="0.35">
      <c r="A61" s="157">
        <f t="shared" si="35"/>
        <v>43771</v>
      </c>
      <c r="B61" s="158"/>
      <c r="C61" s="158"/>
      <c r="D61" s="158"/>
      <c r="E61" s="158"/>
      <c r="F61" s="156">
        <f>(+F25*F11*8/12)/8</f>
        <v>0</v>
      </c>
      <c r="G61" s="156">
        <f t="shared" si="33"/>
        <v>0</v>
      </c>
      <c r="H61" s="156">
        <f t="shared" si="33"/>
        <v>0</v>
      </c>
      <c r="I61" s="156">
        <f t="shared" si="33"/>
        <v>0</v>
      </c>
      <c r="J61" s="156">
        <f t="shared" si="33"/>
        <v>0</v>
      </c>
      <c r="K61" s="156">
        <f t="shared" si="33"/>
        <v>0</v>
      </c>
      <c r="L61" s="156">
        <f t="shared" si="33"/>
        <v>0</v>
      </c>
      <c r="M61" s="156">
        <f t="shared" si="33"/>
        <v>0</v>
      </c>
      <c r="N61" s="156">
        <f t="shared" si="34"/>
        <v>0</v>
      </c>
    </row>
    <row r="62" spans="1:14" x14ac:dyDescent="0.35">
      <c r="A62" s="157">
        <f t="shared" si="35"/>
        <v>43802</v>
      </c>
      <c r="B62" s="158"/>
      <c r="C62" s="158"/>
      <c r="D62" s="158"/>
      <c r="E62" s="158"/>
      <c r="F62" s="158"/>
      <c r="G62" s="156">
        <f>+(G25*G11*7/12)/7</f>
        <v>0</v>
      </c>
      <c r="H62" s="156">
        <f>+G62</f>
        <v>0</v>
      </c>
      <c r="I62" s="156">
        <f t="shared" si="33"/>
        <v>0</v>
      </c>
      <c r="J62" s="156">
        <f t="shared" si="33"/>
        <v>0</v>
      </c>
      <c r="K62" s="156">
        <f t="shared" si="33"/>
        <v>0</v>
      </c>
      <c r="L62" s="156">
        <f t="shared" si="33"/>
        <v>0</v>
      </c>
      <c r="M62" s="156">
        <f t="shared" si="33"/>
        <v>0</v>
      </c>
      <c r="N62" s="156">
        <f t="shared" si="34"/>
        <v>0</v>
      </c>
    </row>
    <row r="63" spans="1:14" x14ac:dyDescent="0.35">
      <c r="A63" s="157">
        <f t="shared" si="35"/>
        <v>43833</v>
      </c>
      <c r="B63" s="158"/>
      <c r="C63" s="158"/>
      <c r="D63" s="158"/>
      <c r="E63" s="158"/>
      <c r="F63" s="158"/>
      <c r="G63" s="158"/>
      <c r="H63" s="156">
        <f>+(H25*H11*6/12)/6</f>
        <v>0</v>
      </c>
      <c r="I63" s="156">
        <f t="shared" si="33"/>
        <v>0</v>
      </c>
      <c r="J63" s="156">
        <f t="shared" si="33"/>
        <v>0</v>
      </c>
      <c r="K63" s="156">
        <f t="shared" si="33"/>
        <v>0</v>
      </c>
      <c r="L63" s="156">
        <f t="shared" si="33"/>
        <v>0</v>
      </c>
      <c r="M63" s="156">
        <f t="shared" si="33"/>
        <v>0</v>
      </c>
      <c r="N63" s="156">
        <f t="shared" si="34"/>
        <v>0</v>
      </c>
    </row>
    <row r="64" spans="1:14" x14ac:dyDescent="0.35">
      <c r="A64" s="157">
        <f t="shared" si="35"/>
        <v>43864</v>
      </c>
      <c r="B64" s="158"/>
      <c r="C64" s="158"/>
      <c r="D64" s="158"/>
      <c r="E64" s="158"/>
      <c r="F64" s="158"/>
      <c r="G64" s="158"/>
      <c r="H64" s="158"/>
      <c r="I64" s="156">
        <f>+(I25*I11*5/12)/5</f>
        <v>0</v>
      </c>
      <c r="J64" s="156">
        <f t="shared" si="33"/>
        <v>0</v>
      </c>
      <c r="K64" s="156">
        <f t="shared" si="33"/>
        <v>0</v>
      </c>
      <c r="L64" s="156">
        <f t="shared" si="33"/>
        <v>0</v>
      </c>
      <c r="M64" s="156">
        <f t="shared" si="33"/>
        <v>0</v>
      </c>
      <c r="N64" s="156">
        <f t="shared" si="34"/>
        <v>0</v>
      </c>
    </row>
    <row r="65" spans="1:14" x14ac:dyDescent="0.35">
      <c r="A65" s="157">
        <f t="shared" si="35"/>
        <v>43895</v>
      </c>
      <c r="B65" s="158"/>
      <c r="C65" s="158"/>
      <c r="D65" s="158"/>
      <c r="E65" s="158"/>
      <c r="F65" s="158"/>
      <c r="G65" s="158"/>
      <c r="H65" s="158"/>
      <c r="I65" s="158"/>
      <c r="J65" s="156">
        <f>+(J25*J11*4/12)/4</f>
        <v>0</v>
      </c>
      <c r="K65" s="156">
        <f t="shared" si="33"/>
        <v>0</v>
      </c>
      <c r="L65" s="156">
        <f t="shared" si="33"/>
        <v>0</v>
      </c>
      <c r="M65" s="156">
        <f t="shared" si="33"/>
        <v>0</v>
      </c>
      <c r="N65" s="156">
        <f t="shared" si="34"/>
        <v>0</v>
      </c>
    </row>
    <row r="66" spans="1:14" x14ac:dyDescent="0.35">
      <c r="A66" s="157">
        <f t="shared" si="35"/>
        <v>43926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6">
        <f>+(K25*K11*3/12)/3</f>
        <v>0</v>
      </c>
      <c r="L66" s="156">
        <f t="shared" si="33"/>
        <v>0</v>
      </c>
      <c r="M66" s="156">
        <f t="shared" si="33"/>
        <v>0</v>
      </c>
      <c r="N66" s="156">
        <f t="shared" si="34"/>
        <v>0</v>
      </c>
    </row>
    <row r="67" spans="1:14" x14ac:dyDescent="0.35">
      <c r="A67" s="157">
        <f t="shared" si="35"/>
        <v>43957</v>
      </c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6">
        <f>+(L25*L11*2/12)/2</f>
        <v>0</v>
      </c>
      <c r="M67" s="156">
        <f t="shared" si="33"/>
        <v>0</v>
      </c>
      <c r="N67" s="156">
        <f t="shared" si="34"/>
        <v>0</v>
      </c>
    </row>
    <row r="68" spans="1:14" x14ac:dyDescent="0.35">
      <c r="A68" s="157">
        <f t="shared" si="35"/>
        <v>43988</v>
      </c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6">
        <f>+(M25*M11/12)</f>
        <v>0</v>
      </c>
      <c r="N68" s="156">
        <f t="shared" si="34"/>
        <v>0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W68"/>
  <sheetViews>
    <sheetView topLeftCell="A47" zoomScaleNormal="100" workbookViewId="0">
      <selection activeCell="D15" sqref="D15"/>
    </sheetView>
  </sheetViews>
  <sheetFormatPr baseColWidth="10" defaultColWidth="11.46484375" defaultRowHeight="11.65" outlineLevelRow="1" x14ac:dyDescent="0.35"/>
  <cols>
    <col min="1" max="1" width="35.19921875" style="32" bestFit="1" customWidth="1"/>
    <col min="2" max="2" width="7.265625" style="32" bestFit="1" customWidth="1"/>
    <col min="3" max="3" width="6.53125" style="32" bestFit="1" customWidth="1"/>
    <col min="4" max="4" width="10.796875" style="32" bestFit="1" customWidth="1"/>
    <col min="5" max="5" width="8.53125" style="32" bestFit="1" customWidth="1"/>
    <col min="6" max="6" width="10.46484375" style="32" bestFit="1" customWidth="1"/>
    <col min="7" max="7" width="10.265625" style="32" bestFit="1" customWidth="1"/>
    <col min="8" max="8" width="8.19921875" style="32" bestFit="1" customWidth="1"/>
    <col min="9" max="9" width="8" style="32" customWidth="1"/>
    <col min="10" max="10" width="6.796875" style="32" bestFit="1" customWidth="1"/>
    <col min="11" max="14" width="6.53125" style="32" bestFit="1" customWidth="1"/>
    <col min="15" max="16384" width="11.46484375" style="32"/>
  </cols>
  <sheetData>
    <row r="1" spans="1:14" ht="35.25" thickBot="1" x14ac:dyDescent="0.4">
      <c r="A1" s="68" t="s">
        <v>237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71" t="s">
        <v>179</v>
      </c>
      <c r="B4" s="76">
        <f t="shared" ref="B4:M4" si="1">+B5+B8+B11</f>
        <v>0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0</v>
      </c>
      <c r="L4" s="76">
        <f t="shared" si="1"/>
        <v>0</v>
      </c>
      <c r="M4" s="76">
        <f t="shared" si="1"/>
        <v>0</v>
      </c>
      <c r="N4" s="76">
        <f>SUM(B4:M4)</f>
        <v>0</v>
      </c>
    </row>
    <row r="5" spans="1:14" s="57" customFormat="1" x14ac:dyDescent="0.35">
      <c r="A5" s="72" t="s">
        <v>282</v>
      </c>
      <c r="B5" s="79">
        <f t="shared" ref="B5:M5" si="2">+B7*B6</f>
        <v>0</v>
      </c>
      <c r="C5" s="79">
        <f t="shared" si="2"/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>SUM(B5:M5)</f>
        <v>0</v>
      </c>
    </row>
    <row r="6" spans="1:14" hidden="1" outlineLevel="1" x14ac:dyDescent="0.35">
      <c r="A6" s="66" t="s">
        <v>194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8">
        <f t="shared" ref="N6" si="3">SUM(B6:M6)</f>
        <v>0</v>
      </c>
    </row>
    <row r="7" spans="1:14" hidden="1" outlineLevel="1" x14ac:dyDescent="0.35">
      <c r="A7" s="66" t="s">
        <v>198</v>
      </c>
      <c r="B7" s="146">
        <v>480000</v>
      </c>
      <c r="C7" s="146">
        <v>480000</v>
      </c>
      <c r="D7" s="146">
        <v>480000</v>
      </c>
      <c r="E7" s="146">
        <v>480000</v>
      </c>
      <c r="F7" s="146">
        <v>480000</v>
      </c>
      <c r="G7" s="146">
        <v>480000</v>
      </c>
      <c r="H7" s="146">
        <v>480000</v>
      </c>
      <c r="I7" s="146">
        <v>480000</v>
      </c>
      <c r="J7" s="146">
        <v>480000</v>
      </c>
      <c r="K7" s="146">
        <v>480000</v>
      </c>
      <c r="L7" s="146">
        <v>480000</v>
      </c>
      <c r="M7" s="146">
        <v>480000</v>
      </c>
      <c r="N7" s="146"/>
    </row>
    <row r="8" spans="1:14" collapsed="1" x14ac:dyDescent="0.35">
      <c r="A8" s="72" t="s">
        <v>284</v>
      </c>
      <c r="B8" s="79"/>
      <c r="C8" s="79">
        <f t="shared" ref="C8:M8" si="4">+C10*C9</f>
        <v>0</v>
      </c>
      <c r="D8" s="79">
        <f t="shared" si="4"/>
        <v>0</v>
      </c>
      <c r="E8" s="79">
        <f t="shared" si="4"/>
        <v>0</v>
      </c>
      <c r="F8" s="79">
        <f t="shared" si="4"/>
        <v>0</v>
      </c>
      <c r="G8" s="79">
        <f t="shared" si="4"/>
        <v>0</v>
      </c>
      <c r="H8" s="79">
        <f t="shared" si="4"/>
        <v>0</v>
      </c>
      <c r="I8" s="79">
        <f t="shared" si="4"/>
        <v>0</v>
      </c>
      <c r="J8" s="79">
        <f t="shared" si="4"/>
        <v>0</v>
      </c>
      <c r="K8" s="79">
        <f t="shared" si="4"/>
        <v>0</v>
      </c>
      <c r="L8" s="79">
        <f t="shared" si="4"/>
        <v>0</v>
      </c>
      <c r="M8" s="79">
        <f t="shared" si="4"/>
        <v>0</v>
      </c>
      <c r="N8" s="79">
        <f>SUM(B8:M8)</f>
        <v>0</v>
      </c>
    </row>
    <row r="9" spans="1:14" hidden="1" outlineLevel="1" x14ac:dyDescent="0.35">
      <c r="A9" s="66" t="s">
        <v>194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8">
        <f t="shared" ref="N9" si="5">SUM(B9:M9)</f>
        <v>0</v>
      </c>
    </row>
    <row r="10" spans="1:14" hidden="1" outlineLevel="1" x14ac:dyDescent="0.35">
      <c r="A10" s="66" t="s">
        <v>198</v>
      </c>
      <c r="B10" s="146">
        <v>480000</v>
      </c>
      <c r="C10" s="146">
        <v>480000</v>
      </c>
      <c r="D10" s="146">
        <v>480000</v>
      </c>
      <c r="E10" s="146">
        <v>480000</v>
      </c>
      <c r="F10" s="146">
        <v>480000</v>
      </c>
      <c r="G10" s="146">
        <v>480000</v>
      </c>
      <c r="H10" s="146">
        <v>480000</v>
      </c>
      <c r="I10" s="146">
        <v>480000</v>
      </c>
      <c r="J10" s="146">
        <v>480000</v>
      </c>
      <c r="K10" s="146">
        <v>480000</v>
      </c>
      <c r="L10" s="146">
        <v>480000</v>
      </c>
      <c r="M10" s="146">
        <v>480000</v>
      </c>
      <c r="N10" s="146"/>
    </row>
    <row r="11" spans="1:14" collapsed="1" x14ac:dyDescent="0.35">
      <c r="A11" s="72" t="s">
        <v>286</v>
      </c>
      <c r="B11" s="79">
        <f>+B13*B12</f>
        <v>0</v>
      </c>
      <c r="C11" s="79">
        <f t="shared" ref="C11:M11" si="6">+C13*C12</f>
        <v>0</v>
      </c>
      <c r="D11" s="79">
        <f t="shared" si="6"/>
        <v>0</v>
      </c>
      <c r="E11" s="79">
        <f t="shared" si="6"/>
        <v>0</v>
      </c>
      <c r="F11" s="79">
        <f t="shared" si="6"/>
        <v>0</v>
      </c>
      <c r="G11" s="79">
        <f t="shared" si="6"/>
        <v>0</v>
      </c>
      <c r="H11" s="79">
        <f t="shared" si="6"/>
        <v>0</v>
      </c>
      <c r="I11" s="79">
        <f t="shared" si="6"/>
        <v>0</v>
      </c>
      <c r="J11" s="79">
        <f t="shared" si="6"/>
        <v>0</v>
      </c>
      <c r="K11" s="79">
        <f t="shared" si="6"/>
        <v>0</v>
      </c>
      <c r="L11" s="79">
        <f t="shared" si="6"/>
        <v>0</v>
      </c>
      <c r="M11" s="79">
        <f t="shared" si="6"/>
        <v>0</v>
      </c>
      <c r="N11" s="79">
        <f>SUM(B11:M11)</f>
        <v>0</v>
      </c>
    </row>
    <row r="12" spans="1:14" hidden="1" outlineLevel="1" x14ac:dyDescent="0.35">
      <c r="A12" s="66" t="s">
        <v>194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8">
        <f t="shared" ref="N12" si="7">SUM(B12:M12)</f>
        <v>0</v>
      </c>
    </row>
    <row r="13" spans="1:14" hidden="1" outlineLevel="1" x14ac:dyDescent="0.35">
      <c r="A13" s="66" t="s">
        <v>198</v>
      </c>
      <c r="B13" s="146">
        <v>480000</v>
      </c>
      <c r="C13" s="146">
        <v>480000</v>
      </c>
      <c r="D13" s="146">
        <v>480000</v>
      </c>
      <c r="E13" s="146">
        <v>480000</v>
      </c>
      <c r="F13" s="146">
        <v>480000</v>
      </c>
      <c r="G13" s="146">
        <v>480000</v>
      </c>
      <c r="H13" s="146">
        <v>480000</v>
      </c>
      <c r="I13" s="146">
        <v>480000</v>
      </c>
      <c r="J13" s="146">
        <v>480000</v>
      </c>
      <c r="K13" s="146">
        <v>480000</v>
      </c>
      <c r="L13" s="146">
        <v>480000</v>
      </c>
      <c r="M13" s="146">
        <v>480000</v>
      </c>
      <c r="N13" s="146"/>
    </row>
    <row r="14" spans="1:14" collapsed="1" x14ac:dyDescent="0.35">
      <c r="A14" s="71" t="s">
        <v>188</v>
      </c>
      <c r="B14" s="76">
        <f>+B15+B19+B23</f>
        <v>68197.407944444465</v>
      </c>
      <c r="C14" s="76">
        <f t="shared" ref="C14:M14" si="8">+C15+C19+C23</f>
        <v>68197.407944444465</v>
      </c>
      <c r="D14" s="76">
        <f t="shared" si="8"/>
        <v>68197.407944444465</v>
      </c>
      <c r="E14" s="76">
        <f t="shared" si="8"/>
        <v>68197.407944444465</v>
      </c>
      <c r="F14" s="76">
        <f t="shared" si="8"/>
        <v>68197.407944444465</v>
      </c>
      <c r="G14" s="76">
        <f t="shared" si="8"/>
        <v>68197.407944444465</v>
      </c>
      <c r="H14" s="76">
        <f t="shared" si="8"/>
        <v>68197.407944444465</v>
      </c>
      <c r="I14" s="76">
        <f t="shared" si="8"/>
        <v>68197.407944444465</v>
      </c>
      <c r="J14" s="76">
        <f t="shared" si="8"/>
        <v>68197.407944444465</v>
      </c>
      <c r="K14" s="76">
        <f t="shared" si="8"/>
        <v>68197.407944444465</v>
      </c>
      <c r="L14" s="76">
        <f t="shared" si="8"/>
        <v>68197.407944444465</v>
      </c>
      <c r="M14" s="76">
        <f t="shared" si="8"/>
        <v>68197.407944444465</v>
      </c>
      <c r="N14" s="76">
        <f>SUM(B14:M14)</f>
        <v>818368.89533333352</v>
      </c>
    </row>
    <row r="15" spans="1:14" s="57" customFormat="1" x14ac:dyDescent="0.35">
      <c r="A15" s="72" t="s">
        <v>283</v>
      </c>
      <c r="B15" s="79">
        <f>+B16+B18</f>
        <v>24472.64005555557</v>
      </c>
      <c r="C15" s="79">
        <f t="shared" ref="C15:M15" si="9">+C16+C18</f>
        <v>24472.64005555557</v>
      </c>
      <c r="D15" s="79">
        <f t="shared" si="9"/>
        <v>24472.64005555557</v>
      </c>
      <c r="E15" s="79">
        <f t="shared" si="9"/>
        <v>24472.64005555557</v>
      </c>
      <c r="F15" s="79">
        <f t="shared" si="9"/>
        <v>24472.64005555557</v>
      </c>
      <c r="G15" s="79">
        <f t="shared" si="9"/>
        <v>24472.64005555557</v>
      </c>
      <c r="H15" s="79">
        <f t="shared" si="9"/>
        <v>24472.64005555557</v>
      </c>
      <c r="I15" s="79">
        <f t="shared" si="9"/>
        <v>24472.64005555557</v>
      </c>
      <c r="J15" s="79">
        <f t="shared" si="9"/>
        <v>24472.64005555557</v>
      </c>
      <c r="K15" s="79">
        <f t="shared" si="9"/>
        <v>24472.64005555557</v>
      </c>
      <c r="L15" s="79">
        <f t="shared" si="9"/>
        <v>24472.64005555557</v>
      </c>
      <c r="M15" s="79">
        <f t="shared" si="9"/>
        <v>24472.64005555557</v>
      </c>
      <c r="N15" s="79">
        <f>SUM(B15:M15)</f>
        <v>293671.68066666677</v>
      </c>
    </row>
    <row r="16" spans="1:14" hidden="1" outlineLevel="1" x14ac:dyDescent="0.35">
      <c r="A16" s="66" t="s">
        <v>189</v>
      </c>
      <c r="B16" s="146">
        <v>24472.64005555557</v>
      </c>
      <c r="C16" s="146">
        <f>+B16</f>
        <v>24472.64005555557</v>
      </c>
      <c r="D16" s="146">
        <f t="shared" ref="D16:M16" si="10">+C16</f>
        <v>24472.64005555557</v>
      </c>
      <c r="E16" s="146">
        <f t="shared" si="10"/>
        <v>24472.64005555557</v>
      </c>
      <c r="F16" s="146">
        <f t="shared" si="10"/>
        <v>24472.64005555557</v>
      </c>
      <c r="G16" s="146">
        <f t="shared" si="10"/>
        <v>24472.64005555557</v>
      </c>
      <c r="H16" s="146">
        <f t="shared" si="10"/>
        <v>24472.64005555557</v>
      </c>
      <c r="I16" s="146">
        <f t="shared" si="10"/>
        <v>24472.64005555557</v>
      </c>
      <c r="J16" s="146">
        <f t="shared" si="10"/>
        <v>24472.64005555557</v>
      </c>
      <c r="K16" s="146">
        <f t="shared" si="10"/>
        <v>24472.64005555557</v>
      </c>
      <c r="L16" s="146">
        <f t="shared" si="10"/>
        <v>24472.64005555557</v>
      </c>
      <c r="M16" s="146">
        <f t="shared" si="10"/>
        <v>24472.64005555557</v>
      </c>
      <c r="N16" s="146">
        <f>SUM(B16:M16)</f>
        <v>293671.68066666677</v>
      </c>
    </row>
    <row r="17" spans="1:23" hidden="1" outlineLevel="1" x14ac:dyDescent="0.35">
      <c r="A17" s="66" t="s">
        <v>190</v>
      </c>
      <c r="B17" s="149">
        <v>0.1</v>
      </c>
      <c r="C17" s="149">
        <f>+B17</f>
        <v>0.1</v>
      </c>
      <c r="D17" s="149">
        <f t="shared" ref="D17:M17" si="11">+C17</f>
        <v>0.1</v>
      </c>
      <c r="E17" s="149">
        <f t="shared" si="11"/>
        <v>0.1</v>
      </c>
      <c r="F17" s="149">
        <f t="shared" si="11"/>
        <v>0.1</v>
      </c>
      <c r="G17" s="149">
        <f t="shared" si="11"/>
        <v>0.1</v>
      </c>
      <c r="H17" s="149">
        <f t="shared" si="11"/>
        <v>0.1</v>
      </c>
      <c r="I17" s="149">
        <f t="shared" si="11"/>
        <v>0.1</v>
      </c>
      <c r="J17" s="149">
        <f t="shared" si="11"/>
        <v>0.1</v>
      </c>
      <c r="K17" s="149">
        <f t="shared" si="11"/>
        <v>0.1</v>
      </c>
      <c r="L17" s="149">
        <f t="shared" si="11"/>
        <v>0.1</v>
      </c>
      <c r="M17" s="149">
        <f t="shared" si="11"/>
        <v>0.1</v>
      </c>
      <c r="N17" s="146"/>
    </row>
    <row r="18" spans="1:23" hidden="1" outlineLevel="1" x14ac:dyDescent="0.35">
      <c r="A18" s="66" t="s">
        <v>288</v>
      </c>
      <c r="B18" s="146">
        <f>+B28</f>
        <v>0</v>
      </c>
      <c r="C18" s="146">
        <f t="shared" ref="C18:M18" si="12">+C28</f>
        <v>0</v>
      </c>
      <c r="D18" s="146">
        <f t="shared" si="12"/>
        <v>0</v>
      </c>
      <c r="E18" s="146">
        <f t="shared" si="12"/>
        <v>0</v>
      </c>
      <c r="F18" s="146">
        <f t="shared" si="12"/>
        <v>0</v>
      </c>
      <c r="G18" s="146">
        <f t="shared" si="12"/>
        <v>0</v>
      </c>
      <c r="H18" s="146">
        <f t="shared" si="12"/>
        <v>0</v>
      </c>
      <c r="I18" s="146">
        <f t="shared" si="12"/>
        <v>0</v>
      </c>
      <c r="J18" s="146">
        <f t="shared" si="12"/>
        <v>0</v>
      </c>
      <c r="K18" s="146">
        <f t="shared" si="12"/>
        <v>0</v>
      </c>
      <c r="L18" s="146">
        <f t="shared" si="12"/>
        <v>0</v>
      </c>
      <c r="M18" s="146">
        <f t="shared" si="12"/>
        <v>0</v>
      </c>
      <c r="N18" s="146">
        <f t="shared" ref="N18" si="13">SUM(B18:M18)</f>
        <v>0</v>
      </c>
    </row>
    <row r="19" spans="1:23" collapsed="1" x14ac:dyDescent="0.35">
      <c r="A19" s="72" t="s">
        <v>285</v>
      </c>
      <c r="B19" s="79">
        <f>+B20+B22</f>
        <v>43724.767888888891</v>
      </c>
      <c r="C19" s="79">
        <f t="shared" ref="C19:M19" si="14">+C20+C22</f>
        <v>43724.767888888891</v>
      </c>
      <c r="D19" s="79">
        <f t="shared" si="14"/>
        <v>43724.767888888891</v>
      </c>
      <c r="E19" s="79">
        <f t="shared" si="14"/>
        <v>43724.767888888891</v>
      </c>
      <c r="F19" s="79">
        <f t="shared" si="14"/>
        <v>43724.767888888891</v>
      </c>
      <c r="G19" s="79">
        <f t="shared" si="14"/>
        <v>43724.767888888891</v>
      </c>
      <c r="H19" s="79">
        <f t="shared" si="14"/>
        <v>43724.767888888891</v>
      </c>
      <c r="I19" s="79">
        <f t="shared" si="14"/>
        <v>43724.767888888891</v>
      </c>
      <c r="J19" s="79">
        <f t="shared" si="14"/>
        <v>43724.767888888891</v>
      </c>
      <c r="K19" s="79">
        <f t="shared" si="14"/>
        <v>43724.767888888891</v>
      </c>
      <c r="L19" s="79">
        <f t="shared" si="14"/>
        <v>43724.767888888891</v>
      </c>
      <c r="M19" s="79">
        <f t="shared" si="14"/>
        <v>43724.767888888891</v>
      </c>
      <c r="N19" s="79">
        <f>SUM(B19:M19)</f>
        <v>524697.2146666667</v>
      </c>
    </row>
    <row r="20" spans="1:23" x14ac:dyDescent="0.35">
      <c r="A20" s="66" t="s">
        <v>189</v>
      </c>
      <c r="B20" s="146">
        <v>43724.767888888891</v>
      </c>
      <c r="C20" s="146">
        <f>+B20</f>
        <v>43724.767888888891</v>
      </c>
      <c r="D20" s="146">
        <f t="shared" ref="D20:M20" si="15">+C20</f>
        <v>43724.767888888891</v>
      </c>
      <c r="E20" s="146">
        <f t="shared" si="15"/>
        <v>43724.767888888891</v>
      </c>
      <c r="F20" s="146">
        <f t="shared" si="15"/>
        <v>43724.767888888891</v>
      </c>
      <c r="G20" s="146">
        <f t="shared" si="15"/>
        <v>43724.767888888891</v>
      </c>
      <c r="H20" s="146">
        <f t="shared" si="15"/>
        <v>43724.767888888891</v>
      </c>
      <c r="I20" s="146">
        <f t="shared" si="15"/>
        <v>43724.767888888891</v>
      </c>
      <c r="J20" s="146">
        <f t="shared" si="15"/>
        <v>43724.767888888891</v>
      </c>
      <c r="K20" s="146">
        <f t="shared" si="15"/>
        <v>43724.767888888891</v>
      </c>
      <c r="L20" s="146">
        <f t="shared" si="15"/>
        <v>43724.767888888891</v>
      </c>
      <c r="M20" s="146">
        <f t="shared" si="15"/>
        <v>43724.767888888891</v>
      </c>
      <c r="N20" s="146">
        <f>SUM(B20:M20)</f>
        <v>524697.2146666667</v>
      </c>
    </row>
    <row r="21" spans="1:23" x14ac:dyDescent="0.35">
      <c r="A21" s="66" t="s">
        <v>190</v>
      </c>
      <c r="B21" s="149">
        <v>0.1</v>
      </c>
      <c r="C21" s="149">
        <f>+B21</f>
        <v>0.1</v>
      </c>
      <c r="D21" s="149">
        <f t="shared" ref="D21:M21" si="16">+C21</f>
        <v>0.1</v>
      </c>
      <c r="E21" s="149">
        <f t="shared" si="16"/>
        <v>0.1</v>
      </c>
      <c r="F21" s="149">
        <f t="shared" si="16"/>
        <v>0.1</v>
      </c>
      <c r="G21" s="149">
        <f t="shared" si="16"/>
        <v>0.1</v>
      </c>
      <c r="H21" s="149">
        <f t="shared" si="16"/>
        <v>0.1</v>
      </c>
      <c r="I21" s="149">
        <f t="shared" si="16"/>
        <v>0.1</v>
      </c>
      <c r="J21" s="149">
        <f t="shared" si="16"/>
        <v>0.1</v>
      </c>
      <c r="K21" s="149">
        <f t="shared" si="16"/>
        <v>0.1</v>
      </c>
      <c r="L21" s="149">
        <f t="shared" si="16"/>
        <v>0.1</v>
      </c>
      <c r="M21" s="149">
        <f t="shared" si="16"/>
        <v>0.1</v>
      </c>
      <c r="N21" s="146"/>
    </row>
    <row r="22" spans="1:23" hidden="1" outlineLevel="1" x14ac:dyDescent="0.35">
      <c r="A22" s="66" t="s">
        <v>288</v>
      </c>
      <c r="B22" s="146">
        <f>+B42</f>
        <v>0</v>
      </c>
      <c r="C22" s="146">
        <f t="shared" ref="C22:M22" si="17">+C42</f>
        <v>0</v>
      </c>
      <c r="D22" s="146">
        <f t="shared" si="17"/>
        <v>0</v>
      </c>
      <c r="E22" s="146">
        <f t="shared" si="17"/>
        <v>0</v>
      </c>
      <c r="F22" s="146">
        <f t="shared" si="17"/>
        <v>0</v>
      </c>
      <c r="G22" s="146">
        <f t="shared" si="17"/>
        <v>0</v>
      </c>
      <c r="H22" s="146">
        <f t="shared" si="17"/>
        <v>0</v>
      </c>
      <c r="I22" s="146">
        <f t="shared" si="17"/>
        <v>0</v>
      </c>
      <c r="J22" s="146">
        <f t="shared" si="17"/>
        <v>0</v>
      </c>
      <c r="K22" s="146">
        <f t="shared" si="17"/>
        <v>0</v>
      </c>
      <c r="L22" s="146">
        <f t="shared" si="17"/>
        <v>0</v>
      </c>
      <c r="M22" s="146">
        <f t="shared" si="17"/>
        <v>0</v>
      </c>
      <c r="N22" s="146">
        <f t="shared" ref="N22" si="18">SUM(B22:M22)</f>
        <v>0</v>
      </c>
      <c r="O22" s="74"/>
      <c r="P22" s="74"/>
      <c r="Q22" s="74"/>
      <c r="R22" s="74"/>
      <c r="S22" s="74"/>
      <c r="T22" s="74"/>
      <c r="U22" s="74"/>
      <c r="V22" s="74"/>
      <c r="W22" s="74"/>
    </row>
    <row r="23" spans="1:23" collapsed="1" x14ac:dyDescent="0.35">
      <c r="A23" s="72" t="s">
        <v>287</v>
      </c>
      <c r="B23" s="79">
        <f>+B24+B26</f>
        <v>0</v>
      </c>
      <c r="C23" s="79">
        <f t="shared" ref="C23:M23" si="19">+C24+C26</f>
        <v>0</v>
      </c>
      <c r="D23" s="79">
        <f t="shared" si="19"/>
        <v>0</v>
      </c>
      <c r="E23" s="79">
        <f t="shared" si="19"/>
        <v>0</v>
      </c>
      <c r="F23" s="79">
        <f t="shared" si="19"/>
        <v>0</v>
      </c>
      <c r="G23" s="79">
        <f t="shared" si="19"/>
        <v>0</v>
      </c>
      <c r="H23" s="79">
        <f t="shared" si="19"/>
        <v>0</v>
      </c>
      <c r="I23" s="79">
        <f t="shared" si="19"/>
        <v>0</v>
      </c>
      <c r="J23" s="79">
        <f t="shared" si="19"/>
        <v>0</v>
      </c>
      <c r="K23" s="79">
        <f t="shared" si="19"/>
        <v>0</v>
      </c>
      <c r="L23" s="79">
        <f t="shared" si="19"/>
        <v>0</v>
      </c>
      <c r="M23" s="79">
        <f t="shared" si="19"/>
        <v>0</v>
      </c>
      <c r="N23" s="79">
        <f>SUM(B23:M23)</f>
        <v>0</v>
      </c>
    </row>
    <row r="24" spans="1:23" x14ac:dyDescent="0.35">
      <c r="A24" s="66" t="s">
        <v>189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0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146">
        <f>SUM(B24:M24)</f>
        <v>0</v>
      </c>
    </row>
    <row r="25" spans="1:23" hidden="1" outlineLevel="1" x14ac:dyDescent="0.35">
      <c r="A25" s="66" t="s">
        <v>190</v>
      </c>
      <c r="B25" s="149">
        <v>0.1</v>
      </c>
      <c r="C25" s="149">
        <f>+B25</f>
        <v>0.1</v>
      </c>
      <c r="D25" s="149">
        <f t="shared" ref="D25:M25" si="20">+C25</f>
        <v>0.1</v>
      </c>
      <c r="E25" s="149">
        <f t="shared" si="20"/>
        <v>0.1</v>
      </c>
      <c r="F25" s="149">
        <f t="shared" si="20"/>
        <v>0.1</v>
      </c>
      <c r="G25" s="149">
        <f t="shared" si="20"/>
        <v>0.1</v>
      </c>
      <c r="H25" s="149">
        <f t="shared" si="20"/>
        <v>0.1</v>
      </c>
      <c r="I25" s="149">
        <f t="shared" si="20"/>
        <v>0.1</v>
      </c>
      <c r="J25" s="149">
        <f t="shared" si="20"/>
        <v>0.1</v>
      </c>
      <c r="K25" s="149">
        <f t="shared" si="20"/>
        <v>0.1</v>
      </c>
      <c r="L25" s="149">
        <f t="shared" si="20"/>
        <v>0.1</v>
      </c>
      <c r="M25" s="149">
        <f t="shared" si="20"/>
        <v>0.1</v>
      </c>
      <c r="N25" s="146"/>
    </row>
    <row r="26" spans="1:23" hidden="1" outlineLevel="1" x14ac:dyDescent="0.35">
      <c r="A26" s="66" t="s">
        <v>288</v>
      </c>
      <c r="B26" s="146">
        <f>+B56</f>
        <v>0</v>
      </c>
      <c r="C26" s="146">
        <f t="shared" ref="C26:M26" si="21">+C56</f>
        <v>0</v>
      </c>
      <c r="D26" s="146">
        <f t="shared" si="21"/>
        <v>0</v>
      </c>
      <c r="E26" s="146">
        <f t="shared" si="21"/>
        <v>0</v>
      </c>
      <c r="F26" s="146">
        <f t="shared" si="21"/>
        <v>0</v>
      </c>
      <c r="G26" s="146">
        <f t="shared" si="21"/>
        <v>0</v>
      </c>
      <c r="H26" s="146">
        <f t="shared" si="21"/>
        <v>0</v>
      </c>
      <c r="I26" s="146">
        <f t="shared" si="21"/>
        <v>0</v>
      </c>
      <c r="J26" s="146">
        <f t="shared" si="21"/>
        <v>0</v>
      </c>
      <c r="K26" s="146">
        <f t="shared" si="21"/>
        <v>0</v>
      </c>
      <c r="L26" s="146">
        <f t="shared" si="21"/>
        <v>0</v>
      </c>
      <c r="M26" s="146">
        <f t="shared" si="21"/>
        <v>0</v>
      </c>
      <c r="N26" s="146">
        <f t="shared" ref="N26" si="22">SUM(B26:M26)</f>
        <v>0</v>
      </c>
    </row>
    <row r="27" spans="1:23" collapsed="1" x14ac:dyDescent="0.35">
      <c r="B27" s="160">
        <v>43647</v>
      </c>
      <c r="C27" s="160">
        <f>+B27+31</f>
        <v>43678</v>
      </c>
      <c r="D27" s="160">
        <f t="shared" ref="D27:M27" si="23">+C27+31</f>
        <v>43709</v>
      </c>
      <c r="E27" s="160">
        <f t="shared" si="23"/>
        <v>43740</v>
      </c>
      <c r="F27" s="160">
        <f t="shared" si="23"/>
        <v>43771</v>
      </c>
      <c r="G27" s="160">
        <f t="shared" si="23"/>
        <v>43802</v>
      </c>
      <c r="H27" s="160">
        <f t="shared" si="23"/>
        <v>43833</v>
      </c>
      <c r="I27" s="160">
        <f t="shared" si="23"/>
        <v>43864</v>
      </c>
      <c r="J27" s="160">
        <f t="shared" si="23"/>
        <v>43895</v>
      </c>
      <c r="K27" s="160">
        <f t="shared" si="23"/>
        <v>43926</v>
      </c>
      <c r="L27" s="160">
        <f t="shared" si="23"/>
        <v>43957</v>
      </c>
      <c r="M27" s="160">
        <f t="shared" si="23"/>
        <v>43988</v>
      </c>
      <c r="N27" s="159" t="s">
        <v>84</v>
      </c>
    </row>
    <row r="28" spans="1:23" x14ac:dyDescent="0.35">
      <c r="B28" s="17">
        <f>SUM(B29:B40)</f>
        <v>0</v>
      </c>
      <c r="C28" s="17">
        <f t="shared" ref="C28:M28" si="24">SUM(C29:C40)</f>
        <v>0</v>
      </c>
      <c r="D28" s="17">
        <f t="shared" si="24"/>
        <v>0</v>
      </c>
      <c r="E28" s="17">
        <f t="shared" si="24"/>
        <v>0</v>
      </c>
      <c r="F28" s="17">
        <f t="shared" si="24"/>
        <v>0</v>
      </c>
      <c r="G28" s="17">
        <f t="shared" si="24"/>
        <v>0</v>
      </c>
      <c r="H28" s="17">
        <f t="shared" si="24"/>
        <v>0</v>
      </c>
      <c r="I28" s="17">
        <f t="shared" si="24"/>
        <v>0</v>
      </c>
      <c r="J28" s="17">
        <f t="shared" si="24"/>
        <v>0</v>
      </c>
      <c r="K28" s="17">
        <f t="shared" si="24"/>
        <v>0</v>
      </c>
      <c r="L28" s="17">
        <f t="shared" si="24"/>
        <v>0</v>
      </c>
      <c r="M28" s="17">
        <f t="shared" si="24"/>
        <v>0</v>
      </c>
      <c r="N28" s="156">
        <f>SUM(B28:M28)</f>
        <v>0</v>
      </c>
    </row>
    <row r="29" spans="1:23" x14ac:dyDescent="0.35">
      <c r="B29" s="156">
        <f>+B17*B5/12</f>
        <v>0</v>
      </c>
      <c r="C29" s="156">
        <f>+B29</f>
        <v>0</v>
      </c>
      <c r="D29" s="156">
        <f t="shared" ref="D29:M39" si="25">+C29</f>
        <v>0</v>
      </c>
      <c r="E29" s="156">
        <f t="shared" si="25"/>
        <v>0</v>
      </c>
      <c r="F29" s="156">
        <f t="shared" si="25"/>
        <v>0</v>
      </c>
      <c r="G29" s="156">
        <f t="shared" si="25"/>
        <v>0</v>
      </c>
      <c r="H29" s="156">
        <f t="shared" si="25"/>
        <v>0</v>
      </c>
      <c r="I29" s="156">
        <f t="shared" si="25"/>
        <v>0</v>
      </c>
      <c r="J29" s="156">
        <f t="shared" si="25"/>
        <v>0</v>
      </c>
      <c r="K29" s="156">
        <f t="shared" si="25"/>
        <v>0</v>
      </c>
      <c r="L29" s="156">
        <f t="shared" si="25"/>
        <v>0</v>
      </c>
      <c r="M29" s="156">
        <f t="shared" si="25"/>
        <v>0</v>
      </c>
      <c r="N29" s="156">
        <f>SUM(B29:M29)</f>
        <v>0</v>
      </c>
    </row>
    <row r="30" spans="1:23" x14ac:dyDescent="0.35">
      <c r="B30" s="158"/>
      <c r="C30" s="156">
        <f>+(C5*C17*11/12)/11</f>
        <v>0</v>
      </c>
      <c r="D30" s="156">
        <f t="shared" si="25"/>
        <v>0</v>
      </c>
      <c r="E30" s="156">
        <f t="shared" si="25"/>
        <v>0</v>
      </c>
      <c r="F30" s="156">
        <f t="shared" si="25"/>
        <v>0</v>
      </c>
      <c r="G30" s="156">
        <f t="shared" si="25"/>
        <v>0</v>
      </c>
      <c r="H30" s="156">
        <f t="shared" si="25"/>
        <v>0</v>
      </c>
      <c r="I30" s="156">
        <f t="shared" si="25"/>
        <v>0</v>
      </c>
      <c r="J30" s="156">
        <f t="shared" si="25"/>
        <v>0</v>
      </c>
      <c r="K30" s="156">
        <f t="shared" si="25"/>
        <v>0</v>
      </c>
      <c r="L30" s="156">
        <f t="shared" si="25"/>
        <v>0</v>
      </c>
      <c r="M30" s="156">
        <f t="shared" si="25"/>
        <v>0</v>
      </c>
      <c r="N30" s="156">
        <f t="shared" ref="N30:N40" si="26">SUM(B30:M30)</f>
        <v>0</v>
      </c>
    </row>
    <row r="31" spans="1:23" x14ac:dyDescent="0.35">
      <c r="B31" s="158"/>
      <c r="C31" s="158"/>
      <c r="D31" s="156">
        <f>+(D5*D17*10/12)/10</f>
        <v>0</v>
      </c>
      <c r="E31" s="156">
        <f t="shared" si="25"/>
        <v>0</v>
      </c>
      <c r="F31" s="156">
        <f t="shared" si="25"/>
        <v>0</v>
      </c>
      <c r="G31" s="156">
        <f t="shared" si="25"/>
        <v>0</v>
      </c>
      <c r="H31" s="156">
        <f t="shared" si="25"/>
        <v>0</v>
      </c>
      <c r="I31" s="156">
        <f t="shared" si="25"/>
        <v>0</v>
      </c>
      <c r="J31" s="156">
        <f t="shared" si="25"/>
        <v>0</v>
      </c>
      <c r="K31" s="156">
        <f t="shared" si="25"/>
        <v>0</v>
      </c>
      <c r="L31" s="156">
        <f t="shared" si="25"/>
        <v>0</v>
      </c>
      <c r="M31" s="156">
        <f t="shared" si="25"/>
        <v>0</v>
      </c>
      <c r="N31" s="156">
        <f t="shared" si="26"/>
        <v>0</v>
      </c>
    </row>
    <row r="32" spans="1:23" x14ac:dyDescent="0.35">
      <c r="B32" s="158"/>
      <c r="C32" s="158"/>
      <c r="D32" s="158"/>
      <c r="E32" s="156">
        <f>+(E5*E17*9/12)/9</f>
        <v>0</v>
      </c>
      <c r="F32" s="156">
        <f t="shared" si="25"/>
        <v>0</v>
      </c>
      <c r="G32" s="156">
        <f t="shared" si="25"/>
        <v>0</v>
      </c>
      <c r="H32" s="156">
        <f t="shared" si="25"/>
        <v>0</v>
      </c>
      <c r="I32" s="156">
        <f t="shared" si="25"/>
        <v>0</v>
      </c>
      <c r="J32" s="156">
        <f t="shared" si="25"/>
        <v>0</v>
      </c>
      <c r="K32" s="156">
        <f t="shared" si="25"/>
        <v>0</v>
      </c>
      <c r="L32" s="156">
        <f t="shared" si="25"/>
        <v>0</v>
      </c>
      <c r="M32" s="156">
        <f t="shared" si="25"/>
        <v>0</v>
      </c>
      <c r="N32" s="156">
        <f t="shared" si="26"/>
        <v>0</v>
      </c>
    </row>
    <row r="33" spans="2:14" x14ac:dyDescent="0.35">
      <c r="B33" s="158"/>
      <c r="C33" s="158"/>
      <c r="D33" s="158"/>
      <c r="E33" s="158"/>
      <c r="F33" s="156">
        <f>+(F5*F17*8/12)/8</f>
        <v>0</v>
      </c>
      <c r="G33" s="156">
        <f t="shared" si="25"/>
        <v>0</v>
      </c>
      <c r="H33" s="156">
        <f t="shared" si="25"/>
        <v>0</v>
      </c>
      <c r="I33" s="156">
        <f t="shared" si="25"/>
        <v>0</v>
      </c>
      <c r="J33" s="156">
        <f t="shared" si="25"/>
        <v>0</v>
      </c>
      <c r="K33" s="156">
        <f t="shared" si="25"/>
        <v>0</v>
      </c>
      <c r="L33" s="156">
        <f t="shared" si="25"/>
        <v>0</v>
      </c>
      <c r="M33" s="156">
        <f t="shared" si="25"/>
        <v>0</v>
      </c>
      <c r="N33" s="156">
        <f t="shared" si="26"/>
        <v>0</v>
      </c>
    </row>
    <row r="34" spans="2:14" x14ac:dyDescent="0.35">
      <c r="B34" s="158"/>
      <c r="C34" s="158"/>
      <c r="D34" s="158"/>
      <c r="E34" s="158"/>
      <c r="F34" s="158"/>
      <c r="G34" s="156">
        <f>+(G5*G17*7/12)/7</f>
        <v>0</v>
      </c>
      <c r="H34" s="156">
        <f t="shared" si="25"/>
        <v>0</v>
      </c>
      <c r="I34" s="156">
        <f t="shared" si="25"/>
        <v>0</v>
      </c>
      <c r="J34" s="156">
        <f t="shared" si="25"/>
        <v>0</v>
      </c>
      <c r="K34" s="156">
        <f t="shared" si="25"/>
        <v>0</v>
      </c>
      <c r="L34" s="156">
        <f t="shared" si="25"/>
        <v>0</v>
      </c>
      <c r="M34" s="156">
        <f t="shared" si="25"/>
        <v>0</v>
      </c>
      <c r="N34" s="156">
        <f t="shared" si="26"/>
        <v>0</v>
      </c>
    </row>
    <row r="35" spans="2:14" x14ac:dyDescent="0.35">
      <c r="B35" s="158"/>
      <c r="C35" s="158"/>
      <c r="D35" s="158"/>
      <c r="E35" s="158"/>
      <c r="F35" s="158"/>
      <c r="G35" s="158"/>
      <c r="H35" s="156">
        <f>+(H5*H17*6/12)/6</f>
        <v>0</v>
      </c>
      <c r="I35" s="156">
        <f t="shared" si="25"/>
        <v>0</v>
      </c>
      <c r="J35" s="156">
        <f t="shared" si="25"/>
        <v>0</v>
      </c>
      <c r="K35" s="156">
        <f t="shared" si="25"/>
        <v>0</v>
      </c>
      <c r="L35" s="156">
        <f t="shared" si="25"/>
        <v>0</v>
      </c>
      <c r="M35" s="156">
        <f t="shared" si="25"/>
        <v>0</v>
      </c>
      <c r="N35" s="156">
        <f t="shared" si="26"/>
        <v>0</v>
      </c>
    </row>
    <row r="36" spans="2:14" x14ac:dyDescent="0.35">
      <c r="B36" s="158"/>
      <c r="C36" s="158"/>
      <c r="D36" s="158"/>
      <c r="E36" s="158"/>
      <c r="F36" s="158"/>
      <c r="G36" s="158"/>
      <c r="H36" s="158"/>
      <c r="I36" s="156">
        <f>(I5*I17*5/12)/5</f>
        <v>0</v>
      </c>
      <c r="J36" s="156">
        <f t="shared" si="25"/>
        <v>0</v>
      </c>
      <c r="K36" s="156">
        <f t="shared" si="25"/>
        <v>0</v>
      </c>
      <c r="L36" s="156">
        <f t="shared" si="25"/>
        <v>0</v>
      </c>
      <c r="M36" s="156">
        <f t="shared" si="25"/>
        <v>0</v>
      </c>
      <c r="N36" s="156">
        <f t="shared" si="26"/>
        <v>0</v>
      </c>
    </row>
    <row r="37" spans="2:14" x14ac:dyDescent="0.35">
      <c r="B37" s="158"/>
      <c r="C37" s="158"/>
      <c r="D37" s="158"/>
      <c r="E37" s="158"/>
      <c r="F37" s="158"/>
      <c r="G37" s="158"/>
      <c r="H37" s="158"/>
      <c r="I37" s="158"/>
      <c r="J37" s="156">
        <f>(J5*J17*4/12)/4</f>
        <v>0</v>
      </c>
      <c r="K37" s="156">
        <f t="shared" si="25"/>
        <v>0</v>
      </c>
      <c r="L37" s="156">
        <f t="shared" si="25"/>
        <v>0</v>
      </c>
      <c r="M37" s="156">
        <f t="shared" si="25"/>
        <v>0</v>
      </c>
      <c r="N37" s="156">
        <f t="shared" si="26"/>
        <v>0</v>
      </c>
    </row>
    <row r="38" spans="2:14" x14ac:dyDescent="0.35">
      <c r="B38" s="158"/>
      <c r="C38" s="158"/>
      <c r="D38" s="158"/>
      <c r="E38" s="158"/>
      <c r="F38" s="158"/>
      <c r="G38" s="158"/>
      <c r="H38" s="158"/>
      <c r="I38" s="158"/>
      <c r="J38" s="158"/>
      <c r="K38" s="156">
        <f>(K5*K17*3/12)/3</f>
        <v>0</v>
      </c>
      <c r="L38" s="156">
        <f t="shared" si="25"/>
        <v>0</v>
      </c>
      <c r="M38" s="156">
        <f t="shared" si="25"/>
        <v>0</v>
      </c>
      <c r="N38" s="156">
        <f t="shared" si="26"/>
        <v>0</v>
      </c>
    </row>
    <row r="39" spans="2:14" x14ac:dyDescent="0.35"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6">
        <f>(L5*L17*2/12)/2</f>
        <v>0</v>
      </c>
      <c r="M39" s="156">
        <f t="shared" si="25"/>
        <v>0</v>
      </c>
      <c r="N39" s="156">
        <f t="shared" si="26"/>
        <v>0</v>
      </c>
    </row>
    <row r="40" spans="2:14" x14ac:dyDescent="0.35"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6">
        <f>(M5*M17/12)</f>
        <v>0</v>
      </c>
      <c r="N40" s="156">
        <f t="shared" si="26"/>
        <v>0</v>
      </c>
    </row>
    <row r="41" spans="2:14" x14ac:dyDescent="0.35">
      <c r="B41" s="160">
        <v>43647</v>
      </c>
      <c r="C41" s="160">
        <f>+B41+31</f>
        <v>43678</v>
      </c>
      <c r="D41" s="160">
        <f t="shared" ref="D41:M41" si="27">+C41+31</f>
        <v>43709</v>
      </c>
      <c r="E41" s="160">
        <f t="shared" si="27"/>
        <v>43740</v>
      </c>
      <c r="F41" s="160">
        <f t="shared" si="27"/>
        <v>43771</v>
      </c>
      <c r="G41" s="160">
        <f t="shared" si="27"/>
        <v>43802</v>
      </c>
      <c r="H41" s="160">
        <f t="shared" si="27"/>
        <v>43833</v>
      </c>
      <c r="I41" s="160">
        <f t="shared" si="27"/>
        <v>43864</v>
      </c>
      <c r="J41" s="160">
        <f t="shared" si="27"/>
        <v>43895</v>
      </c>
      <c r="K41" s="160">
        <f t="shared" si="27"/>
        <v>43926</v>
      </c>
      <c r="L41" s="160">
        <f t="shared" si="27"/>
        <v>43957</v>
      </c>
      <c r="M41" s="160">
        <f t="shared" si="27"/>
        <v>43988</v>
      </c>
      <c r="N41" s="159" t="s">
        <v>84</v>
      </c>
    </row>
    <row r="42" spans="2:14" x14ac:dyDescent="0.35">
      <c r="B42" s="17">
        <f>SUM(B43:B54)</f>
        <v>0</v>
      </c>
      <c r="C42" s="17">
        <f t="shared" ref="C42:M42" si="28">SUM(C43:C54)</f>
        <v>0</v>
      </c>
      <c r="D42" s="17">
        <f t="shared" si="28"/>
        <v>0</v>
      </c>
      <c r="E42" s="17">
        <f t="shared" si="28"/>
        <v>0</v>
      </c>
      <c r="F42" s="17">
        <f t="shared" si="28"/>
        <v>0</v>
      </c>
      <c r="G42" s="17">
        <f t="shared" si="28"/>
        <v>0</v>
      </c>
      <c r="H42" s="17">
        <f t="shared" si="28"/>
        <v>0</v>
      </c>
      <c r="I42" s="17">
        <f t="shared" si="28"/>
        <v>0</v>
      </c>
      <c r="J42" s="17">
        <f t="shared" si="28"/>
        <v>0</v>
      </c>
      <c r="K42" s="17">
        <f t="shared" si="28"/>
        <v>0</v>
      </c>
      <c r="L42" s="17">
        <f t="shared" si="28"/>
        <v>0</v>
      </c>
      <c r="M42" s="17">
        <f t="shared" si="28"/>
        <v>0</v>
      </c>
      <c r="N42" s="156">
        <f>SUM(B42:M42)</f>
        <v>0</v>
      </c>
    </row>
    <row r="43" spans="2:14" x14ac:dyDescent="0.35">
      <c r="B43" s="156">
        <f>+B21*B8/12</f>
        <v>0</v>
      </c>
      <c r="C43" s="156">
        <f>+B43</f>
        <v>0</v>
      </c>
      <c r="D43" s="156">
        <f t="shared" ref="D43:M53" si="29">+C43</f>
        <v>0</v>
      </c>
      <c r="E43" s="156">
        <f t="shared" si="29"/>
        <v>0</v>
      </c>
      <c r="F43" s="156">
        <f t="shared" si="29"/>
        <v>0</v>
      </c>
      <c r="G43" s="156">
        <f t="shared" si="29"/>
        <v>0</v>
      </c>
      <c r="H43" s="156">
        <f t="shared" si="29"/>
        <v>0</v>
      </c>
      <c r="I43" s="156">
        <f t="shared" si="29"/>
        <v>0</v>
      </c>
      <c r="J43" s="156">
        <f t="shared" si="29"/>
        <v>0</v>
      </c>
      <c r="K43" s="156">
        <f t="shared" si="29"/>
        <v>0</v>
      </c>
      <c r="L43" s="156">
        <f t="shared" si="29"/>
        <v>0</v>
      </c>
      <c r="M43" s="156">
        <f t="shared" si="29"/>
        <v>0</v>
      </c>
      <c r="N43" s="156">
        <f>SUM(B43:M43)</f>
        <v>0</v>
      </c>
    </row>
    <row r="44" spans="2:14" x14ac:dyDescent="0.35">
      <c r="B44" s="158"/>
      <c r="C44" s="156">
        <f>+(C21*C8*11/12)/11</f>
        <v>0</v>
      </c>
      <c r="D44" s="156">
        <f t="shared" si="29"/>
        <v>0</v>
      </c>
      <c r="E44" s="156">
        <f t="shared" si="29"/>
        <v>0</v>
      </c>
      <c r="F44" s="156">
        <f t="shared" si="29"/>
        <v>0</v>
      </c>
      <c r="G44" s="156">
        <f t="shared" si="29"/>
        <v>0</v>
      </c>
      <c r="H44" s="156">
        <f t="shared" si="29"/>
        <v>0</v>
      </c>
      <c r="I44" s="156">
        <f t="shared" si="29"/>
        <v>0</v>
      </c>
      <c r="J44" s="156">
        <f t="shared" si="29"/>
        <v>0</v>
      </c>
      <c r="K44" s="156">
        <f t="shared" si="29"/>
        <v>0</v>
      </c>
      <c r="L44" s="156">
        <f t="shared" si="29"/>
        <v>0</v>
      </c>
      <c r="M44" s="156">
        <f t="shared" si="29"/>
        <v>0</v>
      </c>
      <c r="N44" s="156">
        <f t="shared" ref="N44:N54" si="30">SUM(B44:M44)</f>
        <v>0</v>
      </c>
    </row>
    <row r="45" spans="2:14" x14ac:dyDescent="0.35">
      <c r="B45" s="158"/>
      <c r="C45" s="158"/>
      <c r="D45" s="156">
        <f>+(D21*D8*10/12)/10</f>
        <v>0</v>
      </c>
      <c r="E45" s="156">
        <f t="shared" si="29"/>
        <v>0</v>
      </c>
      <c r="F45" s="156">
        <f t="shared" si="29"/>
        <v>0</v>
      </c>
      <c r="G45" s="156">
        <f t="shared" si="29"/>
        <v>0</v>
      </c>
      <c r="H45" s="156">
        <f t="shared" si="29"/>
        <v>0</v>
      </c>
      <c r="I45" s="156">
        <f t="shared" si="29"/>
        <v>0</v>
      </c>
      <c r="J45" s="156">
        <f t="shared" si="29"/>
        <v>0</v>
      </c>
      <c r="K45" s="156">
        <f t="shared" si="29"/>
        <v>0</v>
      </c>
      <c r="L45" s="156">
        <f t="shared" si="29"/>
        <v>0</v>
      </c>
      <c r="M45" s="156">
        <f t="shared" si="29"/>
        <v>0</v>
      </c>
      <c r="N45" s="156">
        <f t="shared" si="30"/>
        <v>0</v>
      </c>
    </row>
    <row r="46" spans="2:14" x14ac:dyDescent="0.35">
      <c r="B46" s="158"/>
      <c r="C46" s="158"/>
      <c r="D46" s="158"/>
      <c r="E46" s="156">
        <f>+(E21*E8*9/12)/9</f>
        <v>0</v>
      </c>
      <c r="F46" s="156">
        <f t="shared" si="29"/>
        <v>0</v>
      </c>
      <c r="G46" s="156">
        <f t="shared" si="29"/>
        <v>0</v>
      </c>
      <c r="H46" s="156">
        <f t="shared" si="29"/>
        <v>0</v>
      </c>
      <c r="I46" s="156">
        <f t="shared" si="29"/>
        <v>0</v>
      </c>
      <c r="J46" s="156">
        <f t="shared" si="29"/>
        <v>0</v>
      </c>
      <c r="K46" s="156">
        <f t="shared" si="29"/>
        <v>0</v>
      </c>
      <c r="L46" s="156">
        <f t="shared" si="29"/>
        <v>0</v>
      </c>
      <c r="M46" s="156">
        <f t="shared" si="29"/>
        <v>0</v>
      </c>
      <c r="N46" s="156">
        <f t="shared" si="30"/>
        <v>0</v>
      </c>
    </row>
    <row r="47" spans="2:14" x14ac:dyDescent="0.35">
      <c r="B47" s="158"/>
      <c r="C47" s="158"/>
      <c r="D47" s="158"/>
      <c r="E47" s="158"/>
      <c r="F47" s="156">
        <f>(+F21*F8*8/12)/8</f>
        <v>0</v>
      </c>
      <c r="G47" s="156">
        <f t="shared" si="29"/>
        <v>0</v>
      </c>
      <c r="H47" s="156">
        <f t="shared" si="29"/>
        <v>0</v>
      </c>
      <c r="I47" s="156">
        <f t="shared" si="29"/>
        <v>0</v>
      </c>
      <c r="J47" s="156">
        <f t="shared" si="29"/>
        <v>0</v>
      </c>
      <c r="K47" s="156">
        <f t="shared" si="29"/>
        <v>0</v>
      </c>
      <c r="L47" s="156">
        <f t="shared" si="29"/>
        <v>0</v>
      </c>
      <c r="M47" s="156">
        <f t="shared" si="29"/>
        <v>0</v>
      </c>
      <c r="N47" s="156">
        <f t="shared" si="30"/>
        <v>0</v>
      </c>
    </row>
    <row r="48" spans="2:14" x14ac:dyDescent="0.35">
      <c r="B48" s="158"/>
      <c r="C48" s="158"/>
      <c r="D48" s="158"/>
      <c r="E48" s="158"/>
      <c r="F48" s="158"/>
      <c r="G48" s="156">
        <f>+(G21*G8*7/12)/7</f>
        <v>0</v>
      </c>
      <c r="H48" s="156">
        <f>+G48</f>
        <v>0</v>
      </c>
      <c r="I48" s="156">
        <f t="shared" si="29"/>
        <v>0</v>
      </c>
      <c r="J48" s="156">
        <f t="shared" si="29"/>
        <v>0</v>
      </c>
      <c r="K48" s="156">
        <f t="shared" si="29"/>
        <v>0</v>
      </c>
      <c r="L48" s="156">
        <f t="shared" si="29"/>
        <v>0</v>
      </c>
      <c r="M48" s="156">
        <f t="shared" si="29"/>
        <v>0</v>
      </c>
      <c r="N48" s="156">
        <f t="shared" si="30"/>
        <v>0</v>
      </c>
    </row>
    <row r="49" spans="2:14" x14ac:dyDescent="0.35">
      <c r="B49" s="158"/>
      <c r="C49" s="158"/>
      <c r="D49" s="158"/>
      <c r="E49" s="158"/>
      <c r="F49" s="158"/>
      <c r="G49" s="158"/>
      <c r="H49" s="156">
        <f>+(H21*H8*6/12)/6</f>
        <v>0</v>
      </c>
      <c r="I49" s="156">
        <f t="shared" si="29"/>
        <v>0</v>
      </c>
      <c r="J49" s="156">
        <f t="shared" si="29"/>
        <v>0</v>
      </c>
      <c r="K49" s="156">
        <f t="shared" si="29"/>
        <v>0</v>
      </c>
      <c r="L49" s="156">
        <f t="shared" si="29"/>
        <v>0</v>
      </c>
      <c r="M49" s="156">
        <f t="shared" si="29"/>
        <v>0</v>
      </c>
      <c r="N49" s="156">
        <f t="shared" si="30"/>
        <v>0</v>
      </c>
    </row>
    <row r="50" spans="2:14" x14ac:dyDescent="0.35">
      <c r="B50" s="158"/>
      <c r="C50" s="158"/>
      <c r="D50" s="158"/>
      <c r="E50" s="158"/>
      <c r="F50" s="158"/>
      <c r="G50" s="158"/>
      <c r="H50" s="158"/>
      <c r="I50" s="156">
        <f>+(I21*I8*5/12)/5</f>
        <v>0</v>
      </c>
      <c r="J50" s="156">
        <f t="shared" si="29"/>
        <v>0</v>
      </c>
      <c r="K50" s="156">
        <f t="shared" si="29"/>
        <v>0</v>
      </c>
      <c r="L50" s="156">
        <f t="shared" si="29"/>
        <v>0</v>
      </c>
      <c r="M50" s="156">
        <f t="shared" si="29"/>
        <v>0</v>
      </c>
      <c r="N50" s="156">
        <f t="shared" si="30"/>
        <v>0</v>
      </c>
    </row>
    <row r="51" spans="2:14" x14ac:dyDescent="0.35">
      <c r="B51" s="158"/>
      <c r="C51" s="158"/>
      <c r="D51" s="158"/>
      <c r="E51" s="158"/>
      <c r="F51" s="158"/>
      <c r="G51" s="158"/>
      <c r="H51" s="158"/>
      <c r="I51" s="158"/>
      <c r="J51" s="156">
        <f>+(J21*J8*4/12)/4</f>
        <v>0</v>
      </c>
      <c r="K51" s="156">
        <f t="shared" si="29"/>
        <v>0</v>
      </c>
      <c r="L51" s="156">
        <f t="shared" si="29"/>
        <v>0</v>
      </c>
      <c r="M51" s="156">
        <f t="shared" si="29"/>
        <v>0</v>
      </c>
      <c r="N51" s="156">
        <f t="shared" si="30"/>
        <v>0</v>
      </c>
    </row>
    <row r="52" spans="2:14" x14ac:dyDescent="0.35">
      <c r="B52" s="158"/>
      <c r="C52" s="158"/>
      <c r="D52" s="158"/>
      <c r="E52" s="158"/>
      <c r="F52" s="158"/>
      <c r="G52" s="158"/>
      <c r="H52" s="158"/>
      <c r="I52" s="158"/>
      <c r="J52" s="158"/>
      <c r="K52" s="156">
        <f>+(K21*K8*3/12)/3</f>
        <v>0</v>
      </c>
      <c r="L52" s="156">
        <f t="shared" si="29"/>
        <v>0</v>
      </c>
      <c r="M52" s="156">
        <f t="shared" si="29"/>
        <v>0</v>
      </c>
      <c r="N52" s="156">
        <f t="shared" si="30"/>
        <v>0</v>
      </c>
    </row>
    <row r="53" spans="2:14" x14ac:dyDescent="0.35"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6">
        <f>+(L21*L8*2/12)/2</f>
        <v>0</v>
      </c>
      <c r="M53" s="156">
        <f t="shared" si="29"/>
        <v>0</v>
      </c>
      <c r="N53" s="156">
        <f t="shared" si="30"/>
        <v>0</v>
      </c>
    </row>
    <row r="54" spans="2:14" x14ac:dyDescent="0.35"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6">
        <f>+(M21*M8/12)</f>
        <v>0</v>
      </c>
      <c r="N54" s="156">
        <f t="shared" si="30"/>
        <v>0</v>
      </c>
    </row>
    <row r="55" spans="2:14" x14ac:dyDescent="0.35">
      <c r="B55" s="160">
        <v>43647</v>
      </c>
      <c r="C55" s="160">
        <f>+B55+31</f>
        <v>43678</v>
      </c>
      <c r="D55" s="160">
        <f t="shared" ref="D55:M55" si="31">+C55+31</f>
        <v>43709</v>
      </c>
      <c r="E55" s="160">
        <f t="shared" si="31"/>
        <v>43740</v>
      </c>
      <c r="F55" s="160">
        <f t="shared" si="31"/>
        <v>43771</v>
      </c>
      <c r="G55" s="160">
        <f t="shared" si="31"/>
        <v>43802</v>
      </c>
      <c r="H55" s="160">
        <f t="shared" si="31"/>
        <v>43833</v>
      </c>
      <c r="I55" s="160">
        <f t="shared" si="31"/>
        <v>43864</v>
      </c>
      <c r="J55" s="160">
        <f t="shared" si="31"/>
        <v>43895</v>
      </c>
      <c r="K55" s="160">
        <f t="shared" si="31"/>
        <v>43926</v>
      </c>
      <c r="L55" s="160">
        <f t="shared" si="31"/>
        <v>43957</v>
      </c>
      <c r="M55" s="160">
        <f t="shared" si="31"/>
        <v>43988</v>
      </c>
      <c r="N55" s="159" t="s">
        <v>84</v>
      </c>
    </row>
    <row r="56" spans="2:14" x14ac:dyDescent="0.35">
      <c r="B56" s="17">
        <f>SUM(B57:B68)</f>
        <v>0</v>
      </c>
      <c r="C56" s="17">
        <f t="shared" ref="C56:M56" si="32">SUM(C57:C68)</f>
        <v>0</v>
      </c>
      <c r="D56" s="17">
        <f t="shared" si="32"/>
        <v>0</v>
      </c>
      <c r="E56" s="17">
        <f t="shared" si="32"/>
        <v>0</v>
      </c>
      <c r="F56" s="17">
        <f t="shared" si="32"/>
        <v>0</v>
      </c>
      <c r="G56" s="17">
        <f t="shared" si="32"/>
        <v>0</v>
      </c>
      <c r="H56" s="17">
        <f t="shared" si="32"/>
        <v>0</v>
      </c>
      <c r="I56" s="17">
        <f t="shared" si="32"/>
        <v>0</v>
      </c>
      <c r="J56" s="17">
        <f t="shared" si="32"/>
        <v>0</v>
      </c>
      <c r="K56" s="17">
        <f t="shared" si="32"/>
        <v>0</v>
      </c>
      <c r="L56" s="17">
        <f t="shared" si="32"/>
        <v>0</v>
      </c>
      <c r="M56" s="17">
        <f t="shared" si="32"/>
        <v>0</v>
      </c>
      <c r="N56" s="156">
        <f>SUM(B56:M56)</f>
        <v>0</v>
      </c>
    </row>
    <row r="57" spans="2:14" x14ac:dyDescent="0.35">
      <c r="B57" s="156">
        <f>+B25*B11/12</f>
        <v>0</v>
      </c>
      <c r="C57" s="156">
        <f>+B57</f>
        <v>0</v>
      </c>
      <c r="D57" s="156">
        <f t="shared" ref="D57:M67" si="33">+C57</f>
        <v>0</v>
      </c>
      <c r="E57" s="156">
        <f t="shared" si="33"/>
        <v>0</v>
      </c>
      <c r="F57" s="156">
        <f t="shared" si="33"/>
        <v>0</v>
      </c>
      <c r="G57" s="156">
        <f t="shared" si="33"/>
        <v>0</v>
      </c>
      <c r="H57" s="156">
        <f t="shared" si="33"/>
        <v>0</v>
      </c>
      <c r="I57" s="156">
        <f t="shared" si="33"/>
        <v>0</v>
      </c>
      <c r="J57" s="156">
        <f t="shared" si="33"/>
        <v>0</v>
      </c>
      <c r="K57" s="156">
        <f t="shared" si="33"/>
        <v>0</v>
      </c>
      <c r="L57" s="156">
        <f t="shared" si="33"/>
        <v>0</v>
      </c>
      <c r="M57" s="156">
        <f t="shared" si="33"/>
        <v>0</v>
      </c>
      <c r="N57" s="156">
        <f>SUM(B57:M57)</f>
        <v>0</v>
      </c>
    </row>
    <row r="58" spans="2:14" x14ac:dyDescent="0.35">
      <c r="B58" s="158"/>
      <c r="C58" s="156">
        <f>+(C25*C11*11/12)/11</f>
        <v>0</v>
      </c>
      <c r="D58" s="156">
        <f t="shared" si="33"/>
        <v>0</v>
      </c>
      <c r="E58" s="156">
        <f t="shared" si="33"/>
        <v>0</v>
      </c>
      <c r="F58" s="156">
        <f t="shared" si="33"/>
        <v>0</v>
      </c>
      <c r="G58" s="156">
        <f t="shared" si="33"/>
        <v>0</v>
      </c>
      <c r="H58" s="156">
        <f t="shared" si="33"/>
        <v>0</v>
      </c>
      <c r="I58" s="156">
        <f t="shared" si="33"/>
        <v>0</v>
      </c>
      <c r="J58" s="156">
        <f t="shared" si="33"/>
        <v>0</v>
      </c>
      <c r="K58" s="156">
        <f t="shared" si="33"/>
        <v>0</v>
      </c>
      <c r="L58" s="156">
        <f t="shared" si="33"/>
        <v>0</v>
      </c>
      <c r="M58" s="156">
        <f t="shared" si="33"/>
        <v>0</v>
      </c>
      <c r="N58" s="156">
        <f t="shared" ref="N58:N68" si="34">SUM(B58:M58)</f>
        <v>0</v>
      </c>
    </row>
    <row r="59" spans="2:14" x14ac:dyDescent="0.35">
      <c r="B59" s="158"/>
      <c r="C59" s="158"/>
      <c r="D59" s="156">
        <f>+(D25*D11*10/12)/10</f>
        <v>0</v>
      </c>
      <c r="E59" s="156">
        <f t="shared" si="33"/>
        <v>0</v>
      </c>
      <c r="F59" s="156">
        <f t="shared" si="33"/>
        <v>0</v>
      </c>
      <c r="G59" s="156">
        <f t="shared" si="33"/>
        <v>0</v>
      </c>
      <c r="H59" s="156">
        <f t="shared" si="33"/>
        <v>0</v>
      </c>
      <c r="I59" s="156">
        <f t="shared" si="33"/>
        <v>0</v>
      </c>
      <c r="J59" s="156">
        <f t="shared" si="33"/>
        <v>0</v>
      </c>
      <c r="K59" s="156">
        <f t="shared" si="33"/>
        <v>0</v>
      </c>
      <c r="L59" s="156">
        <f t="shared" si="33"/>
        <v>0</v>
      </c>
      <c r="M59" s="156">
        <f t="shared" si="33"/>
        <v>0</v>
      </c>
      <c r="N59" s="156">
        <f t="shared" si="34"/>
        <v>0</v>
      </c>
    </row>
    <row r="60" spans="2:14" x14ac:dyDescent="0.35">
      <c r="B60" s="158"/>
      <c r="C60" s="158"/>
      <c r="D60" s="158"/>
      <c r="E60" s="156">
        <f>+(E25*E11*9/12)/9</f>
        <v>0</v>
      </c>
      <c r="F60" s="156">
        <f t="shared" si="33"/>
        <v>0</v>
      </c>
      <c r="G60" s="156">
        <f t="shared" si="33"/>
        <v>0</v>
      </c>
      <c r="H60" s="156">
        <f t="shared" si="33"/>
        <v>0</v>
      </c>
      <c r="I60" s="156">
        <f t="shared" si="33"/>
        <v>0</v>
      </c>
      <c r="J60" s="156">
        <f t="shared" si="33"/>
        <v>0</v>
      </c>
      <c r="K60" s="156">
        <f t="shared" si="33"/>
        <v>0</v>
      </c>
      <c r="L60" s="156">
        <f t="shared" si="33"/>
        <v>0</v>
      </c>
      <c r="M60" s="156">
        <f t="shared" si="33"/>
        <v>0</v>
      </c>
      <c r="N60" s="156">
        <f t="shared" si="34"/>
        <v>0</v>
      </c>
    </row>
    <row r="61" spans="2:14" x14ac:dyDescent="0.35">
      <c r="B61" s="158"/>
      <c r="C61" s="158"/>
      <c r="D61" s="158"/>
      <c r="E61" s="158"/>
      <c r="F61" s="156">
        <f>(+F25*F11*8/12)/8</f>
        <v>0</v>
      </c>
      <c r="G61" s="156">
        <f t="shared" si="33"/>
        <v>0</v>
      </c>
      <c r="H61" s="156">
        <f t="shared" si="33"/>
        <v>0</v>
      </c>
      <c r="I61" s="156">
        <f t="shared" si="33"/>
        <v>0</v>
      </c>
      <c r="J61" s="156">
        <f t="shared" si="33"/>
        <v>0</v>
      </c>
      <c r="K61" s="156">
        <f t="shared" si="33"/>
        <v>0</v>
      </c>
      <c r="L61" s="156">
        <f t="shared" si="33"/>
        <v>0</v>
      </c>
      <c r="M61" s="156">
        <f t="shared" si="33"/>
        <v>0</v>
      </c>
      <c r="N61" s="156">
        <f t="shared" si="34"/>
        <v>0</v>
      </c>
    </row>
    <row r="62" spans="2:14" x14ac:dyDescent="0.35">
      <c r="B62" s="158"/>
      <c r="C62" s="158"/>
      <c r="D62" s="158"/>
      <c r="E62" s="158"/>
      <c r="F62" s="158"/>
      <c r="G62" s="156">
        <f>+(G25*G11*7/12)/7</f>
        <v>0</v>
      </c>
      <c r="H62" s="156">
        <f>+G62</f>
        <v>0</v>
      </c>
      <c r="I62" s="156">
        <f t="shared" si="33"/>
        <v>0</v>
      </c>
      <c r="J62" s="156">
        <f t="shared" si="33"/>
        <v>0</v>
      </c>
      <c r="K62" s="156">
        <f t="shared" si="33"/>
        <v>0</v>
      </c>
      <c r="L62" s="156">
        <f t="shared" si="33"/>
        <v>0</v>
      </c>
      <c r="M62" s="156">
        <f t="shared" si="33"/>
        <v>0</v>
      </c>
      <c r="N62" s="156">
        <f t="shared" si="34"/>
        <v>0</v>
      </c>
    </row>
    <row r="63" spans="2:14" x14ac:dyDescent="0.35">
      <c r="B63" s="158"/>
      <c r="C63" s="158"/>
      <c r="D63" s="158"/>
      <c r="E63" s="158"/>
      <c r="F63" s="158"/>
      <c r="G63" s="158"/>
      <c r="H63" s="156">
        <f>+(H25*H11*6/12)/6</f>
        <v>0</v>
      </c>
      <c r="I63" s="156">
        <f t="shared" si="33"/>
        <v>0</v>
      </c>
      <c r="J63" s="156">
        <f t="shared" si="33"/>
        <v>0</v>
      </c>
      <c r="K63" s="156">
        <f t="shared" si="33"/>
        <v>0</v>
      </c>
      <c r="L63" s="156">
        <f t="shared" si="33"/>
        <v>0</v>
      </c>
      <c r="M63" s="156">
        <f t="shared" si="33"/>
        <v>0</v>
      </c>
      <c r="N63" s="156">
        <f t="shared" si="34"/>
        <v>0</v>
      </c>
    </row>
    <row r="64" spans="2:14" x14ac:dyDescent="0.35">
      <c r="B64" s="158"/>
      <c r="C64" s="158"/>
      <c r="D64" s="158"/>
      <c r="E64" s="158"/>
      <c r="F64" s="158"/>
      <c r="G64" s="158"/>
      <c r="H64" s="158"/>
      <c r="I64" s="156">
        <f>+(I25*I11*5/12)/5</f>
        <v>0</v>
      </c>
      <c r="J64" s="156">
        <f t="shared" si="33"/>
        <v>0</v>
      </c>
      <c r="K64" s="156">
        <f t="shared" si="33"/>
        <v>0</v>
      </c>
      <c r="L64" s="156">
        <f t="shared" si="33"/>
        <v>0</v>
      </c>
      <c r="M64" s="156">
        <f t="shared" si="33"/>
        <v>0</v>
      </c>
      <c r="N64" s="156">
        <f t="shared" si="34"/>
        <v>0</v>
      </c>
    </row>
    <row r="65" spans="2:14" x14ac:dyDescent="0.35">
      <c r="B65" s="158"/>
      <c r="C65" s="158"/>
      <c r="D65" s="158"/>
      <c r="E65" s="158"/>
      <c r="F65" s="158"/>
      <c r="G65" s="158"/>
      <c r="H65" s="158"/>
      <c r="I65" s="158"/>
      <c r="J65" s="156">
        <f>+(J25*J11*4/12)/4</f>
        <v>0</v>
      </c>
      <c r="K65" s="156">
        <f t="shared" si="33"/>
        <v>0</v>
      </c>
      <c r="L65" s="156">
        <f t="shared" si="33"/>
        <v>0</v>
      </c>
      <c r="M65" s="156">
        <f t="shared" si="33"/>
        <v>0</v>
      </c>
      <c r="N65" s="156">
        <f t="shared" si="34"/>
        <v>0</v>
      </c>
    </row>
    <row r="66" spans="2:14" x14ac:dyDescent="0.35">
      <c r="B66" s="158"/>
      <c r="C66" s="158"/>
      <c r="D66" s="158"/>
      <c r="E66" s="158"/>
      <c r="F66" s="158"/>
      <c r="G66" s="158"/>
      <c r="H66" s="158"/>
      <c r="I66" s="158"/>
      <c r="J66" s="158"/>
      <c r="K66" s="156">
        <f>+(K25*K11*3/12)/3</f>
        <v>0</v>
      </c>
      <c r="L66" s="156">
        <f t="shared" si="33"/>
        <v>0</v>
      </c>
      <c r="M66" s="156">
        <f t="shared" si="33"/>
        <v>0</v>
      </c>
      <c r="N66" s="156">
        <f t="shared" si="34"/>
        <v>0</v>
      </c>
    </row>
    <row r="67" spans="2:14" x14ac:dyDescent="0.35"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6">
        <f>+(L25*L11*2/12)/2</f>
        <v>0</v>
      </c>
      <c r="M67" s="156">
        <f t="shared" si="33"/>
        <v>0</v>
      </c>
      <c r="N67" s="156">
        <f t="shared" si="34"/>
        <v>0</v>
      </c>
    </row>
    <row r="68" spans="2:14" x14ac:dyDescent="0.35"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6">
        <f>+(M25*M11/12)</f>
        <v>0</v>
      </c>
      <c r="N68" s="156">
        <f t="shared" si="34"/>
        <v>0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W99"/>
  <sheetViews>
    <sheetView zoomScale="90" zoomScaleNormal="90" workbookViewId="0">
      <selection activeCell="B49" sqref="B49"/>
    </sheetView>
  </sheetViews>
  <sheetFormatPr baseColWidth="10" defaultColWidth="11.46484375" defaultRowHeight="11.65" outlineLevelRow="1" x14ac:dyDescent="0.35"/>
  <cols>
    <col min="1" max="1" width="35.19921875" style="32" bestFit="1" customWidth="1"/>
    <col min="2" max="14" width="8" style="32" customWidth="1"/>
    <col min="15" max="16384" width="11.46484375" style="32"/>
  </cols>
  <sheetData>
    <row r="1" spans="1:14" ht="35.25" thickBot="1" x14ac:dyDescent="0.4">
      <c r="A1" s="68" t="s">
        <v>236</v>
      </c>
    </row>
    <row r="3" spans="1:14" s="57" customFormat="1" x14ac:dyDescent="0.35">
      <c r="B3" s="69">
        <f>+Synthèse!$B$2</f>
        <v>45839</v>
      </c>
      <c r="C3" s="69">
        <v>43282</v>
      </c>
      <c r="D3" s="69">
        <v>43282</v>
      </c>
      <c r="E3" s="69">
        <v>43282</v>
      </c>
      <c r="F3" s="69">
        <v>43282</v>
      </c>
      <c r="G3" s="69">
        <v>43282</v>
      </c>
      <c r="H3" s="69">
        <v>43282</v>
      </c>
      <c r="I3" s="69">
        <v>43282</v>
      </c>
      <c r="J3" s="69">
        <v>43282</v>
      </c>
      <c r="K3" s="69">
        <v>43282</v>
      </c>
      <c r="L3" s="69">
        <v>43282</v>
      </c>
      <c r="M3" s="69">
        <v>43282</v>
      </c>
      <c r="N3" s="69">
        <v>43282</v>
      </c>
    </row>
    <row r="4" spans="1:14" s="57" customFormat="1" x14ac:dyDescent="0.35">
      <c r="A4" s="71" t="s">
        <v>179</v>
      </c>
      <c r="B4" s="76">
        <f t="shared" ref="B4:M4" si="0">+B5+B18+B31</f>
        <v>0</v>
      </c>
      <c r="C4" s="76">
        <f t="shared" si="0"/>
        <v>0</v>
      </c>
      <c r="D4" s="76">
        <f t="shared" si="0"/>
        <v>0</v>
      </c>
      <c r="E4" s="76">
        <f t="shared" si="0"/>
        <v>0</v>
      </c>
      <c r="F4" s="76">
        <f t="shared" si="0"/>
        <v>0</v>
      </c>
      <c r="G4" s="76">
        <f t="shared" si="0"/>
        <v>0</v>
      </c>
      <c r="H4" s="76">
        <f t="shared" si="0"/>
        <v>0</v>
      </c>
      <c r="I4" s="76">
        <f t="shared" si="0"/>
        <v>0</v>
      </c>
      <c r="J4" s="76">
        <f t="shared" si="0"/>
        <v>0</v>
      </c>
      <c r="K4" s="76">
        <f t="shared" si="0"/>
        <v>0</v>
      </c>
      <c r="L4" s="76">
        <f t="shared" si="0"/>
        <v>0</v>
      </c>
      <c r="M4" s="76">
        <f t="shared" si="0"/>
        <v>0</v>
      </c>
      <c r="N4" s="76">
        <f>SUM(B4:M4)</f>
        <v>0</v>
      </c>
    </row>
    <row r="5" spans="1:14" s="57" customFormat="1" x14ac:dyDescent="0.35">
      <c r="A5" s="72" t="s">
        <v>282</v>
      </c>
      <c r="B5" s="79">
        <f>+B8+B11+B14+B17</f>
        <v>0</v>
      </c>
      <c r="C5" s="79">
        <f t="shared" ref="C5:M5" si="1">+C8+C11+C14+C17</f>
        <v>0</v>
      </c>
      <c r="D5" s="79">
        <f t="shared" si="1"/>
        <v>0</v>
      </c>
      <c r="E5" s="79">
        <f t="shared" si="1"/>
        <v>0</v>
      </c>
      <c r="F5" s="79">
        <f t="shared" si="1"/>
        <v>0</v>
      </c>
      <c r="G5" s="79">
        <f t="shared" si="1"/>
        <v>0</v>
      </c>
      <c r="H5" s="79">
        <f t="shared" si="1"/>
        <v>0</v>
      </c>
      <c r="I5" s="79">
        <f t="shared" si="1"/>
        <v>0</v>
      </c>
      <c r="J5" s="79">
        <f t="shared" si="1"/>
        <v>0</v>
      </c>
      <c r="K5" s="79">
        <f t="shared" si="1"/>
        <v>0</v>
      </c>
      <c r="L5" s="79">
        <f t="shared" si="1"/>
        <v>0</v>
      </c>
      <c r="M5" s="79">
        <f t="shared" si="1"/>
        <v>0</v>
      </c>
      <c r="N5" s="79">
        <f>SUM(B5:M5)</f>
        <v>0</v>
      </c>
    </row>
    <row r="6" spans="1:14" hidden="1" outlineLevel="1" x14ac:dyDescent="0.35">
      <c r="A6" s="66" t="s">
        <v>195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8">
        <f t="shared" ref="N6" si="2">SUM(B6:M6)</f>
        <v>0</v>
      </c>
    </row>
    <row r="7" spans="1:14" hidden="1" outlineLevel="1" x14ac:dyDescent="0.35">
      <c r="A7" s="66" t="s">
        <v>196</v>
      </c>
      <c r="B7" s="146">
        <v>1100</v>
      </c>
      <c r="C7" s="146">
        <v>1100</v>
      </c>
      <c r="D7" s="146">
        <v>1100</v>
      </c>
      <c r="E7" s="146">
        <v>1100</v>
      </c>
      <c r="F7" s="146">
        <v>1100</v>
      </c>
      <c r="G7" s="146">
        <v>1100</v>
      </c>
      <c r="H7" s="146">
        <v>1100</v>
      </c>
      <c r="I7" s="146">
        <v>1100</v>
      </c>
      <c r="J7" s="146">
        <v>1100</v>
      </c>
      <c r="K7" s="146">
        <v>1100</v>
      </c>
      <c r="L7" s="146">
        <v>1100</v>
      </c>
      <c r="M7" s="146">
        <v>1100</v>
      </c>
      <c r="N7" s="146"/>
    </row>
    <row r="8" spans="1:14" hidden="1" outlineLevel="1" x14ac:dyDescent="0.35">
      <c r="A8" s="65" t="s">
        <v>197</v>
      </c>
      <c r="B8" s="146">
        <f t="shared" ref="B8:M8" si="3">+B7*B6</f>
        <v>0</v>
      </c>
      <c r="C8" s="146">
        <f t="shared" si="3"/>
        <v>0</v>
      </c>
      <c r="D8" s="146">
        <f t="shared" si="3"/>
        <v>0</v>
      </c>
      <c r="E8" s="146">
        <f t="shared" si="3"/>
        <v>0</v>
      </c>
      <c r="F8" s="146">
        <f t="shared" si="3"/>
        <v>0</v>
      </c>
      <c r="G8" s="146">
        <f t="shared" si="3"/>
        <v>0</v>
      </c>
      <c r="H8" s="146">
        <f t="shared" si="3"/>
        <v>0</v>
      </c>
      <c r="I8" s="146">
        <f t="shared" si="3"/>
        <v>0</v>
      </c>
      <c r="J8" s="146">
        <f t="shared" si="3"/>
        <v>0</v>
      </c>
      <c r="K8" s="146">
        <f t="shared" si="3"/>
        <v>0</v>
      </c>
      <c r="L8" s="146">
        <f t="shared" si="3"/>
        <v>0</v>
      </c>
      <c r="M8" s="146">
        <f t="shared" si="3"/>
        <v>0</v>
      </c>
      <c r="N8" s="148">
        <f>SUM(B8:M8)</f>
        <v>0</v>
      </c>
    </row>
    <row r="9" spans="1:14" hidden="1" outlineLevel="1" x14ac:dyDescent="0.35">
      <c r="A9" s="66" t="s">
        <v>194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8">
        <f t="shared" ref="N9" si="4">SUM(B9:M9)</f>
        <v>0</v>
      </c>
    </row>
    <row r="10" spans="1:14" hidden="1" outlineLevel="1" x14ac:dyDescent="0.35">
      <c r="A10" s="66" t="s">
        <v>198</v>
      </c>
      <c r="B10" s="146">
        <v>22000</v>
      </c>
      <c r="C10" s="146">
        <v>22000</v>
      </c>
      <c r="D10" s="146">
        <v>22000</v>
      </c>
      <c r="E10" s="146">
        <v>22000</v>
      </c>
      <c r="F10" s="146">
        <v>22000</v>
      </c>
      <c r="G10" s="146">
        <v>22000</v>
      </c>
      <c r="H10" s="146">
        <v>22000</v>
      </c>
      <c r="I10" s="146">
        <v>22000</v>
      </c>
      <c r="J10" s="146">
        <v>22000</v>
      </c>
      <c r="K10" s="146">
        <v>22000</v>
      </c>
      <c r="L10" s="146">
        <v>22000</v>
      </c>
      <c r="M10" s="146">
        <v>22000</v>
      </c>
      <c r="N10" s="146"/>
    </row>
    <row r="11" spans="1:14" hidden="1" outlineLevel="1" x14ac:dyDescent="0.35">
      <c r="A11" s="65" t="s">
        <v>199</v>
      </c>
      <c r="B11" s="146">
        <f>+B10*B9</f>
        <v>0</v>
      </c>
      <c r="C11" s="146">
        <f t="shared" ref="C11:M11" si="5">+C10*C9</f>
        <v>0</v>
      </c>
      <c r="D11" s="146">
        <f t="shared" si="5"/>
        <v>0</v>
      </c>
      <c r="E11" s="146">
        <f t="shared" si="5"/>
        <v>0</v>
      </c>
      <c r="F11" s="146">
        <f t="shared" si="5"/>
        <v>0</v>
      </c>
      <c r="G11" s="146">
        <f t="shared" si="5"/>
        <v>0</v>
      </c>
      <c r="H11" s="146">
        <f t="shared" si="5"/>
        <v>0</v>
      </c>
      <c r="I11" s="146">
        <f t="shared" si="5"/>
        <v>0</v>
      </c>
      <c r="J11" s="146">
        <f t="shared" si="5"/>
        <v>0</v>
      </c>
      <c r="K11" s="146">
        <f t="shared" si="5"/>
        <v>0</v>
      </c>
      <c r="L11" s="146">
        <f t="shared" si="5"/>
        <v>0</v>
      </c>
      <c r="M11" s="146">
        <f t="shared" si="5"/>
        <v>0</v>
      </c>
      <c r="N11" s="148">
        <f>SUM(B11:M11)</f>
        <v>0</v>
      </c>
    </row>
    <row r="12" spans="1:14" hidden="1" outlineLevel="1" x14ac:dyDescent="0.35">
      <c r="A12" s="66" t="s">
        <v>194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8">
        <f t="shared" ref="N12" si="6">SUM(B12:M12)</f>
        <v>0</v>
      </c>
    </row>
    <row r="13" spans="1:14" hidden="1" outlineLevel="1" x14ac:dyDescent="0.35">
      <c r="A13" s="66" t="s">
        <v>198</v>
      </c>
      <c r="B13" s="146">
        <v>38000</v>
      </c>
      <c r="C13" s="146">
        <v>38000</v>
      </c>
      <c r="D13" s="146">
        <v>38000</v>
      </c>
      <c r="E13" s="146">
        <v>38000</v>
      </c>
      <c r="F13" s="146">
        <v>38000</v>
      </c>
      <c r="G13" s="146">
        <v>38000</v>
      </c>
      <c r="H13" s="146">
        <v>38000</v>
      </c>
      <c r="I13" s="146">
        <v>38000</v>
      </c>
      <c r="J13" s="146">
        <v>38000</v>
      </c>
      <c r="K13" s="146">
        <v>38000</v>
      </c>
      <c r="L13" s="146">
        <v>38000</v>
      </c>
      <c r="M13" s="146">
        <v>38000</v>
      </c>
      <c r="N13" s="146"/>
    </row>
    <row r="14" spans="1:14" hidden="1" outlineLevel="1" x14ac:dyDescent="0.35">
      <c r="A14" s="65" t="s">
        <v>200</v>
      </c>
      <c r="B14" s="146">
        <f>+B13*B12</f>
        <v>0</v>
      </c>
      <c r="C14" s="146">
        <f t="shared" ref="C14" si="7">+C13*C12</f>
        <v>0</v>
      </c>
      <c r="D14" s="146">
        <f t="shared" ref="D14" si="8">+D13*D12</f>
        <v>0</v>
      </c>
      <c r="E14" s="146">
        <f t="shared" ref="E14" si="9">+E13*E12</f>
        <v>0</v>
      </c>
      <c r="F14" s="146">
        <f t="shared" ref="F14" si="10">+F13*F12</f>
        <v>0</v>
      </c>
      <c r="G14" s="146">
        <f t="shared" ref="G14" si="11">+G13*G12</f>
        <v>0</v>
      </c>
      <c r="H14" s="146">
        <f t="shared" ref="H14" si="12">+H13*H12</f>
        <v>0</v>
      </c>
      <c r="I14" s="146">
        <f t="shared" ref="I14" si="13">+I13*I12</f>
        <v>0</v>
      </c>
      <c r="J14" s="146">
        <f t="shared" ref="J14" si="14">+J13*J12</f>
        <v>0</v>
      </c>
      <c r="K14" s="146">
        <f t="shared" ref="K14" si="15">+K13*K12</f>
        <v>0</v>
      </c>
      <c r="L14" s="146">
        <f t="shared" ref="L14" si="16">+L13*L12</f>
        <v>0</v>
      </c>
      <c r="M14" s="146">
        <f t="shared" ref="M14" si="17">+M13*M12</f>
        <v>0</v>
      </c>
      <c r="N14" s="148">
        <f>SUM(B14:M14)</f>
        <v>0</v>
      </c>
    </row>
    <row r="15" spans="1:14" hidden="1" outlineLevel="1" x14ac:dyDescent="0.35">
      <c r="A15" s="66" t="s">
        <v>202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8">
        <f t="shared" ref="N15" si="18">SUM(B15:M15)</f>
        <v>0</v>
      </c>
    </row>
    <row r="16" spans="1:14" hidden="1" outlineLevel="1" x14ac:dyDescent="0.35">
      <c r="A16" s="66" t="s">
        <v>198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</row>
    <row r="17" spans="1:14" hidden="1" outlineLevel="1" x14ac:dyDescent="0.35">
      <c r="A17" s="65" t="s">
        <v>201</v>
      </c>
      <c r="B17" s="146">
        <f>+B16*B15</f>
        <v>0</v>
      </c>
      <c r="C17" s="146">
        <f t="shared" ref="C17:M17" si="19">+C16*C15</f>
        <v>0</v>
      </c>
      <c r="D17" s="146">
        <f t="shared" si="19"/>
        <v>0</v>
      </c>
      <c r="E17" s="146">
        <f t="shared" si="19"/>
        <v>0</v>
      </c>
      <c r="F17" s="146">
        <f t="shared" si="19"/>
        <v>0</v>
      </c>
      <c r="G17" s="146">
        <f t="shared" si="19"/>
        <v>0</v>
      </c>
      <c r="H17" s="146">
        <f t="shared" si="19"/>
        <v>0</v>
      </c>
      <c r="I17" s="146">
        <f t="shared" si="19"/>
        <v>0</v>
      </c>
      <c r="J17" s="146">
        <f t="shared" si="19"/>
        <v>0</v>
      </c>
      <c r="K17" s="146">
        <f t="shared" si="19"/>
        <v>0</v>
      </c>
      <c r="L17" s="146">
        <f t="shared" si="19"/>
        <v>0</v>
      </c>
      <c r="M17" s="146">
        <f t="shared" si="19"/>
        <v>0</v>
      </c>
      <c r="N17" s="148">
        <f>SUM(B17:M17)</f>
        <v>0</v>
      </c>
    </row>
    <row r="18" spans="1:14" collapsed="1" x14ac:dyDescent="0.35">
      <c r="A18" s="72" t="s">
        <v>284</v>
      </c>
      <c r="B18" s="79">
        <f>+B21+B24+B27+B30</f>
        <v>0</v>
      </c>
      <c r="C18" s="79">
        <f t="shared" ref="C18:M18" si="20">+C21+C24+C27+C30</f>
        <v>0</v>
      </c>
      <c r="D18" s="79">
        <f t="shared" si="20"/>
        <v>0</v>
      </c>
      <c r="E18" s="79">
        <f t="shared" si="20"/>
        <v>0</v>
      </c>
      <c r="F18" s="79">
        <f t="shared" si="20"/>
        <v>0</v>
      </c>
      <c r="G18" s="79">
        <f t="shared" si="20"/>
        <v>0</v>
      </c>
      <c r="H18" s="79">
        <f t="shared" si="20"/>
        <v>0</v>
      </c>
      <c r="I18" s="79">
        <f t="shared" si="20"/>
        <v>0</v>
      </c>
      <c r="J18" s="79">
        <f t="shared" si="20"/>
        <v>0</v>
      </c>
      <c r="K18" s="79">
        <f t="shared" si="20"/>
        <v>0</v>
      </c>
      <c r="L18" s="79">
        <f t="shared" si="20"/>
        <v>0</v>
      </c>
      <c r="M18" s="79">
        <f t="shared" si="20"/>
        <v>0</v>
      </c>
      <c r="N18" s="79">
        <f>SUM(B18:M18)</f>
        <v>0</v>
      </c>
    </row>
    <row r="19" spans="1:14" hidden="1" outlineLevel="1" x14ac:dyDescent="0.35">
      <c r="A19" s="66" t="s">
        <v>195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8">
        <f t="shared" ref="N19" si="21">SUM(B19:M19)</f>
        <v>0</v>
      </c>
    </row>
    <row r="20" spans="1:14" hidden="1" outlineLevel="1" x14ac:dyDescent="0.35">
      <c r="A20" s="66" t="s">
        <v>196</v>
      </c>
      <c r="B20" s="146">
        <v>1100</v>
      </c>
      <c r="C20" s="146">
        <v>1100</v>
      </c>
      <c r="D20" s="146">
        <v>1100</v>
      </c>
      <c r="E20" s="146">
        <v>1100</v>
      </c>
      <c r="F20" s="146">
        <v>1100</v>
      </c>
      <c r="G20" s="146">
        <v>1100</v>
      </c>
      <c r="H20" s="146">
        <v>1100</v>
      </c>
      <c r="I20" s="146">
        <v>1100</v>
      </c>
      <c r="J20" s="146">
        <v>1100</v>
      </c>
      <c r="K20" s="146">
        <v>1100</v>
      </c>
      <c r="L20" s="146">
        <v>1100</v>
      </c>
      <c r="M20" s="146">
        <v>1100</v>
      </c>
      <c r="N20" s="146"/>
    </row>
    <row r="21" spans="1:14" hidden="1" outlineLevel="1" x14ac:dyDescent="0.35">
      <c r="A21" s="65" t="s">
        <v>197</v>
      </c>
      <c r="B21" s="146">
        <f t="shared" ref="B21" si="22">+B20*B19</f>
        <v>0</v>
      </c>
      <c r="C21" s="146">
        <f t="shared" ref="C21" si="23">+C20*C19</f>
        <v>0</v>
      </c>
      <c r="D21" s="146">
        <f t="shared" ref="D21" si="24">+D20*D19</f>
        <v>0</v>
      </c>
      <c r="E21" s="146">
        <f t="shared" ref="E21" si="25">+E20*E19</f>
        <v>0</v>
      </c>
      <c r="F21" s="146">
        <f t="shared" ref="F21" si="26">+F20*F19</f>
        <v>0</v>
      </c>
      <c r="G21" s="146">
        <f t="shared" ref="G21" si="27">+G20*G19</f>
        <v>0</v>
      </c>
      <c r="H21" s="146">
        <f t="shared" ref="H21" si="28">+H20*H19</f>
        <v>0</v>
      </c>
      <c r="I21" s="146">
        <f t="shared" ref="I21" si="29">+I20*I19</f>
        <v>0</v>
      </c>
      <c r="J21" s="146">
        <f t="shared" ref="J21" si="30">+J20*J19</f>
        <v>0</v>
      </c>
      <c r="K21" s="146">
        <f t="shared" ref="K21" si="31">+K20*K19</f>
        <v>0</v>
      </c>
      <c r="L21" s="146">
        <f t="shared" ref="L21" si="32">+L20*L19</f>
        <v>0</v>
      </c>
      <c r="M21" s="146">
        <f t="shared" ref="M21" si="33">+M20*M19</f>
        <v>0</v>
      </c>
      <c r="N21" s="148">
        <f>SUM(B21:M21)</f>
        <v>0</v>
      </c>
    </row>
    <row r="22" spans="1:14" hidden="1" outlineLevel="1" x14ac:dyDescent="0.35">
      <c r="A22" s="66" t="s">
        <v>194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8">
        <f t="shared" ref="N22" si="34">SUM(B22:M22)</f>
        <v>0</v>
      </c>
    </row>
    <row r="23" spans="1:14" hidden="1" outlineLevel="1" x14ac:dyDescent="0.35">
      <c r="A23" s="66" t="s">
        <v>198</v>
      </c>
      <c r="B23" s="146">
        <v>22000</v>
      </c>
      <c r="C23" s="146">
        <v>22000</v>
      </c>
      <c r="D23" s="146">
        <v>22000</v>
      </c>
      <c r="E23" s="146">
        <v>22000</v>
      </c>
      <c r="F23" s="146">
        <v>22000</v>
      </c>
      <c r="G23" s="146">
        <v>22000</v>
      </c>
      <c r="H23" s="146">
        <v>22000</v>
      </c>
      <c r="I23" s="146">
        <v>22000</v>
      </c>
      <c r="J23" s="146">
        <v>22000</v>
      </c>
      <c r="K23" s="146">
        <v>22000</v>
      </c>
      <c r="L23" s="146">
        <v>22000</v>
      </c>
      <c r="M23" s="146">
        <v>22000</v>
      </c>
      <c r="N23" s="146"/>
    </row>
    <row r="24" spans="1:14" hidden="1" outlineLevel="1" x14ac:dyDescent="0.35">
      <c r="A24" s="65" t="s">
        <v>199</v>
      </c>
      <c r="B24" s="146">
        <f>+B23*B22</f>
        <v>0</v>
      </c>
      <c r="C24" s="146">
        <f t="shared" ref="C24" si="35">+C23*C22</f>
        <v>0</v>
      </c>
      <c r="D24" s="146">
        <f t="shared" ref="D24" si="36">+D23*D22</f>
        <v>0</v>
      </c>
      <c r="E24" s="146">
        <f t="shared" ref="E24" si="37">+E23*E22</f>
        <v>0</v>
      </c>
      <c r="F24" s="146">
        <f t="shared" ref="F24" si="38">+F23*F22</f>
        <v>0</v>
      </c>
      <c r="G24" s="146">
        <f t="shared" ref="G24" si="39">+G23*G22</f>
        <v>0</v>
      </c>
      <c r="H24" s="146">
        <f t="shared" ref="H24" si="40">+H23*H22</f>
        <v>0</v>
      </c>
      <c r="I24" s="146">
        <f t="shared" ref="I24" si="41">+I23*I22</f>
        <v>0</v>
      </c>
      <c r="J24" s="146">
        <f t="shared" ref="J24" si="42">+J23*J22</f>
        <v>0</v>
      </c>
      <c r="K24" s="146">
        <f t="shared" ref="K24" si="43">+K23*K22</f>
        <v>0</v>
      </c>
      <c r="L24" s="146">
        <f t="shared" ref="L24" si="44">+L23*L22</f>
        <v>0</v>
      </c>
      <c r="M24" s="146">
        <f t="shared" ref="M24" si="45">+M23*M22</f>
        <v>0</v>
      </c>
      <c r="N24" s="148">
        <f>SUM(B24:M24)</f>
        <v>0</v>
      </c>
    </row>
    <row r="25" spans="1:14" hidden="1" outlineLevel="1" x14ac:dyDescent="0.35">
      <c r="A25" s="66" t="s">
        <v>194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8">
        <f t="shared" ref="N25" si="46">SUM(B25:M25)</f>
        <v>0</v>
      </c>
    </row>
    <row r="26" spans="1:14" hidden="1" outlineLevel="1" x14ac:dyDescent="0.35">
      <c r="A26" s="66" t="s">
        <v>198</v>
      </c>
      <c r="B26" s="146">
        <v>38000</v>
      </c>
      <c r="C26" s="146">
        <v>38000</v>
      </c>
      <c r="D26" s="146">
        <v>38000</v>
      </c>
      <c r="E26" s="146">
        <v>38000</v>
      </c>
      <c r="F26" s="146">
        <v>38000</v>
      </c>
      <c r="G26" s="146">
        <v>38000</v>
      </c>
      <c r="H26" s="146">
        <v>38000</v>
      </c>
      <c r="I26" s="146">
        <v>38000</v>
      </c>
      <c r="J26" s="146">
        <v>38000</v>
      </c>
      <c r="K26" s="146">
        <v>38000</v>
      </c>
      <c r="L26" s="146">
        <v>38000</v>
      </c>
      <c r="M26" s="146">
        <v>38000</v>
      </c>
      <c r="N26" s="146"/>
    </row>
    <row r="27" spans="1:14" hidden="1" outlineLevel="1" x14ac:dyDescent="0.35">
      <c r="A27" s="65" t="s">
        <v>200</v>
      </c>
      <c r="B27" s="146">
        <f>+B26*B25</f>
        <v>0</v>
      </c>
      <c r="C27" s="146">
        <f t="shared" ref="C27" si="47">+C26*C25</f>
        <v>0</v>
      </c>
      <c r="D27" s="146">
        <f t="shared" ref="D27" si="48">+D26*D25</f>
        <v>0</v>
      </c>
      <c r="E27" s="146">
        <f t="shared" ref="E27" si="49">+E26*E25</f>
        <v>0</v>
      </c>
      <c r="F27" s="146">
        <f t="shared" ref="F27" si="50">+F26*F25</f>
        <v>0</v>
      </c>
      <c r="G27" s="146">
        <f t="shared" ref="G27" si="51">+G26*G25</f>
        <v>0</v>
      </c>
      <c r="H27" s="146">
        <f t="shared" ref="H27" si="52">+H26*H25</f>
        <v>0</v>
      </c>
      <c r="I27" s="146">
        <f t="shared" ref="I27" si="53">+I26*I25</f>
        <v>0</v>
      </c>
      <c r="J27" s="146">
        <f t="shared" ref="J27" si="54">+J26*J25</f>
        <v>0</v>
      </c>
      <c r="K27" s="146">
        <f t="shared" ref="K27" si="55">+K26*K25</f>
        <v>0</v>
      </c>
      <c r="L27" s="146">
        <f t="shared" ref="L27" si="56">+L26*L25</f>
        <v>0</v>
      </c>
      <c r="M27" s="146">
        <f t="shared" ref="M27" si="57">+M26*M25</f>
        <v>0</v>
      </c>
      <c r="N27" s="148">
        <f>SUM(B27:M27)</f>
        <v>0</v>
      </c>
    </row>
    <row r="28" spans="1:14" hidden="1" outlineLevel="1" x14ac:dyDescent="0.35">
      <c r="A28" s="66" t="s">
        <v>202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8">
        <f t="shared" ref="N28" si="58">SUM(B28:M28)</f>
        <v>0</v>
      </c>
    </row>
    <row r="29" spans="1:14" hidden="1" outlineLevel="1" x14ac:dyDescent="0.35">
      <c r="A29" s="66" t="s">
        <v>198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</row>
    <row r="30" spans="1:14" hidden="1" outlineLevel="1" x14ac:dyDescent="0.35">
      <c r="A30" s="65" t="s">
        <v>201</v>
      </c>
      <c r="B30" s="146">
        <f>+B29*B28</f>
        <v>0</v>
      </c>
      <c r="C30" s="146">
        <f t="shared" ref="C30" si="59">+C29*C28</f>
        <v>0</v>
      </c>
      <c r="D30" s="146">
        <f t="shared" ref="D30" si="60">+D29*D28</f>
        <v>0</v>
      </c>
      <c r="E30" s="146">
        <f t="shared" ref="E30" si="61">+E29*E28</f>
        <v>0</v>
      </c>
      <c r="F30" s="146">
        <f t="shared" ref="F30" si="62">+F29*F28</f>
        <v>0</v>
      </c>
      <c r="G30" s="146">
        <f t="shared" ref="G30" si="63">+G29*G28</f>
        <v>0</v>
      </c>
      <c r="H30" s="146">
        <f t="shared" ref="H30" si="64">+H29*H28</f>
        <v>0</v>
      </c>
      <c r="I30" s="146">
        <f t="shared" ref="I30" si="65">+I29*I28</f>
        <v>0</v>
      </c>
      <c r="J30" s="146">
        <f t="shared" ref="J30" si="66">+J29*J28</f>
        <v>0</v>
      </c>
      <c r="K30" s="146">
        <f t="shared" ref="K30" si="67">+K29*K28</f>
        <v>0</v>
      </c>
      <c r="L30" s="146">
        <f t="shared" ref="L30" si="68">+L29*L28</f>
        <v>0</v>
      </c>
      <c r="M30" s="146">
        <f t="shared" ref="M30" si="69">+M29*M28</f>
        <v>0</v>
      </c>
      <c r="N30" s="148">
        <f>SUM(B30:M30)</f>
        <v>0</v>
      </c>
    </row>
    <row r="31" spans="1:14" collapsed="1" x14ac:dyDescent="0.35">
      <c r="A31" s="72" t="s">
        <v>286</v>
      </c>
      <c r="B31" s="79">
        <f>+B35+B38+B41+B44+B32</f>
        <v>0</v>
      </c>
      <c r="C31" s="79">
        <f t="shared" ref="C31:M31" si="70">+C35+C38+C41+C44+C32</f>
        <v>0</v>
      </c>
      <c r="D31" s="79">
        <f t="shared" si="70"/>
        <v>0</v>
      </c>
      <c r="E31" s="79">
        <f t="shared" si="70"/>
        <v>0</v>
      </c>
      <c r="F31" s="79">
        <f t="shared" si="70"/>
        <v>0</v>
      </c>
      <c r="G31" s="79">
        <f t="shared" si="70"/>
        <v>0</v>
      </c>
      <c r="H31" s="79">
        <f t="shared" si="70"/>
        <v>0</v>
      </c>
      <c r="I31" s="79">
        <f t="shared" si="70"/>
        <v>0</v>
      </c>
      <c r="J31" s="79">
        <f t="shared" si="70"/>
        <v>0</v>
      </c>
      <c r="K31" s="79">
        <f t="shared" si="70"/>
        <v>0</v>
      </c>
      <c r="L31" s="79">
        <f t="shared" si="70"/>
        <v>0</v>
      </c>
      <c r="M31" s="79">
        <f t="shared" si="70"/>
        <v>0</v>
      </c>
      <c r="N31" s="79">
        <f>SUM(B31:M31)</f>
        <v>0</v>
      </c>
    </row>
    <row r="32" spans="1:14" x14ac:dyDescent="0.35">
      <c r="A32" s="65" t="s">
        <v>226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8">
        <f t="shared" ref="N32:N33" si="71">SUM(B32:M32)</f>
        <v>0</v>
      </c>
    </row>
    <row r="33" spans="1:14" hidden="1" outlineLevel="1" x14ac:dyDescent="0.35">
      <c r="A33" s="66" t="s">
        <v>195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8">
        <f t="shared" si="71"/>
        <v>0</v>
      </c>
    </row>
    <row r="34" spans="1:14" hidden="1" outlineLevel="1" x14ac:dyDescent="0.35">
      <c r="A34" s="66" t="s">
        <v>196</v>
      </c>
      <c r="B34" s="146">
        <v>1100</v>
      </c>
      <c r="C34" s="146">
        <v>1100</v>
      </c>
      <c r="D34" s="146">
        <v>1100</v>
      </c>
      <c r="E34" s="146">
        <v>1100</v>
      </c>
      <c r="F34" s="146">
        <v>1100</v>
      </c>
      <c r="G34" s="146">
        <v>1100</v>
      </c>
      <c r="H34" s="146">
        <v>1100</v>
      </c>
      <c r="I34" s="146">
        <v>1100</v>
      </c>
      <c r="J34" s="146">
        <v>1100</v>
      </c>
      <c r="K34" s="146">
        <v>1100</v>
      </c>
      <c r="L34" s="146">
        <v>1100</v>
      </c>
      <c r="M34" s="146">
        <v>1100</v>
      </c>
      <c r="N34" s="148"/>
    </row>
    <row r="35" spans="1:14" hidden="1" outlineLevel="1" x14ac:dyDescent="0.35">
      <c r="A35" s="65" t="s">
        <v>197</v>
      </c>
      <c r="B35" s="146">
        <f t="shared" ref="B35" si="72">+B34*B33</f>
        <v>0</v>
      </c>
      <c r="C35" s="146">
        <f t="shared" ref="C35" si="73">+C34*C33</f>
        <v>0</v>
      </c>
      <c r="D35" s="146">
        <f t="shared" ref="D35" si="74">+D34*D33</f>
        <v>0</v>
      </c>
      <c r="E35" s="146">
        <f t="shared" ref="E35" si="75">+E34*E33</f>
        <v>0</v>
      </c>
      <c r="F35" s="146">
        <f t="shared" ref="F35" si="76">+F34*F33</f>
        <v>0</v>
      </c>
      <c r="G35" s="146">
        <f t="shared" ref="G35" si="77">+G34*G33</f>
        <v>0</v>
      </c>
      <c r="H35" s="146">
        <f t="shared" ref="H35" si="78">+H34*H33</f>
        <v>0</v>
      </c>
      <c r="I35" s="146">
        <f t="shared" ref="I35" si="79">+I34*I33</f>
        <v>0</v>
      </c>
      <c r="J35" s="146">
        <f t="shared" ref="J35" si="80">+J34*J33</f>
        <v>0</v>
      </c>
      <c r="K35" s="146">
        <f t="shared" ref="K35" si="81">+K34*K33</f>
        <v>0</v>
      </c>
      <c r="L35" s="146">
        <f t="shared" ref="L35" si="82">+L34*L33</f>
        <v>0</v>
      </c>
      <c r="M35" s="146">
        <f t="shared" ref="M35" si="83">+M34*M33</f>
        <v>0</v>
      </c>
      <c r="N35" s="148"/>
    </row>
    <row r="36" spans="1:14" hidden="1" outlineLevel="1" x14ac:dyDescent="0.35">
      <c r="A36" s="66" t="s">
        <v>194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8"/>
    </row>
    <row r="37" spans="1:14" hidden="1" outlineLevel="1" x14ac:dyDescent="0.35">
      <c r="A37" s="66" t="s">
        <v>198</v>
      </c>
      <c r="B37" s="146">
        <v>22000</v>
      </c>
      <c r="C37" s="146">
        <v>22000</v>
      </c>
      <c r="D37" s="146">
        <v>22000</v>
      </c>
      <c r="E37" s="146">
        <v>22000</v>
      </c>
      <c r="F37" s="146">
        <v>22000</v>
      </c>
      <c r="G37" s="146">
        <v>22000</v>
      </c>
      <c r="H37" s="146">
        <v>22000</v>
      </c>
      <c r="I37" s="146">
        <v>22000</v>
      </c>
      <c r="J37" s="146">
        <v>22000</v>
      </c>
      <c r="K37" s="146">
        <v>22000</v>
      </c>
      <c r="L37" s="146">
        <v>22000</v>
      </c>
      <c r="M37" s="146">
        <v>22000</v>
      </c>
      <c r="N37" s="148"/>
    </row>
    <row r="38" spans="1:14" hidden="1" outlineLevel="1" x14ac:dyDescent="0.35">
      <c r="A38" s="65" t="s">
        <v>199</v>
      </c>
      <c r="B38" s="146">
        <f>+B37*B36</f>
        <v>0</v>
      </c>
      <c r="C38" s="146">
        <f t="shared" ref="C38" si="84">+C37*C36</f>
        <v>0</v>
      </c>
      <c r="D38" s="146">
        <f t="shared" ref="D38" si="85">+D37*D36</f>
        <v>0</v>
      </c>
      <c r="E38" s="146">
        <f t="shared" ref="E38" si="86">+E37*E36</f>
        <v>0</v>
      </c>
      <c r="F38" s="146">
        <f t="shared" ref="F38" si="87">+F37*F36</f>
        <v>0</v>
      </c>
      <c r="G38" s="146">
        <f t="shared" ref="G38" si="88">+G37*G36</f>
        <v>0</v>
      </c>
      <c r="H38" s="146">
        <f t="shared" ref="H38" si="89">+H37*H36</f>
        <v>0</v>
      </c>
      <c r="I38" s="146">
        <f t="shared" ref="I38" si="90">+I37*I36</f>
        <v>0</v>
      </c>
      <c r="J38" s="146">
        <f t="shared" ref="J38" si="91">+J37*J36</f>
        <v>0</v>
      </c>
      <c r="K38" s="146">
        <f t="shared" ref="K38" si="92">+K37*K36</f>
        <v>0</v>
      </c>
      <c r="L38" s="146">
        <f t="shared" ref="L38" si="93">+L37*L36</f>
        <v>0</v>
      </c>
      <c r="M38" s="146">
        <f t="shared" ref="M38" si="94">+M37*M36</f>
        <v>0</v>
      </c>
      <c r="N38" s="148"/>
    </row>
    <row r="39" spans="1:14" hidden="1" outlineLevel="1" x14ac:dyDescent="0.35">
      <c r="A39" s="66" t="s">
        <v>194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8"/>
    </row>
    <row r="40" spans="1:14" hidden="1" outlineLevel="1" x14ac:dyDescent="0.35">
      <c r="A40" s="66" t="s">
        <v>198</v>
      </c>
      <c r="B40" s="146">
        <v>38000</v>
      </c>
      <c r="C40" s="146">
        <v>38000</v>
      </c>
      <c r="D40" s="146">
        <v>38000</v>
      </c>
      <c r="E40" s="146">
        <v>38000</v>
      </c>
      <c r="F40" s="146">
        <v>38000</v>
      </c>
      <c r="G40" s="146">
        <v>38000</v>
      </c>
      <c r="H40" s="146">
        <v>38000</v>
      </c>
      <c r="I40" s="146">
        <v>38000</v>
      </c>
      <c r="J40" s="146">
        <v>38000</v>
      </c>
      <c r="K40" s="146">
        <v>38000</v>
      </c>
      <c r="L40" s="146">
        <v>38000</v>
      </c>
      <c r="M40" s="146">
        <v>38000</v>
      </c>
      <c r="N40" s="148"/>
    </row>
    <row r="41" spans="1:14" hidden="1" outlineLevel="1" x14ac:dyDescent="0.35">
      <c r="A41" s="65" t="s">
        <v>200</v>
      </c>
      <c r="B41" s="146">
        <f>+B40*B39</f>
        <v>0</v>
      </c>
      <c r="C41" s="146">
        <f t="shared" ref="C41" si="95">+C40*C39</f>
        <v>0</v>
      </c>
      <c r="D41" s="146">
        <f t="shared" ref="D41" si="96">+D40*D39</f>
        <v>0</v>
      </c>
      <c r="E41" s="146">
        <f t="shared" ref="E41" si="97">+E40*E39</f>
        <v>0</v>
      </c>
      <c r="F41" s="146">
        <f t="shared" ref="F41" si="98">+F40*F39</f>
        <v>0</v>
      </c>
      <c r="G41" s="146">
        <f t="shared" ref="G41" si="99">+G40*G39</f>
        <v>0</v>
      </c>
      <c r="H41" s="146">
        <f t="shared" ref="H41" si="100">+H40*H39</f>
        <v>0</v>
      </c>
      <c r="I41" s="146">
        <f t="shared" ref="I41" si="101">+I40*I39</f>
        <v>0</v>
      </c>
      <c r="J41" s="146">
        <f t="shared" ref="J41" si="102">+J40*J39</f>
        <v>0</v>
      </c>
      <c r="K41" s="146">
        <f t="shared" ref="K41" si="103">+K40*K39</f>
        <v>0</v>
      </c>
      <c r="L41" s="146">
        <f t="shared" ref="L41" si="104">+L40*L39</f>
        <v>0</v>
      </c>
      <c r="M41" s="146">
        <f t="shared" ref="M41" si="105">+M40*M39</f>
        <v>0</v>
      </c>
      <c r="N41" s="148"/>
    </row>
    <row r="42" spans="1:14" hidden="1" outlineLevel="1" x14ac:dyDescent="0.35">
      <c r="A42" s="66" t="s">
        <v>202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8"/>
    </row>
    <row r="43" spans="1:14" hidden="1" outlineLevel="1" x14ac:dyDescent="0.35">
      <c r="A43" s="66" t="s">
        <v>198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8"/>
    </row>
    <row r="44" spans="1:14" hidden="1" outlineLevel="1" x14ac:dyDescent="0.35">
      <c r="A44" s="65" t="s">
        <v>201</v>
      </c>
      <c r="B44" s="146">
        <f>+B43*B42</f>
        <v>0</v>
      </c>
      <c r="C44" s="146">
        <f t="shared" ref="C44" si="106">+C43*C42</f>
        <v>0</v>
      </c>
      <c r="D44" s="146">
        <f t="shared" ref="D44" si="107">+D43*D42</f>
        <v>0</v>
      </c>
      <c r="E44" s="146">
        <f t="shared" ref="E44" si="108">+E43*E42</f>
        <v>0</v>
      </c>
      <c r="F44" s="146">
        <f t="shared" ref="F44" si="109">+F43*F42</f>
        <v>0</v>
      </c>
      <c r="G44" s="146">
        <f t="shared" ref="G44" si="110">+G43*G42</f>
        <v>0</v>
      </c>
      <c r="H44" s="146">
        <f t="shared" ref="H44" si="111">+H43*H42</f>
        <v>0</v>
      </c>
      <c r="I44" s="146">
        <f t="shared" ref="I44" si="112">+I43*I42</f>
        <v>0</v>
      </c>
      <c r="J44" s="146">
        <f t="shared" ref="J44" si="113">+J43*J42</f>
        <v>0</v>
      </c>
      <c r="K44" s="146">
        <f t="shared" ref="K44" si="114">+K43*K42</f>
        <v>0</v>
      </c>
      <c r="L44" s="146">
        <f t="shared" ref="L44" si="115">+L43*L42</f>
        <v>0</v>
      </c>
      <c r="M44" s="146">
        <f t="shared" ref="M44" si="116">+M43*M42</f>
        <v>0</v>
      </c>
      <c r="N44" s="146"/>
    </row>
    <row r="45" spans="1:14" collapsed="1" x14ac:dyDescent="0.35">
      <c r="A45" s="71" t="s">
        <v>188</v>
      </c>
      <c r="B45" s="76">
        <f>+B46+B50+B54</f>
        <v>10646.208416666668</v>
      </c>
      <c r="C45" s="76">
        <f t="shared" ref="C45:M45" si="117">+C46+C50+C54</f>
        <v>10646.208416666668</v>
      </c>
      <c r="D45" s="76">
        <f t="shared" si="117"/>
        <v>10646.208416666668</v>
      </c>
      <c r="E45" s="76">
        <f t="shared" si="117"/>
        <v>10646.208416666668</v>
      </c>
      <c r="F45" s="76">
        <f t="shared" si="117"/>
        <v>10646.208416666668</v>
      </c>
      <c r="G45" s="76">
        <f t="shared" si="117"/>
        <v>10646.208416666668</v>
      </c>
      <c r="H45" s="76">
        <f t="shared" si="117"/>
        <v>10646.208416666668</v>
      </c>
      <c r="I45" s="76">
        <f t="shared" si="117"/>
        <v>10646.208416666668</v>
      </c>
      <c r="J45" s="76">
        <f t="shared" si="117"/>
        <v>10646.208416666668</v>
      </c>
      <c r="K45" s="76">
        <f t="shared" si="117"/>
        <v>10646.208416666668</v>
      </c>
      <c r="L45" s="76">
        <f t="shared" si="117"/>
        <v>10646.208416666668</v>
      </c>
      <c r="M45" s="76">
        <f t="shared" si="117"/>
        <v>10646.208416666668</v>
      </c>
      <c r="N45" s="76">
        <f>SUM(B45:M45)</f>
        <v>127754.50099999999</v>
      </c>
    </row>
    <row r="46" spans="1:14" s="57" customFormat="1" x14ac:dyDescent="0.35">
      <c r="A46" s="72" t="s">
        <v>283</v>
      </c>
      <c r="B46" s="79">
        <f>+B47+B49</f>
        <v>373.37850000000003</v>
      </c>
      <c r="C46" s="79">
        <f t="shared" ref="C46:M46" si="118">+C47+C49</f>
        <v>373.37850000000003</v>
      </c>
      <c r="D46" s="79">
        <f t="shared" si="118"/>
        <v>373.37850000000003</v>
      </c>
      <c r="E46" s="79">
        <f t="shared" si="118"/>
        <v>373.37850000000003</v>
      </c>
      <c r="F46" s="79">
        <f t="shared" si="118"/>
        <v>373.37850000000003</v>
      </c>
      <c r="G46" s="79">
        <f t="shared" si="118"/>
        <v>373.37850000000003</v>
      </c>
      <c r="H46" s="79">
        <f t="shared" si="118"/>
        <v>373.37850000000003</v>
      </c>
      <c r="I46" s="79">
        <f t="shared" si="118"/>
        <v>373.37850000000003</v>
      </c>
      <c r="J46" s="79">
        <f t="shared" si="118"/>
        <v>373.37850000000003</v>
      </c>
      <c r="K46" s="79">
        <f t="shared" si="118"/>
        <v>373.37850000000003</v>
      </c>
      <c r="L46" s="79">
        <f t="shared" si="118"/>
        <v>373.37850000000003</v>
      </c>
      <c r="M46" s="79">
        <f t="shared" si="118"/>
        <v>373.37850000000003</v>
      </c>
      <c r="N46" s="79">
        <f>SUM(B46:M46)</f>
        <v>4480.5419999999995</v>
      </c>
    </row>
    <row r="47" spans="1:14" outlineLevel="1" x14ac:dyDescent="0.35">
      <c r="A47" s="66" t="s">
        <v>189</v>
      </c>
      <c r="B47" s="146">
        <v>373.37850000000003</v>
      </c>
      <c r="C47" s="146">
        <f>+B47</f>
        <v>373.37850000000003</v>
      </c>
      <c r="D47" s="146">
        <f t="shared" ref="D47:M47" si="119">+C47</f>
        <v>373.37850000000003</v>
      </c>
      <c r="E47" s="146">
        <f t="shared" si="119"/>
        <v>373.37850000000003</v>
      </c>
      <c r="F47" s="146">
        <f t="shared" si="119"/>
        <v>373.37850000000003</v>
      </c>
      <c r="G47" s="146">
        <f t="shared" si="119"/>
        <v>373.37850000000003</v>
      </c>
      <c r="H47" s="146">
        <f t="shared" si="119"/>
        <v>373.37850000000003</v>
      </c>
      <c r="I47" s="146">
        <f t="shared" si="119"/>
        <v>373.37850000000003</v>
      </c>
      <c r="J47" s="146">
        <f t="shared" si="119"/>
        <v>373.37850000000003</v>
      </c>
      <c r="K47" s="146">
        <f t="shared" si="119"/>
        <v>373.37850000000003</v>
      </c>
      <c r="L47" s="146">
        <f t="shared" si="119"/>
        <v>373.37850000000003</v>
      </c>
      <c r="M47" s="146">
        <f t="shared" si="119"/>
        <v>373.37850000000003</v>
      </c>
      <c r="N47" s="146">
        <f>SUM(B47:M47)</f>
        <v>4480.5419999999995</v>
      </c>
    </row>
    <row r="48" spans="1:14" outlineLevel="1" x14ac:dyDescent="0.35">
      <c r="A48" s="66" t="s">
        <v>190</v>
      </c>
      <c r="B48" s="149">
        <v>0.2</v>
      </c>
      <c r="C48" s="149">
        <f>+B48</f>
        <v>0.2</v>
      </c>
      <c r="D48" s="149">
        <f t="shared" ref="D48:M48" si="120">+C48</f>
        <v>0.2</v>
      </c>
      <c r="E48" s="149">
        <f t="shared" si="120"/>
        <v>0.2</v>
      </c>
      <c r="F48" s="149">
        <f t="shared" si="120"/>
        <v>0.2</v>
      </c>
      <c r="G48" s="149">
        <f t="shared" si="120"/>
        <v>0.2</v>
      </c>
      <c r="H48" s="149">
        <f t="shared" si="120"/>
        <v>0.2</v>
      </c>
      <c r="I48" s="149">
        <f t="shared" si="120"/>
        <v>0.2</v>
      </c>
      <c r="J48" s="149">
        <f t="shared" si="120"/>
        <v>0.2</v>
      </c>
      <c r="K48" s="149">
        <f t="shared" si="120"/>
        <v>0.2</v>
      </c>
      <c r="L48" s="149">
        <f t="shared" si="120"/>
        <v>0.2</v>
      </c>
      <c r="M48" s="149">
        <f t="shared" si="120"/>
        <v>0.2</v>
      </c>
      <c r="N48" s="146"/>
    </row>
    <row r="49" spans="1:23" outlineLevel="1" x14ac:dyDescent="0.35">
      <c r="A49" s="66" t="s">
        <v>288</v>
      </c>
      <c r="B49" s="146">
        <f>+B59</f>
        <v>0</v>
      </c>
      <c r="C49" s="146">
        <f t="shared" ref="C49:M49" si="121">+C59</f>
        <v>0</v>
      </c>
      <c r="D49" s="146">
        <f t="shared" si="121"/>
        <v>0</v>
      </c>
      <c r="E49" s="146">
        <f t="shared" si="121"/>
        <v>0</v>
      </c>
      <c r="F49" s="146">
        <f t="shared" si="121"/>
        <v>0</v>
      </c>
      <c r="G49" s="146">
        <f t="shared" si="121"/>
        <v>0</v>
      </c>
      <c r="H49" s="146">
        <f t="shared" si="121"/>
        <v>0</v>
      </c>
      <c r="I49" s="146">
        <f t="shared" si="121"/>
        <v>0</v>
      </c>
      <c r="J49" s="146">
        <f t="shared" si="121"/>
        <v>0</v>
      </c>
      <c r="K49" s="146">
        <f t="shared" si="121"/>
        <v>0</v>
      </c>
      <c r="L49" s="146">
        <f t="shared" si="121"/>
        <v>0</v>
      </c>
      <c r="M49" s="146">
        <f t="shared" si="121"/>
        <v>0</v>
      </c>
      <c r="N49" s="146">
        <f t="shared" ref="N49" si="122">SUM(B49:M49)</f>
        <v>0</v>
      </c>
    </row>
    <row r="50" spans="1:23" x14ac:dyDescent="0.35">
      <c r="A50" s="72" t="s">
        <v>285</v>
      </c>
      <c r="B50" s="79">
        <f>+B51+B53</f>
        <v>8780.9195833333342</v>
      </c>
      <c r="C50" s="79">
        <f t="shared" ref="C50:M50" si="123">+C51+C53</f>
        <v>8780.9195833333342</v>
      </c>
      <c r="D50" s="79">
        <f t="shared" si="123"/>
        <v>8780.9195833333342</v>
      </c>
      <c r="E50" s="79">
        <f t="shared" si="123"/>
        <v>8780.9195833333342</v>
      </c>
      <c r="F50" s="79">
        <f t="shared" si="123"/>
        <v>8780.9195833333342</v>
      </c>
      <c r="G50" s="79">
        <f t="shared" si="123"/>
        <v>8780.9195833333342</v>
      </c>
      <c r="H50" s="79">
        <f t="shared" si="123"/>
        <v>8780.9195833333342</v>
      </c>
      <c r="I50" s="79">
        <f t="shared" si="123"/>
        <v>8780.9195833333342</v>
      </c>
      <c r="J50" s="79">
        <f t="shared" si="123"/>
        <v>8780.9195833333342</v>
      </c>
      <c r="K50" s="79">
        <f t="shared" si="123"/>
        <v>8780.9195833333342</v>
      </c>
      <c r="L50" s="79">
        <f t="shared" si="123"/>
        <v>8780.9195833333342</v>
      </c>
      <c r="M50" s="79">
        <f t="shared" si="123"/>
        <v>8780.9195833333342</v>
      </c>
      <c r="N50" s="79">
        <f>SUM(B50:M50)</f>
        <v>105371.03500000002</v>
      </c>
    </row>
    <row r="51" spans="1:23" x14ac:dyDescent="0.35">
      <c r="A51" s="66" t="s">
        <v>189</v>
      </c>
      <c r="B51" s="146">
        <v>8780.9195833333342</v>
      </c>
      <c r="C51" s="146">
        <f>+B51</f>
        <v>8780.9195833333342</v>
      </c>
      <c r="D51" s="146">
        <f t="shared" ref="D51:M51" si="124">+C51</f>
        <v>8780.9195833333342</v>
      </c>
      <c r="E51" s="146">
        <f t="shared" si="124"/>
        <v>8780.9195833333342</v>
      </c>
      <c r="F51" s="146">
        <f t="shared" si="124"/>
        <v>8780.9195833333342</v>
      </c>
      <c r="G51" s="146">
        <f t="shared" si="124"/>
        <v>8780.9195833333342</v>
      </c>
      <c r="H51" s="146">
        <f t="shared" si="124"/>
        <v>8780.9195833333342</v>
      </c>
      <c r="I51" s="146">
        <f t="shared" si="124"/>
        <v>8780.9195833333342</v>
      </c>
      <c r="J51" s="146">
        <f t="shared" si="124"/>
        <v>8780.9195833333342</v>
      </c>
      <c r="K51" s="146">
        <f t="shared" si="124"/>
        <v>8780.9195833333342</v>
      </c>
      <c r="L51" s="146">
        <f t="shared" si="124"/>
        <v>8780.9195833333342</v>
      </c>
      <c r="M51" s="146">
        <f t="shared" si="124"/>
        <v>8780.9195833333342</v>
      </c>
      <c r="N51" s="146">
        <f>SUM(B51:M51)</f>
        <v>105371.03500000002</v>
      </c>
    </row>
    <row r="52" spans="1:23" x14ac:dyDescent="0.35">
      <c r="A52" s="66" t="s">
        <v>190</v>
      </c>
      <c r="B52" s="149">
        <v>0.2</v>
      </c>
      <c r="C52" s="149">
        <f>+B52</f>
        <v>0.2</v>
      </c>
      <c r="D52" s="149">
        <f t="shared" ref="D52:M52" si="125">+C52</f>
        <v>0.2</v>
      </c>
      <c r="E52" s="149">
        <f t="shared" si="125"/>
        <v>0.2</v>
      </c>
      <c r="F52" s="149">
        <f t="shared" si="125"/>
        <v>0.2</v>
      </c>
      <c r="G52" s="149">
        <f t="shared" si="125"/>
        <v>0.2</v>
      </c>
      <c r="H52" s="149">
        <f t="shared" si="125"/>
        <v>0.2</v>
      </c>
      <c r="I52" s="149">
        <f t="shared" si="125"/>
        <v>0.2</v>
      </c>
      <c r="J52" s="149">
        <f t="shared" si="125"/>
        <v>0.2</v>
      </c>
      <c r="K52" s="149">
        <f t="shared" si="125"/>
        <v>0.2</v>
      </c>
      <c r="L52" s="149">
        <f t="shared" si="125"/>
        <v>0.2</v>
      </c>
      <c r="M52" s="149">
        <f t="shared" si="125"/>
        <v>0.2</v>
      </c>
      <c r="N52" s="146"/>
    </row>
    <row r="53" spans="1:23" outlineLevel="1" x14ac:dyDescent="0.35">
      <c r="A53" s="66" t="s">
        <v>288</v>
      </c>
      <c r="B53" s="146">
        <f>+B73</f>
        <v>0</v>
      </c>
      <c r="C53" s="146">
        <f t="shared" ref="C53:M53" si="126">+C73</f>
        <v>0</v>
      </c>
      <c r="D53" s="146">
        <f t="shared" si="126"/>
        <v>0</v>
      </c>
      <c r="E53" s="146">
        <f t="shared" si="126"/>
        <v>0</v>
      </c>
      <c r="F53" s="146">
        <f t="shared" si="126"/>
        <v>0</v>
      </c>
      <c r="G53" s="146">
        <f t="shared" si="126"/>
        <v>0</v>
      </c>
      <c r="H53" s="146">
        <f t="shared" si="126"/>
        <v>0</v>
      </c>
      <c r="I53" s="146">
        <f t="shared" si="126"/>
        <v>0</v>
      </c>
      <c r="J53" s="146">
        <f t="shared" si="126"/>
        <v>0</v>
      </c>
      <c r="K53" s="146">
        <f t="shared" si="126"/>
        <v>0</v>
      </c>
      <c r="L53" s="146">
        <f t="shared" si="126"/>
        <v>0</v>
      </c>
      <c r="M53" s="146">
        <f t="shared" si="126"/>
        <v>0</v>
      </c>
      <c r="N53" s="146">
        <f t="shared" ref="N53" si="127">SUM(B53:M53)</f>
        <v>0</v>
      </c>
      <c r="O53" s="74"/>
      <c r="P53" s="74"/>
      <c r="Q53" s="74"/>
      <c r="R53" s="74"/>
      <c r="S53" s="74"/>
      <c r="T53" s="74"/>
      <c r="U53" s="74"/>
      <c r="V53" s="74"/>
      <c r="W53" s="74"/>
    </row>
    <row r="54" spans="1:23" x14ac:dyDescent="0.35">
      <c r="A54" s="72" t="s">
        <v>287</v>
      </c>
      <c r="B54" s="79">
        <f>+B55+B57</f>
        <v>1491.9103333333335</v>
      </c>
      <c r="C54" s="79">
        <f t="shared" ref="C54:M54" si="128">+C55+C57</f>
        <v>1491.9103333333335</v>
      </c>
      <c r="D54" s="79">
        <f t="shared" si="128"/>
        <v>1491.9103333333335</v>
      </c>
      <c r="E54" s="79">
        <f t="shared" si="128"/>
        <v>1491.9103333333335</v>
      </c>
      <c r="F54" s="79">
        <f t="shared" si="128"/>
        <v>1491.9103333333335</v>
      </c>
      <c r="G54" s="79">
        <f t="shared" si="128"/>
        <v>1491.9103333333335</v>
      </c>
      <c r="H54" s="79">
        <f t="shared" si="128"/>
        <v>1491.9103333333335</v>
      </c>
      <c r="I54" s="79">
        <f t="shared" si="128"/>
        <v>1491.9103333333335</v>
      </c>
      <c r="J54" s="79">
        <f t="shared" si="128"/>
        <v>1491.9103333333335</v>
      </c>
      <c r="K54" s="79">
        <f t="shared" si="128"/>
        <v>1491.9103333333335</v>
      </c>
      <c r="L54" s="79">
        <f t="shared" si="128"/>
        <v>1491.9103333333335</v>
      </c>
      <c r="M54" s="79">
        <f t="shared" si="128"/>
        <v>1491.9103333333335</v>
      </c>
      <c r="N54" s="79">
        <f>SUM(B54:M54)</f>
        <v>17902.924000000003</v>
      </c>
    </row>
    <row r="55" spans="1:23" x14ac:dyDescent="0.35">
      <c r="A55" s="66" t="s">
        <v>189</v>
      </c>
      <c r="B55" s="146">
        <v>1491.9103333333335</v>
      </c>
      <c r="C55" s="146">
        <f>+B55</f>
        <v>1491.9103333333335</v>
      </c>
      <c r="D55" s="146">
        <f t="shared" ref="D55" si="129">+C55</f>
        <v>1491.9103333333335</v>
      </c>
      <c r="E55" s="146">
        <f t="shared" ref="E55" si="130">+D55</f>
        <v>1491.9103333333335</v>
      </c>
      <c r="F55" s="146">
        <f t="shared" ref="F55" si="131">+E55</f>
        <v>1491.9103333333335</v>
      </c>
      <c r="G55" s="146">
        <f t="shared" ref="G55" si="132">+F55</f>
        <v>1491.9103333333335</v>
      </c>
      <c r="H55" s="146">
        <f t="shared" ref="H55" si="133">+G55</f>
        <v>1491.9103333333335</v>
      </c>
      <c r="I55" s="146">
        <f t="shared" ref="I55" si="134">+H55</f>
        <v>1491.9103333333335</v>
      </c>
      <c r="J55" s="146">
        <f t="shared" ref="J55" si="135">+I55</f>
        <v>1491.9103333333335</v>
      </c>
      <c r="K55" s="146">
        <f t="shared" ref="K55" si="136">+J55</f>
        <v>1491.9103333333335</v>
      </c>
      <c r="L55" s="146">
        <f t="shared" ref="L55" si="137">+K55</f>
        <v>1491.9103333333335</v>
      </c>
      <c r="M55" s="146">
        <f t="shared" ref="M55" si="138">+L55</f>
        <v>1491.9103333333335</v>
      </c>
      <c r="N55" s="146">
        <f>SUM(B55:M55)</f>
        <v>17902.924000000003</v>
      </c>
    </row>
    <row r="56" spans="1:23" outlineLevel="1" x14ac:dyDescent="0.35">
      <c r="A56" s="66" t="s">
        <v>190</v>
      </c>
      <c r="B56" s="149">
        <v>0.2</v>
      </c>
      <c r="C56" s="149">
        <f>+B56</f>
        <v>0.2</v>
      </c>
      <c r="D56" s="149">
        <f t="shared" ref="D56:M56" si="139">+C56</f>
        <v>0.2</v>
      </c>
      <c r="E56" s="149">
        <f t="shared" si="139"/>
        <v>0.2</v>
      </c>
      <c r="F56" s="149">
        <f t="shared" si="139"/>
        <v>0.2</v>
      </c>
      <c r="G56" s="149">
        <f t="shared" si="139"/>
        <v>0.2</v>
      </c>
      <c r="H56" s="149">
        <f t="shared" si="139"/>
        <v>0.2</v>
      </c>
      <c r="I56" s="149">
        <f t="shared" si="139"/>
        <v>0.2</v>
      </c>
      <c r="J56" s="149">
        <f t="shared" si="139"/>
        <v>0.2</v>
      </c>
      <c r="K56" s="149">
        <f t="shared" si="139"/>
        <v>0.2</v>
      </c>
      <c r="L56" s="149">
        <f t="shared" si="139"/>
        <v>0.2</v>
      </c>
      <c r="M56" s="149">
        <f t="shared" si="139"/>
        <v>0.2</v>
      </c>
      <c r="N56" s="146"/>
    </row>
    <row r="57" spans="1:23" outlineLevel="1" x14ac:dyDescent="0.35">
      <c r="A57" s="66" t="s">
        <v>288</v>
      </c>
      <c r="B57" s="146">
        <f>+B87</f>
        <v>0</v>
      </c>
      <c r="C57" s="146">
        <f t="shared" ref="C57:M57" si="140">+C87</f>
        <v>0</v>
      </c>
      <c r="D57" s="146">
        <f t="shared" si="140"/>
        <v>0</v>
      </c>
      <c r="E57" s="146">
        <f t="shared" si="140"/>
        <v>0</v>
      </c>
      <c r="F57" s="146">
        <f t="shared" si="140"/>
        <v>0</v>
      </c>
      <c r="G57" s="146">
        <f t="shared" si="140"/>
        <v>0</v>
      </c>
      <c r="H57" s="146">
        <f t="shared" si="140"/>
        <v>0</v>
      </c>
      <c r="I57" s="146">
        <f t="shared" si="140"/>
        <v>0</v>
      </c>
      <c r="J57" s="146">
        <f t="shared" si="140"/>
        <v>0</v>
      </c>
      <c r="K57" s="146">
        <f t="shared" si="140"/>
        <v>0</v>
      </c>
      <c r="L57" s="146">
        <f t="shared" si="140"/>
        <v>0</v>
      </c>
      <c r="M57" s="146">
        <f t="shared" si="140"/>
        <v>0</v>
      </c>
      <c r="N57" s="146">
        <f t="shared" ref="N57" si="141">SUM(B57:M57)</f>
        <v>0</v>
      </c>
    </row>
    <row r="58" spans="1:23" x14ac:dyDescent="0.35">
      <c r="B58" s="160">
        <v>43647</v>
      </c>
      <c r="C58" s="160">
        <f>+B58+31</f>
        <v>43678</v>
      </c>
      <c r="D58" s="160">
        <f t="shared" ref="D58:M58" si="142">+C58+31</f>
        <v>43709</v>
      </c>
      <c r="E58" s="160">
        <f t="shared" si="142"/>
        <v>43740</v>
      </c>
      <c r="F58" s="160">
        <f t="shared" si="142"/>
        <v>43771</v>
      </c>
      <c r="G58" s="160">
        <f t="shared" si="142"/>
        <v>43802</v>
      </c>
      <c r="H58" s="160">
        <f t="shared" si="142"/>
        <v>43833</v>
      </c>
      <c r="I58" s="160">
        <f t="shared" si="142"/>
        <v>43864</v>
      </c>
      <c r="J58" s="160">
        <f t="shared" si="142"/>
        <v>43895</v>
      </c>
      <c r="K58" s="160">
        <f t="shared" si="142"/>
        <v>43926</v>
      </c>
      <c r="L58" s="160">
        <f t="shared" si="142"/>
        <v>43957</v>
      </c>
      <c r="M58" s="160">
        <f t="shared" si="142"/>
        <v>43988</v>
      </c>
      <c r="N58" s="159" t="s">
        <v>84</v>
      </c>
    </row>
    <row r="59" spans="1:23" x14ac:dyDescent="0.35">
      <c r="A59" s="17" t="s">
        <v>289</v>
      </c>
      <c r="B59" s="168">
        <f>SUM(B60:B71)</f>
        <v>0</v>
      </c>
      <c r="C59" s="168">
        <f t="shared" ref="C59:M59" si="143">SUM(C60:C71)</f>
        <v>0</v>
      </c>
      <c r="D59" s="168">
        <f t="shared" si="143"/>
        <v>0</v>
      </c>
      <c r="E59" s="168">
        <f t="shared" si="143"/>
        <v>0</v>
      </c>
      <c r="F59" s="168">
        <f t="shared" si="143"/>
        <v>0</v>
      </c>
      <c r="G59" s="168">
        <f t="shared" si="143"/>
        <v>0</v>
      </c>
      <c r="H59" s="168">
        <f t="shared" si="143"/>
        <v>0</v>
      </c>
      <c r="I59" s="168">
        <f t="shared" si="143"/>
        <v>0</v>
      </c>
      <c r="J59" s="168">
        <f t="shared" si="143"/>
        <v>0</v>
      </c>
      <c r="K59" s="168">
        <f t="shared" si="143"/>
        <v>0</v>
      </c>
      <c r="L59" s="168">
        <f t="shared" si="143"/>
        <v>0</v>
      </c>
      <c r="M59" s="168">
        <f t="shared" si="143"/>
        <v>0</v>
      </c>
      <c r="N59" s="169">
        <f>SUM(B59:M59)</f>
        <v>0</v>
      </c>
    </row>
    <row r="60" spans="1:23" x14ac:dyDescent="0.35">
      <c r="A60" s="157">
        <v>43647</v>
      </c>
      <c r="B60" s="169">
        <f>+B48*B5/12</f>
        <v>0</v>
      </c>
      <c r="C60" s="169">
        <f>+B60</f>
        <v>0</v>
      </c>
      <c r="D60" s="169">
        <f t="shared" ref="D60:M70" si="144">+C60</f>
        <v>0</v>
      </c>
      <c r="E60" s="169">
        <f t="shared" si="144"/>
        <v>0</v>
      </c>
      <c r="F60" s="169">
        <f t="shared" si="144"/>
        <v>0</v>
      </c>
      <c r="G60" s="169">
        <f t="shared" si="144"/>
        <v>0</v>
      </c>
      <c r="H60" s="169">
        <f t="shared" si="144"/>
        <v>0</v>
      </c>
      <c r="I60" s="169">
        <f t="shared" si="144"/>
        <v>0</v>
      </c>
      <c r="J60" s="169">
        <f t="shared" si="144"/>
        <v>0</v>
      </c>
      <c r="K60" s="169">
        <f t="shared" si="144"/>
        <v>0</v>
      </c>
      <c r="L60" s="169">
        <f t="shared" si="144"/>
        <v>0</v>
      </c>
      <c r="M60" s="169">
        <f t="shared" si="144"/>
        <v>0</v>
      </c>
      <c r="N60" s="169">
        <f>SUM(B60:M60)</f>
        <v>0</v>
      </c>
    </row>
    <row r="61" spans="1:23" x14ac:dyDescent="0.35">
      <c r="A61" s="157">
        <f t="shared" ref="A61:A71" si="145">+A60+31</f>
        <v>43678</v>
      </c>
      <c r="B61" s="170"/>
      <c r="C61" s="169">
        <f>+(C5*C48*11/12)/11</f>
        <v>0</v>
      </c>
      <c r="D61" s="169">
        <f t="shared" si="144"/>
        <v>0</v>
      </c>
      <c r="E61" s="169">
        <f t="shared" si="144"/>
        <v>0</v>
      </c>
      <c r="F61" s="169">
        <f t="shared" si="144"/>
        <v>0</v>
      </c>
      <c r="G61" s="169">
        <f t="shared" si="144"/>
        <v>0</v>
      </c>
      <c r="H61" s="169">
        <f t="shared" si="144"/>
        <v>0</v>
      </c>
      <c r="I61" s="169">
        <f t="shared" si="144"/>
        <v>0</v>
      </c>
      <c r="J61" s="169">
        <f t="shared" si="144"/>
        <v>0</v>
      </c>
      <c r="K61" s="169">
        <f t="shared" si="144"/>
        <v>0</v>
      </c>
      <c r="L61" s="169">
        <f t="shared" si="144"/>
        <v>0</v>
      </c>
      <c r="M61" s="169">
        <f t="shared" si="144"/>
        <v>0</v>
      </c>
      <c r="N61" s="169">
        <f t="shared" ref="N61:N71" si="146">SUM(B61:M61)</f>
        <v>0</v>
      </c>
    </row>
    <row r="62" spans="1:23" x14ac:dyDescent="0.35">
      <c r="A62" s="157">
        <f t="shared" si="145"/>
        <v>43709</v>
      </c>
      <c r="B62" s="170"/>
      <c r="C62" s="170"/>
      <c r="D62" s="169">
        <f>+(D5*D48*10/12)/10</f>
        <v>0</v>
      </c>
      <c r="E62" s="169">
        <f t="shared" si="144"/>
        <v>0</v>
      </c>
      <c r="F62" s="169">
        <f t="shared" si="144"/>
        <v>0</v>
      </c>
      <c r="G62" s="169">
        <f t="shared" si="144"/>
        <v>0</v>
      </c>
      <c r="H62" s="169">
        <f t="shared" si="144"/>
        <v>0</v>
      </c>
      <c r="I62" s="169">
        <f t="shared" si="144"/>
        <v>0</v>
      </c>
      <c r="J62" s="169">
        <f t="shared" si="144"/>
        <v>0</v>
      </c>
      <c r="K62" s="169">
        <f t="shared" si="144"/>
        <v>0</v>
      </c>
      <c r="L62" s="169">
        <f t="shared" si="144"/>
        <v>0</v>
      </c>
      <c r="M62" s="169">
        <f t="shared" si="144"/>
        <v>0</v>
      </c>
      <c r="N62" s="169">
        <f t="shared" si="146"/>
        <v>0</v>
      </c>
    </row>
    <row r="63" spans="1:23" x14ac:dyDescent="0.35">
      <c r="A63" s="157">
        <f t="shared" si="145"/>
        <v>43740</v>
      </c>
      <c r="B63" s="170"/>
      <c r="C63" s="170"/>
      <c r="D63" s="170"/>
      <c r="E63" s="169">
        <f>+(E5*E48*9/12)/9</f>
        <v>0</v>
      </c>
      <c r="F63" s="169">
        <f t="shared" si="144"/>
        <v>0</v>
      </c>
      <c r="G63" s="169">
        <f t="shared" si="144"/>
        <v>0</v>
      </c>
      <c r="H63" s="169">
        <f t="shared" si="144"/>
        <v>0</v>
      </c>
      <c r="I63" s="169">
        <f t="shared" si="144"/>
        <v>0</v>
      </c>
      <c r="J63" s="169">
        <f t="shared" si="144"/>
        <v>0</v>
      </c>
      <c r="K63" s="169">
        <f t="shared" si="144"/>
        <v>0</v>
      </c>
      <c r="L63" s="169">
        <f t="shared" si="144"/>
        <v>0</v>
      </c>
      <c r="M63" s="169">
        <f t="shared" si="144"/>
        <v>0</v>
      </c>
      <c r="N63" s="169">
        <f t="shared" si="146"/>
        <v>0</v>
      </c>
    </row>
    <row r="64" spans="1:23" x14ac:dyDescent="0.35">
      <c r="A64" s="157">
        <f t="shared" si="145"/>
        <v>43771</v>
      </c>
      <c r="B64" s="170"/>
      <c r="C64" s="170"/>
      <c r="D64" s="170"/>
      <c r="E64" s="170"/>
      <c r="F64" s="169">
        <f>+(F5*F48*8/12)/8</f>
        <v>0</v>
      </c>
      <c r="G64" s="169">
        <f t="shared" si="144"/>
        <v>0</v>
      </c>
      <c r="H64" s="169">
        <f t="shared" si="144"/>
        <v>0</v>
      </c>
      <c r="I64" s="169">
        <f t="shared" si="144"/>
        <v>0</v>
      </c>
      <c r="J64" s="169">
        <f t="shared" si="144"/>
        <v>0</v>
      </c>
      <c r="K64" s="169">
        <f t="shared" si="144"/>
        <v>0</v>
      </c>
      <c r="L64" s="169">
        <f t="shared" si="144"/>
        <v>0</v>
      </c>
      <c r="M64" s="169">
        <f t="shared" si="144"/>
        <v>0</v>
      </c>
      <c r="N64" s="169">
        <f t="shared" si="146"/>
        <v>0</v>
      </c>
    </row>
    <row r="65" spans="1:14" x14ac:dyDescent="0.35">
      <c r="A65" s="157">
        <f t="shared" si="145"/>
        <v>43802</v>
      </c>
      <c r="B65" s="170"/>
      <c r="C65" s="170"/>
      <c r="D65" s="170"/>
      <c r="E65" s="170"/>
      <c r="F65" s="170"/>
      <c r="G65" s="169">
        <f>+(G5*G48*7/12)/7</f>
        <v>0</v>
      </c>
      <c r="H65" s="169">
        <f t="shared" si="144"/>
        <v>0</v>
      </c>
      <c r="I65" s="169">
        <f t="shared" si="144"/>
        <v>0</v>
      </c>
      <c r="J65" s="169">
        <f t="shared" si="144"/>
        <v>0</v>
      </c>
      <c r="K65" s="169">
        <f t="shared" si="144"/>
        <v>0</v>
      </c>
      <c r="L65" s="169">
        <f t="shared" si="144"/>
        <v>0</v>
      </c>
      <c r="M65" s="169">
        <f t="shared" si="144"/>
        <v>0</v>
      </c>
      <c r="N65" s="169">
        <f t="shared" si="146"/>
        <v>0</v>
      </c>
    </row>
    <row r="66" spans="1:14" x14ac:dyDescent="0.35">
      <c r="A66" s="157">
        <f t="shared" si="145"/>
        <v>43833</v>
      </c>
      <c r="B66" s="170"/>
      <c r="C66" s="170"/>
      <c r="D66" s="170"/>
      <c r="E66" s="170"/>
      <c r="F66" s="170"/>
      <c r="G66" s="170"/>
      <c r="H66" s="169">
        <f>+(H5*H48*6/12)/6</f>
        <v>0</v>
      </c>
      <c r="I66" s="169">
        <f t="shared" si="144"/>
        <v>0</v>
      </c>
      <c r="J66" s="169">
        <f t="shared" si="144"/>
        <v>0</v>
      </c>
      <c r="K66" s="169">
        <f t="shared" si="144"/>
        <v>0</v>
      </c>
      <c r="L66" s="169">
        <f t="shared" si="144"/>
        <v>0</v>
      </c>
      <c r="M66" s="169">
        <f t="shared" si="144"/>
        <v>0</v>
      </c>
      <c r="N66" s="169">
        <f t="shared" si="146"/>
        <v>0</v>
      </c>
    </row>
    <row r="67" spans="1:14" x14ac:dyDescent="0.35">
      <c r="A67" s="157">
        <f t="shared" si="145"/>
        <v>43864</v>
      </c>
      <c r="B67" s="170"/>
      <c r="C67" s="170"/>
      <c r="D67" s="170"/>
      <c r="E67" s="170"/>
      <c r="F67" s="170"/>
      <c r="G67" s="170"/>
      <c r="H67" s="170"/>
      <c r="I67" s="169">
        <f>(I5*I48*5/12)/5</f>
        <v>0</v>
      </c>
      <c r="J67" s="169">
        <f t="shared" si="144"/>
        <v>0</v>
      </c>
      <c r="K67" s="169">
        <f t="shared" si="144"/>
        <v>0</v>
      </c>
      <c r="L67" s="169">
        <f t="shared" si="144"/>
        <v>0</v>
      </c>
      <c r="M67" s="169">
        <f t="shared" si="144"/>
        <v>0</v>
      </c>
      <c r="N67" s="169">
        <f t="shared" si="146"/>
        <v>0</v>
      </c>
    </row>
    <row r="68" spans="1:14" x14ac:dyDescent="0.35">
      <c r="A68" s="157">
        <f t="shared" si="145"/>
        <v>43895</v>
      </c>
      <c r="B68" s="170"/>
      <c r="C68" s="170"/>
      <c r="D68" s="170"/>
      <c r="E68" s="170"/>
      <c r="F68" s="170"/>
      <c r="G68" s="170"/>
      <c r="H68" s="170"/>
      <c r="I68" s="170"/>
      <c r="J68" s="169">
        <f>(J5*J48*4/12)/4</f>
        <v>0</v>
      </c>
      <c r="K68" s="169">
        <f t="shared" si="144"/>
        <v>0</v>
      </c>
      <c r="L68" s="169">
        <f t="shared" si="144"/>
        <v>0</v>
      </c>
      <c r="M68" s="169">
        <f t="shared" si="144"/>
        <v>0</v>
      </c>
      <c r="N68" s="169">
        <f t="shared" si="146"/>
        <v>0</v>
      </c>
    </row>
    <row r="69" spans="1:14" x14ac:dyDescent="0.35">
      <c r="A69" s="157">
        <f t="shared" si="145"/>
        <v>43926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69">
        <f>(K5*K48*3/12)/3</f>
        <v>0</v>
      </c>
      <c r="L69" s="169">
        <f t="shared" si="144"/>
        <v>0</v>
      </c>
      <c r="M69" s="169">
        <f t="shared" si="144"/>
        <v>0</v>
      </c>
      <c r="N69" s="169">
        <f t="shared" si="146"/>
        <v>0</v>
      </c>
    </row>
    <row r="70" spans="1:14" x14ac:dyDescent="0.35">
      <c r="A70" s="157">
        <f t="shared" si="145"/>
        <v>43957</v>
      </c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69">
        <f>(L5*L48*2/12)/2</f>
        <v>0</v>
      </c>
      <c r="M70" s="169">
        <f t="shared" si="144"/>
        <v>0</v>
      </c>
      <c r="N70" s="169">
        <f t="shared" si="146"/>
        <v>0</v>
      </c>
    </row>
    <row r="71" spans="1:14" x14ac:dyDescent="0.35">
      <c r="A71" s="157">
        <f t="shared" si="145"/>
        <v>43988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69">
        <f>(M5*M48/12)</f>
        <v>0</v>
      </c>
      <c r="N71" s="169">
        <f t="shared" si="146"/>
        <v>0</v>
      </c>
    </row>
    <row r="72" spans="1:14" x14ac:dyDescent="0.35">
      <c r="B72" s="160">
        <v>43647</v>
      </c>
      <c r="C72" s="160">
        <f>+B72+31</f>
        <v>43678</v>
      </c>
      <c r="D72" s="160">
        <f t="shared" ref="D72:M72" si="147">+C72+31</f>
        <v>43709</v>
      </c>
      <c r="E72" s="160">
        <f t="shared" si="147"/>
        <v>43740</v>
      </c>
      <c r="F72" s="160">
        <f t="shared" si="147"/>
        <v>43771</v>
      </c>
      <c r="G72" s="160">
        <f t="shared" si="147"/>
        <v>43802</v>
      </c>
      <c r="H72" s="160">
        <f t="shared" si="147"/>
        <v>43833</v>
      </c>
      <c r="I72" s="160">
        <f t="shared" si="147"/>
        <v>43864</v>
      </c>
      <c r="J72" s="160">
        <f t="shared" si="147"/>
        <v>43895</v>
      </c>
      <c r="K72" s="160">
        <f t="shared" si="147"/>
        <v>43926</v>
      </c>
      <c r="L72" s="160">
        <f t="shared" si="147"/>
        <v>43957</v>
      </c>
      <c r="M72" s="160">
        <f t="shared" si="147"/>
        <v>43988</v>
      </c>
      <c r="N72" s="159" t="s">
        <v>84</v>
      </c>
    </row>
    <row r="73" spans="1:14" x14ac:dyDescent="0.35">
      <c r="A73" s="17" t="s">
        <v>290</v>
      </c>
      <c r="B73" s="168">
        <f>SUM(B74:B85)</f>
        <v>0</v>
      </c>
      <c r="C73" s="168">
        <f t="shared" ref="C73:M73" si="148">SUM(C74:C85)</f>
        <v>0</v>
      </c>
      <c r="D73" s="168">
        <f t="shared" si="148"/>
        <v>0</v>
      </c>
      <c r="E73" s="168">
        <f t="shared" si="148"/>
        <v>0</v>
      </c>
      <c r="F73" s="168">
        <f t="shared" si="148"/>
        <v>0</v>
      </c>
      <c r="G73" s="168">
        <f t="shared" si="148"/>
        <v>0</v>
      </c>
      <c r="H73" s="168">
        <f t="shared" si="148"/>
        <v>0</v>
      </c>
      <c r="I73" s="168">
        <f t="shared" si="148"/>
        <v>0</v>
      </c>
      <c r="J73" s="168">
        <f t="shared" si="148"/>
        <v>0</v>
      </c>
      <c r="K73" s="168">
        <f t="shared" si="148"/>
        <v>0</v>
      </c>
      <c r="L73" s="168">
        <f t="shared" si="148"/>
        <v>0</v>
      </c>
      <c r="M73" s="168">
        <f t="shared" si="148"/>
        <v>0</v>
      </c>
      <c r="N73" s="169">
        <f>SUM(B73:M73)</f>
        <v>0</v>
      </c>
    </row>
    <row r="74" spans="1:14" x14ac:dyDescent="0.35">
      <c r="A74" s="157">
        <v>43647</v>
      </c>
      <c r="B74" s="169">
        <f>+B52*B18/12</f>
        <v>0</v>
      </c>
      <c r="C74" s="169">
        <f>+B74</f>
        <v>0</v>
      </c>
      <c r="D74" s="169">
        <f t="shared" ref="D74:M84" si="149">+C74</f>
        <v>0</v>
      </c>
      <c r="E74" s="169">
        <f t="shared" si="149"/>
        <v>0</v>
      </c>
      <c r="F74" s="169">
        <f t="shared" si="149"/>
        <v>0</v>
      </c>
      <c r="G74" s="169">
        <f t="shared" si="149"/>
        <v>0</v>
      </c>
      <c r="H74" s="169">
        <f t="shared" si="149"/>
        <v>0</v>
      </c>
      <c r="I74" s="169">
        <f t="shared" si="149"/>
        <v>0</v>
      </c>
      <c r="J74" s="169">
        <f t="shared" si="149"/>
        <v>0</v>
      </c>
      <c r="K74" s="169">
        <f t="shared" si="149"/>
        <v>0</v>
      </c>
      <c r="L74" s="169">
        <f t="shared" si="149"/>
        <v>0</v>
      </c>
      <c r="M74" s="169">
        <f t="shared" si="149"/>
        <v>0</v>
      </c>
      <c r="N74" s="169">
        <f>SUM(B74:M74)</f>
        <v>0</v>
      </c>
    </row>
    <row r="75" spans="1:14" x14ac:dyDescent="0.35">
      <c r="A75" s="157">
        <f t="shared" ref="A75:A85" si="150">+A74+31</f>
        <v>43678</v>
      </c>
      <c r="B75" s="170"/>
      <c r="C75" s="169">
        <f>+(C52*C18*11/12)/11</f>
        <v>0</v>
      </c>
      <c r="D75" s="169">
        <f t="shared" si="149"/>
        <v>0</v>
      </c>
      <c r="E75" s="169">
        <f t="shared" si="149"/>
        <v>0</v>
      </c>
      <c r="F75" s="169">
        <f t="shared" si="149"/>
        <v>0</v>
      </c>
      <c r="G75" s="169">
        <f t="shared" si="149"/>
        <v>0</v>
      </c>
      <c r="H75" s="169">
        <f t="shared" si="149"/>
        <v>0</v>
      </c>
      <c r="I75" s="169">
        <f t="shared" si="149"/>
        <v>0</v>
      </c>
      <c r="J75" s="169">
        <f t="shared" si="149"/>
        <v>0</v>
      </c>
      <c r="K75" s="169">
        <f t="shared" si="149"/>
        <v>0</v>
      </c>
      <c r="L75" s="169">
        <f t="shared" si="149"/>
        <v>0</v>
      </c>
      <c r="M75" s="169">
        <f t="shared" si="149"/>
        <v>0</v>
      </c>
      <c r="N75" s="169">
        <f t="shared" ref="N75:N85" si="151">SUM(B75:M75)</f>
        <v>0</v>
      </c>
    </row>
    <row r="76" spans="1:14" x14ac:dyDescent="0.35">
      <c r="A76" s="157">
        <f t="shared" si="150"/>
        <v>43709</v>
      </c>
      <c r="B76" s="170"/>
      <c r="C76" s="170"/>
      <c r="D76" s="169">
        <f>+(D52*D18*10/12)/10</f>
        <v>0</v>
      </c>
      <c r="E76" s="169">
        <f t="shared" si="149"/>
        <v>0</v>
      </c>
      <c r="F76" s="169">
        <f t="shared" si="149"/>
        <v>0</v>
      </c>
      <c r="G76" s="169">
        <f t="shared" si="149"/>
        <v>0</v>
      </c>
      <c r="H76" s="169">
        <f t="shared" si="149"/>
        <v>0</v>
      </c>
      <c r="I76" s="169">
        <f t="shared" si="149"/>
        <v>0</v>
      </c>
      <c r="J76" s="169">
        <f t="shared" si="149"/>
        <v>0</v>
      </c>
      <c r="K76" s="169">
        <f t="shared" si="149"/>
        <v>0</v>
      </c>
      <c r="L76" s="169">
        <f t="shared" si="149"/>
        <v>0</v>
      </c>
      <c r="M76" s="169">
        <f t="shared" si="149"/>
        <v>0</v>
      </c>
      <c r="N76" s="169">
        <f t="shared" si="151"/>
        <v>0</v>
      </c>
    </row>
    <row r="77" spans="1:14" x14ac:dyDescent="0.35">
      <c r="A77" s="157">
        <f t="shared" si="150"/>
        <v>43740</v>
      </c>
      <c r="B77" s="170"/>
      <c r="C77" s="170"/>
      <c r="D77" s="170"/>
      <c r="E77" s="169">
        <f>+(E52*E18*9/12)/9</f>
        <v>0</v>
      </c>
      <c r="F77" s="169">
        <f t="shared" si="149"/>
        <v>0</v>
      </c>
      <c r="G77" s="169">
        <f t="shared" si="149"/>
        <v>0</v>
      </c>
      <c r="H77" s="169">
        <f t="shared" si="149"/>
        <v>0</v>
      </c>
      <c r="I77" s="169">
        <f t="shared" si="149"/>
        <v>0</v>
      </c>
      <c r="J77" s="169">
        <f t="shared" si="149"/>
        <v>0</v>
      </c>
      <c r="K77" s="169">
        <f t="shared" si="149"/>
        <v>0</v>
      </c>
      <c r="L77" s="169">
        <f t="shared" si="149"/>
        <v>0</v>
      </c>
      <c r="M77" s="169">
        <f t="shared" si="149"/>
        <v>0</v>
      </c>
      <c r="N77" s="169">
        <f t="shared" si="151"/>
        <v>0</v>
      </c>
    </row>
    <row r="78" spans="1:14" x14ac:dyDescent="0.35">
      <c r="A78" s="157">
        <f t="shared" si="150"/>
        <v>43771</v>
      </c>
      <c r="B78" s="170"/>
      <c r="C78" s="170"/>
      <c r="D78" s="170"/>
      <c r="E78" s="170"/>
      <c r="F78" s="169">
        <f>(+F52*F18*8/12)/8</f>
        <v>0</v>
      </c>
      <c r="G78" s="169">
        <f t="shared" si="149"/>
        <v>0</v>
      </c>
      <c r="H78" s="169">
        <f t="shared" si="149"/>
        <v>0</v>
      </c>
      <c r="I78" s="169">
        <f t="shared" si="149"/>
        <v>0</v>
      </c>
      <c r="J78" s="169">
        <f t="shared" si="149"/>
        <v>0</v>
      </c>
      <c r="K78" s="169">
        <f t="shared" si="149"/>
        <v>0</v>
      </c>
      <c r="L78" s="169">
        <f t="shared" si="149"/>
        <v>0</v>
      </c>
      <c r="M78" s="169">
        <f t="shared" si="149"/>
        <v>0</v>
      </c>
      <c r="N78" s="169">
        <f t="shared" si="151"/>
        <v>0</v>
      </c>
    </row>
    <row r="79" spans="1:14" x14ac:dyDescent="0.35">
      <c r="A79" s="157">
        <f t="shared" si="150"/>
        <v>43802</v>
      </c>
      <c r="B79" s="170"/>
      <c r="C79" s="170"/>
      <c r="D79" s="170"/>
      <c r="E79" s="170"/>
      <c r="F79" s="170"/>
      <c r="G79" s="169">
        <f>+(G52*G18*7/12)/7</f>
        <v>0</v>
      </c>
      <c r="H79" s="169">
        <f>+G79</f>
        <v>0</v>
      </c>
      <c r="I79" s="169">
        <f t="shared" si="149"/>
        <v>0</v>
      </c>
      <c r="J79" s="169">
        <f t="shared" si="149"/>
        <v>0</v>
      </c>
      <c r="K79" s="169">
        <f t="shared" si="149"/>
        <v>0</v>
      </c>
      <c r="L79" s="169">
        <f t="shared" si="149"/>
        <v>0</v>
      </c>
      <c r="M79" s="169">
        <f t="shared" si="149"/>
        <v>0</v>
      </c>
      <c r="N79" s="169">
        <f t="shared" si="151"/>
        <v>0</v>
      </c>
    </row>
    <row r="80" spans="1:14" x14ac:dyDescent="0.35">
      <c r="A80" s="157">
        <f t="shared" si="150"/>
        <v>43833</v>
      </c>
      <c r="B80" s="170"/>
      <c r="C80" s="170"/>
      <c r="D80" s="170"/>
      <c r="E80" s="170"/>
      <c r="F80" s="170"/>
      <c r="G80" s="170"/>
      <c r="H80" s="169">
        <f>+(H52*H18*6/12)/6</f>
        <v>0</v>
      </c>
      <c r="I80" s="169">
        <f t="shared" si="149"/>
        <v>0</v>
      </c>
      <c r="J80" s="169">
        <f t="shared" si="149"/>
        <v>0</v>
      </c>
      <c r="K80" s="169">
        <f t="shared" si="149"/>
        <v>0</v>
      </c>
      <c r="L80" s="169">
        <f t="shared" si="149"/>
        <v>0</v>
      </c>
      <c r="M80" s="169">
        <f t="shared" si="149"/>
        <v>0</v>
      </c>
      <c r="N80" s="169">
        <f t="shared" si="151"/>
        <v>0</v>
      </c>
    </row>
    <row r="81" spans="1:14" x14ac:dyDescent="0.35">
      <c r="A81" s="157">
        <f t="shared" si="150"/>
        <v>43864</v>
      </c>
      <c r="B81" s="170"/>
      <c r="C81" s="170"/>
      <c r="D81" s="170"/>
      <c r="E81" s="170"/>
      <c r="F81" s="170"/>
      <c r="G81" s="170"/>
      <c r="H81" s="170"/>
      <c r="I81" s="169">
        <f>+(I52*I18*5/12)/5</f>
        <v>0</v>
      </c>
      <c r="J81" s="169">
        <f t="shared" si="149"/>
        <v>0</v>
      </c>
      <c r="K81" s="169">
        <f t="shared" si="149"/>
        <v>0</v>
      </c>
      <c r="L81" s="169">
        <f t="shared" si="149"/>
        <v>0</v>
      </c>
      <c r="M81" s="169">
        <f t="shared" si="149"/>
        <v>0</v>
      </c>
      <c r="N81" s="169">
        <f t="shared" si="151"/>
        <v>0</v>
      </c>
    </row>
    <row r="82" spans="1:14" x14ac:dyDescent="0.35">
      <c r="A82" s="157">
        <f t="shared" si="150"/>
        <v>43895</v>
      </c>
      <c r="B82" s="170"/>
      <c r="C82" s="170"/>
      <c r="D82" s="170"/>
      <c r="E82" s="170"/>
      <c r="F82" s="170"/>
      <c r="G82" s="170"/>
      <c r="H82" s="170"/>
      <c r="I82" s="170"/>
      <c r="J82" s="169">
        <f>+(J52*J18*4/12)/4</f>
        <v>0</v>
      </c>
      <c r="K82" s="169">
        <f t="shared" si="149"/>
        <v>0</v>
      </c>
      <c r="L82" s="169">
        <f t="shared" si="149"/>
        <v>0</v>
      </c>
      <c r="M82" s="169">
        <f t="shared" si="149"/>
        <v>0</v>
      </c>
      <c r="N82" s="169">
        <f t="shared" si="151"/>
        <v>0</v>
      </c>
    </row>
    <row r="83" spans="1:14" x14ac:dyDescent="0.35">
      <c r="A83" s="157">
        <f t="shared" si="150"/>
        <v>43926</v>
      </c>
      <c r="B83" s="170"/>
      <c r="C83" s="170"/>
      <c r="D83" s="170"/>
      <c r="E83" s="170"/>
      <c r="F83" s="170"/>
      <c r="G83" s="170"/>
      <c r="H83" s="170"/>
      <c r="I83" s="170"/>
      <c r="J83" s="170"/>
      <c r="K83" s="169">
        <f>+(K52*K18*3/12)/3</f>
        <v>0</v>
      </c>
      <c r="L83" s="169">
        <f t="shared" si="149"/>
        <v>0</v>
      </c>
      <c r="M83" s="169">
        <f t="shared" si="149"/>
        <v>0</v>
      </c>
      <c r="N83" s="169">
        <f t="shared" si="151"/>
        <v>0</v>
      </c>
    </row>
    <row r="84" spans="1:14" x14ac:dyDescent="0.35">
      <c r="A84" s="157">
        <f t="shared" si="150"/>
        <v>43957</v>
      </c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69">
        <f>+(L52*L18*2/12)/2</f>
        <v>0</v>
      </c>
      <c r="M84" s="169">
        <f t="shared" si="149"/>
        <v>0</v>
      </c>
      <c r="N84" s="169">
        <f t="shared" si="151"/>
        <v>0</v>
      </c>
    </row>
    <row r="85" spans="1:14" x14ac:dyDescent="0.35">
      <c r="A85" s="157">
        <f t="shared" si="150"/>
        <v>43988</v>
      </c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69">
        <f>+(M52*M18/12)</f>
        <v>0</v>
      </c>
      <c r="N85" s="169">
        <f t="shared" si="151"/>
        <v>0</v>
      </c>
    </row>
    <row r="86" spans="1:14" x14ac:dyDescent="0.35">
      <c r="B86" s="160">
        <v>43647</v>
      </c>
      <c r="C86" s="160">
        <f>+B86+31</f>
        <v>43678</v>
      </c>
      <c r="D86" s="160">
        <f t="shared" ref="D86:M86" si="152">+C86+31</f>
        <v>43709</v>
      </c>
      <c r="E86" s="160">
        <f t="shared" si="152"/>
        <v>43740</v>
      </c>
      <c r="F86" s="160">
        <f t="shared" si="152"/>
        <v>43771</v>
      </c>
      <c r="G86" s="160">
        <f t="shared" si="152"/>
        <v>43802</v>
      </c>
      <c r="H86" s="160">
        <f t="shared" si="152"/>
        <v>43833</v>
      </c>
      <c r="I86" s="160">
        <f t="shared" si="152"/>
        <v>43864</v>
      </c>
      <c r="J86" s="160">
        <f t="shared" si="152"/>
        <v>43895</v>
      </c>
      <c r="K86" s="160">
        <f t="shared" si="152"/>
        <v>43926</v>
      </c>
      <c r="L86" s="160">
        <f t="shared" si="152"/>
        <v>43957</v>
      </c>
      <c r="M86" s="160">
        <f t="shared" si="152"/>
        <v>43988</v>
      </c>
      <c r="N86" s="159" t="s">
        <v>84</v>
      </c>
    </row>
    <row r="87" spans="1:14" x14ac:dyDescent="0.35">
      <c r="A87" s="17" t="s">
        <v>291</v>
      </c>
      <c r="B87" s="168">
        <f>SUM(B88:B99)</f>
        <v>0</v>
      </c>
      <c r="C87" s="168">
        <f t="shared" ref="C87:M87" si="153">SUM(C88:C99)</f>
        <v>0</v>
      </c>
      <c r="D87" s="168">
        <f t="shared" si="153"/>
        <v>0</v>
      </c>
      <c r="E87" s="168">
        <f t="shared" si="153"/>
        <v>0</v>
      </c>
      <c r="F87" s="168">
        <f t="shared" si="153"/>
        <v>0</v>
      </c>
      <c r="G87" s="168">
        <f t="shared" si="153"/>
        <v>0</v>
      </c>
      <c r="H87" s="168">
        <f t="shared" si="153"/>
        <v>0</v>
      </c>
      <c r="I87" s="168">
        <f t="shared" si="153"/>
        <v>0</v>
      </c>
      <c r="J87" s="168">
        <f t="shared" si="153"/>
        <v>0</v>
      </c>
      <c r="K87" s="168">
        <f t="shared" si="153"/>
        <v>0</v>
      </c>
      <c r="L87" s="168">
        <f t="shared" si="153"/>
        <v>0</v>
      </c>
      <c r="M87" s="168">
        <f t="shared" si="153"/>
        <v>0</v>
      </c>
      <c r="N87" s="169">
        <f>SUM(B87:M87)</f>
        <v>0</v>
      </c>
    </row>
    <row r="88" spans="1:14" x14ac:dyDescent="0.35">
      <c r="A88" s="157">
        <v>43647</v>
      </c>
      <c r="B88" s="169">
        <f>+B56*B31/12</f>
        <v>0</v>
      </c>
      <c r="C88" s="169">
        <f>+B88</f>
        <v>0</v>
      </c>
      <c r="D88" s="169">
        <f t="shared" ref="D88:M98" si="154">+C88</f>
        <v>0</v>
      </c>
      <c r="E88" s="169">
        <f t="shared" si="154"/>
        <v>0</v>
      </c>
      <c r="F88" s="169">
        <f t="shared" si="154"/>
        <v>0</v>
      </c>
      <c r="G88" s="169">
        <f t="shared" si="154"/>
        <v>0</v>
      </c>
      <c r="H88" s="169">
        <f t="shared" si="154"/>
        <v>0</v>
      </c>
      <c r="I88" s="169">
        <f t="shared" si="154"/>
        <v>0</v>
      </c>
      <c r="J88" s="169">
        <f t="shared" si="154"/>
        <v>0</v>
      </c>
      <c r="K88" s="169">
        <f t="shared" si="154"/>
        <v>0</v>
      </c>
      <c r="L88" s="169">
        <f t="shared" si="154"/>
        <v>0</v>
      </c>
      <c r="M88" s="169">
        <f t="shared" si="154"/>
        <v>0</v>
      </c>
      <c r="N88" s="169">
        <f>SUM(B88:M88)</f>
        <v>0</v>
      </c>
    </row>
    <row r="89" spans="1:14" x14ac:dyDescent="0.35">
      <c r="A89" s="157">
        <f t="shared" ref="A89:A99" si="155">+A88+31</f>
        <v>43678</v>
      </c>
      <c r="B89" s="170"/>
      <c r="C89" s="169">
        <f>+(C56*C31*11/12)/11</f>
        <v>0</v>
      </c>
      <c r="D89" s="169">
        <f t="shared" si="154"/>
        <v>0</v>
      </c>
      <c r="E89" s="169">
        <f t="shared" si="154"/>
        <v>0</v>
      </c>
      <c r="F89" s="169">
        <f t="shared" si="154"/>
        <v>0</v>
      </c>
      <c r="G89" s="169">
        <f t="shared" si="154"/>
        <v>0</v>
      </c>
      <c r="H89" s="169">
        <f t="shared" si="154"/>
        <v>0</v>
      </c>
      <c r="I89" s="169">
        <f t="shared" si="154"/>
        <v>0</v>
      </c>
      <c r="J89" s="169">
        <f t="shared" si="154"/>
        <v>0</v>
      </c>
      <c r="K89" s="169">
        <f t="shared" si="154"/>
        <v>0</v>
      </c>
      <c r="L89" s="169">
        <f t="shared" si="154"/>
        <v>0</v>
      </c>
      <c r="M89" s="169">
        <f t="shared" si="154"/>
        <v>0</v>
      </c>
      <c r="N89" s="169">
        <f t="shared" ref="N89:N99" si="156">SUM(B89:M89)</f>
        <v>0</v>
      </c>
    </row>
    <row r="90" spans="1:14" x14ac:dyDescent="0.35">
      <c r="A90" s="157">
        <f t="shared" si="155"/>
        <v>43709</v>
      </c>
      <c r="B90" s="170"/>
      <c r="C90" s="170"/>
      <c r="D90" s="169">
        <f>+(D56*D31*10/12)/10</f>
        <v>0</v>
      </c>
      <c r="E90" s="169">
        <f t="shared" si="154"/>
        <v>0</v>
      </c>
      <c r="F90" s="169">
        <f t="shared" si="154"/>
        <v>0</v>
      </c>
      <c r="G90" s="169">
        <f t="shared" si="154"/>
        <v>0</v>
      </c>
      <c r="H90" s="169">
        <f t="shared" si="154"/>
        <v>0</v>
      </c>
      <c r="I90" s="169">
        <f t="shared" si="154"/>
        <v>0</v>
      </c>
      <c r="J90" s="169">
        <f t="shared" si="154"/>
        <v>0</v>
      </c>
      <c r="K90" s="169">
        <f t="shared" si="154"/>
        <v>0</v>
      </c>
      <c r="L90" s="169">
        <f t="shared" si="154"/>
        <v>0</v>
      </c>
      <c r="M90" s="169">
        <f t="shared" si="154"/>
        <v>0</v>
      </c>
      <c r="N90" s="169">
        <f t="shared" si="156"/>
        <v>0</v>
      </c>
    </row>
    <row r="91" spans="1:14" x14ac:dyDescent="0.35">
      <c r="A91" s="157">
        <f t="shared" si="155"/>
        <v>43740</v>
      </c>
      <c r="B91" s="170"/>
      <c r="C91" s="170"/>
      <c r="D91" s="170"/>
      <c r="E91" s="169">
        <f>+(E56*E31*9/12)/9</f>
        <v>0</v>
      </c>
      <c r="F91" s="169">
        <f t="shared" si="154"/>
        <v>0</v>
      </c>
      <c r="G91" s="169">
        <f t="shared" si="154"/>
        <v>0</v>
      </c>
      <c r="H91" s="169">
        <f t="shared" si="154"/>
        <v>0</v>
      </c>
      <c r="I91" s="169">
        <f t="shared" si="154"/>
        <v>0</v>
      </c>
      <c r="J91" s="169">
        <f t="shared" si="154"/>
        <v>0</v>
      </c>
      <c r="K91" s="169">
        <f t="shared" si="154"/>
        <v>0</v>
      </c>
      <c r="L91" s="169">
        <f t="shared" si="154"/>
        <v>0</v>
      </c>
      <c r="M91" s="169">
        <f t="shared" si="154"/>
        <v>0</v>
      </c>
      <c r="N91" s="169">
        <f t="shared" si="156"/>
        <v>0</v>
      </c>
    </row>
    <row r="92" spans="1:14" x14ac:dyDescent="0.35">
      <c r="A92" s="157">
        <f t="shared" si="155"/>
        <v>43771</v>
      </c>
      <c r="B92" s="170"/>
      <c r="C92" s="170"/>
      <c r="D92" s="170"/>
      <c r="E92" s="170"/>
      <c r="F92" s="169">
        <f>(+F56*F31*8/12)/8</f>
        <v>0</v>
      </c>
      <c r="G92" s="169">
        <f t="shared" si="154"/>
        <v>0</v>
      </c>
      <c r="H92" s="169">
        <f t="shared" si="154"/>
        <v>0</v>
      </c>
      <c r="I92" s="169">
        <f t="shared" si="154"/>
        <v>0</v>
      </c>
      <c r="J92" s="169">
        <f t="shared" si="154"/>
        <v>0</v>
      </c>
      <c r="K92" s="169">
        <f t="shared" si="154"/>
        <v>0</v>
      </c>
      <c r="L92" s="169">
        <f t="shared" si="154"/>
        <v>0</v>
      </c>
      <c r="M92" s="169">
        <f t="shared" si="154"/>
        <v>0</v>
      </c>
      <c r="N92" s="169">
        <f t="shared" si="156"/>
        <v>0</v>
      </c>
    </row>
    <row r="93" spans="1:14" x14ac:dyDescent="0.35">
      <c r="A93" s="157">
        <f t="shared" si="155"/>
        <v>43802</v>
      </c>
      <c r="B93" s="170"/>
      <c r="C93" s="170"/>
      <c r="D93" s="170"/>
      <c r="E93" s="170"/>
      <c r="F93" s="170"/>
      <c r="G93" s="169">
        <f>+(G56*G31*7/12)/7</f>
        <v>0</v>
      </c>
      <c r="H93" s="169">
        <f>+G93</f>
        <v>0</v>
      </c>
      <c r="I93" s="169">
        <f t="shared" si="154"/>
        <v>0</v>
      </c>
      <c r="J93" s="169">
        <f t="shared" si="154"/>
        <v>0</v>
      </c>
      <c r="K93" s="169">
        <f t="shared" si="154"/>
        <v>0</v>
      </c>
      <c r="L93" s="169">
        <f t="shared" si="154"/>
        <v>0</v>
      </c>
      <c r="M93" s="169">
        <f t="shared" si="154"/>
        <v>0</v>
      </c>
      <c r="N93" s="169">
        <f t="shared" si="156"/>
        <v>0</v>
      </c>
    </row>
    <row r="94" spans="1:14" x14ac:dyDescent="0.35">
      <c r="A94" s="157">
        <f t="shared" si="155"/>
        <v>43833</v>
      </c>
      <c r="B94" s="170"/>
      <c r="C94" s="170"/>
      <c r="D94" s="170"/>
      <c r="E94" s="170"/>
      <c r="F94" s="170"/>
      <c r="G94" s="170"/>
      <c r="H94" s="169">
        <f>+(H56*H31*6/12)/6</f>
        <v>0</v>
      </c>
      <c r="I94" s="169">
        <f t="shared" si="154"/>
        <v>0</v>
      </c>
      <c r="J94" s="169">
        <f t="shared" si="154"/>
        <v>0</v>
      </c>
      <c r="K94" s="169">
        <f t="shared" si="154"/>
        <v>0</v>
      </c>
      <c r="L94" s="169">
        <f t="shared" si="154"/>
        <v>0</v>
      </c>
      <c r="M94" s="169">
        <f t="shared" si="154"/>
        <v>0</v>
      </c>
      <c r="N94" s="169">
        <f t="shared" si="156"/>
        <v>0</v>
      </c>
    </row>
    <row r="95" spans="1:14" x14ac:dyDescent="0.35">
      <c r="A95" s="157">
        <f t="shared" si="155"/>
        <v>43864</v>
      </c>
      <c r="B95" s="170"/>
      <c r="C95" s="170"/>
      <c r="D95" s="170"/>
      <c r="E95" s="170"/>
      <c r="F95" s="170"/>
      <c r="G95" s="170"/>
      <c r="H95" s="170"/>
      <c r="I95" s="169">
        <f>+(I56*I31*5/12)/5</f>
        <v>0</v>
      </c>
      <c r="J95" s="169">
        <f t="shared" si="154"/>
        <v>0</v>
      </c>
      <c r="K95" s="169">
        <f t="shared" si="154"/>
        <v>0</v>
      </c>
      <c r="L95" s="169">
        <f t="shared" si="154"/>
        <v>0</v>
      </c>
      <c r="M95" s="169">
        <f t="shared" si="154"/>
        <v>0</v>
      </c>
      <c r="N95" s="169">
        <f t="shared" si="156"/>
        <v>0</v>
      </c>
    </row>
    <row r="96" spans="1:14" x14ac:dyDescent="0.35">
      <c r="A96" s="157">
        <f t="shared" si="155"/>
        <v>43895</v>
      </c>
      <c r="B96" s="170"/>
      <c r="C96" s="170"/>
      <c r="D96" s="170"/>
      <c r="E96" s="170"/>
      <c r="F96" s="170"/>
      <c r="G96" s="170"/>
      <c r="H96" s="170"/>
      <c r="I96" s="170"/>
      <c r="J96" s="169">
        <f>+(J56*J31*4/12)/4</f>
        <v>0</v>
      </c>
      <c r="K96" s="169">
        <f t="shared" si="154"/>
        <v>0</v>
      </c>
      <c r="L96" s="169">
        <f t="shared" si="154"/>
        <v>0</v>
      </c>
      <c r="M96" s="169">
        <f t="shared" si="154"/>
        <v>0</v>
      </c>
      <c r="N96" s="169">
        <f t="shared" si="156"/>
        <v>0</v>
      </c>
    </row>
    <row r="97" spans="1:14" x14ac:dyDescent="0.35">
      <c r="A97" s="157">
        <f t="shared" si="155"/>
        <v>43926</v>
      </c>
      <c r="B97" s="170"/>
      <c r="C97" s="170"/>
      <c r="D97" s="170"/>
      <c r="E97" s="170"/>
      <c r="F97" s="170"/>
      <c r="G97" s="170"/>
      <c r="H97" s="170"/>
      <c r="I97" s="170"/>
      <c r="J97" s="170"/>
      <c r="K97" s="169">
        <f>+(K56*K31*3/12)/3</f>
        <v>0</v>
      </c>
      <c r="L97" s="169">
        <f t="shared" si="154"/>
        <v>0</v>
      </c>
      <c r="M97" s="169">
        <f t="shared" si="154"/>
        <v>0</v>
      </c>
      <c r="N97" s="169">
        <f t="shared" si="156"/>
        <v>0</v>
      </c>
    </row>
    <row r="98" spans="1:14" x14ac:dyDescent="0.35">
      <c r="A98" s="157">
        <f t="shared" si="155"/>
        <v>43957</v>
      </c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69">
        <f>+(L56*L31*2/12)/2</f>
        <v>0</v>
      </c>
      <c r="M98" s="169">
        <f t="shared" si="154"/>
        <v>0</v>
      </c>
      <c r="N98" s="169">
        <f t="shared" si="156"/>
        <v>0</v>
      </c>
    </row>
    <row r="99" spans="1:14" x14ac:dyDescent="0.35">
      <c r="A99" s="157">
        <f t="shared" si="155"/>
        <v>43988</v>
      </c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69">
        <f>+(M56*M31/12)</f>
        <v>0</v>
      </c>
      <c r="N99" s="169">
        <f t="shared" si="156"/>
        <v>0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W77"/>
  <sheetViews>
    <sheetView zoomScale="110" zoomScaleNormal="110" workbookViewId="0">
      <selection activeCell="K5" sqref="K5"/>
    </sheetView>
  </sheetViews>
  <sheetFormatPr baseColWidth="10" defaultColWidth="11.46484375" defaultRowHeight="11.65" outlineLevelRow="1" x14ac:dyDescent="0.35"/>
  <cols>
    <col min="1" max="1" width="35.19921875" style="32" bestFit="1" customWidth="1"/>
    <col min="2" max="14" width="8" style="32" customWidth="1"/>
    <col min="15" max="16384" width="11.46484375" style="32"/>
  </cols>
  <sheetData>
    <row r="1" spans="1:16" ht="35.25" thickBot="1" x14ac:dyDescent="0.4">
      <c r="A1" s="68" t="s">
        <v>235</v>
      </c>
    </row>
    <row r="3" spans="1:16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71" t="s">
        <v>179</v>
      </c>
      <c r="B4" s="76">
        <f t="shared" ref="B4:M4" si="1">+B5+B11+B17</f>
        <v>0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72380</v>
      </c>
      <c r="L4" s="76">
        <f t="shared" si="1"/>
        <v>0</v>
      </c>
      <c r="M4" s="76">
        <f t="shared" si="1"/>
        <v>0</v>
      </c>
      <c r="N4" s="76">
        <f>SUM(B4:M4)</f>
        <v>72380</v>
      </c>
    </row>
    <row r="5" spans="1:16" s="57" customFormat="1" x14ac:dyDescent="0.35">
      <c r="A5" s="72" t="s">
        <v>282</v>
      </c>
      <c r="B5" s="79">
        <f>(+B8*B9)+B10</f>
        <v>0</v>
      </c>
      <c r="C5" s="79">
        <f t="shared" ref="C5:M5" si="2">(+C8*C9)+C10</f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72380</v>
      </c>
      <c r="L5" s="79">
        <f t="shared" si="2"/>
        <v>0</v>
      </c>
      <c r="M5" s="79">
        <f t="shared" si="2"/>
        <v>0</v>
      </c>
      <c r="N5" s="79">
        <f>SUM(B5:M5)</f>
        <v>72380</v>
      </c>
    </row>
    <row r="6" spans="1:16" outlineLevel="1" x14ac:dyDescent="0.35">
      <c r="A6" s="66" t="s">
        <v>203</v>
      </c>
      <c r="B6" s="146">
        <v>2278</v>
      </c>
      <c r="C6" s="146">
        <v>2200</v>
      </c>
      <c r="D6" s="146">
        <v>2200</v>
      </c>
      <c r="E6" s="146">
        <v>2200</v>
      </c>
      <c r="F6" s="146">
        <v>2200</v>
      </c>
      <c r="G6" s="146">
        <v>2200</v>
      </c>
      <c r="H6" s="146">
        <v>2200</v>
      </c>
      <c r="I6" s="146">
        <v>2200</v>
      </c>
      <c r="J6" s="146">
        <v>2200</v>
      </c>
      <c r="K6" s="146">
        <v>2200</v>
      </c>
      <c r="L6" s="146">
        <v>2200</v>
      </c>
      <c r="M6" s="146">
        <v>2200</v>
      </c>
      <c r="N6" s="148"/>
    </row>
    <row r="7" spans="1:16" outlineLevel="1" x14ac:dyDescent="0.35">
      <c r="A7" s="66" t="s">
        <v>194</v>
      </c>
      <c r="B7" s="150"/>
      <c r="C7" s="146"/>
      <c r="D7" s="146"/>
      <c r="E7" s="146"/>
      <c r="F7" s="146"/>
      <c r="G7" s="146"/>
      <c r="H7" s="146"/>
      <c r="I7" s="146"/>
      <c r="J7" s="146"/>
      <c r="K7" s="146">
        <v>1.4</v>
      </c>
      <c r="L7" s="146"/>
      <c r="M7" s="146"/>
      <c r="N7" s="148">
        <f t="shared" ref="N7:N10" si="3">SUM(B7:M7)</f>
        <v>1.4</v>
      </c>
    </row>
    <row r="8" spans="1:16" outlineLevel="1" x14ac:dyDescent="0.35">
      <c r="A8" s="66" t="s">
        <v>206</v>
      </c>
      <c r="B8" s="146">
        <f>+B6*B7</f>
        <v>0</v>
      </c>
      <c r="C8" s="146">
        <f t="shared" ref="C8:M8" si="4">+C6*C7</f>
        <v>0</v>
      </c>
      <c r="D8" s="146">
        <f t="shared" si="4"/>
        <v>0</v>
      </c>
      <c r="E8" s="146">
        <f t="shared" si="4"/>
        <v>0</v>
      </c>
      <c r="F8" s="146">
        <f t="shared" si="4"/>
        <v>0</v>
      </c>
      <c r="G8" s="146">
        <f t="shared" si="4"/>
        <v>0</v>
      </c>
      <c r="H8" s="146">
        <f t="shared" si="4"/>
        <v>0</v>
      </c>
      <c r="I8" s="146">
        <f t="shared" si="4"/>
        <v>0</v>
      </c>
      <c r="J8" s="146">
        <f t="shared" si="4"/>
        <v>0</v>
      </c>
      <c r="K8" s="146">
        <f t="shared" si="4"/>
        <v>3080</v>
      </c>
      <c r="L8" s="146">
        <f t="shared" si="4"/>
        <v>0</v>
      </c>
      <c r="M8" s="146">
        <f t="shared" si="4"/>
        <v>0</v>
      </c>
      <c r="N8" s="148">
        <f t="shared" si="3"/>
        <v>3080</v>
      </c>
    </row>
    <row r="9" spans="1:16" outlineLevel="1" x14ac:dyDescent="0.35">
      <c r="A9" s="66" t="s">
        <v>204</v>
      </c>
      <c r="B9" s="150">
        <v>23.180829416929196</v>
      </c>
      <c r="C9" s="150">
        <v>23.5</v>
      </c>
      <c r="D9" s="150">
        <v>23.5</v>
      </c>
      <c r="E9" s="150">
        <v>23.5</v>
      </c>
      <c r="F9" s="150">
        <v>23.5</v>
      </c>
      <c r="G9" s="150">
        <v>23.5</v>
      </c>
      <c r="H9" s="150">
        <v>23.5</v>
      </c>
      <c r="I9" s="150">
        <v>23.5</v>
      </c>
      <c r="J9" s="150">
        <v>23.5</v>
      </c>
      <c r="K9" s="150">
        <v>23.5</v>
      </c>
      <c r="L9" s="150">
        <v>23.5</v>
      </c>
      <c r="M9" s="150">
        <v>23.5</v>
      </c>
      <c r="N9" s="148"/>
    </row>
    <row r="10" spans="1:16" outlineLevel="1" x14ac:dyDescent="0.35">
      <c r="A10" s="66" t="s">
        <v>205</v>
      </c>
      <c r="B10" s="146">
        <v>0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8">
        <f t="shared" si="3"/>
        <v>0</v>
      </c>
    </row>
    <row r="11" spans="1:16" x14ac:dyDescent="0.35">
      <c r="A11" s="72" t="s">
        <v>284</v>
      </c>
      <c r="B11" s="79">
        <f>(+B14*B15)+B16</f>
        <v>0</v>
      </c>
      <c r="C11" s="79">
        <f t="shared" ref="C11:M11" si="5">(+C14*C15)+C16</f>
        <v>0</v>
      </c>
      <c r="D11" s="79">
        <f t="shared" si="5"/>
        <v>0</v>
      </c>
      <c r="E11" s="79">
        <f t="shared" si="5"/>
        <v>0</v>
      </c>
      <c r="F11" s="79">
        <f t="shared" si="5"/>
        <v>0</v>
      </c>
      <c r="G11" s="79">
        <f t="shared" si="5"/>
        <v>0</v>
      </c>
      <c r="H11" s="79">
        <f t="shared" si="5"/>
        <v>0</v>
      </c>
      <c r="I11" s="79">
        <f t="shared" si="5"/>
        <v>0</v>
      </c>
      <c r="J11" s="79">
        <f t="shared" si="5"/>
        <v>0</v>
      </c>
      <c r="K11" s="79">
        <f t="shared" si="5"/>
        <v>0</v>
      </c>
      <c r="L11" s="79">
        <f t="shared" si="5"/>
        <v>0</v>
      </c>
      <c r="M11" s="79">
        <f t="shared" si="5"/>
        <v>0</v>
      </c>
      <c r="N11" s="79">
        <f>SUM(B11:M11)</f>
        <v>0</v>
      </c>
    </row>
    <row r="12" spans="1:16" outlineLevel="1" x14ac:dyDescent="0.35">
      <c r="A12" s="66" t="s">
        <v>203</v>
      </c>
      <c r="B12" s="146">
        <v>2200</v>
      </c>
      <c r="C12" s="146">
        <v>2200</v>
      </c>
      <c r="D12" s="146">
        <v>2200</v>
      </c>
      <c r="E12" s="146">
        <v>2200</v>
      </c>
      <c r="F12" s="146">
        <v>2200</v>
      </c>
      <c r="G12" s="146">
        <v>2200</v>
      </c>
      <c r="H12" s="146">
        <v>2200</v>
      </c>
      <c r="I12" s="146">
        <v>2200</v>
      </c>
      <c r="J12" s="146">
        <v>2200</v>
      </c>
      <c r="K12" s="146">
        <v>2200</v>
      </c>
      <c r="L12" s="146">
        <v>2200</v>
      </c>
      <c r="M12" s="146">
        <v>2200</v>
      </c>
      <c r="N12" s="148">
        <f t="shared" ref="N12" si="6">SUM(B12:M12)</f>
        <v>26400</v>
      </c>
    </row>
    <row r="13" spans="1:16" outlineLevel="1" x14ac:dyDescent="0.35">
      <c r="A13" s="66" t="s">
        <v>194</v>
      </c>
      <c r="B13" s="150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62"/>
      <c r="P13" s="62"/>
    </row>
    <row r="14" spans="1:16" outlineLevel="1" x14ac:dyDescent="0.35">
      <c r="A14" s="66" t="s">
        <v>206</v>
      </c>
      <c r="B14" s="146">
        <f>+B12*B13</f>
        <v>0</v>
      </c>
      <c r="C14" s="146">
        <f t="shared" ref="C14" si="7">+C12*C13</f>
        <v>0</v>
      </c>
      <c r="D14" s="146">
        <f t="shared" ref="D14" si="8">+D12*D13</f>
        <v>0</v>
      </c>
      <c r="E14" s="146">
        <f t="shared" ref="E14" si="9">+E12*E13</f>
        <v>0</v>
      </c>
      <c r="F14" s="146">
        <f t="shared" ref="F14" si="10">+F12*F13</f>
        <v>0</v>
      </c>
      <c r="G14" s="146">
        <f t="shared" ref="G14" si="11">+G12*G13</f>
        <v>0</v>
      </c>
      <c r="H14" s="146">
        <f t="shared" ref="H14" si="12">+H12*H13</f>
        <v>0</v>
      </c>
      <c r="I14" s="146">
        <f t="shared" ref="I14" si="13">+I12*I13</f>
        <v>0</v>
      </c>
      <c r="J14" s="146">
        <f t="shared" ref="J14" si="14">+J12*J13</f>
        <v>0</v>
      </c>
      <c r="K14" s="146">
        <f t="shared" ref="K14" si="15">+K12*K13</f>
        <v>0</v>
      </c>
      <c r="L14" s="146">
        <f t="shared" ref="L14" si="16">+L12*L13</f>
        <v>0</v>
      </c>
      <c r="M14" s="146">
        <f t="shared" ref="M14" si="17">+M12*M13</f>
        <v>0</v>
      </c>
      <c r="N14" s="148">
        <f>SUM(B14:M14)</f>
        <v>0</v>
      </c>
      <c r="P14" s="164"/>
    </row>
    <row r="15" spans="1:16" outlineLevel="1" x14ac:dyDescent="0.35">
      <c r="A15" s="66" t="s">
        <v>204</v>
      </c>
      <c r="B15" s="150">
        <v>36.935250000000003</v>
      </c>
      <c r="C15" s="150">
        <v>23.5</v>
      </c>
      <c r="D15" s="150">
        <v>23.5</v>
      </c>
      <c r="E15" s="150">
        <v>23.5</v>
      </c>
      <c r="F15" s="150">
        <v>23.5</v>
      </c>
      <c r="G15" s="150">
        <v>23.5</v>
      </c>
      <c r="H15" s="150">
        <v>23.5</v>
      </c>
      <c r="I15" s="150">
        <v>23.5</v>
      </c>
      <c r="J15" s="150">
        <v>23.5</v>
      </c>
      <c r="K15" s="150">
        <v>23.5</v>
      </c>
      <c r="L15" s="150">
        <v>23.5</v>
      </c>
      <c r="M15" s="150">
        <v>23.5</v>
      </c>
      <c r="N15" s="148">
        <f t="shared" ref="N15" si="18">SUM(B15:M15)</f>
        <v>295.43525</v>
      </c>
    </row>
    <row r="16" spans="1:16" outlineLevel="1" x14ac:dyDescent="0.35">
      <c r="A16" s="66" t="s">
        <v>205</v>
      </c>
      <c r="B16" s="146">
        <v>0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</row>
    <row r="17" spans="1:23" x14ac:dyDescent="0.35">
      <c r="A17" s="72" t="s">
        <v>286</v>
      </c>
      <c r="B17" s="79">
        <f>(+B20*B21)+B22</f>
        <v>0</v>
      </c>
      <c r="C17" s="79">
        <f t="shared" ref="C17:M17" si="19">(+C20*C21)+C22</f>
        <v>0</v>
      </c>
      <c r="D17" s="79">
        <f t="shared" si="19"/>
        <v>0</v>
      </c>
      <c r="E17" s="79">
        <f t="shared" si="19"/>
        <v>0</v>
      </c>
      <c r="F17" s="79">
        <f t="shared" si="19"/>
        <v>0</v>
      </c>
      <c r="G17" s="79">
        <f t="shared" si="19"/>
        <v>0</v>
      </c>
      <c r="H17" s="79">
        <f t="shared" si="19"/>
        <v>0</v>
      </c>
      <c r="I17" s="79">
        <f t="shared" si="19"/>
        <v>0</v>
      </c>
      <c r="J17" s="79">
        <f t="shared" si="19"/>
        <v>0</v>
      </c>
      <c r="K17" s="79">
        <f t="shared" si="19"/>
        <v>0</v>
      </c>
      <c r="L17" s="79">
        <f t="shared" si="19"/>
        <v>0</v>
      </c>
      <c r="M17" s="79">
        <f t="shared" si="19"/>
        <v>0</v>
      </c>
      <c r="N17" s="79">
        <f>SUM(B17:M17)</f>
        <v>0</v>
      </c>
    </row>
    <row r="18" spans="1:23" outlineLevel="1" x14ac:dyDescent="0.35">
      <c r="A18" s="66" t="s">
        <v>203</v>
      </c>
      <c r="B18" s="146">
        <v>2334.23</v>
      </c>
      <c r="C18" s="146">
        <v>2200</v>
      </c>
      <c r="D18" s="146">
        <v>2200</v>
      </c>
      <c r="E18" s="146">
        <v>2200</v>
      </c>
      <c r="F18" s="146">
        <v>2200</v>
      </c>
      <c r="G18" s="146">
        <v>2200</v>
      </c>
      <c r="H18" s="146">
        <v>2200</v>
      </c>
      <c r="I18" s="146">
        <v>2200</v>
      </c>
      <c r="J18" s="146">
        <v>2200</v>
      </c>
      <c r="K18" s="146">
        <v>2200</v>
      </c>
      <c r="L18" s="146">
        <v>2200</v>
      </c>
      <c r="M18" s="146">
        <v>2200</v>
      </c>
      <c r="N18" s="148">
        <f t="shared" ref="N18" si="20">SUM(B18:M18)</f>
        <v>26534.23</v>
      </c>
    </row>
    <row r="19" spans="1:23" outlineLevel="1" x14ac:dyDescent="0.35">
      <c r="A19" s="66" t="s">
        <v>194</v>
      </c>
      <c r="B19" s="150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8"/>
    </row>
    <row r="20" spans="1:23" outlineLevel="1" x14ac:dyDescent="0.35">
      <c r="A20" s="66" t="s">
        <v>206</v>
      </c>
      <c r="B20" s="146">
        <f>+B18*B19</f>
        <v>0</v>
      </c>
      <c r="C20" s="146">
        <f t="shared" ref="C20" si="21">+C18*C19</f>
        <v>0</v>
      </c>
      <c r="D20" s="146">
        <f t="shared" ref="D20" si="22">+D18*D19</f>
        <v>0</v>
      </c>
      <c r="E20" s="146">
        <f t="shared" ref="E20" si="23">+E18*E19</f>
        <v>0</v>
      </c>
      <c r="F20" s="146">
        <f t="shared" ref="F20" si="24">+F18*F19</f>
        <v>0</v>
      </c>
      <c r="G20" s="146">
        <f t="shared" ref="G20" si="25">+G18*G19</f>
        <v>0</v>
      </c>
      <c r="H20" s="146">
        <f t="shared" ref="H20" si="26">+H18*H19</f>
        <v>0</v>
      </c>
      <c r="I20" s="146">
        <f t="shared" ref="I20" si="27">+I18*I19</f>
        <v>0</v>
      </c>
      <c r="J20" s="146">
        <f t="shared" ref="J20" si="28">+J18*J19</f>
        <v>0</v>
      </c>
      <c r="K20" s="146">
        <f t="shared" ref="K20" si="29">+K18*K19</f>
        <v>0</v>
      </c>
      <c r="L20" s="146">
        <f t="shared" ref="L20" si="30">+L18*L19</f>
        <v>0</v>
      </c>
      <c r="M20" s="146">
        <f t="shared" ref="M20" si="31">+M18*M19</f>
        <v>0</v>
      </c>
      <c r="N20" s="148"/>
    </row>
    <row r="21" spans="1:23" outlineLevel="1" x14ac:dyDescent="0.35">
      <c r="A21" s="66" t="s">
        <v>204</v>
      </c>
      <c r="B21" s="150">
        <v>22.913824353270719</v>
      </c>
      <c r="C21" s="150">
        <v>23.5</v>
      </c>
      <c r="D21" s="150">
        <v>23.5</v>
      </c>
      <c r="E21" s="150">
        <v>23.5</v>
      </c>
      <c r="F21" s="150">
        <v>23.5</v>
      </c>
      <c r="G21" s="150">
        <v>23.5</v>
      </c>
      <c r="H21" s="150">
        <v>23.5</v>
      </c>
      <c r="I21" s="150">
        <v>23.5</v>
      </c>
      <c r="J21" s="150">
        <v>23.5</v>
      </c>
      <c r="K21" s="150">
        <v>23.5</v>
      </c>
      <c r="L21" s="150">
        <v>23.5</v>
      </c>
      <c r="M21" s="150">
        <v>23.5</v>
      </c>
      <c r="N21" s="148"/>
    </row>
    <row r="22" spans="1:23" outlineLevel="1" x14ac:dyDescent="0.35">
      <c r="A22" s="66" t="s">
        <v>205</v>
      </c>
      <c r="B22" s="146">
        <v>0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8"/>
    </row>
    <row r="23" spans="1:23" x14ac:dyDescent="0.35">
      <c r="A23" s="71" t="s">
        <v>188</v>
      </c>
      <c r="B23" s="76">
        <f>+B24+B28+B32</f>
        <v>54389.447537824235</v>
      </c>
      <c r="C23" s="76">
        <f t="shared" ref="C23:M23" si="32">+C24+C28+C32</f>
        <v>54389.447537824235</v>
      </c>
      <c r="D23" s="76">
        <f t="shared" si="32"/>
        <v>54389.447537824235</v>
      </c>
      <c r="E23" s="76">
        <f t="shared" si="32"/>
        <v>54389.447537824235</v>
      </c>
      <c r="F23" s="76">
        <f t="shared" si="32"/>
        <v>54389.447537824235</v>
      </c>
      <c r="G23" s="76">
        <f t="shared" si="32"/>
        <v>54389.447537824235</v>
      </c>
      <c r="H23" s="76">
        <f t="shared" si="32"/>
        <v>54389.447537824235</v>
      </c>
      <c r="I23" s="76">
        <f t="shared" si="32"/>
        <v>54389.447537824235</v>
      </c>
      <c r="J23" s="76">
        <f t="shared" si="32"/>
        <v>54389.447537824235</v>
      </c>
      <c r="K23" s="76">
        <f t="shared" si="32"/>
        <v>57405.280871157571</v>
      </c>
      <c r="L23" s="76">
        <f t="shared" si="32"/>
        <v>57405.280871157571</v>
      </c>
      <c r="M23" s="76">
        <f t="shared" si="32"/>
        <v>57405.280871157571</v>
      </c>
      <c r="N23" s="76">
        <f>SUM(B23:M23)</f>
        <v>661720.87045389065</v>
      </c>
    </row>
    <row r="24" spans="1:23" s="57" customFormat="1" x14ac:dyDescent="0.35">
      <c r="A24" s="72" t="s">
        <v>283</v>
      </c>
      <c r="B24" s="79">
        <f>+B25+B27</f>
        <v>13714.873333333331</v>
      </c>
      <c r="C24" s="79">
        <f t="shared" ref="C24:M24" si="33">+C25+C27</f>
        <v>13714.873333333331</v>
      </c>
      <c r="D24" s="79">
        <f t="shared" si="33"/>
        <v>13714.873333333331</v>
      </c>
      <c r="E24" s="79">
        <f t="shared" si="33"/>
        <v>13714.873333333331</v>
      </c>
      <c r="F24" s="79">
        <f t="shared" si="33"/>
        <v>13714.873333333331</v>
      </c>
      <c r="G24" s="79">
        <f t="shared" si="33"/>
        <v>13714.873333333331</v>
      </c>
      <c r="H24" s="79">
        <f t="shared" si="33"/>
        <v>13714.873333333331</v>
      </c>
      <c r="I24" s="79">
        <f t="shared" si="33"/>
        <v>13714.873333333331</v>
      </c>
      <c r="J24" s="79">
        <f t="shared" si="33"/>
        <v>13714.873333333331</v>
      </c>
      <c r="K24" s="79">
        <f t="shared" si="33"/>
        <v>16730.706666666665</v>
      </c>
      <c r="L24" s="79">
        <f t="shared" si="33"/>
        <v>16730.706666666665</v>
      </c>
      <c r="M24" s="79">
        <f t="shared" si="33"/>
        <v>16730.706666666665</v>
      </c>
      <c r="N24" s="79">
        <f>SUM(B24:M24)</f>
        <v>173625.97999999998</v>
      </c>
    </row>
    <row r="25" spans="1:23" outlineLevel="1" x14ac:dyDescent="0.35">
      <c r="A25" s="66" t="s">
        <v>189</v>
      </c>
      <c r="B25" s="146">
        <v>13714.873333333331</v>
      </c>
      <c r="C25" s="146">
        <f>+B25</f>
        <v>13714.873333333331</v>
      </c>
      <c r="D25" s="146">
        <f t="shared" ref="D25:M25" si="34">+C25</f>
        <v>13714.873333333331</v>
      </c>
      <c r="E25" s="146">
        <f t="shared" si="34"/>
        <v>13714.873333333331</v>
      </c>
      <c r="F25" s="146">
        <f t="shared" si="34"/>
        <v>13714.873333333331</v>
      </c>
      <c r="G25" s="146">
        <f t="shared" si="34"/>
        <v>13714.873333333331</v>
      </c>
      <c r="H25" s="146">
        <f t="shared" si="34"/>
        <v>13714.873333333331</v>
      </c>
      <c r="I25" s="146">
        <f t="shared" si="34"/>
        <v>13714.873333333331</v>
      </c>
      <c r="J25" s="146">
        <f t="shared" si="34"/>
        <v>13714.873333333331</v>
      </c>
      <c r="K25" s="146">
        <f t="shared" si="34"/>
        <v>13714.873333333331</v>
      </c>
      <c r="L25" s="146">
        <f t="shared" si="34"/>
        <v>13714.873333333331</v>
      </c>
      <c r="M25" s="146">
        <f t="shared" si="34"/>
        <v>13714.873333333331</v>
      </c>
      <c r="N25" s="146">
        <f>SUM(B25:M25)</f>
        <v>164578.47999999998</v>
      </c>
    </row>
    <row r="26" spans="1:23" outlineLevel="1" x14ac:dyDescent="0.35">
      <c r="A26" s="66" t="s">
        <v>190</v>
      </c>
      <c r="B26" s="149">
        <v>0.5</v>
      </c>
      <c r="C26" s="149">
        <f>+B26</f>
        <v>0.5</v>
      </c>
      <c r="D26" s="149">
        <f t="shared" ref="D26:M26" si="35">+C26</f>
        <v>0.5</v>
      </c>
      <c r="E26" s="149">
        <f t="shared" si="35"/>
        <v>0.5</v>
      </c>
      <c r="F26" s="149">
        <f t="shared" si="35"/>
        <v>0.5</v>
      </c>
      <c r="G26" s="149">
        <f t="shared" si="35"/>
        <v>0.5</v>
      </c>
      <c r="H26" s="149">
        <f t="shared" si="35"/>
        <v>0.5</v>
      </c>
      <c r="I26" s="149">
        <f t="shared" si="35"/>
        <v>0.5</v>
      </c>
      <c r="J26" s="149">
        <f t="shared" si="35"/>
        <v>0.5</v>
      </c>
      <c r="K26" s="149">
        <f t="shared" si="35"/>
        <v>0.5</v>
      </c>
      <c r="L26" s="149">
        <f t="shared" si="35"/>
        <v>0.5</v>
      </c>
      <c r="M26" s="149">
        <f t="shared" si="35"/>
        <v>0.5</v>
      </c>
      <c r="N26" s="146"/>
    </row>
    <row r="27" spans="1:23" outlineLevel="1" x14ac:dyDescent="0.35">
      <c r="A27" s="66" t="s">
        <v>288</v>
      </c>
      <c r="B27" s="146">
        <f>+B37</f>
        <v>0</v>
      </c>
      <c r="C27" s="146">
        <f t="shared" ref="C27:M27" si="36">+C37</f>
        <v>0</v>
      </c>
      <c r="D27" s="146">
        <f t="shared" si="36"/>
        <v>0</v>
      </c>
      <c r="E27" s="146">
        <f t="shared" si="36"/>
        <v>0</v>
      </c>
      <c r="F27" s="146">
        <f t="shared" si="36"/>
        <v>0</v>
      </c>
      <c r="G27" s="146">
        <f t="shared" si="36"/>
        <v>0</v>
      </c>
      <c r="H27" s="146">
        <f t="shared" si="36"/>
        <v>0</v>
      </c>
      <c r="I27" s="146">
        <f t="shared" si="36"/>
        <v>0</v>
      </c>
      <c r="J27" s="146">
        <f t="shared" si="36"/>
        <v>0</v>
      </c>
      <c r="K27" s="146">
        <f t="shared" si="36"/>
        <v>3015.8333333333335</v>
      </c>
      <c r="L27" s="146">
        <f t="shared" si="36"/>
        <v>3015.8333333333335</v>
      </c>
      <c r="M27" s="146">
        <f t="shared" si="36"/>
        <v>3015.8333333333335</v>
      </c>
      <c r="N27" s="146">
        <f t="shared" ref="N27" si="37">SUM(B27:M27)</f>
        <v>9047.5</v>
      </c>
    </row>
    <row r="28" spans="1:23" x14ac:dyDescent="0.35">
      <c r="A28" s="72" t="s">
        <v>285</v>
      </c>
      <c r="B28" s="79">
        <f>+B29+B31</f>
        <v>35948.057537824236</v>
      </c>
      <c r="C28" s="79">
        <f t="shared" ref="C28:M28" si="38">+C29+C31</f>
        <v>35948.057537824236</v>
      </c>
      <c r="D28" s="79">
        <f t="shared" si="38"/>
        <v>35948.057537824236</v>
      </c>
      <c r="E28" s="79">
        <f t="shared" si="38"/>
        <v>35948.057537824236</v>
      </c>
      <c r="F28" s="79">
        <f t="shared" si="38"/>
        <v>35948.057537824236</v>
      </c>
      <c r="G28" s="79">
        <f t="shared" si="38"/>
        <v>35948.057537824236</v>
      </c>
      <c r="H28" s="79">
        <f t="shared" si="38"/>
        <v>35948.057537824236</v>
      </c>
      <c r="I28" s="79">
        <f t="shared" si="38"/>
        <v>35948.057537824236</v>
      </c>
      <c r="J28" s="79">
        <f t="shared" si="38"/>
        <v>35948.057537824236</v>
      </c>
      <c r="K28" s="79">
        <f t="shared" si="38"/>
        <v>35948.057537824236</v>
      </c>
      <c r="L28" s="79">
        <f t="shared" si="38"/>
        <v>35948.057537824236</v>
      </c>
      <c r="M28" s="79">
        <f t="shared" si="38"/>
        <v>35948.057537824236</v>
      </c>
      <c r="N28" s="79">
        <f>SUM(B28:M28)</f>
        <v>431376.69045389094</v>
      </c>
    </row>
    <row r="29" spans="1:23" x14ac:dyDescent="0.35">
      <c r="A29" s="66" t="s">
        <v>189</v>
      </c>
      <c r="B29" s="146">
        <v>35948.057537824236</v>
      </c>
      <c r="C29" s="146">
        <f>+B29</f>
        <v>35948.057537824236</v>
      </c>
      <c r="D29" s="146">
        <f t="shared" ref="D29:M29" si="39">+C29</f>
        <v>35948.057537824236</v>
      </c>
      <c r="E29" s="146">
        <f t="shared" si="39"/>
        <v>35948.057537824236</v>
      </c>
      <c r="F29" s="146">
        <f t="shared" si="39"/>
        <v>35948.057537824236</v>
      </c>
      <c r="G29" s="146">
        <f t="shared" si="39"/>
        <v>35948.057537824236</v>
      </c>
      <c r="H29" s="146">
        <f t="shared" si="39"/>
        <v>35948.057537824236</v>
      </c>
      <c r="I29" s="146">
        <f t="shared" si="39"/>
        <v>35948.057537824236</v>
      </c>
      <c r="J29" s="146">
        <f t="shared" si="39"/>
        <v>35948.057537824236</v>
      </c>
      <c r="K29" s="146">
        <f t="shared" si="39"/>
        <v>35948.057537824236</v>
      </c>
      <c r="L29" s="146">
        <f t="shared" si="39"/>
        <v>35948.057537824236</v>
      </c>
      <c r="M29" s="146">
        <f t="shared" si="39"/>
        <v>35948.057537824236</v>
      </c>
      <c r="N29" s="146">
        <f>SUM(B29:M29)</f>
        <v>431376.69045389094</v>
      </c>
    </row>
    <row r="30" spans="1:23" x14ac:dyDescent="0.35">
      <c r="A30" s="66" t="s">
        <v>190</v>
      </c>
      <c r="B30" s="149">
        <v>0.5</v>
      </c>
      <c r="C30" s="149">
        <f>+B30</f>
        <v>0.5</v>
      </c>
      <c r="D30" s="149">
        <f t="shared" ref="D30:M30" si="40">+C30</f>
        <v>0.5</v>
      </c>
      <c r="E30" s="149">
        <f t="shared" si="40"/>
        <v>0.5</v>
      </c>
      <c r="F30" s="149">
        <f t="shared" si="40"/>
        <v>0.5</v>
      </c>
      <c r="G30" s="149">
        <f t="shared" si="40"/>
        <v>0.5</v>
      </c>
      <c r="H30" s="149">
        <f t="shared" si="40"/>
        <v>0.5</v>
      </c>
      <c r="I30" s="149">
        <f t="shared" si="40"/>
        <v>0.5</v>
      </c>
      <c r="J30" s="149">
        <f t="shared" si="40"/>
        <v>0.5</v>
      </c>
      <c r="K30" s="149">
        <f t="shared" si="40"/>
        <v>0.5</v>
      </c>
      <c r="L30" s="149">
        <f t="shared" si="40"/>
        <v>0.5</v>
      </c>
      <c r="M30" s="149">
        <f t="shared" si="40"/>
        <v>0.5</v>
      </c>
      <c r="N30" s="146"/>
    </row>
    <row r="31" spans="1:23" outlineLevel="1" x14ac:dyDescent="0.35">
      <c r="A31" s="66" t="s">
        <v>288</v>
      </c>
      <c r="B31" s="146">
        <f>+B51</f>
        <v>0</v>
      </c>
      <c r="C31" s="146">
        <f t="shared" ref="C31:M31" si="41">+C51</f>
        <v>0</v>
      </c>
      <c r="D31" s="146">
        <f t="shared" si="41"/>
        <v>0</v>
      </c>
      <c r="E31" s="146">
        <f t="shared" si="41"/>
        <v>0</v>
      </c>
      <c r="F31" s="146">
        <f t="shared" si="41"/>
        <v>0</v>
      </c>
      <c r="G31" s="146">
        <f t="shared" si="41"/>
        <v>0</v>
      </c>
      <c r="H31" s="146">
        <f t="shared" si="41"/>
        <v>0</v>
      </c>
      <c r="I31" s="146">
        <f t="shared" si="41"/>
        <v>0</v>
      </c>
      <c r="J31" s="146">
        <f t="shared" si="41"/>
        <v>0</v>
      </c>
      <c r="K31" s="146">
        <f t="shared" si="41"/>
        <v>0</v>
      </c>
      <c r="L31" s="146">
        <f t="shared" si="41"/>
        <v>0</v>
      </c>
      <c r="M31" s="146">
        <f t="shared" si="41"/>
        <v>0</v>
      </c>
      <c r="N31" s="146">
        <f t="shared" ref="N31" si="42">SUM(B31:M31)</f>
        <v>0</v>
      </c>
      <c r="O31" s="74"/>
      <c r="P31" s="74"/>
      <c r="Q31" s="74"/>
      <c r="R31" s="74"/>
      <c r="S31" s="74"/>
      <c r="T31" s="74"/>
      <c r="U31" s="74"/>
      <c r="V31" s="74"/>
      <c r="W31" s="74"/>
    </row>
    <row r="32" spans="1:23" x14ac:dyDescent="0.35">
      <c r="A32" s="72" t="s">
        <v>287</v>
      </c>
      <c r="B32" s="79">
        <f>+B33+B35</f>
        <v>4726.5166666666673</v>
      </c>
      <c r="C32" s="79">
        <f t="shared" ref="C32:M32" si="43">+C33+C35</f>
        <v>4726.5166666666673</v>
      </c>
      <c r="D32" s="79">
        <f t="shared" si="43"/>
        <v>4726.5166666666673</v>
      </c>
      <c r="E32" s="79">
        <f t="shared" si="43"/>
        <v>4726.5166666666673</v>
      </c>
      <c r="F32" s="79">
        <f t="shared" si="43"/>
        <v>4726.5166666666673</v>
      </c>
      <c r="G32" s="79">
        <f t="shared" si="43"/>
        <v>4726.5166666666673</v>
      </c>
      <c r="H32" s="79">
        <f t="shared" si="43"/>
        <v>4726.5166666666673</v>
      </c>
      <c r="I32" s="79">
        <f t="shared" si="43"/>
        <v>4726.5166666666673</v>
      </c>
      <c r="J32" s="79">
        <f t="shared" si="43"/>
        <v>4726.5166666666673</v>
      </c>
      <c r="K32" s="79">
        <f t="shared" si="43"/>
        <v>4726.5166666666673</v>
      </c>
      <c r="L32" s="79">
        <f t="shared" si="43"/>
        <v>4726.5166666666673</v>
      </c>
      <c r="M32" s="79">
        <f t="shared" si="43"/>
        <v>4726.5166666666673</v>
      </c>
      <c r="N32" s="79">
        <f>SUM(B32:M32)</f>
        <v>56718.200000000019</v>
      </c>
    </row>
    <row r="33" spans="1:14" x14ac:dyDescent="0.35">
      <c r="A33" s="66" t="s">
        <v>189</v>
      </c>
      <c r="B33" s="146">
        <v>4726.5166666666673</v>
      </c>
      <c r="C33" s="146">
        <f>+B33</f>
        <v>4726.5166666666673</v>
      </c>
      <c r="D33" s="146">
        <f t="shared" ref="D33:M33" si="44">+C33</f>
        <v>4726.5166666666673</v>
      </c>
      <c r="E33" s="146">
        <f t="shared" si="44"/>
        <v>4726.5166666666673</v>
      </c>
      <c r="F33" s="146">
        <f t="shared" si="44"/>
        <v>4726.5166666666673</v>
      </c>
      <c r="G33" s="146">
        <f t="shared" si="44"/>
        <v>4726.5166666666673</v>
      </c>
      <c r="H33" s="146">
        <f t="shared" si="44"/>
        <v>4726.5166666666673</v>
      </c>
      <c r="I33" s="146">
        <f t="shared" si="44"/>
        <v>4726.5166666666673</v>
      </c>
      <c r="J33" s="146">
        <f t="shared" si="44"/>
        <v>4726.5166666666673</v>
      </c>
      <c r="K33" s="146">
        <f t="shared" si="44"/>
        <v>4726.5166666666673</v>
      </c>
      <c r="L33" s="146">
        <f t="shared" si="44"/>
        <v>4726.5166666666673</v>
      </c>
      <c r="M33" s="146">
        <f t="shared" si="44"/>
        <v>4726.5166666666673</v>
      </c>
      <c r="N33" s="146">
        <f>SUM(B33:M33)</f>
        <v>56718.200000000019</v>
      </c>
    </row>
    <row r="34" spans="1:14" outlineLevel="1" x14ac:dyDescent="0.35">
      <c r="A34" s="66" t="s">
        <v>190</v>
      </c>
      <c r="B34" s="149">
        <v>0.5</v>
      </c>
      <c r="C34" s="149">
        <f>+B34</f>
        <v>0.5</v>
      </c>
      <c r="D34" s="149">
        <f t="shared" ref="D34:M34" si="45">+C34</f>
        <v>0.5</v>
      </c>
      <c r="E34" s="149">
        <f t="shared" si="45"/>
        <v>0.5</v>
      </c>
      <c r="F34" s="149">
        <f t="shared" si="45"/>
        <v>0.5</v>
      </c>
      <c r="G34" s="149">
        <f t="shared" si="45"/>
        <v>0.5</v>
      </c>
      <c r="H34" s="149">
        <f t="shared" si="45"/>
        <v>0.5</v>
      </c>
      <c r="I34" s="149">
        <f t="shared" si="45"/>
        <v>0.5</v>
      </c>
      <c r="J34" s="149">
        <f t="shared" si="45"/>
        <v>0.5</v>
      </c>
      <c r="K34" s="149">
        <f t="shared" si="45"/>
        <v>0.5</v>
      </c>
      <c r="L34" s="149">
        <f t="shared" si="45"/>
        <v>0.5</v>
      </c>
      <c r="M34" s="149">
        <f t="shared" si="45"/>
        <v>0.5</v>
      </c>
      <c r="N34" s="146"/>
    </row>
    <row r="35" spans="1:14" outlineLevel="1" x14ac:dyDescent="0.35">
      <c r="A35" s="66" t="s">
        <v>288</v>
      </c>
      <c r="B35" s="146">
        <f>+B65</f>
        <v>0</v>
      </c>
      <c r="C35" s="146">
        <f t="shared" ref="C35:M35" si="46">+C65</f>
        <v>0</v>
      </c>
      <c r="D35" s="146">
        <f t="shared" si="46"/>
        <v>0</v>
      </c>
      <c r="E35" s="146">
        <f t="shared" si="46"/>
        <v>0</v>
      </c>
      <c r="F35" s="146">
        <f t="shared" si="46"/>
        <v>0</v>
      </c>
      <c r="G35" s="146">
        <f t="shared" si="46"/>
        <v>0</v>
      </c>
      <c r="H35" s="146">
        <f t="shared" si="46"/>
        <v>0</v>
      </c>
      <c r="I35" s="146">
        <f t="shared" si="46"/>
        <v>0</v>
      </c>
      <c r="J35" s="146">
        <f t="shared" si="46"/>
        <v>0</v>
      </c>
      <c r="K35" s="146">
        <f t="shared" si="46"/>
        <v>0</v>
      </c>
      <c r="L35" s="146">
        <f t="shared" si="46"/>
        <v>0</v>
      </c>
      <c r="M35" s="146">
        <f t="shared" si="46"/>
        <v>0</v>
      </c>
      <c r="N35" s="146">
        <f t="shared" ref="N35" si="47">SUM(B35:M35)</f>
        <v>0</v>
      </c>
    </row>
    <row r="36" spans="1:14" x14ac:dyDescent="0.35">
      <c r="B36" s="160">
        <v>43647</v>
      </c>
      <c r="C36" s="160">
        <f>+B36+31</f>
        <v>43678</v>
      </c>
      <c r="D36" s="160">
        <f t="shared" ref="D36:M36" si="48">+C36+31</f>
        <v>43709</v>
      </c>
      <c r="E36" s="160">
        <f t="shared" si="48"/>
        <v>43740</v>
      </c>
      <c r="F36" s="160">
        <f t="shared" si="48"/>
        <v>43771</v>
      </c>
      <c r="G36" s="160">
        <f t="shared" si="48"/>
        <v>43802</v>
      </c>
      <c r="H36" s="160">
        <f t="shared" si="48"/>
        <v>43833</v>
      </c>
      <c r="I36" s="160">
        <f t="shared" si="48"/>
        <v>43864</v>
      </c>
      <c r="J36" s="160">
        <f t="shared" si="48"/>
        <v>43895</v>
      </c>
      <c r="K36" s="160">
        <f t="shared" si="48"/>
        <v>43926</v>
      </c>
      <c r="L36" s="160">
        <f t="shared" si="48"/>
        <v>43957</v>
      </c>
      <c r="M36" s="160">
        <f t="shared" si="48"/>
        <v>43988</v>
      </c>
      <c r="N36" s="159" t="s">
        <v>84</v>
      </c>
    </row>
    <row r="37" spans="1:14" x14ac:dyDescent="0.35">
      <c r="A37" s="17" t="s">
        <v>289</v>
      </c>
      <c r="B37" s="168">
        <f>SUM(B38:B49)</f>
        <v>0</v>
      </c>
      <c r="C37" s="168">
        <f t="shared" ref="C37:M37" si="49">SUM(C38:C49)</f>
        <v>0</v>
      </c>
      <c r="D37" s="168">
        <f t="shared" si="49"/>
        <v>0</v>
      </c>
      <c r="E37" s="168">
        <f t="shared" si="49"/>
        <v>0</v>
      </c>
      <c r="F37" s="168">
        <f t="shared" si="49"/>
        <v>0</v>
      </c>
      <c r="G37" s="168">
        <f t="shared" si="49"/>
        <v>0</v>
      </c>
      <c r="H37" s="168">
        <f t="shared" si="49"/>
        <v>0</v>
      </c>
      <c r="I37" s="168">
        <f t="shared" si="49"/>
        <v>0</v>
      </c>
      <c r="J37" s="168">
        <f t="shared" si="49"/>
        <v>0</v>
      </c>
      <c r="K37" s="168">
        <f t="shared" si="49"/>
        <v>3015.8333333333335</v>
      </c>
      <c r="L37" s="168">
        <f t="shared" si="49"/>
        <v>3015.8333333333335</v>
      </c>
      <c r="M37" s="168">
        <f t="shared" si="49"/>
        <v>3015.8333333333335</v>
      </c>
      <c r="N37" s="169">
        <f>SUM(B37:M37)</f>
        <v>9047.5</v>
      </c>
    </row>
    <row r="38" spans="1:14" x14ac:dyDescent="0.35">
      <c r="A38" s="157">
        <v>43647</v>
      </c>
      <c r="B38" s="169">
        <f>+B26*B5/12</f>
        <v>0</v>
      </c>
      <c r="C38" s="169">
        <f>+B38</f>
        <v>0</v>
      </c>
      <c r="D38" s="169">
        <f t="shared" ref="D38:M48" si="50">+C38</f>
        <v>0</v>
      </c>
      <c r="E38" s="169">
        <f t="shared" si="50"/>
        <v>0</v>
      </c>
      <c r="F38" s="169">
        <f t="shared" si="50"/>
        <v>0</v>
      </c>
      <c r="G38" s="169">
        <f t="shared" si="50"/>
        <v>0</v>
      </c>
      <c r="H38" s="169">
        <f t="shared" si="50"/>
        <v>0</v>
      </c>
      <c r="I38" s="169">
        <f t="shared" si="50"/>
        <v>0</v>
      </c>
      <c r="J38" s="169">
        <f t="shared" si="50"/>
        <v>0</v>
      </c>
      <c r="K38" s="169">
        <f t="shared" si="50"/>
        <v>0</v>
      </c>
      <c r="L38" s="169">
        <f t="shared" si="50"/>
        <v>0</v>
      </c>
      <c r="M38" s="169">
        <f t="shared" si="50"/>
        <v>0</v>
      </c>
      <c r="N38" s="169">
        <f>SUM(B38:M38)</f>
        <v>0</v>
      </c>
    </row>
    <row r="39" spans="1:14" x14ac:dyDescent="0.35">
      <c r="A39" s="157">
        <f t="shared" ref="A39:A49" si="51">+A38+31</f>
        <v>43678</v>
      </c>
      <c r="B39" s="170"/>
      <c r="C39" s="169">
        <f>+(C5*C26*11/12)/11</f>
        <v>0</v>
      </c>
      <c r="D39" s="169">
        <f t="shared" si="50"/>
        <v>0</v>
      </c>
      <c r="E39" s="169">
        <f t="shared" si="50"/>
        <v>0</v>
      </c>
      <c r="F39" s="169">
        <f t="shared" si="50"/>
        <v>0</v>
      </c>
      <c r="G39" s="169">
        <f t="shared" si="50"/>
        <v>0</v>
      </c>
      <c r="H39" s="169">
        <f t="shared" si="50"/>
        <v>0</v>
      </c>
      <c r="I39" s="169">
        <f t="shared" si="50"/>
        <v>0</v>
      </c>
      <c r="J39" s="169">
        <f t="shared" si="50"/>
        <v>0</v>
      </c>
      <c r="K39" s="169">
        <f t="shared" si="50"/>
        <v>0</v>
      </c>
      <c r="L39" s="169">
        <f t="shared" si="50"/>
        <v>0</v>
      </c>
      <c r="M39" s="169">
        <f t="shared" si="50"/>
        <v>0</v>
      </c>
      <c r="N39" s="169">
        <f t="shared" ref="N39:N49" si="52">SUM(B39:M39)</f>
        <v>0</v>
      </c>
    </row>
    <row r="40" spans="1:14" x14ac:dyDescent="0.35">
      <c r="A40" s="157">
        <f t="shared" si="51"/>
        <v>43709</v>
      </c>
      <c r="B40" s="170"/>
      <c r="C40" s="170"/>
      <c r="D40" s="169">
        <f>+(D5*D26*10/12)/10</f>
        <v>0</v>
      </c>
      <c r="E40" s="169">
        <f t="shared" si="50"/>
        <v>0</v>
      </c>
      <c r="F40" s="169">
        <f t="shared" si="50"/>
        <v>0</v>
      </c>
      <c r="G40" s="169">
        <f t="shared" si="50"/>
        <v>0</v>
      </c>
      <c r="H40" s="169">
        <f t="shared" si="50"/>
        <v>0</v>
      </c>
      <c r="I40" s="169">
        <f t="shared" si="50"/>
        <v>0</v>
      </c>
      <c r="J40" s="169">
        <f t="shared" si="50"/>
        <v>0</v>
      </c>
      <c r="K40" s="169">
        <f t="shared" si="50"/>
        <v>0</v>
      </c>
      <c r="L40" s="169">
        <f t="shared" si="50"/>
        <v>0</v>
      </c>
      <c r="M40" s="169">
        <f t="shared" si="50"/>
        <v>0</v>
      </c>
      <c r="N40" s="169">
        <f t="shared" si="52"/>
        <v>0</v>
      </c>
    </row>
    <row r="41" spans="1:14" x14ac:dyDescent="0.35">
      <c r="A41" s="157">
        <f t="shared" si="51"/>
        <v>43740</v>
      </c>
      <c r="B41" s="170"/>
      <c r="C41" s="170"/>
      <c r="D41" s="170"/>
      <c r="E41" s="169">
        <f>+(E5*E26*9/12)/9</f>
        <v>0</v>
      </c>
      <c r="F41" s="169">
        <f t="shared" si="50"/>
        <v>0</v>
      </c>
      <c r="G41" s="169">
        <f t="shared" si="50"/>
        <v>0</v>
      </c>
      <c r="H41" s="169">
        <f t="shared" si="50"/>
        <v>0</v>
      </c>
      <c r="I41" s="169">
        <f t="shared" si="50"/>
        <v>0</v>
      </c>
      <c r="J41" s="169">
        <f t="shared" si="50"/>
        <v>0</v>
      </c>
      <c r="K41" s="169">
        <f t="shared" si="50"/>
        <v>0</v>
      </c>
      <c r="L41" s="169">
        <f t="shared" si="50"/>
        <v>0</v>
      </c>
      <c r="M41" s="169">
        <f t="shared" si="50"/>
        <v>0</v>
      </c>
      <c r="N41" s="169">
        <f t="shared" si="52"/>
        <v>0</v>
      </c>
    </row>
    <row r="42" spans="1:14" x14ac:dyDescent="0.35">
      <c r="A42" s="157">
        <f t="shared" si="51"/>
        <v>43771</v>
      </c>
      <c r="B42" s="170"/>
      <c r="C42" s="170"/>
      <c r="D42" s="170"/>
      <c r="E42" s="170"/>
      <c r="F42" s="169">
        <f>+(F5*F26*8/12)/8</f>
        <v>0</v>
      </c>
      <c r="G42" s="169">
        <f t="shared" si="50"/>
        <v>0</v>
      </c>
      <c r="H42" s="169">
        <f t="shared" si="50"/>
        <v>0</v>
      </c>
      <c r="I42" s="169">
        <f t="shared" si="50"/>
        <v>0</v>
      </c>
      <c r="J42" s="169">
        <f t="shared" si="50"/>
        <v>0</v>
      </c>
      <c r="K42" s="169">
        <f t="shared" si="50"/>
        <v>0</v>
      </c>
      <c r="L42" s="169">
        <f t="shared" si="50"/>
        <v>0</v>
      </c>
      <c r="M42" s="169">
        <f t="shared" si="50"/>
        <v>0</v>
      </c>
      <c r="N42" s="169">
        <f t="shared" si="52"/>
        <v>0</v>
      </c>
    </row>
    <row r="43" spans="1:14" x14ac:dyDescent="0.35">
      <c r="A43" s="157">
        <f t="shared" si="51"/>
        <v>43802</v>
      </c>
      <c r="B43" s="170"/>
      <c r="C43" s="170"/>
      <c r="D43" s="170"/>
      <c r="E43" s="170"/>
      <c r="F43" s="170"/>
      <c r="G43" s="169">
        <f>+(G5*G26*7/12)/7</f>
        <v>0</v>
      </c>
      <c r="H43" s="169">
        <f t="shared" si="50"/>
        <v>0</v>
      </c>
      <c r="I43" s="169">
        <f t="shared" si="50"/>
        <v>0</v>
      </c>
      <c r="J43" s="169">
        <f t="shared" si="50"/>
        <v>0</v>
      </c>
      <c r="K43" s="169">
        <f t="shared" si="50"/>
        <v>0</v>
      </c>
      <c r="L43" s="169">
        <f t="shared" si="50"/>
        <v>0</v>
      </c>
      <c r="M43" s="169">
        <f t="shared" si="50"/>
        <v>0</v>
      </c>
      <c r="N43" s="169">
        <f t="shared" si="52"/>
        <v>0</v>
      </c>
    </row>
    <row r="44" spans="1:14" x14ac:dyDescent="0.35">
      <c r="A44" s="157">
        <f t="shared" si="51"/>
        <v>43833</v>
      </c>
      <c r="B44" s="170"/>
      <c r="C44" s="170"/>
      <c r="D44" s="170"/>
      <c r="E44" s="170"/>
      <c r="F44" s="170"/>
      <c r="G44" s="170"/>
      <c r="H44" s="169">
        <f>+(H5*H26*6/12)/6</f>
        <v>0</v>
      </c>
      <c r="I44" s="169">
        <f t="shared" si="50"/>
        <v>0</v>
      </c>
      <c r="J44" s="169">
        <f t="shared" si="50"/>
        <v>0</v>
      </c>
      <c r="K44" s="169">
        <f t="shared" si="50"/>
        <v>0</v>
      </c>
      <c r="L44" s="169">
        <f t="shared" si="50"/>
        <v>0</v>
      </c>
      <c r="M44" s="169">
        <f t="shared" si="50"/>
        <v>0</v>
      </c>
      <c r="N44" s="169">
        <f t="shared" si="52"/>
        <v>0</v>
      </c>
    </row>
    <row r="45" spans="1:14" x14ac:dyDescent="0.35">
      <c r="A45" s="157">
        <f t="shared" si="51"/>
        <v>43864</v>
      </c>
      <c r="B45" s="170"/>
      <c r="C45" s="170"/>
      <c r="D45" s="170"/>
      <c r="E45" s="170"/>
      <c r="F45" s="170"/>
      <c r="G45" s="170"/>
      <c r="H45" s="170"/>
      <c r="I45" s="169">
        <f>(I5*I26*5/12)/5</f>
        <v>0</v>
      </c>
      <c r="J45" s="169">
        <f t="shared" si="50"/>
        <v>0</v>
      </c>
      <c r="K45" s="169">
        <f t="shared" si="50"/>
        <v>0</v>
      </c>
      <c r="L45" s="169">
        <f t="shared" si="50"/>
        <v>0</v>
      </c>
      <c r="M45" s="169">
        <f t="shared" si="50"/>
        <v>0</v>
      </c>
      <c r="N45" s="169">
        <f t="shared" si="52"/>
        <v>0</v>
      </c>
    </row>
    <row r="46" spans="1:14" x14ac:dyDescent="0.35">
      <c r="A46" s="157">
        <f t="shared" si="51"/>
        <v>43895</v>
      </c>
      <c r="B46" s="170"/>
      <c r="C46" s="170"/>
      <c r="D46" s="170"/>
      <c r="E46" s="170"/>
      <c r="F46" s="170"/>
      <c r="G46" s="170"/>
      <c r="H46" s="170"/>
      <c r="I46" s="170"/>
      <c r="J46" s="169">
        <f>(J5*J26*4/12)/4</f>
        <v>0</v>
      </c>
      <c r="K46" s="169">
        <f t="shared" si="50"/>
        <v>0</v>
      </c>
      <c r="L46" s="169">
        <f t="shared" si="50"/>
        <v>0</v>
      </c>
      <c r="M46" s="169">
        <f t="shared" si="50"/>
        <v>0</v>
      </c>
      <c r="N46" s="169">
        <f t="shared" si="52"/>
        <v>0</v>
      </c>
    </row>
    <row r="47" spans="1:14" x14ac:dyDescent="0.35">
      <c r="A47" s="157">
        <f t="shared" si="51"/>
        <v>43926</v>
      </c>
      <c r="B47" s="170"/>
      <c r="C47" s="170"/>
      <c r="D47" s="170"/>
      <c r="E47" s="170"/>
      <c r="F47" s="170"/>
      <c r="G47" s="170"/>
      <c r="H47" s="170"/>
      <c r="I47" s="170"/>
      <c r="J47" s="170"/>
      <c r="K47" s="169">
        <f>(K5*K26*3/12)/3</f>
        <v>3015.8333333333335</v>
      </c>
      <c r="L47" s="169">
        <f t="shared" si="50"/>
        <v>3015.8333333333335</v>
      </c>
      <c r="M47" s="169">
        <f t="shared" si="50"/>
        <v>3015.8333333333335</v>
      </c>
      <c r="N47" s="169">
        <f t="shared" si="52"/>
        <v>9047.5</v>
      </c>
    </row>
    <row r="48" spans="1:14" x14ac:dyDescent="0.35">
      <c r="A48" s="157">
        <f t="shared" si="51"/>
        <v>43957</v>
      </c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69">
        <f>(L5*L26*2/12)/2</f>
        <v>0</v>
      </c>
      <c r="M48" s="169">
        <f t="shared" si="50"/>
        <v>0</v>
      </c>
      <c r="N48" s="169">
        <f t="shared" si="52"/>
        <v>0</v>
      </c>
    </row>
    <row r="49" spans="1:14" x14ac:dyDescent="0.35">
      <c r="A49" s="157">
        <f t="shared" si="51"/>
        <v>43988</v>
      </c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69">
        <f>(M5*M26/12)</f>
        <v>0</v>
      </c>
      <c r="N49" s="169">
        <f t="shared" si="52"/>
        <v>0</v>
      </c>
    </row>
    <row r="50" spans="1:14" x14ac:dyDescent="0.35">
      <c r="B50" s="160">
        <v>43647</v>
      </c>
      <c r="C50" s="160">
        <f>+B50+31</f>
        <v>43678</v>
      </c>
      <c r="D50" s="160">
        <f t="shared" ref="D50:M50" si="53">+C50+31</f>
        <v>43709</v>
      </c>
      <c r="E50" s="160">
        <f t="shared" si="53"/>
        <v>43740</v>
      </c>
      <c r="F50" s="160">
        <f t="shared" si="53"/>
        <v>43771</v>
      </c>
      <c r="G50" s="160">
        <f t="shared" si="53"/>
        <v>43802</v>
      </c>
      <c r="H50" s="160">
        <f t="shared" si="53"/>
        <v>43833</v>
      </c>
      <c r="I50" s="160">
        <f t="shared" si="53"/>
        <v>43864</v>
      </c>
      <c r="J50" s="160">
        <f t="shared" si="53"/>
        <v>43895</v>
      </c>
      <c r="K50" s="160">
        <f t="shared" si="53"/>
        <v>43926</v>
      </c>
      <c r="L50" s="160">
        <f t="shared" si="53"/>
        <v>43957</v>
      </c>
      <c r="M50" s="160">
        <f t="shared" si="53"/>
        <v>43988</v>
      </c>
      <c r="N50" s="159" t="s">
        <v>84</v>
      </c>
    </row>
    <row r="51" spans="1:14" x14ac:dyDescent="0.35">
      <c r="A51" s="17" t="s">
        <v>290</v>
      </c>
      <c r="B51" s="168">
        <f>SUM(B52:B63)</f>
        <v>0</v>
      </c>
      <c r="C51" s="168">
        <f t="shared" ref="C51:M51" si="54">SUM(C52:C63)</f>
        <v>0</v>
      </c>
      <c r="D51" s="168">
        <f t="shared" si="54"/>
        <v>0</v>
      </c>
      <c r="E51" s="168">
        <f t="shared" si="54"/>
        <v>0</v>
      </c>
      <c r="F51" s="168">
        <f t="shared" si="54"/>
        <v>0</v>
      </c>
      <c r="G51" s="168">
        <f t="shared" si="54"/>
        <v>0</v>
      </c>
      <c r="H51" s="168">
        <f t="shared" si="54"/>
        <v>0</v>
      </c>
      <c r="I51" s="168">
        <f t="shared" si="54"/>
        <v>0</v>
      </c>
      <c r="J51" s="168">
        <f t="shared" si="54"/>
        <v>0</v>
      </c>
      <c r="K51" s="168">
        <f t="shared" si="54"/>
        <v>0</v>
      </c>
      <c r="L51" s="168">
        <f t="shared" si="54"/>
        <v>0</v>
      </c>
      <c r="M51" s="168">
        <f t="shared" si="54"/>
        <v>0</v>
      </c>
      <c r="N51" s="169">
        <f>SUM(B51:M51)</f>
        <v>0</v>
      </c>
    </row>
    <row r="52" spans="1:14" x14ac:dyDescent="0.35">
      <c r="A52" s="157">
        <v>43647</v>
      </c>
      <c r="B52" s="169">
        <f>+B30*B11/12</f>
        <v>0</v>
      </c>
      <c r="C52" s="169">
        <f>+B52</f>
        <v>0</v>
      </c>
      <c r="D52" s="169">
        <f t="shared" ref="D52:M62" si="55">+C52</f>
        <v>0</v>
      </c>
      <c r="E52" s="169">
        <f t="shared" si="55"/>
        <v>0</v>
      </c>
      <c r="F52" s="169">
        <f t="shared" si="55"/>
        <v>0</v>
      </c>
      <c r="G52" s="169">
        <f t="shared" si="55"/>
        <v>0</v>
      </c>
      <c r="H52" s="169">
        <f t="shared" si="55"/>
        <v>0</v>
      </c>
      <c r="I52" s="169">
        <f t="shared" si="55"/>
        <v>0</v>
      </c>
      <c r="J52" s="169">
        <f t="shared" si="55"/>
        <v>0</v>
      </c>
      <c r="K52" s="169">
        <f t="shared" si="55"/>
        <v>0</v>
      </c>
      <c r="L52" s="169">
        <f t="shared" si="55"/>
        <v>0</v>
      </c>
      <c r="M52" s="169">
        <f t="shared" si="55"/>
        <v>0</v>
      </c>
      <c r="N52" s="169">
        <f>SUM(B52:M52)</f>
        <v>0</v>
      </c>
    </row>
    <row r="53" spans="1:14" x14ac:dyDescent="0.35">
      <c r="A53" s="157">
        <f t="shared" ref="A53:A63" si="56">+A52+31</f>
        <v>43678</v>
      </c>
      <c r="B53" s="170"/>
      <c r="C53" s="169">
        <f>+(C30*C11*11/12)/11</f>
        <v>0</v>
      </c>
      <c r="D53" s="169">
        <f t="shared" si="55"/>
        <v>0</v>
      </c>
      <c r="E53" s="169">
        <f t="shared" si="55"/>
        <v>0</v>
      </c>
      <c r="F53" s="169">
        <f t="shared" si="55"/>
        <v>0</v>
      </c>
      <c r="G53" s="169">
        <f t="shared" si="55"/>
        <v>0</v>
      </c>
      <c r="H53" s="169">
        <f t="shared" si="55"/>
        <v>0</v>
      </c>
      <c r="I53" s="169">
        <f t="shared" si="55"/>
        <v>0</v>
      </c>
      <c r="J53" s="169">
        <f t="shared" si="55"/>
        <v>0</v>
      </c>
      <c r="K53" s="169">
        <f t="shared" si="55"/>
        <v>0</v>
      </c>
      <c r="L53" s="169">
        <f t="shared" si="55"/>
        <v>0</v>
      </c>
      <c r="M53" s="169">
        <f t="shared" si="55"/>
        <v>0</v>
      </c>
      <c r="N53" s="169">
        <f t="shared" ref="N53:N63" si="57">SUM(B53:M53)</f>
        <v>0</v>
      </c>
    </row>
    <row r="54" spans="1:14" x14ac:dyDescent="0.35">
      <c r="A54" s="157">
        <f t="shared" si="56"/>
        <v>43709</v>
      </c>
      <c r="B54" s="170"/>
      <c r="C54" s="170"/>
      <c r="D54" s="169">
        <f>+(D30*D11*10/12)/10</f>
        <v>0</v>
      </c>
      <c r="E54" s="169">
        <f t="shared" si="55"/>
        <v>0</v>
      </c>
      <c r="F54" s="169">
        <f t="shared" si="55"/>
        <v>0</v>
      </c>
      <c r="G54" s="169">
        <f t="shared" si="55"/>
        <v>0</v>
      </c>
      <c r="H54" s="169">
        <f t="shared" si="55"/>
        <v>0</v>
      </c>
      <c r="I54" s="169">
        <f t="shared" si="55"/>
        <v>0</v>
      </c>
      <c r="J54" s="169">
        <f t="shared" si="55"/>
        <v>0</v>
      </c>
      <c r="K54" s="169">
        <f t="shared" si="55"/>
        <v>0</v>
      </c>
      <c r="L54" s="169">
        <f t="shared" si="55"/>
        <v>0</v>
      </c>
      <c r="M54" s="169">
        <f t="shared" si="55"/>
        <v>0</v>
      </c>
      <c r="N54" s="169">
        <f t="shared" si="57"/>
        <v>0</v>
      </c>
    </row>
    <row r="55" spans="1:14" x14ac:dyDescent="0.35">
      <c r="A55" s="157">
        <f t="shared" si="56"/>
        <v>43740</v>
      </c>
      <c r="B55" s="170"/>
      <c r="C55" s="170"/>
      <c r="D55" s="170"/>
      <c r="E55" s="169">
        <f>+(E30*E11*9/12)/9</f>
        <v>0</v>
      </c>
      <c r="F55" s="169">
        <f t="shared" si="55"/>
        <v>0</v>
      </c>
      <c r="G55" s="169">
        <f t="shared" si="55"/>
        <v>0</v>
      </c>
      <c r="H55" s="169">
        <f t="shared" si="55"/>
        <v>0</v>
      </c>
      <c r="I55" s="169">
        <f t="shared" si="55"/>
        <v>0</v>
      </c>
      <c r="J55" s="169">
        <f t="shared" si="55"/>
        <v>0</v>
      </c>
      <c r="K55" s="169">
        <f t="shared" si="55"/>
        <v>0</v>
      </c>
      <c r="L55" s="169">
        <f t="shared" si="55"/>
        <v>0</v>
      </c>
      <c r="M55" s="169">
        <f t="shared" si="55"/>
        <v>0</v>
      </c>
      <c r="N55" s="169">
        <f t="shared" si="57"/>
        <v>0</v>
      </c>
    </row>
    <row r="56" spans="1:14" x14ac:dyDescent="0.35">
      <c r="A56" s="157">
        <f t="shared" si="56"/>
        <v>43771</v>
      </c>
      <c r="B56" s="170"/>
      <c r="C56" s="170"/>
      <c r="D56" s="170"/>
      <c r="E56" s="170"/>
      <c r="F56" s="169">
        <f>(+F30*F11*8/12)/8</f>
        <v>0</v>
      </c>
      <c r="G56" s="169">
        <f t="shared" si="55"/>
        <v>0</v>
      </c>
      <c r="H56" s="169">
        <f t="shared" si="55"/>
        <v>0</v>
      </c>
      <c r="I56" s="169">
        <f t="shared" si="55"/>
        <v>0</v>
      </c>
      <c r="J56" s="169">
        <f t="shared" si="55"/>
        <v>0</v>
      </c>
      <c r="K56" s="169">
        <f t="shared" si="55"/>
        <v>0</v>
      </c>
      <c r="L56" s="169">
        <f t="shared" si="55"/>
        <v>0</v>
      </c>
      <c r="M56" s="169">
        <f t="shared" si="55"/>
        <v>0</v>
      </c>
      <c r="N56" s="169">
        <f t="shared" si="57"/>
        <v>0</v>
      </c>
    </row>
    <row r="57" spans="1:14" x14ac:dyDescent="0.35">
      <c r="A57" s="157">
        <f t="shared" si="56"/>
        <v>43802</v>
      </c>
      <c r="B57" s="170"/>
      <c r="C57" s="170"/>
      <c r="D57" s="170"/>
      <c r="E57" s="170"/>
      <c r="F57" s="170"/>
      <c r="G57" s="169">
        <f>+(G30*G11*7/12)/7</f>
        <v>0</v>
      </c>
      <c r="H57" s="169">
        <f>+G57</f>
        <v>0</v>
      </c>
      <c r="I57" s="169">
        <f t="shared" si="55"/>
        <v>0</v>
      </c>
      <c r="J57" s="169">
        <f t="shared" si="55"/>
        <v>0</v>
      </c>
      <c r="K57" s="169">
        <f t="shared" si="55"/>
        <v>0</v>
      </c>
      <c r="L57" s="169">
        <f t="shared" si="55"/>
        <v>0</v>
      </c>
      <c r="M57" s="169">
        <f t="shared" si="55"/>
        <v>0</v>
      </c>
      <c r="N57" s="169">
        <f t="shared" si="57"/>
        <v>0</v>
      </c>
    </row>
    <row r="58" spans="1:14" x14ac:dyDescent="0.35">
      <c r="A58" s="157">
        <f t="shared" si="56"/>
        <v>43833</v>
      </c>
      <c r="B58" s="170"/>
      <c r="C58" s="170"/>
      <c r="D58" s="170"/>
      <c r="E58" s="170"/>
      <c r="F58" s="170"/>
      <c r="G58" s="170"/>
      <c r="H58" s="169">
        <f>+(H30*H11*6/12)/6</f>
        <v>0</v>
      </c>
      <c r="I58" s="169">
        <f t="shared" si="55"/>
        <v>0</v>
      </c>
      <c r="J58" s="169">
        <f t="shared" si="55"/>
        <v>0</v>
      </c>
      <c r="K58" s="169">
        <f t="shared" si="55"/>
        <v>0</v>
      </c>
      <c r="L58" s="169">
        <f t="shared" si="55"/>
        <v>0</v>
      </c>
      <c r="M58" s="169">
        <f t="shared" si="55"/>
        <v>0</v>
      </c>
      <c r="N58" s="169">
        <f t="shared" si="57"/>
        <v>0</v>
      </c>
    </row>
    <row r="59" spans="1:14" x14ac:dyDescent="0.35">
      <c r="A59" s="157">
        <f t="shared" si="56"/>
        <v>43864</v>
      </c>
      <c r="B59" s="170"/>
      <c r="C59" s="170"/>
      <c r="D59" s="170"/>
      <c r="E59" s="170"/>
      <c r="F59" s="170"/>
      <c r="G59" s="170"/>
      <c r="H59" s="170"/>
      <c r="I59" s="169">
        <f>+(I30*I11*5/12)/5</f>
        <v>0</v>
      </c>
      <c r="J59" s="169">
        <f t="shared" si="55"/>
        <v>0</v>
      </c>
      <c r="K59" s="169">
        <f t="shared" si="55"/>
        <v>0</v>
      </c>
      <c r="L59" s="169">
        <f t="shared" si="55"/>
        <v>0</v>
      </c>
      <c r="M59" s="169">
        <f t="shared" si="55"/>
        <v>0</v>
      </c>
      <c r="N59" s="169">
        <f t="shared" si="57"/>
        <v>0</v>
      </c>
    </row>
    <row r="60" spans="1:14" x14ac:dyDescent="0.35">
      <c r="A60" s="157">
        <f t="shared" si="56"/>
        <v>43895</v>
      </c>
      <c r="B60" s="170"/>
      <c r="C60" s="170"/>
      <c r="D60" s="170"/>
      <c r="E60" s="170"/>
      <c r="F60" s="170"/>
      <c r="G60" s="170"/>
      <c r="H60" s="170"/>
      <c r="I60" s="170"/>
      <c r="J60" s="169">
        <f>+(J30*J11*4/12)/4</f>
        <v>0</v>
      </c>
      <c r="K60" s="169">
        <f t="shared" si="55"/>
        <v>0</v>
      </c>
      <c r="L60" s="169">
        <f t="shared" si="55"/>
        <v>0</v>
      </c>
      <c r="M60" s="169">
        <f t="shared" si="55"/>
        <v>0</v>
      </c>
      <c r="N60" s="169">
        <f t="shared" si="57"/>
        <v>0</v>
      </c>
    </row>
    <row r="61" spans="1:14" x14ac:dyDescent="0.35">
      <c r="A61" s="157">
        <f t="shared" si="56"/>
        <v>43926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69">
        <f>+(K30*K11*3/12)/3</f>
        <v>0</v>
      </c>
      <c r="L61" s="169">
        <f t="shared" si="55"/>
        <v>0</v>
      </c>
      <c r="M61" s="169">
        <f t="shared" si="55"/>
        <v>0</v>
      </c>
      <c r="N61" s="169">
        <f t="shared" si="57"/>
        <v>0</v>
      </c>
    </row>
    <row r="62" spans="1:14" x14ac:dyDescent="0.35">
      <c r="A62" s="157">
        <f t="shared" si="56"/>
        <v>43957</v>
      </c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69">
        <f>+(L30*L11*2/12)/2</f>
        <v>0</v>
      </c>
      <c r="M62" s="169">
        <f t="shared" si="55"/>
        <v>0</v>
      </c>
      <c r="N62" s="169">
        <f t="shared" si="57"/>
        <v>0</v>
      </c>
    </row>
    <row r="63" spans="1:14" x14ac:dyDescent="0.35">
      <c r="A63" s="157">
        <f t="shared" si="56"/>
        <v>43988</v>
      </c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69">
        <f>+(M30*M11/12)</f>
        <v>0</v>
      </c>
      <c r="N63" s="169">
        <f t="shared" si="57"/>
        <v>0</v>
      </c>
    </row>
    <row r="64" spans="1:14" x14ac:dyDescent="0.35">
      <c r="B64" s="160">
        <v>43647</v>
      </c>
      <c r="C64" s="160">
        <f>+B64+31</f>
        <v>43678</v>
      </c>
      <c r="D64" s="160">
        <f t="shared" ref="D64:M64" si="58">+C64+31</f>
        <v>43709</v>
      </c>
      <c r="E64" s="160">
        <f t="shared" si="58"/>
        <v>43740</v>
      </c>
      <c r="F64" s="160">
        <f t="shared" si="58"/>
        <v>43771</v>
      </c>
      <c r="G64" s="160">
        <f t="shared" si="58"/>
        <v>43802</v>
      </c>
      <c r="H64" s="160">
        <f t="shared" si="58"/>
        <v>43833</v>
      </c>
      <c r="I64" s="160">
        <f t="shared" si="58"/>
        <v>43864</v>
      </c>
      <c r="J64" s="160">
        <f t="shared" si="58"/>
        <v>43895</v>
      </c>
      <c r="K64" s="160">
        <f t="shared" si="58"/>
        <v>43926</v>
      </c>
      <c r="L64" s="160">
        <f t="shared" si="58"/>
        <v>43957</v>
      </c>
      <c r="M64" s="160">
        <f t="shared" si="58"/>
        <v>43988</v>
      </c>
      <c r="N64" s="159" t="s">
        <v>84</v>
      </c>
    </row>
    <row r="65" spans="1:14" x14ac:dyDescent="0.35">
      <c r="A65" s="17" t="s">
        <v>291</v>
      </c>
      <c r="B65" s="168">
        <f>SUM(B66:B77)</f>
        <v>0</v>
      </c>
      <c r="C65" s="168">
        <f t="shared" ref="C65:M65" si="59">SUM(C66:C77)</f>
        <v>0</v>
      </c>
      <c r="D65" s="168">
        <f t="shared" si="59"/>
        <v>0</v>
      </c>
      <c r="E65" s="168">
        <f t="shared" si="59"/>
        <v>0</v>
      </c>
      <c r="F65" s="168">
        <f t="shared" si="59"/>
        <v>0</v>
      </c>
      <c r="G65" s="168">
        <f t="shared" si="59"/>
        <v>0</v>
      </c>
      <c r="H65" s="168">
        <f t="shared" si="59"/>
        <v>0</v>
      </c>
      <c r="I65" s="168">
        <f t="shared" si="59"/>
        <v>0</v>
      </c>
      <c r="J65" s="168">
        <f t="shared" si="59"/>
        <v>0</v>
      </c>
      <c r="K65" s="168">
        <f t="shared" si="59"/>
        <v>0</v>
      </c>
      <c r="L65" s="168">
        <f t="shared" si="59"/>
        <v>0</v>
      </c>
      <c r="M65" s="168">
        <f t="shared" si="59"/>
        <v>0</v>
      </c>
      <c r="N65" s="169">
        <f>SUM(B65:M65)</f>
        <v>0</v>
      </c>
    </row>
    <row r="66" spans="1:14" x14ac:dyDescent="0.35">
      <c r="A66" s="157">
        <v>43647</v>
      </c>
      <c r="B66" s="169">
        <f>+B34*B17/12</f>
        <v>0</v>
      </c>
      <c r="C66" s="169">
        <f>+B66</f>
        <v>0</v>
      </c>
      <c r="D66" s="169">
        <f t="shared" ref="D66:M76" si="60">+C66</f>
        <v>0</v>
      </c>
      <c r="E66" s="169">
        <f t="shared" si="60"/>
        <v>0</v>
      </c>
      <c r="F66" s="169">
        <f t="shared" si="60"/>
        <v>0</v>
      </c>
      <c r="G66" s="169">
        <f t="shared" si="60"/>
        <v>0</v>
      </c>
      <c r="H66" s="169">
        <f t="shared" si="60"/>
        <v>0</v>
      </c>
      <c r="I66" s="169">
        <f t="shared" si="60"/>
        <v>0</v>
      </c>
      <c r="J66" s="169">
        <f t="shared" si="60"/>
        <v>0</v>
      </c>
      <c r="K66" s="169">
        <f t="shared" si="60"/>
        <v>0</v>
      </c>
      <c r="L66" s="169">
        <f t="shared" si="60"/>
        <v>0</v>
      </c>
      <c r="M66" s="169">
        <f t="shared" si="60"/>
        <v>0</v>
      </c>
      <c r="N66" s="169">
        <f>SUM(B66:M66)</f>
        <v>0</v>
      </c>
    </row>
    <row r="67" spans="1:14" x14ac:dyDescent="0.35">
      <c r="A67" s="157">
        <f t="shared" ref="A67:A77" si="61">+A66+31</f>
        <v>43678</v>
      </c>
      <c r="B67" s="170"/>
      <c r="C67" s="169">
        <f>+(C34*C17*11/12)/11</f>
        <v>0</v>
      </c>
      <c r="D67" s="169">
        <f t="shared" si="60"/>
        <v>0</v>
      </c>
      <c r="E67" s="169">
        <f t="shared" si="60"/>
        <v>0</v>
      </c>
      <c r="F67" s="169">
        <f t="shared" si="60"/>
        <v>0</v>
      </c>
      <c r="G67" s="169">
        <f t="shared" si="60"/>
        <v>0</v>
      </c>
      <c r="H67" s="169">
        <f t="shared" si="60"/>
        <v>0</v>
      </c>
      <c r="I67" s="169">
        <f t="shared" si="60"/>
        <v>0</v>
      </c>
      <c r="J67" s="169">
        <f t="shared" si="60"/>
        <v>0</v>
      </c>
      <c r="K67" s="169">
        <f t="shared" si="60"/>
        <v>0</v>
      </c>
      <c r="L67" s="169">
        <f t="shared" si="60"/>
        <v>0</v>
      </c>
      <c r="M67" s="169">
        <f t="shared" si="60"/>
        <v>0</v>
      </c>
      <c r="N67" s="169">
        <f t="shared" ref="N67:N77" si="62">SUM(B67:M67)</f>
        <v>0</v>
      </c>
    </row>
    <row r="68" spans="1:14" x14ac:dyDescent="0.35">
      <c r="A68" s="157">
        <f t="shared" si="61"/>
        <v>43709</v>
      </c>
      <c r="B68" s="170"/>
      <c r="C68" s="170"/>
      <c r="D68" s="169">
        <f>+(D34*D17*10/12)/10</f>
        <v>0</v>
      </c>
      <c r="E68" s="169">
        <f t="shared" si="60"/>
        <v>0</v>
      </c>
      <c r="F68" s="169">
        <f t="shared" si="60"/>
        <v>0</v>
      </c>
      <c r="G68" s="169">
        <f t="shared" si="60"/>
        <v>0</v>
      </c>
      <c r="H68" s="169">
        <f t="shared" si="60"/>
        <v>0</v>
      </c>
      <c r="I68" s="169">
        <f t="shared" si="60"/>
        <v>0</v>
      </c>
      <c r="J68" s="169">
        <f t="shared" si="60"/>
        <v>0</v>
      </c>
      <c r="K68" s="169">
        <f t="shared" si="60"/>
        <v>0</v>
      </c>
      <c r="L68" s="169">
        <f t="shared" si="60"/>
        <v>0</v>
      </c>
      <c r="M68" s="169">
        <f t="shared" si="60"/>
        <v>0</v>
      </c>
      <c r="N68" s="169">
        <f t="shared" si="62"/>
        <v>0</v>
      </c>
    </row>
    <row r="69" spans="1:14" x14ac:dyDescent="0.35">
      <c r="A69" s="157">
        <f t="shared" si="61"/>
        <v>43740</v>
      </c>
      <c r="B69" s="170"/>
      <c r="C69" s="170"/>
      <c r="D69" s="170"/>
      <c r="E69" s="169">
        <f>+(E34*E17*9/12)/9</f>
        <v>0</v>
      </c>
      <c r="F69" s="169">
        <f t="shared" si="60"/>
        <v>0</v>
      </c>
      <c r="G69" s="169">
        <f t="shared" si="60"/>
        <v>0</v>
      </c>
      <c r="H69" s="169">
        <f t="shared" si="60"/>
        <v>0</v>
      </c>
      <c r="I69" s="169">
        <f t="shared" si="60"/>
        <v>0</v>
      </c>
      <c r="J69" s="169">
        <f t="shared" si="60"/>
        <v>0</v>
      </c>
      <c r="K69" s="169">
        <f t="shared" si="60"/>
        <v>0</v>
      </c>
      <c r="L69" s="169">
        <f t="shared" si="60"/>
        <v>0</v>
      </c>
      <c r="M69" s="169">
        <f t="shared" si="60"/>
        <v>0</v>
      </c>
      <c r="N69" s="169">
        <f t="shared" si="62"/>
        <v>0</v>
      </c>
    </row>
    <row r="70" spans="1:14" x14ac:dyDescent="0.35">
      <c r="A70" s="157">
        <f t="shared" si="61"/>
        <v>43771</v>
      </c>
      <c r="B70" s="170"/>
      <c r="C70" s="170"/>
      <c r="D70" s="170"/>
      <c r="E70" s="170"/>
      <c r="F70" s="169">
        <f>(+F34*F17*8/12)/8</f>
        <v>0</v>
      </c>
      <c r="G70" s="169">
        <f t="shared" si="60"/>
        <v>0</v>
      </c>
      <c r="H70" s="169">
        <f t="shared" si="60"/>
        <v>0</v>
      </c>
      <c r="I70" s="169">
        <f t="shared" si="60"/>
        <v>0</v>
      </c>
      <c r="J70" s="169">
        <f t="shared" si="60"/>
        <v>0</v>
      </c>
      <c r="K70" s="169">
        <f t="shared" si="60"/>
        <v>0</v>
      </c>
      <c r="L70" s="169">
        <f t="shared" si="60"/>
        <v>0</v>
      </c>
      <c r="M70" s="169">
        <f t="shared" si="60"/>
        <v>0</v>
      </c>
      <c r="N70" s="169">
        <f t="shared" si="62"/>
        <v>0</v>
      </c>
    </row>
    <row r="71" spans="1:14" x14ac:dyDescent="0.35">
      <c r="A71" s="157">
        <f t="shared" si="61"/>
        <v>43802</v>
      </c>
      <c r="B71" s="170"/>
      <c r="C71" s="170"/>
      <c r="D71" s="170"/>
      <c r="E71" s="170"/>
      <c r="F71" s="170"/>
      <c r="G71" s="169">
        <f>+(G34*G17*7/12)/7</f>
        <v>0</v>
      </c>
      <c r="H71" s="169">
        <f>+G71</f>
        <v>0</v>
      </c>
      <c r="I71" s="169">
        <f t="shared" si="60"/>
        <v>0</v>
      </c>
      <c r="J71" s="169">
        <f t="shared" si="60"/>
        <v>0</v>
      </c>
      <c r="K71" s="169">
        <f t="shared" si="60"/>
        <v>0</v>
      </c>
      <c r="L71" s="169">
        <f t="shared" si="60"/>
        <v>0</v>
      </c>
      <c r="M71" s="169">
        <f t="shared" si="60"/>
        <v>0</v>
      </c>
      <c r="N71" s="169">
        <f t="shared" si="62"/>
        <v>0</v>
      </c>
    </row>
    <row r="72" spans="1:14" x14ac:dyDescent="0.35">
      <c r="A72" s="157">
        <f t="shared" si="61"/>
        <v>43833</v>
      </c>
      <c r="B72" s="170"/>
      <c r="C72" s="170"/>
      <c r="D72" s="170"/>
      <c r="E72" s="170"/>
      <c r="F72" s="170"/>
      <c r="G72" s="170"/>
      <c r="H72" s="169">
        <f>+(H34*H17*6/12)/6</f>
        <v>0</v>
      </c>
      <c r="I72" s="169">
        <f t="shared" si="60"/>
        <v>0</v>
      </c>
      <c r="J72" s="169">
        <f t="shared" si="60"/>
        <v>0</v>
      </c>
      <c r="K72" s="169">
        <f t="shared" si="60"/>
        <v>0</v>
      </c>
      <c r="L72" s="169">
        <f t="shared" si="60"/>
        <v>0</v>
      </c>
      <c r="M72" s="169">
        <f t="shared" si="60"/>
        <v>0</v>
      </c>
      <c r="N72" s="169">
        <f t="shared" si="62"/>
        <v>0</v>
      </c>
    </row>
    <row r="73" spans="1:14" x14ac:dyDescent="0.35">
      <c r="A73" s="157">
        <f t="shared" si="61"/>
        <v>43864</v>
      </c>
      <c r="B73" s="170"/>
      <c r="C73" s="170"/>
      <c r="D73" s="170"/>
      <c r="E73" s="170"/>
      <c r="F73" s="170"/>
      <c r="G73" s="170"/>
      <c r="H73" s="170"/>
      <c r="I73" s="169">
        <f>+(I34*I17*5/12)/5</f>
        <v>0</v>
      </c>
      <c r="J73" s="169">
        <f t="shared" si="60"/>
        <v>0</v>
      </c>
      <c r="K73" s="169">
        <f t="shared" si="60"/>
        <v>0</v>
      </c>
      <c r="L73" s="169">
        <f t="shared" si="60"/>
        <v>0</v>
      </c>
      <c r="M73" s="169">
        <f t="shared" si="60"/>
        <v>0</v>
      </c>
      <c r="N73" s="169">
        <f t="shared" si="62"/>
        <v>0</v>
      </c>
    </row>
    <row r="74" spans="1:14" x14ac:dyDescent="0.35">
      <c r="A74" s="157">
        <f t="shared" si="61"/>
        <v>43895</v>
      </c>
      <c r="B74" s="170"/>
      <c r="C74" s="170"/>
      <c r="D74" s="170"/>
      <c r="E74" s="170"/>
      <c r="F74" s="170"/>
      <c r="G74" s="170"/>
      <c r="H74" s="170"/>
      <c r="I74" s="170"/>
      <c r="J74" s="169">
        <f>+(J34*J17*4/12)/4</f>
        <v>0</v>
      </c>
      <c r="K74" s="169">
        <f t="shared" si="60"/>
        <v>0</v>
      </c>
      <c r="L74" s="169">
        <f t="shared" si="60"/>
        <v>0</v>
      </c>
      <c r="M74" s="169">
        <f t="shared" si="60"/>
        <v>0</v>
      </c>
      <c r="N74" s="169">
        <f t="shared" si="62"/>
        <v>0</v>
      </c>
    </row>
    <row r="75" spans="1:14" x14ac:dyDescent="0.35">
      <c r="A75" s="157">
        <f t="shared" si="61"/>
        <v>43926</v>
      </c>
      <c r="B75" s="170"/>
      <c r="C75" s="170"/>
      <c r="D75" s="170"/>
      <c r="E75" s="170"/>
      <c r="F75" s="170"/>
      <c r="G75" s="170"/>
      <c r="H75" s="170"/>
      <c r="I75" s="170"/>
      <c r="J75" s="170"/>
      <c r="K75" s="169">
        <f>+(K34*K17*3/12)/3</f>
        <v>0</v>
      </c>
      <c r="L75" s="169">
        <f t="shared" si="60"/>
        <v>0</v>
      </c>
      <c r="M75" s="169">
        <f t="shared" si="60"/>
        <v>0</v>
      </c>
      <c r="N75" s="169">
        <f t="shared" si="62"/>
        <v>0</v>
      </c>
    </row>
    <row r="76" spans="1:14" x14ac:dyDescent="0.35">
      <c r="A76" s="157">
        <f t="shared" si="61"/>
        <v>43957</v>
      </c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69">
        <f>+(L34*L17*2/12)/2</f>
        <v>0</v>
      </c>
      <c r="M76" s="169">
        <f t="shared" si="60"/>
        <v>0</v>
      </c>
      <c r="N76" s="169">
        <f t="shared" si="62"/>
        <v>0</v>
      </c>
    </row>
    <row r="77" spans="1:14" x14ac:dyDescent="0.35">
      <c r="A77" s="157">
        <f t="shared" si="61"/>
        <v>43988</v>
      </c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69">
        <f>+(M34*M17/12)</f>
        <v>0</v>
      </c>
      <c r="N77" s="169">
        <f t="shared" si="62"/>
        <v>0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W77"/>
  <sheetViews>
    <sheetView topLeftCell="A24" zoomScale="150" zoomScaleNormal="150" workbookViewId="0">
      <selection activeCell="B39" sqref="B39"/>
    </sheetView>
  </sheetViews>
  <sheetFormatPr baseColWidth="10" defaultColWidth="11.46484375" defaultRowHeight="11.65" outlineLevelRow="1" x14ac:dyDescent="0.35"/>
  <cols>
    <col min="1" max="1" width="35.19921875" style="32" bestFit="1" customWidth="1"/>
    <col min="2" max="14" width="8" style="32" customWidth="1"/>
    <col min="15" max="16384" width="11.46484375" style="32"/>
  </cols>
  <sheetData>
    <row r="1" spans="1:16" ht="35.25" thickBot="1" x14ac:dyDescent="0.4">
      <c r="A1" s="68" t="s">
        <v>234</v>
      </c>
    </row>
    <row r="3" spans="1:16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71" t="s">
        <v>179</v>
      </c>
      <c r="B4" s="76">
        <f t="shared" ref="B4:M4" si="1">+B5+B11+B17</f>
        <v>650319.098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0</v>
      </c>
      <c r="L4" s="76">
        <f t="shared" si="1"/>
        <v>0</v>
      </c>
      <c r="M4" s="76">
        <f t="shared" si="1"/>
        <v>0</v>
      </c>
      <c r="N4" s="76">
        <f>SUM(B4:M4)</f>
        <v>650319.098</v>
      </c>
    </row>
    <row r="5" spans="1:16" s="57" customFormat="1" x14ac:dyDescent="0.35">
      <c r="A5" s="72" t="s">
        <v>282</v>
      </c>
      <c r="B5" s="79">
        <f>(+B8*B9)+B10</f>
        <v>419676.4</v>
      </c>
      <c r="C5" s="79">
        <f t="shared" ref="C5:M5" si="2">(+C8*C9)+C10</f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>SUM(B5:M5)</f>
        <v>419676.4</v>
      </c>
    </row>
    <row r="6" spans="1:16" hidden="1" outlineLevel="1" x14ac:dyDescent="0.35">
      <c r="A6" s="66" t="s">
        <v>207</v>
      </c>
      <c r="B6" s="146">
        <v>4585.625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8"/>
      <c r="P6" s="164"/>
    </row>
    <row r="7" spans="1:16" hidden="1" outlineLevel="1" x14ac:dyDescent="0.35">
      <c r="A7" s="66" t="s">
        <v>194</v>
      </c>
      <c r="B7" s="150">
        <v>3.2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71">
        <f t="shared" ref="N7:N10" si="3">SUM(B7:M7)</f>
        <v>3.2</v>
      </c>
    </row>
    <row r="8" spans="1:16" hidden="1" outlineLevel="1" x14ac:dyDescent="0.35">
      <c r="A8" s="66" t="s">
        <v>210</v>
      </c>
      <c r="B8" s="146">
        <f>+(B6*B7)*1.1</f>
        <v>16141.400000000001</v>
      </c>
      <c r="C8" s="146">
        <f t="shared" ref="C8" si="4">+(C6*C7)*1.1</f>
        <v>0</v>
      </c>
      <c r="D8" s="146">
        <f t="shared" ref="D8" si="5">+(D6*D7)*1.1</f>
        <v>0</v>
      </c>
      <c r="E8" s="146">
        <f t="shared" ref="E8" si="6">+(E6*E7)*1.1</f>
        <v>0</v>
      </c>
      <c r="F8" s="146">
        <f t="shared" ref="F8" si="7">+(F6*F7)*1.1</f>
        <v>0</v>
      </c>
      <c r="G8" s="146">
        <f t="shared" ref="G8" si="8">+(G6*G7)*1.1</f>
        <v>0</v>
      </c>
      <c r="H8" s="146">
        <f t="shared" ref="H8" si="9">+(H6*H7)*1.1</f>
        <v>0</v>
      </c>
      <c r="I8" s="146">
        <f t="shared" ref="I8" si="10">+(I6*I7)*1.1</f>
        <v>0</v>
      </c>
      <c r="J8" s="146">
        <f t="shared" ref="J8" si="11">+(J6*J7)*1.1</f>
        <v>0</v>
      </c>
      <c r="K8" s="146">
        <f t="shared" ref="K8" si="12">+(K6*K7)*1.1</f>
        <v>0</v>
      </c>
      <c r="L8" s="146">
        <f t="shared" ref="L8" si="13">+(L6*L7)*1.1</f>
        <v>0</v>
      </c>
      <c r="M8" s="146">
        <f t="shared" ref="M8" si="14">+(M6*M7)*1.1</f>
        <v>0</v>
      </c>
      <c r="N8" s="148">
        <f t="shared" si="3"/>
        <v>16141.400000000001</v>
      </c>
    </row>
    <row r="9" spans="1:16" hidden="1" outlineLevel="1" x14ac:dyDescent="0.35">
      <c r="A9" s="66" t="s">
        <v>204</v>
      </c>
      <c r="B9" s="150">
        <v>26</v>
      </c>
      <c r="C9" s="150">
        <f>+B9</f>
        <v>26</v>
      </c>
      <c r="D9" s="150">
        <f t="shared" ref="D9:M9" si="15">+C9</f>
        <v>26</v>
      </c>
      <c r="E9" s="150">
        <f t="shared" si="15"/>
        <v>26</v>
      </c>
      <c r="F9" s="150">
        <f t="shared" si="15"/>
        <v>26</v>
      </c>
      <c r="G9" s="150">
        <f t="shared" si="15"/>
        <v>26</v>
      </c>
      <c r="H9" s="150">
        <f t="shared" si="15"/>
        <v>26</v>
      </c>
      <c r="I9" s="150">
        <f t="shared" si="15"/>
        <v>26</v>
      </c>
      <c r="J9" s="150">
        <f t="shared" si="15"/>
        <v>26</v>
      </c>
      <c r="K9" s="150">
        <f t="shared" si="15"/>
        <v>26</v>
      </c>
      <c r="L9" s="150">
        <f t="shared" si="15"/>
        <v>26</v>
      </c>
      <c r="M9" s="150">
        <f t="shared" si="15"/>
        <v>26</v>
      </c>
      <c r="N9" s="148"/>
    </row>
    <row r="10" spans="1:16" hidden="1" outlineLevel="1" x14ac:dyDescent="0.35">
      <c r="A10" s="66" t="s">
        <v>205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8">
        <f t="shared" si="3"/>
        <v>0</v>
      </c>
    </row>
    <row r="11" spans="1:16" collapsed="1" x14ac:dyDescent="0.35">
      <c r="A11" s="72" t="s">
        <v>284</v>
      </c>
      <c r="B11" s="79">
        <f>(+B14*B15)+B16</f>
        <v>0</v>
      </c>
      <c r="C11" s="79">
        <f t="shared" ref="C11:M11" si="16">(+C14*C15)+C16</f>
        <v>0</v>
      </c>
      <c r="D11" s="79">
        <f t="shared" si="16"/>
        <v>0</v>
      </c>
      <c r="E11" s="79">
        <f t="shared" si="16"/>
        <v>0</v>
      </c>
      <c r="F11" s="79">
        <f t="shared" si="16"/>
        <v>0</v>
      </c>
      <c r="G11" s="79">
        <f t="shared" si="16"/>
        <v>0</v>
      </c>
      <c r="H11" s="79">
        <f t="shared" si="16"/>
        <v>0</v>
      </c>
      <c r="I11" s="79">
        <f t="shared" si="16"/>
        <v>0</v>
      </c>
      <c r="J11" s="79">
        <f t="shared" si="16"/>
        <v>0</v>
      </c>
      <c r="K11" s="79">
        <f t="shared" si="16"/>
        <v>0</v>
      </c>
      <c r="L11" s="79">
        <f t="shared" si="16"/>
        <v>0</v>
      </c>
      <c r="M11" s="79">
        <f t="shared" si="16"/>
        <v>0</v>
      </c>
      <c r="N11" s="79">
        <f>SUM(B11:M11)</f>
        <v>0</v>
      </c>
    </row>
    <row r="12" spans="1:16" hidden="1" outlineLevel="1" x14ac:dyDescent="0.35">
      <c r="A12" s="66" t="s">
        <v>207</v>
      </c>
      <c r="B12" s="146">
        <v>4585.625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8">
        <f t="shared" ref="N12" si="17">SUM(B12:M12)</f>
        <v>4585.625</v>
      </c>
    </row>
    <row r="13" spans="1:16" hidden="1" outlineLevel="1" x14ac:dyDescent="0.35">
      <c r="A13" s="66" t="s">
        <v>194</v>
      </c>
      <c r="B13" s="150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</row>
    <row r="14" spans="1:16" hidden="1" outlineLevel="1" x14ac:dyDescent="0.35">
      <c r="A14" s="66" t="s">
        <v>210</v>
      </c>
      <c r="B14" s="146">
        <f>+(B12*B13)*1.1</f>
        <v>0</v>
      </c>
      <c r="C14" s="146">
        <f t="shared" ref="C14" si="18">+(C12*C13)*1.1</f>
        <v>0</v>
      </c>
      <c r="D14" s="146">
        <f t="shared" ref="D14" si="19">+(D12*D13)*1.1</f>
        <v>0</v>
      </c>
      <c r="E14" s="146">
        <f t="shared" ref="E14" si="20">+(E12*E13)*1.1</f>
        <v>0</v>
      </c>
      <c r="F14" s="146">
        <f t="shared" ref="F14" si="21">+(F12*F13)*1.1</f>
        <v>0</v>
      </c>
      <c r="G14" s="146">
        <f t="shared" ref="G14" si="22">+(G12*G13)*1.1</f>
        <v>0</v>
      </c>
      <c r="H14" s="146">
        <f t="shared" ref="H14" si="23">+(H12*H13)*1.1</f>
        <v>0</v>
      </c>
      <c r="I14" s="146">
        <f t="shared" ref="I14" si="24">+(I12*I13)*1.1</f>
        <v>0</v>
      </c>
      <c r="J14" s="146">
        <f t="shared" ref="J14" si="25">+(J12*J13)*1.1</f>
        <v>0</v>
      </c>
      <c r="K14" s="146">
        <f t="shared" ref="K14" si="26">+(K12*K13)*1.1</f>
        <v>0</v>
      </c>
      <c r="L14" s="146">
        <f t="shared" ref="L14" si="27">+(L12*L13)*1.1</f>
        <v>0</v>
      </c>
      <c r="M14" s="146">
        <f t="shared" ref="M14" si="28">+(M12*M13)*1.1</f>
        <v>0</v>
      </c>
      <c r="N14" s="148">
        <f>SUM(B14:M14)</f>
        <v>0</v>
      </c>
    </row>
    <row r="15" spans="1:16" hidden="1" outlineLevel="1" x14ac:dyDescent="0.35">
      <c r="A15" s="66" t="s">
        <v>204</v>
      </c>
      <c r="B15" s="150">
        <v>21.95</v>
      </c>
      <c r="C15" s="150">
        <f>+B15</f>
        <v>21.95</v>
      </c>
      <c r="D15" s="150">
        <f t="shared" ref="D15:M15" si="29">+C15</f>
        <v>21.95</v>
      </c>
      <c r="E15" s="150">
        <f t="shared" si="29"/>
        <v>21.95</v>
      </c>
      <c r="F15" s="150">
        <f t="shared" si="29"/>
        <v>21.95</v>
      </c>
      <c r="G15" s="150">
        <f t="shared" si="29"/>
        <v>21.95</v>
      </c>
      <c r="H15" s="150">
        <f t="shared" si="29"/>
        <v>21.95</v>
      </c>
      <c r="I15" s="150">
        <f t="shared" si="29"/>
        <v>21.95</v>
      </c>
      <c r="J15" s="150">
        <f t="shared" si="29"/>
        <v>21.95</v>
      </c>
      <c r="K15" s="150">
        <f t="shared" si="29"/>
        <v>21.95</v>
      </c>
      <c r="L15" s="150">
        <f t="shared" si="29"/>
        <v>21.95</v>
      </c>
      <c r="M15" s="150">
        <f t="shared" si="29"/>
        <v>21.95</v>
      </c>
      <c r="N15" s="148">
        <f t="shared" ref="N15" si="30">SUM(B15:M15)</f>
        <v>263.39999999999992</v>
      </c>
    </row>
    <row r="16" spans="1:16" hidden="1" outlineLevel="1" x14ac:dyDescent="0.35">
      <c r="A16" s="66" t="s">
        <v>205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</row>
    <row r="17" spans="1:23" collapsed="1" x14ac:dyDescent="0.35">
      <c r="A17" s="72" t="s">
        <v>286</v>
      </c>
      <c r="B17" s="79">
        <f>(+B20*B21)+B22</f>
        <v>230642.69800000003</v>
      </c>
      <c r="C17" s="79">
        <f t="shared" ref="C17:M17" si="31">(+C20*C21)+C22</f>
        <v>0</v>
      </c>
      <c r="D17" s="79">
        <f t="shared" si="31"/>
        <v>0</v>
      </c>
      <c r="E17" s="79">
        <f t="shared" si="31"/>
        <v>0</v>
      </c>
      <c r="F17" s="79">
        <f t="shared" si="31"/>
        <v>0</v>
      </c>
      <c r="G17" s="79">
        <f t="shared" si="31"/>
        <v>0</v>
      </c>
      <c r="H17" s="79">
        <f t="shared" si="31"/>
        <v>0</v>
      </c>
      <c r="I17" s="79">
        <f t="shared" si="31"/>
        <v>0</v>
      </c>
      <c r="J17" s="79">
        <f t="shared" si="31"/>
        <v>0</v>
      </c>
      <c r="K17" s="79">
        <f t="shared" si="31"/>
        <v>0</v>
      </c>
      <c r="L17" s="79">
        <f t="shared" si="31"/>
        <v>0</v>
      </c>
      <c r="M17" s="79">
        <f t="shared" si="31"/>
        <v>0</v>
      </c>
      <c r="N17" s="79">
        <f>SUM(B17:M17)</f>
        <v>230642.69800000003</v>
      </c>
    </row>
    <row r="18" spans="1:23" hidden="1" outlineLevel="1" x14ac:dyDescent="0.35">
      <c r="A18" s="66" t="s">
        <v>207</v>
      </c>
      <c r="B18" s="146">
        <v>3674</v>
      </c>
      <c r="C18" s="146">
        <v>3500</v>
      </c>
      <c r="D18" s="146">
        <v>3500</v>
      </c>
      <c r="E18" s="146">
        <v>3500</v>
      </c>
      <c r="F18" s="146">
        <v>3500</v>
      </c>
      <c r="G18" s="146">
        <v>3500</v>
      </c>
      <c r="H18" s="146">
        <v>3500</v>
      </c>
      <c r="I18" s="146">
        <v>3500</v>
      </c>
      <c r="J18" s="146">
        <v>3500</v>
      </c>
      <c r="K18" s="146">
        <v>3500</v>
      </c>
      <c r="L18" s="146">
        <v>3500</v>
      </c>
      <c r="M18" s="146">
        <v>3500</v>
      </c>
      <c r="N18" s="148">
        <f t="shared" ref="N18" si="32">SUM(B18:M18)</f>
        <v>42174</v>
      </c>
      <c r="P18" s="164"/>
    </row>
    <row r="19" spans="1:23" hidden="1" outlineLevel="1" x14ac:dyDescent="0.35">
      <c r="A19" s="66" t="s">
        <v>194</v>
      </c>
      <c r="B19" s="174">
        <v>2.6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8"/>
    </row>
    <row r="20" spans="1:23" hidden="1" outlineLevel="1" x14ac:dyDescent="0.35">
      <c r="A20" s="66" t="s">
        <v>210</v>
      </c>
      <c r="B20" s="146">
        <f>+(B18*B19)*1.1</f>
        <v>10507.640000000001</v>
      </c>
      <c r="C20" s="146">
        <f t="shared" ref="C20:M20" si="33">+(C18*C19)*1.1</f>
        <v>0</v>
      </c>
      <c r="D20" s="146">
        <f t="shared" si="33"/>
        <v>0</v>
      </c>
      <c r="E20" s="146">
        <f t="shared" si="33"/>
        <v>0</v>
      </c>
      <c r="F20" s="146">
        <f t="shared" si="33"/>
        <v>0</v>
      </c>
      <c r="G20" s="146">
        <f t="shared" si="33"/>
        <v>0</v>
      </c>
      <c r="H20" s="146">
        <f t="shared" si="33"/>
        <v>0</v>
      </c>
      <c r="I20" s="146">
        <f t="shared" si="33"/>
        <v>0</v>
      </c>
      <c r="J20" s="146">
        <f t="shared" si="33"/>
        <v>0</v>
      </c>
      <c r="K20" s="146">
        <f t="shared" si="33"/>
        <v>0</v>
      </c>
      <c r="L20" s="146">
        <f t="shared" si="33"/>
        <v>0</v>
      </c>
      <c r="M20" s="146">
        <f t="shared" si="33"/>
        <v>0</v>
      </c>
      <c r="N20" s="148"/>
    </row>
    <row r="21" spans="1:23" hidden="1" outlineLevel="1" x14ac:dyDescent="0.35">
      <c r="A21" s="66" t="s">
        <v>204</v>
      </c>
      <c r="B21" s="150">
        <v>21.95</v>
      </c>
      <c r="C21" s="150">
        <f>+B21</f>
        <v>21.95</v>
      </c>
      <c r="D21" s="150">
        <f t="shared" ref="D21:M21" si="34">+C21</f>
        <v>21.95</v>
      </c>
      <c r="E21" s="150">
        <f t="shared" si="34"/>
        <v>21.95</v>
      </c>
      <c r="F21" s="150">
        <f t="shared" si="34"/>
        <v>21.95</v>
      </c>
      <c r="G21" s="150">
        <f t="shared" si="34"/>
        <v>21.95</v>
      </c>
      <c r="H21" s="150">
        <f t="shared" si="34"/>
        <v>21.95</v>
      </c>
      <c r="I21" s="150">
        <f t="shared" si="34"/>
        <v>21.95</v>
      </c>
      <c r="J21" s="150">
        <f t="shared" si="34"/>
        <v>21.95</v>
      </c>
      <c r="K21" s="150">
        <f t="shared" si="34"/>
        <v>21.95</v>
      </c>
      <c r="L21" s="150">
        <f t="shared" si="34"/>
        <v>21.95</v>
      </c>
      <c r="M21" s="150">
        <f t="shared" si="34"/>
        <v>21.95</v>
      </c>
      <c r="N21" s="148"/>
    </row>
    <row r="22" spans="1:23" hidden="1" outlineLevel="1" x14ac:dyDescent="0.35">
      <c r="A22" s="66" t="s">
        <v>205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8"/>
    </row>
    <row r="23" spans="1:23" collapsed="1" x14ac:dyDescent="0.35">
      <c r="A23" s="71" t="s">
        <v>188</v>
      </c>
      <c r="B23" s="76">
        <f>+B24+B28+B32</f>
        <v>73553.749446654969</v>
      </c>
      <c r="C23" s="76">
        <f t="shared" ref="C23:M23" si="35">+C24+C28+C32</f>
        <v>73553.749446654969</v>
      </c>
      <c r="D23" s="76">
        <f t="shared" si="35"/>
        <v>73553.749446654969</v>
      </c>
      <c r="E23" s="76">
        <f t="shared" si="35"/>
        <v>73553.749446654969</v>
      </c>
      <c r="F23" s="76">
        <f t="shared" si="35"/>
        <v>73553.749446654969</v>
      </c>
      <c r="G23" s="76">
        <f t="shared" si="35"/>
        <v>73553.749446654969</v>
      </c>
      <c r="H23" s="76">
        <f t="shared" si="35"/>
        <v>73553.749446654969</v>
      </c>
      <c r="I23" s="76">
        <f t="shared" si="35"/>
        <v>73553.749446654969</v>
      </c>
      <c r="J23" s="76">
        <f t="shared" si="35"/>
        <v>73553.749446654969</v>
      </c>
      <c r="K23" s="76">
        <f t="shared" si="35"/>
        <v>73553.749446654969</v>
      </c>
      <c r="L23" s="76">
        <f t="shared" si="35"/>
        <v>73553.749446654969</v>
      </c>
      <c r="M23" s="76">
        <f t="shared" si="35"/>
        <v>73553.749446654969</v>
      </c>
      <c r="N23" s="76">
        <f>SUM(B23:M23)</f>
        <v>882644.99335985945</v>
      </c>
    </row>
    <row r="24" spans="1:23" s="57" customFormat="1" x14ac:dyDescent="0.35">
      <c r="A24" s="72" t="s">
        <v>283</v>
      </c>
      <c r="B24" s="79">
        <f>+B25+B27</f>
        <v>34023.277411450035</v>
      </c>
      <c r="C24" s="79">
        <f t="shared" ref="C24:M24" si="36">+C25+C27</f>
        <v>34023.277411450035</v>
      </c>
      <c r="D24" s="79">
        <f t="shared" si="36"/>
        <v>34023.277411450035</v>
      </c>
      <c r="E24" s="79">
        <f t="shared" si="36"/>
        <v>34023.277411450035</v>
      </c>
      <c r="F24" s="79">
        <f t="shared" si="36"/>
        <v>34023.277411450035</v>
      </c>
      <c r="G24" s="79">
        <f t="shared" si="36"/>
        <v>34023.277411450035</v>
      </c>
      <c r="H24" s="79">
        <f t="shared" si="36"/>
        <v>34023.277411450035</v>
      </c>
      <c r="I24" s="79">
        <f t="shared" si="36"/>
        <v>34023.277411450035</v>
      </c>
      <c r="J24" s="79">
        <f t="shared" si="36"/>
        <v>34023.277411450035</v>
      </c>
      <c r="K24" s="79">
        <f t="shared" si="36"/>
        <v>34023.277411450035</v>
      </c>
      <c r="L24" s="79">
        <f t="shared" si="36"/>
        <v>34023.277411450035</v>
      </c>
      <c r="M24" s="79">
        <f t="shared" si="36"/>
        <v>34023.277411450035</v>
      </c>
      <c r="N24" s="79">
        <f>SUM(B24:M24)</f>
        <v>408279.32893740054</v>
      </c>
    </row>
    <row r="25" spans="1:23" outlineLevel="1" x14ac:dyDescent="0.35">
      <c r="A25" s="66" t="s">
        <v>189</v>
      </c>
      <c r="B25" s="146">
        <v>16536.760744783373</v>
      </c>
      <c r="C25" s="146">
        <f>+B25</f>
        <v>16536.760744783373</v>
      </c>
      <c r="D25" s="146">
        <f t="shared" ref="D25:M25" si="37">+C25</f>
        <v>16536.760744783373</v>
      </c>
      <c r="E25" s="146">
        <f t="shared" si="37"/>
        <v>16536.760744783373</v>
      </c>
      <c r="F25" s="146">
        <f t="shared" si="37"/>
        <v>16536.760744783373</v>
      </c>
      <c r="G25" s="146">
        <f t="shared" si="37"/>
        <v>16536.760744783373</v>
      </c>
      <c r="H25" s="146">
        <f t="shared" si="37"/>
        <v>16536.760744783373</v>
      </c>
      <c r="I25" s="146">
        <f t="shared" si="37"/>
        <v>16536.760744783373</v>
      </c>
      <c r="J25" s="146">
        <f t="shared" si="37"/>
        <v>16536.760744783373</v>
      </c>
      <c r="K25" s="146">
        <f t="shared" si="37"/>
        <v>16536.760744783373</v>
      </c>
      <c r="L25" s="146">
        <f t="shared" si="37"/>
        <v>16536.760744783373</v>
      </c>
      <c r="M25" s="146">
        <f t="shared" si="37"/>
        <v>16536.760744783373</v>
      </c>
      <c r="N25" s="146">
        <f>SUM(B25:M25)</f>
        <v>198441.12893740053</v>
      </c>
    </row>
    <row r="26" spans="1:23" outlineLevel="1" x14ac:dyDescent="0.35">
      <c r="A26" s="66" t="s">
        <v>190</v>
      </c>
      <c r="B26" s="149">
        <v>0.5</v>
      </c>
      <c r="C26" s="149">
        <f>+B26</f>
        <v>0.5</v>
      </c>
      <c r="D26" s="149">
        <f t="shared" ref="D26:M26" si="38">+C26</f>
        <v>0.5</v>
      </c>
      <c r="E26" s="149">
        <f t="shared" si="38"/>
        <v>0.5</v>
      </c>
      <c r="F26" s="149">
        <f t="shared" si="38"/>
        <v>0.5</v>
      </c>
      <c r="G26" s="149">
        <f t="shared" si="38"/>
        <v>0.5</v>
      </c>
      <c r="H26" s="149">
        <f t="shared" si="38"/>
        <v>0.5</v>
      </c>
      <c r="I26" s="149">
        <f t="shared" si="38"/>
        <v>0.5</v>
      </c>
      <c r="J26" s="149">
        <f t="shared" si="38"/>
        <v>0.5</v>
      </c>
      <c r="K26" s="149">
        <f t="shared" si="38"/>
        <v>0.5</v>
      </c>
      <c r="L26" s="149">
        <f t="shared" si="38"/>
        <v>0.5</v>
      </c>
      <c r="M26" s="149">
        <f t="shared" si="38"/>
        <v>0.5</v>
      </c>
      <c r="N26" s="146"/>
    </row>
    <row r="27" spans="1:23" outlineLevel="1" x14ac:dyDescent="0.35">
      <c r="A27" s="66" t="s">
        <v>288</v>
      </c>
      <c r="B27" s="146">
        <f>+B37</f>
        <v>17486.516666666666</v>
      </c>
      <c r="C27" s="146">
        <f t="shared" ref="C27:M27" si="39">+C37</f>
        <v>17486.516666666666</v>
      </c>
      <c r="D27" s="146">
        <f t="shared" si="39"/>
        <v>17486.516666666666</v>
      </c>
      <c r="E27" s="146">
        <f t="shared" si="39"/>
        <v>17486.516666666666</v>
      </c>
      <c r="F27" s="146">
        <f t="shared" si="39"/>
        <v>17486.516666666666</v>
      </c>
      <c r="G27" s="146">
        <f t="shared" si="39"/>
        <v>17486.516666666666</v>
      </c>
      <c r="H27" s="146">
        <f t="shared" si="39"/>
        <v>17486.516666666666</v>
      </c>
      <c r="I27" s="146">
        <f t="shared" si="39"/>
        <v>17486.516666666666</v>
      </c>
      <c r="J27" s="146">
        <f t="shared" si="39"/>
        <v>17486.516666666666</v>
      </c>
      <c r="K27" s="146">
        <f t="shared" si="39"/>
        <v>17486.516666666666</v>
      </c>
      <c r="L27" s="146">
        <f t="shared" si="39"/>
        <v>17486.516666666666</v>
      </c>
      <c r="M27" s="146">
        <f t="shared" si="39"/>
        <v>17486.516666666666</v>
      </c>
      <c r="N27" s="146">
        <f t="shared" ref="N27" si="40">SUM(B27:M27)</f>
        <v>209838.19999999998</v>
      </c>
    </row>
    <row r="28" spans="1:23" x14ac:dyDescent="0.35">
      <c r="A28" s="72" t="s">
        <v>285</v>
      </c>
      <c r="B28" s="79">
        <f>+B29+B31</f>
        <v>24036.590484693017</v>
      </c>
      <c r="C28" s="79">
        <f t="shared" ref="C28:M28" si="41">+C29+C31</f>
        <v>24036.590484693017</v>
      </c>
      <c r="D28" s="79">
        <f t="shared" si="41"/>
        <v>24036.590484693017</v>
      </c>
      <c r="E28" s="79">
        <f t="shared" si="41"/>
        <v>24036.590484693017</v>
      </c>
      <c r="F28" s="79">
        <f t="shared" si="41"/>
        <v>24036.590484693017</v>
      </c>
      <c r="G28" s="79">
        <f t="shared" si="41"/>
        <v>24036.590484693017</v>
      </c>
      <c r="H28" s="79">
        <f t="shared" si="41"/>
        <v>24036.590484693017</v>
      </c>
      <c r="I28" s="79">
        <f t="shared" si="41"/>
        <v>24036.590484693017</v>
      </c>
      <c r="J28" s="79">
        <f t="shared" si="41"/>
        <v>24036.590484693017</v>
      </c>
      <c r="K28" s="79">
        <f t="shared" si="41"/>
        <v>24036.590484693017</v>
      </c>
      <c r="L28" s="79">
        <f t="shared" si="41"/>
        <v>24036.590484693017</v>
      </c>
      <c r="M28" s="79">
        <f t="shared" si="41"/>
        <v>24036.590484693017</v>
      </c>
      <c r="N28" s="79">
        <f>SUM(B28:M28)</f>
        <v>288439.08581631613</v>
      </c>
    </row>
    <row r="29" spans="1:23" x14ac:dyDescent="0.35">
      <c r="A29" s="66" t="s">
        <v>189</v>
      </c>
      <c r="B29" s="146">
        <v>24036.590484693017</v>
      </c>
      <c r="C29" s="146">
        <f>+B29</f>
        <v>24036.590484693017</v>
      </c>
      <c r="D29" s="146">
        <f t="shared" ref="D29" si="42">+C29</f>
        <v>24036.590484693017</v>
      </c>
      <c r="E29" s="146">
        <f t="shared" ref="E29" si="43">+D29</f>
        <v>24036.590484693017</v>
      </c>
      <c r="F29" s="146">
        <f t="shared" ref="F29" si="44">+E29</f>
        <v>24036.590484693017</v>
      </c>
      <c r="G29" s="146">
        <f t="shared" ref="G29" si="45">+F29</f>
        <v>24036.590484693017</v>
      </c>
      <c r="H29" s="146">
        <f t="shared" ref="H29" si="46">+G29</f>
        <v>24036.590484693017</v>
      </c>
      <c r="I29" s="146">
        <f t="shared" ref="I29" si="47">+H29</f>
        <v>24036.590484693017</v>
      </c>
      <c r="J29" s="146">
        <f t="shared" ref="J29" si="48">+I29</f>
        <v>24036.590484693017</v>
      </c>
      <c r="K29" s="146">
        <f t="shared" ref="K29" si="49">+J29</f>
        <v>24036.590484693017</v>
      </c>
      <c r="L29" s="146">
        <f t="shared" ref="L29" si="50">+K29</f>
        <v>24036.590484693017</v>
      </c>
      <c r="M29" s="146">
        <f t="shared" ref="M29" si="51">+L29</f>
        <v>24036.590484693017</v>
      </c>
      <c r="N29" s="146">
        <f>SUM(B29:M29)</f>
        <v>288439.08581631613</v>
      </c>
    </row>
    <row r="30" spans="1:23" x14ac:dyDescent="0.35">
      <c r="A30" s="66" t="s">
        <v>190</v>
      </c>
      <c r="B30" s="149">
        <v>0.5</v>
      </c>
      <c r="C30" s="149">
        <f>+B30</f>
        <v>0.5</v>
      </c>
      <c r="D30" s="149">
        <f t="shared" ref="D30:M30" si="52">+C30</f>
        <v>0.5</v>
      </c>
      <c r="E30" s="149">
        <f t="shared" si="52"/>
        <v>0.5</v>
      </c>
      <c r="F30" s="149">
        <f t="shared" si="52"/>
        <v>0.5</v>
      </c>
      <c r="G30" s="149">
        <f t="shared" si="52"/>
        <v>0.5</v>
      </c>
      <c r="H30" s="149">
        <f t="shared" si="52"/>
        <v>0.5</v>
      </c>
      <c r="I30" s="149">
        <f t="shared" si="52"/>
        <v>0.5</v>
      </c>
      <c r="J30" s="149">
        <f t="shared" si="52"/>
        <v>0.5</v>
      </c>
      <c r="K30" s="149">
        <f t="shared" si="52"/>
        <v>0.5</v>
      </c>
      <c r="L30" s="149">
        <f t="shared" si="52"/>
        <v>0.5</v>
      </c>
      <c r="M30" s="149">
        <f t="shared" si="52"/>
        <v>0.5</v>
      </c>
      <c r="N30" s="146"/>
    </row>
    <row r="31" spans="1:23" outlineLevel="1" x14ac:dyDescent="0.35">
      <c r="A31" s="66" t="s">
        <v>288</v>
      </c>
      <c r="B31" s="146">
        <f>+B51</f>
        <v>0</v>
      </c>
      <c r="C31" s="146">
        <f t="shared" ref="C31:M31" si="53">+C51</f>
        <v>0</v>
      </c>
      <c r="D31" s="146">
        <f t="shared" si="53"/>
        <v>0</v>
      </c>
      <c r="E31" s="146">
        <f t="shared" si="53"/>
        <v>0</v>
      </c>
      <c r="F31" s="146">
        <f t="shared" si="53"/>
        <v>0</v>
      </c>
      <c r="G31" s="146">
        <f t="shared" si="53"/>
        <v>0</v>
      </c>
      <c r="H31" s="146">
        <f t="shared" si="53"/>
        <v>0</v>
      </c>
      <c r="I31" s="146">
        <f t="shared" si="53"/>
        <v>0</v>
      </c>
      <c r="J31" s="146">
        <f t="shared" si="53"/>
        <v>0</v>
      </c>
      <c r="K31" s="146">
        <f t="shared" si="53"/>
        <v>0</v>
      </c>
      <c r="L31" s="146">
        <f t="shared" si="53"/>
        <v>0</v>
      </c>
      <c r="M31" s="146">
        <f t="shared" si="53"/>
        <v>0</v>
      </c>
      <c r="N31" s="146">
        <f t="shared" ref="N31" si="54">SUM(B31:M31)</f>
        <v>0</v>
      </c>
      <c r="O31" s="74"/>
      <c r="P31" s="74"/>
      <c r="Q31" s="74"/>
      <c r="R31" s="74"/>
      <c r="S31" s="74"/>
      <c r="T31" s="74"/>
      <c r="U31" s="74"/>
      <c r="V31" s="74"/>
      <c r="W31" s="74"/>
    </row>
    <row r="32" spans="1:23" x14ac:dyDescent="0.35">
      <c r="A32" s="72" t="s">
        <v>287</v>
      </c>
      <c r="B32" s="79">
        <f>+B33+B35</f>
        <v>15493.881550511918</v>
      </c>
      <c r="C32" s="79">
        <f t="shared" ref="C32:M32" si="55">+C33+C35</f>
        <v>15493.881550511918</v>
      </c>
      <c r="D32" s="79">
        <f t="shared" si="55"/>
        <v>15493.881550511918</v>
      </c>
      <c r="E32" s="79">
        <f t="shared" si="55"/>
        <v>15493.881550511918</v>
      </c>
      <c r="F32" s="79">
        <f t="shared" si="55"/>
        <v>15493.881550511918</v>
      </c>
      <c r="G32" s="79">
        <f t="shared" si="55"/>
        <v>15493.881550511918</v>
      </c>
      <c r="H32" s="79">
        <f t="shared" si="55"/>
        <v>15493.881550511918</v>
      </c>
      <c r="I32" s="79">
        <f t="shared" si="55"/>
        <v>15493.881550511918</v>
      </c>
      <c r="J32" s="79">
        <f t="shared" si="55"/>
        <v>15493.881550511918</v>
      </c>
      <c r="K32" s="79">
        <f t="shared" si="55"/>
        <v>15493.881550511918</v>
      </c>
      <c r="L32" s="79">
        <f t="shared" si="55"/>
        <v>15493.881550511918</v>
      </c>
      <c r="M32" s="79">
        <f t="shared" si="55"/>
        <v>15493.881550511918</v>
      </c>
      <c r="N32" s="79">
        <f>SUM(B32:M32)</f>
        <v>185926.57860614304</v>
      </c>
    </row>
    <row r="33" spans="1:14" x14ac:dyDescent="0.35">
      <c r="A33" s="66" t="s">
        <v>189</v>
      </c>
      <c r="B33" s="146">
        <v>5883.7691338452496</v>
      </c>
      <c r="C33" s="146">
        <f>+B33</f>
        <v>5883.7691338452496</v>
      </c>
      <c r="D33" s="146">
        <f t="shared" ref="D33" si="56">+C33</f>
        <v>5883.7691338452496</v>
      </c>
      <c r="E33" s="146">
        <f t="shared" ref="E33" si="57">+D33</f>
        <v>5883.7691338452496</v>
      </c>
      <c r="F33" s="146">
        <f t="shared" ref="F33" si="58">+E33</f>
        <v>5883.7691338452496</v>
      </c>
      <c r="G33" s="146">
        <f t="shared" ref="G33" si="59">+F33</f>
        <v>5883.7691338452496</v>
      </c>
      <c r="H33" s="146">
        <f t="shared" ref="H33" si="60">+G33</f>
        <v>5883.7691338452496</v>
      </c>
      <c r="I33" s="146">
        <f t="shared" ref="I33" si="61">+H33</f>
        <v>5883.7691338452496</v>
      </c>
      <c r="J33" s="146">
        <f t="shared" ref="J33" si="62">+I33</f>
        <v>5883.7691338452496</v>
      </c>
      <c r="K33" s="146">
        <f t="shared" ref="K33" si="63">+J33</f>
        <v>5883.7691338452496</v>
      </c>
      <c r="L33" s="146">
        <f t="shared" ref="L33" si="64">+K33</f>
        <v>5883.7691338452496</v>
      </c>
      <c r="M33" s="146">
        <f t="shared" ref="M33" si="65">+L33</f>
        <v>5883.7691338452496</v>
      </c>
      <c r="N33" s="146">
        <f>SUM(B33:M33)</f>
        <v>70605.229606142995</v>
      </c>
    </row>
    <row r="34" spans="1:14" outlineLevel="1" x14ac:dyDescent="0.35">
      <c r="A34" s="66" t="s">
        <v>190</v>
      </c>
      <c r="B34" s="149">
        <v>0.5</v>
      </c>
      <c r="C34" s="149">
        <f>+B34</f>
        <v>0.5</v>
      </c>
      <c r="D34" s="149">
        <f t="shared" ref="D34:M34" si="66">+C34</f>
        <v>0.5</v>
      </c>
      <c r="E34" s="149">
        <f t="shared" si="66"/>
        <v>0.5</v>
      </c>
      <c r="F34" s="149">
        <f t="shared" si="66"/>
        <v>0.5</v>
      </c>
      <c r="G34" s="149">
        <f t="shared" si="66"/>
        <v>0.5</v>
      </c>
      <c r="H34" s="149">
        <f t="shared" si="66"/>
        <v>0.5</v>
      </c>
      <c r="I34" s="149">
        <f t="shared" si="66"/>
        <v>0.5</v>
      </c>
      <c r="J34" s="149">
        <f t="shared" si="66"/>
        <v>0.5</v>
      </c>
      <c r="K34" s="149">
        <f t="shared" si="66"/>
        <v>0.5</v>
      </c>
      <c r="L34" s="149">
        <f t="shared" si="66"/>
        <v>0.5</v>
      </c>
      <c r="M34" s="149">
        <f t="shared" si="66"/>
        <v>0.5</v>
      </c>
      <c r="N34" s="146"/>
    </row>
    <row r="35" spans="1:14" outlineLevel="1" x14ac:dyDescent="0.35">
      <c r="A35" s="66" t="s">
        <v>288</v>
      </c>
      <c r="B35" s="146">
        <f>+B65</f>
        <v>9610.1124166666687</v>
      </c>
      <c r="C35" s="146">
        <f t="shared" ref="C35:M35" si="67">+C65</f>
        <v>9610.1124166666687</v>
      </c>
      <c r="D35" s="146">
        <f t="shared" si="67"/>
        <v>9610.1124166666687</v>
      </c>
      <c r="E35" s="146">
        <f t="shared" si="67"/>
        <v>9610.1124166666687</v>
      </c>
      <c r="F35" s="146">
        <f t="shared" si="67"/>
        <v>9610.1124166666687</v>
      </c>
      <c r="G35" s="146">
        <f t="shared" si="67"/>
        <v>9610.1124166666687</v>
      </c>
      <c r="H35" s="146">
        <f t="shared" si="67"/>
        <v>9610.1124166666687</v>
      </c>
      <c r="I35" s="146">
        <f t="shared" si="67"/>
        <v>9610.1124166666687</v>
      </c>
      <c r="J35" s="146">
        <f t="shared" si="67"/>
        <v>9610.1124166666687</v>
      </c>
      <c r="K35" s="146">
        <f t="shared" si="67"/>
        <v>9610.1124166666687</v>
      </c>
      <c r="L35" s="146">
        <f t="shared" si="67"/>
        <v>9610.1124166666687</v>
      </c>
      <c r="M35" s="146">
        <f t="shared" si="67"/>
        <v>9610.1124166666687</v>
      </c>
      <c r="N35" s="146">
        <f t="shared" ref="N35" si="68">SUM(B35:M35)</f>
        <v>115321.34900000003</v>
      </c>
    </row>
    <row r="36" spans="1:14" x14ac:dyDescent="0.35">
      <c r="B36" s="160">
        <v>43647</v>
      </c>
      <c r="C36" s="160">
        <f>+B36+31</f>
        <v>43678</v>
      </c>
      <c r="D36" s="160">
        <f t="shared" ref="D36:M36" si="69">+C36+31</f>
        <v>43709</v>
      </c>
      <c r="E36" s="160">
        <f t="shared" si="69"/>
        <v>43740</v>
      </c>
      <c r="F36" s="160">
        <f t="shared" si="69"/>
        <v>43771</v>
      </c>
      <c r="G36" s="160">
        <f t="shared" si="69"/>
        <v>43802</v>
      </c>
      <c r="H36" s="160">
        <f t="shared" si="69"/>
        <v>43833</v>
      </c>
      <c r="I36" s="160">
        <f t="shared" si="69"/>
        <v>43864</v>
      </c>
      <c r="J36" s="160">
        <f t="shared" si="69"/>
        <v>43895</v>
      </c>
      <c r="K36" s="160">
        <f t="shared" si="69"/>
        <v>43926</v>
      </c>
      <c r="L36" s="160">
        <f t="shared" si="69"/>
        <v>43957</v>
      </c>
      <c r="M36" s="160">
        <f t="shared" si="69"/>
        <v>43988</v>
      </c>
      <c r="N36" s="159" t="s">
        <v>84</v>
      </c>
    </row>
    <row r="37" spans="1:14" x14ac:dyDescent="0.35">
      <c r="A37" s="17" t="s">
        <v>289</v>
      </c>
      <c r="B37" s="168">
        <f>SUM(B38:B49)</f>
        <v>17486.516666666666</v>
      </c>
      <c r="C37" s="168">
        <f t="shared" ref="C37:M37" si="70">SUM(C38:C49)</f>
        <v>17486.516666666666</v>
      </c>
      <c r="D37" s="168">
        <f t="shared" si="70"/>
        <v>17486.516666666666</v>
      </c>
      <c r="E37" s="168">
        <f t="shared" si="70"/>
        <v>17486.516666666666</v>
      </c>
      <c r="F37" s="168">
        <f t="shared" si="70"/>
        <v>17486.516666666666</v>
      </c>
      <c r="G37" s="168">
        <f t="shared" si="70"/>
        <v>17486.516666666666</v>
      </c>
      <c r="H37" s="168">
        <f t="shared" si="70"/>
        <v>17486.516666666666</v>
      </c>
      <c r="I37" s="168">
        <f t="shared" si="70"/>
        <v>17486.516666666666</v>
      </c>
      <c r="J37" s="168">
        <f t="shared" si="70"/>
        <v>17486.516666666666</v>
      </c>
      <c r="K37" s="168">
        <f t="shared" si="70"/>
        <v>17486.516666666666</v>
      </c>
      <c r="L37" s="168">
        <f t="shared" si="70"/>
        <v>17486.516666666666</v>
      </c>
      <c r="M37" s="168">
        <f t="shared" si="70"/>
        <v>17486.516666666666</v>
      </c>
      <c r="N37" s="169">
        <f>SUM(B37:M37)</f>
        <v>209838.19999999998</v>
      </c>
    </row>
    <row r="38" spans="1:14" x14ac:dyDescent="0.35">
      <c r="A38" s="157">
        <v>43647</v>
      </c>
      <c r="B38" s="169">
        <f>+B26*B5/12</f>
        <v>17486.516666666666</v>
      </c>
      <c r="C38" s="169">
        <f>+B38</f>
        <v>17486.516666666666</v>
      </c>
      <c r="D38" s="169">
        <f t="shared" ref="D38:M48" si="71">+C38</f>
        <v>17486.516666666666</v>
      </c>
      <c r="E38" s="169">
        <f t="shared" si="71"/>
        <v>17486.516666666666</v>
      </c>
      <c r="F38" s="169">
        <f t="shared" si="71"/>
        <v>17486.516666666666</v>
      </c>
      <c r="G38" s="169">
        <f t="shared" si="71"/>
        <v>17486.516666666666</v>
      </c>
      <c r="H38" s="169">
        <f t="shared" si="71"/>
        <v>17486.516666666666</v>
      </c>
      <c r="I38" s="169">
        <f t="shared" si="71"/>
        <v>17486.516666666666</v>
      </c>
      <c r="J38" s="169">
        <f t="shared" si="71"/>
        <v>17486.516666666666</v>
      </c>
      <c r="K38" s="169">
        <f t="shared" si="71"/>
        <v>17486.516666666666</v>
      </c>
      <c r="L38" s="169">
        <f t="shared" si="71"/>
        <v>17486.516666666666</v>
      </c>
      <c r="M38" s="169">
        <f t="shared" si="71"/>
        <v>17486.516666666666</v>
      </c>
      <c r="N38" s="169">
        <f>SUM(B38:M38)</f>
        <v>209838.19999999998</v>
      </c>
    </row>
    <row r="39" spans="1:14" x14ac:dyDescent="0.35">
      <c r="A39" s="157">
        <f t="shared" ref="A39:A49" si="72">+A38+31</f>
        <v>43678</v>
      </c>
      <c r="B39" s="170"/>
      <c r="C39" s="169">
        <f>+(C5*C26*11/12)/11</f>
        <v>0</v>
      </c>
      <c r="D39" s="169">
        <f t="shared" si="71"/>
        <v>0</v>
      </c>
      <c r="E39" s="169">
        <f t="shared" si="71"/>
        <v>0</v>
      </c>
      <c r="F39" s="169">
        <f t="shared" si="71"/>
        <v>0</v>
      </c>
      <c r="G39" s="169">
        <f t="shared" si="71"/>
        <v>0</v>
      </c>
      <c r="H39" s="169">
        <f t="shared" si="71"/>
        <v>0</v>
      </c>
      <c r="I39" s="169">
        <f t="shared" si="71"/>
        <v>0</v>
      </c>
      <c r="J39" s="169">
        <f t="shared" si="71"/>
        <v>0</v>
      </c>
      <c r="K39" s="169">
        <f t="shared" si="71"/>
        <v>0</v>
      </c>
      <c r="L39" s="169">
        <f t="shared" si="71"/>
        <v>0</v>
      </c>
      <c r="M39" s="169">
        <f t="shared" si="71"/>
        <v>0</v>
      </c>
      <c r="N39" s="169">
        <f t="shared" ref="N39:N49" si="73">SUM(B39:M39)</f>
        <v>0</v>
      </c>
    </row>
    <row r="40" spans="1:14" x14ac:dyDescent="0.35">
      <c r="A40" s="157">
        <f t="shared" si="72"/>
        <v>43709</v>
      </c>
      <c r="B40" s="170"/>
      <c r="C40" s="170"/>
      <c r="D40" s="169">
        <f>+(D5*D26*10/12)/10</f>
        <v>0</v>
      </c>
      <c r="E40" s="169">
        <f t="shared" si="71"/>
        <v>0</v>
      </c>
      <c r="F40" s="169">
        <f t="shared" si="71"/>
        <v>0</v>
      </c>
      <c r="G40" s="169">
        <f t="shared" si="71"/>
        <v>0</v>
      </c>
      <c r="H40" s="169">
        <f t="shared" si="71"/>
        <v>0</v>
      </c>
      <c r="I40" s="169">
        <f t="shared" si="71"/>
        <v>0</v>
      </c>
      <c r="J40" s="169">
        <f t="shared" si="71"/>
        <v>0</v>
      </c>
      <c r="K40" s="169">
        <f t="shared" si="71"/>
        <v>0</v>
      </c>
      <c r="L40" s="169">
        <f t="shared" si="71"/>
        <v>0</v>
      </c>
      <c r="M40" s="169">
        <f t="shared" si="71"/>
        <v>0</v>
      </c>
      <c r="N40" s="169">
        <f t="shared" si="73"/>
        <v>0</v>
      </c>
    </row>
    <row r="41" spans="1:14" x14ac:dyDescent="0.35">
      <c r="A41" s="157">
        <f t="shared" si="72"/>
        <v>43740</v>
      </c>
      <c r="B41" s="170"/>
      <c r="C41" s="170"/>
      <c r="D41" s="170"/>
      <c r="E41" s="169">
        <f>+(E5*E26*9/12)/9</f>
        <v>0</v>
      </c>
      <c r="F41" s="169">
        <f t="shared" si="71"/>
        <v>0</v>
      </c>
      <c r="G41" s="169">
        <f t="shared" si="71"/>
        <v>0</v>
      </c>
      <c r="H41" s="169">
        <f t="shared" si="71"/>
        <v>0</v>
      </c>
      <c r="I41" s="169">
        <f t="shared" si="71"/>
        <v>0</v>
      </c>
      <c r="J41" s="169">
        <f t="shared" si="71"/>
        <v>0</v>
      </c>
      <c r="K41" s="169">
        <f t="shared" si="71"/>
        <v>0</v>
      </c>
      <c r="L41" s="169">
        <f t="shared" si="71"/>
        <v>0</v>
      </c>
      <c r="M41" s="169">
        <f t="shared" si="71"/>
        <v>0</v>
      </c>
      <c r="N41" s="169">
        <f t="shared" si="73"/>
        <v>0</v>
      </c>
    </row>
    <row r="42" spans="1:14" x14ac:dyDescent="0.35">
      <c r="A42" s="157">
        <f t="shared" si="72"/>
        <v>43771</v>
      </c>
      <c r="B42" s="170"/>
      <c r="C42" s="170"/>
      <c r="D42" s="170"/>
      <c r="E42" s="170"/>
      <c r="F42" s="169">
        <f>+(F5*F26*8/12)/8</f>
        <v>0</v>
      </c>
      <c r="G42" s="169">
        <f t="shared" si="71"/>
        <v>0</v>
      </c>
      <c r="H42" s="169">
        <f t="shared" si="71"/>
        <v>0</v>
      </c>
      <c r="I42" s="169">
        <f t="shared" si="71"/>
        <v>0</v>
      </c>
      <c r="J42" s="169">
        <f t="shared" si="71"/>
        <v>0</v>
      </c>
      <c r="K42" s="169">
        <f t="shared" si="71"/>
        <v>0</v>
      </c>
      <c r="L42" s="169">
        <f t="shared" si="71"/>
        <v>0</v>
      </c>
      <c r="M42" s="169">
        <f t="shared" si="71"/>
        <v>0</v>
      </c>
      <c r="N42" s="169">
        <f t="shared" si="73"/>
        <v>0</v>
      </c>
    </row>
    <row r="43" spans="1:14" x14ac:dyDescent="0.35">
      <c r="A43" s="157">
        <f t="shared" si="72"/>
        <v>43802</v>
      </c>
      <c r="B43" s="170"/>
      <c r="C43" s="170"/>
      <c r="D43" s="170"/>
      <c r="E43" s="170"/>
      <c r="F43" s="170"/>
      <c r="G43" s="169">
        <f>+(G5*G26*7/12)/7</f>
        <v>0</v>
      </c>
      <c r="H43" s="169">
        <f t="shared" si="71"/>
        <v>0</v>
      </c>
      <c r="I43" s="169">
        <f t="shared" si="71"/>
        <v>0</v>
      </c>
      <c r="J43" s="169">
        <f t="shared" si="71"/>
        <v>0</v>
      </c>
      <c r="K43" s="169">
        <f t="shared" si="71"/>
        <v>0</v>
      </c>
      <c r="L43" s="169">
        <f t="shared" si="71"/>
        <v>0</v>
      </c>
      <c r="M43" s="169">
        <f t="shared" si="71"/>
        <v>0</v>
      </c>
      <c r="N43" s="169">
        <f t="shared" si="73"/>
        <v>0</v>
      </c>
    </row>
    <row r="44" spans="1:14" x14ac:dyDescent="0.35">
      <c r="A44" s="157">
        <f t="shared" si="72"/>
        <v>43833</v>
      </c>
      <c r="B44" s="170"/>
      <c r="C44" s="170"/>
      <c r="D44" s="170"/>
      <c r="E44" s="170"/>
      <c r="F44" s="170"/>
      <c r="G44" s="170"/>
      <c r="H44" s="169">
        <f>+(H5*H26*6/12)/6</f>
        <v>0</v>
      </c>
      <c r="I44" s="169">
        <f t="shared" si="71"/>
        <v>0</v>
      </c>
      <c r="J44" s="169">
        <f t="shared" si="71"/>
        <v>0</v>
      </c>
      <c r="K44" s="169">
        <f t="shared" si="71"/>
        <v>0</v>
      </c>
      <c r="L44" s="169">
        <f t="shared" si="71"/>
        <v>0</v>
      </c>
      <c r="M44" s="169">
        <f t="shared" si="71"/>
        <v>0</v>
      </c>
      <c r="N44" s="169">
        <f t="shared" si="73"/>
        <v>0</v>
      </c>
    </row>
    <row r="45" spans="1:14" x14ac:dyDescent="0.35">
      <c r="A45" s="157">
        <f t="shared" si="72"/>
        <v>43864</v>
      </c>
      <c r="B45" s="170"/>
      <c r="C45" s="170"/>
      <c r="D45" s="170"/>
      <c r="E45" s="170"/>
      <c r="F45" s="170"/>
      <c r="G45" s="170"/>
      <c r="H45" s="170"/>
      <c r="I45" s="169">
        <f>(I5*I26*5/12)/5</f>
        <v>0</v>
      </c>
      <c r="J45" s="169">
        <f t="shared" si="71"/>
        <v>0</v>
      </c>
      <c r="K45" s="169">
        <f t="shared" si="71"/>
        <v>0</v>
      </c>
      <c r="L45" s="169">
        <f t="shared" si="71"/>
        <v>0</v>
      </c>
      <c r="M45" s="169">
        <f t="shared" si="71"/>
        <v>0</v>
      </c>
      <c r="N45" s="169">
        <f t="shared" si="73"/>
        <v>0</v>
      </c>
    </row>
    <row r="46" spans="1:14" x14ac:dyDescent="0.35">
      <c r="A46" s="157">
        <f t="shared" si="72"/>
        <v>43895</v>
      </c>
      <c r="B46" s="170"/>
      <c r="C46" s="170"/>
      <c r="D46" s="170"/>
      <c r="E46" s="170"/>
      <c r="F46" s="170"/>
      <c r="G46" s="170"/>
      <c r="H46" s="170"/>
      <c r="I46" s="170"/>
      <c r="J46" s="169">
        <f>(J5*J26*4/12)/4</f>
        <v>0</v>
      </c>
      <c r="K46" s="169">
        <f t="shared" si="71"/>
        <v>0</v>
      </c>
      <c r="L46" s="169">
        <f t="shared" si="71"/>
        <v>0</v>
      </c>
      <c r="M46" s="169">
        <f t="shared" si="71"/>
        <v>0</v>
      </c>
      <c r="N46" s="169">
        <f t="shared" si="73"/>
        <v>0</v>
      </c>
    </row>
    <row r="47" spans="1:14" x14ac:dyDescent="0.35">
      <c r="A47" s="157">
        <f t="shared" si="72"/>
        <v>43926</v>
      </c>
      <c r="B47" s="170"/>
      <c r="C47" s="170"/>
      <c r="D47" s="170"/>
      <c r="E47" s="170"/>
      <c r="F47" s="170"/>
      <c r="G47" s="170"/>
      <c r="H47" s="170"/>
      <c r="I47" s="170"/>
      <c r="J47" s="170"/>
      <c r="K47" s="169">
        <f>(K5*K26*3/12)/3</f>
        <v>0</v>
      </c>
      <c r="L47" s="169">
        <f t="shared" si="71"/>
        <v>0</v>
      </c>
      <c r="M47" s="169">
        <f t="shared" si="71"/>
        <v>0</v>
      </c>
      <c r="N47" s="169">
        <f t="shared" si="73"/>
        <v>0</v>
      </c>
    </row>
    <row r="48" spans="1:14" x14ac:dyDescent="0.35">
      <c r="A48" s="157">
        <f t="shared" si="72"/>
        <v>43957</v>
      </c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69">
        <f>(L5*L26*2/12)/2</f>
        <v>0</v>
      </c>
      <c r="M48" s="169">
        <f t="shared" si="71"/>
        <v>0</v>
      </c>
      <c r="N48" s="169">
        <f t="shared" si="73"/>
        <v>0</v>
      </c>
    </row>
    <row r="49" spans="1:14" x14ac:dyDescent="0.35">
      <c r="A49" s="157">
        <f t="shared" si="72"/>
        <v>43988</v>
      </c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69">
        <f>(M5*M26/12)</f>
        <v>0</v>
      </c>
      <c r="N49" s="169">
        <f t="shared" si="73"/>
        <v>0</v>
      </c>
    </row>
    <row r="50" spans="1:14" x14ac:dyDescent="0.35">
      <c r="B50" s="160">
        <v>43647</v>
      </c>
      <c r="C50" s="160">
        <f>+B50+31</f>
        <v>43678</v>
      </c>
      <c r="D50" s="160">
        <f t="shared" ref="D50:M50" si="74">+C50+31</f>
        <v>43709</v>
      </c>
      <c r="E50" s="160">
        <f t="shared" si="74"/>
        <v>43740</v>
      </c>
      <c r="F50" s="160">
        <f t="shared" si="74"/>
        <v>43771</v>
      </c>
      <c r="G50" s="160">
        <f t="shared" si="74"/>
        <v>43802</v>
      </c>
      <c r="H50" s="160">
        <f t="shared" si="74"/>
        <v>43833</v>
      </c>
      <c r="I50" s="160">
        <f t="shared" si="74"/>
        <v>43864</v>
      </c>
      <c r="J50" s="160">
        <f t="shared" si="74"/>
        <v>43895</v>
      </c>
      <c r="K50" s="160">
        <f t="shared" si="74"/>
        <v>43926</v>
      </c>
      <c r="L50" s="160">
        <f t="shared" si="74"/>
        <v>43957</v>
      </c>
      <c r="M50" s="160">
        <f t="shared" si="74"/>
        <v>43988</v>
      </c>
      <c r="N50" s="159" t="s">
        <v>84</v>
      </c>
    </row>
    <row r="51" spans="1:14" x14ac:dyDescent="0.35">
      <c r="A51" s="17" t="s">
        <v>290</v>
      </c>
      <c r="B51" s="168">
        <f>SUM(B52:B63)</f>
        <v>0</v>
      </c>
      <c r="C51" s="168">
        <f t="shared" ref="C51:M51" si="75">SUM(C52:C63)</f>
        <v>0</v>
      </c>
      <c r="D51" s="168">
        <f t="shared" si="75"/>
        <v>0</v>
      </c>
      <c r="E51" s="168">
        <f t="shared" si="75"/>
        <v>0</v>
      </c>
      <c r="F51" s="168">
        <f t="shared" si="75"/>
        <v>0</v>
      </c>
      <c r="G51" s="168">
        <f t="shared" si="75"/>
        <v>0</v>
      </c>
      <c r="H51" s="168">
        <f t="shared" si="75"/>
        <v>0</v>
      </c>
      <c r="I51" s="168">
        <f t="shared" si="75"/>
        <v>0</v>
      </c>
      <c r="J51" s="168">
        <f t="shared" si="75"/>
        <v>0</v>
      </c>
      <c r="K51" s="168">
        <f t="shared" si="75"/>
        <v>0</v>
      </c>
      <c r="L51" s="168">
        <f t="shared" si="75"/>
        <v>0</v>
      </c>
      <c r="M51" s="168">
        <f t="shared" si="75"/>
        <v>0</v>
      </c>
      <c r="N51" s="169">
        <f>SUM(B51:M51)</f>
        <v>0</v>
      </c>
    </row>
    <row r="52" spans="1:14" x14ac:dyDescent="0.35">
      <c r="A52" s="157">
        <v>43647</v>
      </c>
      <c r="B52" s="169">
        <f>+B30*B11/12</f>
        <v>0</v>
      </c>
      <c r="C52" s="169">
        <f>+B52</f>
        <v>0</v>
      </c>
      <c r="D52" s="169">
        <f t="shared" ref="D52:M62" si="76">+C52</f>
        <v>0</v>
      </c>
      <c r="E52" s="169">
        <f t="shared" si="76"/>
        <v>0</v>
      </c>
      <c r="F52" s="169">
        <f t="shared" si="76"/>
        <v>0</v>
      </c>
      <c r="G52" s="169">
        <f t="shared" si="76"/>
        <v>0</v>
      </c>
      <c r="H52" s="169">
        <f t="shared" si="76"/>
        <v>0</v>
      </c>
      <c r="I52" s="169">
        <f t="shared" si="76"/>
        <v>0</v>
      </c>
      <c r="J52" s="169">
        <f t="shared" si="76"/>
        <v>0</v>
      </c>
      <c r="K52" s="169">
        <f t="shared" si="76"/>
        <v>0</v>
      </c>
      <c r="L52" s="169">
        <f t="shared" si="76"/>
        <v>0</v>
      </c>
      <c r="M52" s="169">
        <f t="shared" si="76"/>
        <v>0</v>
      </c>
      <c r="N52" s="169">
        <f>SUM(B52:M52)</f>
        <v>0</v>
      </c>
    </row>
    <row r="53" spans="1:14" x14ac:dyDescent="0.35">
      <c r="A53" s="157">
        <f t="shared" ref="A53:A63" si="77">+A52+31</f>
        <v>43678</v>
      </c>
      <c r="B53" s="170"/>
      <c r="C53" s="169">
        <f>+(C30*C11*11/12)/11</f>
        <v>0</v>
      </c>
      <c r="D53" s="169">
        <f t="shared" si="76"/>
        <v>0</v>
      </c>
      <c r="E53" s="169">
        <f t="shared" si="76"/>
        <v>0</v>
      </c>
      <c r="F53" s="169">
        <f t="shared" si="76"/>
        <v>0</v>
      </c>
      <c r="G53" s="169">
        <f t="shared" si="76"/>
        <v>0</v>
      </c>
      <c r="H53" s="169">
        <f t="shared" si="76"/>
        <v>0</v>
      </c>
      <c r="I53" s="169">
        <f t="shared" si="76"/>
        <v>0</v>
      </c>
      <c r="J53" s="169">
        <f t="shared" si="76"/>
        <v>0</v>
      </c>
      <c r="K53" s="169">
        <f t="shared" si="76"/>
        <v>0</v>
      </c>
      <c r="L53" s="169">
        <f t="shared" si="76"/>
        <v>0</v>
      </c>
      <c r="M53" s="169">
        <f t="shared" si="76"/>
        <v>0</v>
      </c>
      <c r="N53" s="169">
        <f t="shared" ref="N53:N63" si="78">SUM(B53:M53)</f>
        <v>0</v>
      </c>
    </row>
    <row r="54" spans="1:14" x14ac:dyDescent="0.35">
      <c r="A54" s="157">
        <f t="shared" si="77"/>
        <v>43709</v>
      </c>
      <c r="B54" s="170"/>
      <c r="C54" s="170"/>
      <c r="D54" s="169">
        <f>+(D30*D11*10/12)/10</f>
        <v>0</v>
      </c>
      <c r="E54" s="169">
        <f t="shared" si="76"/>
        <v>0</v>
      </c>
      <c r="F54" s="169">
        <f t="shared" si="76"/>
        <v>0</v>
      </c>
      <c r="G54" s="169">
        <f t="shared" si="76"/>
        <v>0</v>
      </c>
      <c r="H54" s="169">
        <f t="shared" si="76"/>
        <v>0</v>
      </c>
      <c r="I54" s="169">
        <f t="shared" si="76"/>
        <v>0</v>
      </c>
      <c r="J54" s="169">
        <f t="shared" si="76"/>
        <v>0</v>
      </c>
      <c r="K54" s="169">
        <f t="shared" si="76"/>
        <v>0</v>
      </c>
      <c r="L54" s="169">
        <f t="shared" si="76"/>
        <v>0</v>
      </c>
      <c r="M54" s="169">
        <f t="shared" si="76"/>
        <v>0</v>
      </c>
      <c r="N54" s="169">
        <f t="shared" si="78"/>
        <v>0</v>
      </c>
    </row>
    <row r="55" spans="1:14" x14ac:dyDescent="0.35">
      <c r="A55" s="157">
        <f t="shared" si="77"/>
        <v>43740</v>
      </c>
      <c r="B55" s="170"/>
      <c r="C55" s="170"/>
      <c r="D55" s="170"/>
      <c r="E55" s="169">
        <f>+(E30*E11*9/12)/9</f>
        <v>0</v>
      </c>
      <c r="F55" s="169">
        <f t="shared" si="76"/>
        <v>0</v>
      </c>
      <c r="G55" s="169">
        <f t="shared" si="76"/>
        <v>0</v>
      </c>
      <c r="H55" s="169">
        <f t="shared" si="76"/>
        <v>0</v>
      </c>
      <c r="I55" s="169">
        <f t="shared" si="76"/>
        <v>0</v>
      </c>
      <c r="J55" s="169">
        <f t="shared" si="76"/>
        <v>0</v>
      </c>
      <c r="K55" s="169">
        <f t="shared" si="76"/>
        <v>0</v>
      </c>
      <c r="L55" s="169">
        <f t="shared" si="76"/>
        <v>0</v>
      </c>
      <c r="M55" s="169">
        <f t="shared" si="76"/>
        <v>0</v>
      </c>
      <c r="N55" s="169">
        <f t="shared" si="78"/>
        <v>0</v>
      </c>
    </row>
    <row r="56" spans="1:14" x14ac:dyDescent="0.35">
      <c r="A56" s="157">
        <f t="shared" si="77"/>
        <v>43771</v>
      </c>
      <c r="B56" s="170"/>
      <c r="C56" s="170"/>
      <c r="D56" s="170"/>
      <c r="E56" s="170"/>
      <c r="F56" s="169">
        <f>(+F30*F11*8/12)/8</f>
        <v>0</v>
      </c>
      <c r="G56" s="169">
        <f t="shared" si="76"/>
        <v>0</v>
      </c>
      <c r="H56" s="169">
        <f t="shared" si="76"/>
        <v>0</v>
      </c>
      <c r="I56" s="169">
        <f t="shared" si="76"/>
        <v>0</v>
      </c>
      <c r="J56" s="169">
        <f t="shared" si="76"/>
        <v>0</v>
      </c>
      <c r="K56" s="169">
        <f t="shared" si="76"/>
        <v>0</v>
      </c>
      <c r="L56" s="169">
        <f t="shared" si="76"/>
        <v>0</v>
      </c>
      <c r="M56" s="169">
        <f t="shared" si="76"/>
        <v>0</v>
      </c>
      <c r="N56" s="169">
        <f t="shared" si="78"/>
        <v>0</v>
      </c>
    </row>
    <row r="57" spans="1:14" x14ac:dyDescent="0.35">
      <c r="A57" s="157">
        <f t="shared" si="77"/>
        <v>43802</v>
      </c>
      <c r="B57" s="170"/>
      <c r="C57" s="170"/>
      <c r="D57" s="170"/>
      <c r="E57" s="170"/>
      <c r="F57" s="170"/>
      <c r="G57" s="169">
        <f>+(G30*G11*7/12)/7</f>
        <v>0</v>
      </c>
      <c r="H57" s="169">
        <f>+G57</f>
        <v>0</v>
      </c>
      <c r="I57" s="169">
        <f t="shared" si="76"/>
        <v>0</v>
      </c>
      <c r="J57" s="169">
        <f t="shared" si="76"/>
        <v>0</v>
      </c>
      <c r="K57" s="169">
        <f t="shared" si="76"/>
        <v>0</v>
      </c>
      <c r="L57" s="169">
        <f t="shared" si="76"/>
        <v>0</v>
      </c>
      <c r="M57" s="169">
        <f t="shared" si="76"/>
        <v>0</v>
      </c>
      <c r="N57" s="169">
        <f t="shared" si="78"/>
        <v>0</v>
      </c>
    </row>
    <row r="58" spans="1:14" x14ac:dyDescent="0.35">
      <c r="A58" s="157">
        <f t="shared" si="77"/>
        <v>43833</v>
      </c>
      <c r="B58" s="170"/>
      <c r="C58" s="170"/>
      <c r="D58" s="170"/>
      <c r="E58" s="170"/>
      <c r="F58" s="170"/>
      <c r="G58" s="170"/>
      <c r="H58" s="169">
        <f>+(H30*H11*6/12)/6</f>
        <v>0</v>
      </c>
      <c r="I58" s="169">
        <f t="shared" si="76"/>
        <v>0</v>
      </c>
      <c r="J58" s="169">
        <f t="shared" si="76"/>
        <v>0</v>
      </c>
      <c r="K58" s="169">
        <f t="shared" si="76"/>
        <v>0</v>
      </c>
      <c r="L58" s="169">
        <f t="shared" si="76"/>
        <v>0</v>
      </c>
      <c r="M58" s="169">
        <f t="shared" si="76"/>
        <v>0</v>
      </c>
      <c r="N58" s="169">
        <f t="shared" si="78"/>
        <v>0</v>
      </c>
    </row>
    <row r="59" spans="1:14" x14ac:dyDescent="0.35">
      <c r="A59" s="157">
        <f t="shared" si="77"/>
        <v>43864</v>
      </c>
      <c r="B59" s="170"/>
      <c r="C59" s="170"/>
      <c r="D59" s="170"/>
      <c r="E59" s="170"/>
      <c r="F59" s="170"/>
      <c r="G59" s="170"/>
      <c r="H59" s="170"/>
      <c r="I59" s="169">
        <f>+(I30*I11*5/12)/5</f>
        <v>0</v>
      </c>
      <c r="J59" s="169">
        <f t="shared" si="76"/>
        <v>0</v>
      </c>
      <c r="K59" s="169">
        <f t="shared" si="76"/>
        <v>0</v>
      </c>
      <c r="L59" s="169">
        <f t="shared" si="76"/>
        <v>0</v>
      </c>
      <c r="M59" s="169">
        <f t="shared" si="76"/>
        <v>0</v>
      </c>
      <c r="N59" s="169">
        <f t="shared" si="78"/>
        <v>0</v>
      </c>
    </row>
    <row r="60" spans="1:14" x14ac:dyDescent="0.35">
      <c r="A60" s="157">
        <f t="shared" si="77"/>
        <v>43895</v>
      </c>
      <c r="B60" s="170"/>
      <c r="C60" s="170"/>
      <c r="D60" s="170"/>
      <c r="E60" s="170"/>
      <c r="F60" s="170"/>
      <c r="G60" s="170"/>
      <c r="H60" s="170"/>
      <c r="I60" s="170"/>
      <c r="J60" s="169">
        <f>+(J30*J11*4/12)/4</f>
        <v>0</v>
      </c>
      <c r="K60" s="169">
        <f t="shared" si="76"/>
        <v>0</v>
      </c>
      <c r="L60" s="169">
        <f t="shared" si="76"/>
        <v>0</v>
      </c>
      <c r="M60" s="169">
        <f t="shared" si="76"/>
        <v>0</v>
      </c>
      <c r="N60" s="169">
        <f t="shared" si="78"/>
        <v>0</v>
      </c>
    </row>
    <row r="61" spans="1:14" x14ac:dyDescent="0.35">
      <c r="A61" s="157">
        <f t="shared" si="77"/>
        <v>43926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69">
        <f>+(K30*K11*3/12)/3</f>
        <v>0</v>
      </c>
      <c r="L61" s="169">
        <f t="shared" si="76"/>
        <v>0</v>
      </c>
      <c r="M61" s="169">
        <f t="shared" si="76"/>
        <v>0</v>
      </c>
      <c r="N61" s="169">
        <f t="shared" si="78"/>
        <v>0</v>
      </c>
    </row>
    <row r="62" spans="1:14" x14ac:dyDescent="0.35">
      <c r="A62" s="157">
        <f t="shared" si="77"/>
        <v>43957</v>
      </c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69">
        <f>+(L30*L11*2/12)/2</f>
        <v>0</v>
      </c>
      <c r="M62" s="169">
        <f t="shared" si="76"/>
        <v>0</v>
      </c>
      <c r="N62" s="169">
        <f t="shared" si="78"/>
        <v>0</v>
      </c>
    </row>
    <row r="63" spans="1:14" x14ac:dyDescent="0.35">
      <c r="A63" s="157">
        <f t="shared" si="77"/>
        <v>43988</v>
      </c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69">
        <f>+(M30*M11/12)</f>
        <v>0</v>
      </c>
      <c r="N63" s="169">
        <f t="shared" si="78"/>
        <v>0</v>
      </c>
    </row>
    <row r="64" spans="1:14" x14ac:dyDescent="0.35">
      <c r="B64" s="160">
        <v>43647</v>
      </c>
      <c r="C64" s="160">
        <f>+B64+31</f>
        <v>43678</v>
      </c>
      <c r="D64" s="160">
        <f t="shared" ref="D64:M64" si="79">+C64+31</f>
        <v>43709</v>
      </c>
      <c r="E64" s="160">
        <f t="shared" si="79"/>
        <v>43740</v>
      </c>
      <c r="F64" s="160">
        <f t="shared" si="79"/>
        <v>43771</v>
      </c>
      <c r="G64" s="160">
        <f t="shared" si="79"/>
        <v>43802</v>
      </c>
      <c r="H64" s="160">
        <f t="shared" si="79"/>
        <v>43833</v>
      </c>
      <c r="I64" s="160">
        <f t="shared" si="79"/>
        <v>43864</v>
      </c>
      <c r="J64" s="160">
        <f t="shared" si="79"/>
        <v>43895</v>
      </c>
      <c r="K64" s="160">
        <f t="shared" si="79"/>
        <v>43926</v>
      </c>
      <c r="L64" s="160">
        <f t="shared" si="79"/>
        <v>43957</v>
      </c>
      <c r="M64" s="160">
        <f t="shared" si="79"/>
        <v>43988</v>
      </c>
      <c r="N64" s="159" t="s">
        <v>84</v>
      </c>
    </row>
    <row r="65" spans="1:14" x14ac:dyDescent="0.35">
      <c r="A65" s="17" t="s">
        <v>291</v>
      </c>
      <c r="B65" s="168">
        <f>SUM(B66:B77)</f>
        <v>9610.1124166666687</v>
      </c>
      <c r="C65" s="168">
        <f t="shared" ref="C65:M65" si="80">SUM(C66:C77)</f>
        <v>9610.1124166666687</v>
      </c>
      <c r="D65" s="168">
        <f t="shared" si="80"/>
        <v>9610.1124166666687</v>
      </c>
      <c r="E65" s="168">
        <f t="shared" si="80"/>
        <v>9610.1124166666687</v>
      </c>
      <c r="F65" s="168">
        <f t="shared" si="80"/>
        <v>9610.1124166666687</v>
      </c>
      <c r="G65" s="168">
        <f t="shared" si="80"/>
        <v>9610.1124166666687</v>
      </c>
      <c r="H65" s="168">
        <f t="shared" si="80"/>
        <v>9610.1124166666687</v>
      </c>
      <c r="I65" s="168">
        <f t="shared" si="80"/>
        <v>9610.1124166666687</v>
      </c>
      <c r="J65" s="168">
        <f t="shared" si="80"/>
        <v>9610.1124166666687</v>
      </c>
      <c r="K65" s="168">
        <f t="shared" si="80"/>
        <v>9610.1124166666687</v>
      </c>
      <c r="L65" s="168">
        <f t="shared" si="80"/>
        <v>9610.1124166666687</v>
      </c>
      <c r="M65" s="168">
        <f t="shared" si="80"/>
        <v>9610.1124166666687</v>
      </c>
      <c r="N65" s="169">
        <f>SUM(B65:M65)</f>
        <v>115321.34900000003</v>
      </c>
    </row>
    <row r="66" spans="1:14" x14ac:dyDescent="0.35">
      <c r="A66" s="157">
        <v>43647</v>
      </c>
      <c r="B66" s="169">
        <f>+B34*B17/12</f>
        <v>9610.1124166666687</v>
      </c>
      <c r="C66" s="169">
        <f>+B66</f>
        <v>9610.1124166666687</v>
      </c>
      <c r="D66" s="169">
        <f t="shared" ref="D66:M76" si="81">+C66</f>
        <v>9610.1124166666687</v>
      </c>
      <c r="E66" s="169">
        <f t="shared" si="81"/>
        <v>9610.1124166666687</v>
      </c>
      <c r="F66" s="169">
        <f t="shared" si="81"/>
        <v>9610.1124166666687</v>
      </c>
      <c r="G66" s="169">
        <f t="shared" si="81"/>
        <v>9610.1124166666687</v>
      </c>
      <c r="H66" s="169">
        <f t="shared" si="81"/>
        <v>9610.1124166666687</v>
      </c>
      <c r="I66" s="169">
        <f t="shared" si="81"/>
        <v>9610.1124166666687</v>
      </c>
      <c r="J66" s="169">
        <f t="shared" si="81"/>
        <v>9610.1124166666687</v>
      </c>
      <c r="K66" s="169">
        <f t="shared" si="81"/>
        <v>9610.1124166666687</v>
      </c>
      <c r="L66" s="169">
        <f t="shared" si="81"/>
        <v>9610.1124166666687</v>
      </c>
      <c r="M66" s="169">
        <f t="shared" si="81"/>
        <v>9610.1124166666687</v>
      </c>
      <c r="N66" s="169">
        <f>SUM(B66:M66)</f>
        <v>115321.34900000003</v>
      </c>
    </row>
    <row r="67" spans="1:14" x14ac:dyDescent="0.35">
      <c r="A67" s="157">
        <f t="shared" ref="A67:A77" si="82">+A66+31</f>
        <v>43678</v>
      </c>
      <c r="B67" s="170"/>
      <c r="C67" s="169">
        <f>+(C34*C17*11/12)/11</f>
        <v>0</v>
      </c>
      <c r="D67" s="169">
        <f t="shared" si="81"/>
        <v>0</v>
      </c>
      <c r="E67" s="169">
        <f t="shared" si="81"/>
        <v>0</v>
      </c>
      <c r="F67" s="169">
        <f t="shared" si="81"/>
        <v>0</v>
      </c>
      <c r="G67" s="169">
        <f t="shared" si="81"/>
        <v>0</v>
      </c>
      <c r="H67" s="169">
        <f t="shared" si="81"/>
        <v>0</v>
      </c>
      <c r="I67" s="169">
        <f t="shared" si="81"/>
        <v>0</v>
      </c>
      <c r="J67" s="169">
        <f t="shared" si="81"/>
        <v>0</v>
      </c>
      <c r="K67" s="169">
        <f t="shared" si="81"/>
        <v>0</v>
      </c>
      <c r="L67" s="169">
        <f t="shared" si="81"/>
        <v>0</v>
      </c>
      <c r="M67" s="169">
        <f t="shared" si="81"/>
        <v>0</v>
      </c>
      <c r="N67" s="169">
        <f t="shared" ref="N67:N77" si="83">SUM(B67:M67)</f>
        <v>0</v>
      </c>
    </row>
    <row r="68" spans="1:14" x14ac:dyDescent="0.35">
      <c r="A68" s="157">
        <f t="shared" si="82"/>
        <v>43709</v>
      </c>
      <c r="B68" s="170"/>
      <c r="C68" s="170"/>
      <c r="D68" s="169">
        <f>+(D34*D17*10/12)/10</f>
        <v>0</v>
      </c>
      <c r="E68" s="169">
        <f t="shared" si="81"/>
        <v>0</v>
      </c>
      <c r="F68" s="169">
        <f t="shared" si="81"/>
        <v>0</v>
      </c>
      <c r="G68" s="169">
        <f t="shared" si="81"/>
        <v>0</v>
      </c>
      <c r="H68" s="169">
        <f t="shared" si="81"/>
        <v>0</v>
      </c>
      <c r="I68" s="169">
        <f t="shared" si="81"/>
        <v>0</v>
      </c>
      <c r="J68" s="169">
        <f t="shared" si="81"/>
        <v>0</v>
      </c>
      <c r="K68" s="169">
        <f t="shared" si="81"/>
        <v>0</v>
      </c>
      <c r="L68" s="169">
        <f t="shared" si="81"/>
        <v>0</v>
      </c>
      <c r="M68" s="169">
        <f t="shared" si="81"/>
        <v>0</v>
      </c>
      <c r="N68" s="169">
        <f t="shared" si="83"/>
        <v>0</v>
      </c>
    </row>
    <row r="69" spans="1:14" x14ac:dyDescent="0.35">
      <c r="A69" s="157">
        <f t="shared" si="82"/>
        <v>43740</v>
      </c>
      <c r="B69" s="170"/>
      <c r="C69" s="170"/>
      <c r="D69" s="170"/>
      <c r="E69" s="169">
        <f>+(E34*E17*9/12)/9</f>
        <v>0</v>
      </c>
      <c r="F69" s="169">
        <f t="shared" si="81"/>
        <v>0</v>
      </c>
      <c r="G69" s="169">
        <f t="shared" si="81"/>
        <v>0</v>
      </c>
      <c r="H69" s="169">
        <f t="shared" si="81"/>
        <v>0</v>
      </c>
      <c r="I69" s="169">
        <f t="shared" si="81"/>
        <v>0</v>
      </c>
      <c r="J69" s="169">
        <f t="shared" si="81"/>
        <v>0</v>
      </c>
      <c r="K69" s="169">
        <f t="shared" si="81"/>
        <v>0</v>
      </c>
      <c r="L69" s="169">
        <f t="shared" si="81"/>
        <v>0</v>
      </c>
      <c r="M69" s="169">
        <f t="shared" si="81"/>
        <v>0</v>
      </c>
      <c r="N69" s="169">
        <f t="shared" si="83"/>
        <v>0</v>
      </c>
    </row>
    <row r="70" spans="1:14" x14ac:dyDescent="0.35">
      <c r="A70" s="157">
        <f t="shared" si="82"/>
        <v>43771</v>
      </c>
      <c r="B70" s="170"/>
      <c r="C70" s="170"/>
      <c r="D70" s="170"/>
      <c r="E70" s="170"/>
      <c r="F70" s="169">
        <f>(+F34*F17*8/12)/8</f>
        <v>0</v>
      </c>
      <c r="G70" s="169">
        <f t="shared" si="81"/>
        <v>0</v>
      </c>
      <c r="H70" s="169">
        <f t="shared" si="81"/>
        <v>0</v>
      </c>
      <c r="I70" s="169">
        <f t="shared" si="81"/>
        <v>0</v>
      </c>
      <c r="J70" s="169">
        <f t="shared" si="81"/>
        <v>0</v>
      </c>
      <c r="K70" s="169">
        <f t="shared" si="81"/>
        <v>0</v>
      </c>
      <c r="L70" s="169">
        <f t="shared" si="81"/>
        <v>0</v>
      </c>
      <c r="M70" s="169">
        <f t="shared" si="81"/>
        <v>0</v>
      </c>
      <c r="N70" s="169">
        <f t="shared" si="83"/>
        <v>0</v>
      </c>
    </row>
    <row r="71" spans="1:14" x14ac:dyDescent="0.35">
      <c r="A71" s="157">
        <f t="shared" si="82"/>
        <v>43802</v>
      </c>
      <c r="B71" s="170"/>
      <c r="C71" s="170"/>
      <c r="D71" s="170"/>
      <c r="E71" s="170"/>
      <c r="F71" s="170"/>
      <c r="G71" s="169">
        <f>+(G34*G17*7/12)/7</f>
        <v>0</v>
      </c>
      <c r="H71" s="169">
        <f>+G71</f>
        <v>0</v>
      </c>
      <c r="I71" s="169">
        <f t="shared" si="81"/>
        <v>0</v>
      </c>
      <c r="J71" s="169">
        <f t="shared" si="81"/>
        <v>0</v>
      </c>
      <c r="K71" s="169">
        <f t="shared" si="81"/>
        <v>0</v>
      </c>
      <c r="L71" s="169">
        <f t="shared" si="81"/>
        <v>0</v>
      </c>
      <c r="M71" s="169">
        <f t="shared" si="81"/>
        <v>0</v>
      </c>
      <c r="N71" s="169">
        <f t="shared" si="83"/>
        <v>0</v>
      </c>
    </row>
    <row r="72" spans="1:14" x14ac:dyDescent="0.35">
      <c r="A72" s="157">
        <f t="shared" si="82"/>
        <v>43833</v>
      </c>
      <c r="B72" s="170"/>
      <c r="C72" s="170"/>
      <c r="D72" s="170"/>
      <c r="E72" s="170"/>
      <c r="F72" s="170"/>
      <c r="G72" s="170"/>
      <c r="H72" s="169">
        <f>+(H34*H17*6/12)/6</f>
        <v>0</v>
      </c>
      <c r="I72" s="169">
        <f t="shared" si="81"/>
        <v>0</v>
      </c>
      <c r="J72" s="169">
        <f t="shared" si="81"/>
        <v>0</v>
      </c>
      <c r="K72" s="169">
        <f t="shared" si="81"/>
        <v>0</v>
      </c>
      <c r="L72" s="169">
        <f t="shared" si="81"/>
        <v>0</v>
      </c>
      <c r="M72" s="169">
        <f t="shared" si="81"/>
        <v>0</v>
      </c>
      <c r="N72" s="169">
        <f t="shared" si="83"/>
        <v>0</v>
      </c>
    </row>
    <row r="73" spans="1:14" x14ac:dyDescent="0.35">
      <c r="A73" s="157">
        <f t="shared" si="82"/>
        <v>43864</v>
      </c>
      <c r="B73" s="170"/>
      <c r="C73" s="170"/>
      <c r="D73" s="170"/>
      <c r="E73" s="170"/>
      <c r="F73" s="170"/>
      <c r="G73" s="170"/>
      <c r="H73" s="170"/>
      <c r="I73" s="169">
        <f>+(I34*I17*5/12)/5</f>
        <v>0</v>
      </c>
      <c r="J73" s="169">
        <f t="shared" si="81"/>
        <v>0</v>
      </c>
      <c r="K73" s="169">
        <f t="shared" si="81"/>
        <v>0</v>
      </c>
      <c r="L73" s="169">
        <f t="shared" si="81"/>
        <v>0</v>
      </c>
      <c r="M73" s="169">
        <f t="shared" si="81"/>
        <v>0</v>
      </c>
      <c r="N73" s="169">
        <f t="shared" si="83"/>
        <v>0</v>
      </c>
    </row>
    <row r="74" spans="1:14" x14ac:dyDescent="0.35">
      <c r="A74" s="157">
        <f t="shared" si="82"/>
        <v>43895</v>
      </c>
      <c r="B74" s="170"/>
      <c r="C74" s="170"/>
      <c r="D74" s="170"/>
      <c r="E74" s="170"/>
      <c r="F74" s="170"/>
      <c r="G74" s="170"/>
      <c r="H74" s="170"/>
      <c r="I74" s="170"/>
      <c r="J74" s="169">
        <f>+(J34*J17*4/12)/4</f>
        <v>0</v>
      </c>
      <c r="K74" s="169">
        <f t="shared" si="81"/>
        <v>0</v>
      </c>
      <c r="L74" s="169">
        <f t="shared" si="81"/>
        <v>0</v>
      </c>
      <c r="M74" s="169">
        <f t="shared" si="81"/>
        <v>0</v>
      </c>
      <c r="N74" s="169">
        <f t="shared" si="83"/>
        <v>0</v>
      </c>
    </row>
    <row r="75" spans="1:14" x14ac:dyDescent="0.35">
      <c r="A75" s="157">
        <f t="shared" si="82"/>
        <v>43926</v>
      </c>
      <c r="B75" s="170"/>
      <c r="C75" s="170"/>
      <c r="D75" s="170"/>
      <c r="E75" s="170"/>
      <c r="F75" s="170"/>
      <c r="G75" s="170"/>
      <c r="H75" s="170"/>
      <c r="I75" s="170"/>
      <c r="J75" s="170"/>
      <c r="K75" s="169">
        <f>+(K34*K17*3/12)/3</f>
        <v>0</v>
      </c>
      <c r="L75" s="169">
        <f t="shared" si="81"/>
        <v>0</v>
      </c>
      <c r="M75" s="169">
        <f t="shared" si="81"/>
        <v>0</v>
      </c>
      <c r="N75" s="169">
        <f t="shared" si="83"/>
        <v>0</v>
      </c>
    </row>
    <row r="76" spans="1:14" x14ac:dyDescent="0.35">
      <c r="A76" s="157">
        <f t="shared" si="82"/>
        <v>43957</v>
      </c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69">
        <f>+(L34*L17*2/12)/2</f>
        <v>0</v>
      </c>
      <c r="M76" s="169">
        <f t="shared" si="81"/>
        <v>0</v>
      </c>
      <c r="N76" s="169">
        <f t="shared" si="83"/>
        <v>0</v>
      </c>
    </row>
    <row r="77" spans="1:14" x14ac:dyDescent="0.35">
      <c r="A77" s="157">
        <f t="shared" si="82"/>
        <v>43988</v>
      </c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69">
        <f>+(M34*M17/12)</f>
        <v>0</v>
      </c>
      <c r="N77" s="169">
        <f t="shared" si="83"/>
        <v>0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W77"/>
  <sheetViews>
    <sheetView topLeftCell="A2" zoomScale="140" zoomScaleNormal="140" workbookViewId="0">
      <selection activeCell="A33" sqref="A33"/>
    </sheetView>
  </sheetViews>
  <sheetFormatPr baseColWidth="10" defaultColWidth="11.46484375" defaultRowHeight="11.65" outlineLevelRow="1" x14ac:dyDescent="0.35"/>
  <cols>
    <col min="1" max="1" width="35.19921875" style="32" bestFit="1" customWidth="1"/>
    <col min="2" max="14" width="8" style="32" customWidth="1"/>
    <col min="15" max="16384" width="11.46484375" style="32"/>
  </cols>
  <sheetData>
    <row r="1" spans="1:14" ht="35.25" thickBot="1" x14ac:dyDescent="0.4">
      <c r="A1" s="68" t="s">
        <v>233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71" t="s">
        <v>179</v>
      </c>
      <c r="B4" s="76">
        <f t="shared" ref="B4:M4" si="1">+B5+B11+B17</f>
        <v>0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0</v>
      </c>
      <c r="L4" s="76">
        <f t="shared" si="1"/>
        <v>0</v>
      </c>
      <c r="M4" s="76">
        <f t="shared" si="1"/>
        <v>0</v>
      </c>
      <c r="N4" s="76">
        <f>SUM(B4:M4)</f>
        <v>0</v>
      </c>
    </row>
    <row r="5" spans="1:14" s="57" customFormat="1" x14ac:dyDescent="0.35">
      <c r="A5" s="72" t="s">
        <v>282</v>
      </c>
      <c r="B5" s="79">
        <f>(+B8*B9)+B10</f>
        <v>0</v>
      </c>
      <c r="C5" s="79">
        <f t="shared" ref="C5:M5" si="2">(+C8*C9)+C10</f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>SUM(B5:M5)</f>
        <v>0</v>
      </c>
    </row>
    <row r="6" spans="1:14" hidden="1" outlineLevel="1" x14ac:dyDescent="0.35">
      <c r="A6" s="66" t="s">
        <v>208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8"/>
    </row>
    <row r="7" spans="1:14" hidden="1" outlineLevel="1" x14ac:dyDescent="0.35">
      <c r="A7" s="66" t="s">
        <v>194</v>
      </c>
      <c r="B7" s="150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8">
        <f t="shared" ref="N7:N10" si="3">SUM(B7:M7)</f>
        <v>0</v>
      </c>
    </row>
    <row r="8" spans="1:14" hidden="1" outlineLevel="1" x14ac:dyDescent="0.35">
      <c r="A8" s="66" t="s">
        <v>209</v>
      </c>
      <c r="B8" s="146"/>
      <c r="C8" s="146">
        <f t="shared" ref="C8:M8" si="4">+C6*C7</f>
        <v>0</v>
      </c>
      <c r="D8" s="146">
        <f t="shared" si="4"/>
        <v>0</v>
      </c>
      <c r="E8" s="146">
        <f t="shared" si="4"/>
        <v>0</v>
      </c>
      <c r="F8" s="146">
        <f t="shared" si="4"/>
        <v>0</v>
      </c>
      <c r="G8" s="146">
        <f t="shared" si="4"/>
        <v>0</v>
      </c>
      <c r="H8" s="146">
        <f t="shared" si="4"/>
        <v>0</v>
      </c>
      <c r="I8" s="146">
        <f t="shared" si="4"/>
        <v>0</v>
      </c>
      <c r="J8" s="146">
        <f t="shared" si="4"/>
        <v>0</v>
      </c>
      <c r="K8" s="146">
        <f t="shared" si="4"/>
        <v>0</v>
      </c>
      <c r="L8" s="146">
        <f t="shared" si="4"/>
        <v>0</v>
      </c>
      <c r="M8" s="146">
        <f t="shared" si="4"/>
        <v>0</v>
      </c>
      <c r="N8" s="148">
        <f t="shared" si="3"/>
        <v>0</v>
      </c>
    </row>
    <row r="9" spans="1:14" hidden="1" outlineLevel="1" x14ac:dyDescent="0.35">
      <c r="A9" s="66" t="s">
        <v>204</v>
      </c>
      <c r="B9" s="150">
        <v>7.032</v>
      </c>
      <c r="C9" s="150">
        <f>+B9</f>
        <v>7.032</v>
      </c>
      <c r="D9" s="150">
        <f t="shared" ref="D9:M9" si="5">+C9</f>
        <v>7.032</v>
      </c>
      <c r="E9" s="150">
        <f t="shared" si="5"/>
        <v>7.032</v>
      </c>
      <c r="F9" s="150">
        <f t="shared" si="5"/>
        <v>7.032</v>
      </c>
      <c r="G9" s="150">
        <f t="shared" si="5"/>
        <v>7.032</v>
      </c>
      <c r="H9" s="150">
        <f t="shared" si="5"/>
        <v>7.032</v>
      </c>
      <c r="I9" s="150">
        <f t="shared" si="5"/>
        <v>7.032</v>
      </c>
      <c r="J9" s="150">
        <f t="shared" si="5"/>
        <v>7.032</v>
      </c>
      <c r="K9" s="150">
        <f t="shared" si="5"/>
        <v>7.032</v>
      </c>
      <c r="L9" s="150">
        <f t="shared" si="5"/>
        <v>7.032</v>
      </c>
      <c r="M9" s="150">
        <f t="shared" si="5"/>
        <v>7.032</v>
      </c>
      <c r="N9" s="148"/>
    </row>
    <row r="10" spans="1:14" hidden="1" outlineLevel="1" x14ac:dyDescent="0.35">
      <c r="A10" s="66" t="s">
        <v>205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8">
        <f t="shared" si="3"/>
        <v>0</v>
      </c>
    </row>
    <row r="11" spans="1:14" collapsed="1" x14ac:dyDescent="0.35">
      <c r="A11" s="72" t="s">
        <v>284</v>
      </c>
      <c r="B11" s="79">
        <f>(+B14*B15)+B16</f>
        <v>0</v>
      </c>
      <c r="C11" s="79">
        <f t="shared" ref="C11:M11" si="6">(+C14*C15)+C16</f>
        <v>0</v>
      </c>
      <c r="D11" s="79">
        <f t="shared" si="6"/>
        <v>0</v>
      </c>
      <c r="E11" s="79">
        <f t="shared" si="6"/>
        <v>0</v>
      </c>
      <c r="F11" s="79">
        <f t="shared" si="6"/>
        <v>0</v>
      </c>
      <c r="G11" s="79">
        <f t="shared" si="6"/>
        <v>0</v>
      </c>
      <c r="H11" s="79">
        <f t="shared" si="6"/>
        <v>0</v>
      </c>
      <c r="I11" s="79">
        <f t="shared" si="6"/>
        <v>0</v>
      </c>
      <c r="J11" s="79">
        <f t="shared" si="6"/>
        <v>0</v>
      </c>
      <c r="K11" s="79">
        <f t="shared" si="6"/>
        <v>0</v>
      </c>
      <c r="L11" s="79">
        <f t="shared" si="6"/>
        <v>0</v>
      </c>
      <c r="M11" s="79">
        <f t="shared" si="6"/>
        <v>0</v>
      </c>
      <c r="N11" s="79">
        <f>SUM(B11:M11)</f>
        <v>0</v>
      </c>
    </row>
    <row r="12" spans="1:14" hidden="1" outlineLevel="1" x14ac:dyDescent="0.35">
      <c r="A12" s="66" t="s">
        <v>208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8">
        <f t="shared" ref="N12" si="7">SUM(B12:M12)</f>
        <v>0</v>
      </c>
    </row>
    <row r="13" spans="1:14" hidden="1" outlineLevel="1" x14ac:dyDescent="0.35">
      <c r="A13" s="66" t="s">
        <v>194</v>
      </c>
      <c r="B13" s="150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</row>
    <row r="14" spans="1:14" hidden="1" outlineLevel="1" x14ac:dyDescent="0.35">
      <c r="A14" s="66" t="s">
        <v>209</v>
      </c>
      <c r="B14" s="146"/>
      <c r="C14" s="146">
        <f t="shared" ref="C14:M14" si="8">+C12*C13</f>
        <v>0</v>
      </c>
      <c r="D14" s="146">
        <f t="shared" si="8"/>
        <v>0</v>
      </c>
      <c r="E14" s="146">
        <f t="shared" si="8"/>
        <v>0</v>
      </c>
      <c r="F14" s="146">
        <f t="shared" si="8"/>
        <v>0</v>
      </c>
      <c r="G14" s="146">
        <f t="shared" si="8"/>
        <v>0</v>
      </c>
      <c r="H14" s="146">
        <f t="shared" si="8"/>
        <v>0</v>
      </c>
      <c r="I14" s="146">
        <f t="shared" si="8"/>
        <v>0</v>
      </c>
      <c r="J14" s="146">
        <f t="shared" si="8"/>
        <v>0</v>
      </c>
      <c r="K14" s="146">
        <f t="shared" si="8"/>
        <v>0</v>
      </c>
      <c r="L14" s="146">
        <f t="shared" si="8"/>
        <v>0</v>
      </c>
      <c r="M14" s="146">
        <f t="shared" si="8"/>
        <v>0</v>
      </c>
      <c r="N14" s="148">
        <f>SUM(B14:M14)</f>
        <v>0</v>
      </c>
    </row>
    <row r="15" spans="1:14" hidden="1" outlineLevel="1" x14ac:dyDescent="0.35">
      <c r="A15" s="66" t="s">
        <v>204</v>
      </c>
      <c r="B15" s="150">
        <f>88900/12700</f>
        <v>7</v>
      </c>
      <c r="C15" s="150">
        <f>+B15</f>
        <v>7</v>
      </c>
      <c r="D15" s="150">
        <f t="shared" ref="D15:M15" si="9">+C15</f>
        <v>7</v>
      </c>
      <c r="E15" s="150">
        <f t="shared" si="9"/>
        <v>7</v>
      </c>
      <c r="F15" s="150">
        <f t="shared" si="9"/>
        <v>7</v>
      </c>
      <c r="G15" s="150">
        <f t="shared" si="9"/>
        <v>7</v>
      </c>
      <c r="H15" s="150">
        <f t="shared" si="9"/>
        <v>7</v>
      </c>
      <c r="I15" s="150">
        <f t="shared" si="9"/>
        <v>7</v>
      </c>
      <c r="J15" s="150">
        <f t="shared" si="9"/>
        <v>7</v>
      </c>
      <c r="K15" s="150">
        <f t="shared" si="9"/>
        <v>7</v>
      </c>
      <c r="L15" s="150">
        <f t="shared" si="9"/>
        <v>7</v>
      </c>
      <c r="M15" s="150">
        <f t="shared" si="9"/>
        <v>7</v>
      </c>
      <c r="N15" s="148">
        <f t="shared" ref="N15" si="10">SUM(B15:M15)</f>
        <v>84</v>
      </c>
    </row>
    <row r="16" spans="1:14" hidden="1" outlineLevel="1" x14ac:dyDescent="0.35">
      <c r="A16" s="66" t="s">
        <v>205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</row>
    <row r="17" spans="1:23" collapsed="1" x14ac:dyDescent="0.35">
      <c r="A17" s="72" t="s">
        <v>286</v>
      </c>
      <c r="B17" s="79">
        <f>(+B20*B21)+B22</f>
        <v>0</v>
      </c>
      <c r="C17" s="79">
        <f t="shared" ref="C17:M17" si="11">(+C20*C21)+C22</f>
        <v>0</v>
      </c>
      <c r="D17" s="79">
        <f t="shared" si="11"/>
        <v>0</v>
      </c>
      <c r="E17" s="79">
        <f t="shared" si="11"/>
        <v>0</v>
      </c>
      <c r="F17" s="79">
        <f t="shared" si="11"/>
        <v>0</v>
      </c>
      <c r="G17" s="79">
        <f t="shared" si="11"/>
        <v>0</v>
      </c>
      <c r="H17" s="79">
        <f t="shared" si="11"/>
        <v>0</v>
      </c>
      <c r="I17" s="79">
        <f t="shared" si="11"/>
        <v>0</v>
      </c>
      <c r="J17" s="79">
        <f t="shared" si="11"/>
        <v>0</v>
      </c>
      <c r="K17" s="79">
        <f t="shared" si="11"/>
        <v>0</v>
      </c>
      <c r="L17" s="79">
        <f t="shared" si="11"/>
        <v>0</v>
      </c>
      <c r="M17" s="79">
        <f t="shared" si="11"/>
        <v>0</v>
      </c>
      <c r="N17" s="79">
        <f>SUM(B17:M17)</f>
        <v>0</v>
      </c>
    </row>
    <row r="18" spans="1:23" hidden="1" outlineLevel="1" x14ac:dyDescent="0.35">
      <c r="A18" s="66" t="s">
        <v>208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8">
        <f t="shared" ref="N18" si="12">SUM(B18:M18)</f>
        <v>0</v>
      </c>
    </row>
    <row r="19" spans="1:23" hidden="1" outlineLevel="1" x14ac:dyDescent="0.35">
      <c r="A19" s="66" t="s">
        <v>194</v>
      </c>
      <c r="B19" s="150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8"/>
    </row>
    <row r="20" spans="1:23" hidden="1" outlineLevel="1" x14ac:dyDescent="0.35">
      <c r="A20" s="66" t="s">
        <v>209</v>
      </c>
      <c r="B20" s="146"/>
      <c r="C20" s="146">
        <f t="shared" ref="C20:M20" si="13">+C18*C19</f>
        <v>0</v>
      </c>
      <c r="D20" s="146">
        <f t="shared" si="13"/>
        <v>0</v>
      </c>
      <c r="E20" s="146">
        <f t="shared" si="13"/>
        <v>0</v>
      </c>
      <c r="F20" s="146">
        <f t="shared" si="13"/>
        <v>0</v>
      </c>
      <c r="G20" s="146">
        <f t="shared" si="13"/>
        <v>0</v>
      </c>
      <c r="H20" s="146">
        <f t="shared" si="13"/>
        <v>0</v>
      </c>
      <c r="I20" s="146">
        <f t="shared" si="13"/>
        <v>0</v>
      </c>
      <c r="J20" s="146">
        <f t="shared" si="13"/>
        <v>0</v>
      </c>
      <c r="K20" s="146">
        <f t="shared" si="13"/>
        <v>0</v>
      </c>
      <c r="L20" s="146">
        <f t="shared" si="13"/>
        <v>0</v>
      </c>
      <c r="M20" s="146">
        <f t="shared" si="13"/>
        <v>0</v>
      </c>
      <c r="N20" s="148"/>
    </row>
    <row r="21" spans="1:23" hidden="1" outlineLevel="1" x14ac:dyDescent="0.35">
      <c r="A21" s="66" t="s">
        <v>204</v>
      </c>
      <c r="B21" s="150">
        <v>6.9998214442013138</v>
      </c>
      <c r="C21" s="150">
        <f>+B21</f>
        <v>6.9998214442013138</v>
      </c>
      <c r="D21" s="150">
        <f t="shared" ref="D21:M21" si="14">+C21</f>
        <v>6.9998214442013138</v>
      </c>
      <c r="E21" s="150">
        <f t="shared" si="14"/>
        <v>6.9998214442013138</v>
      </c>
      <c r="F21" s="150">
        <f t="shared" si="14"/>
        <v>6.9998214442013138</v>
      </c>
      <c r="G21" s="150">
        <f t="shared" si="14"/>
        <v>6.9998214442013138</v>
      </c>
      <c r="H21" s="150">
        <f t="shared" si="14"/>
        <v>6.9998214442013138</v>
      </c>
      <c r="I21" s="150">
        <f t="shared" si="14"/>
        <v>6.9998214442013138</v>
      </c>
      <c r="J21" s="150">
        <f t="shared" si="14"/>
        <v>6.9998214442013138</v>
      </c>
      <c r="K21" s="150">
        <f t="shared" si="14"/>
        <v>6.9998214442013138</v>
      </c>
      <c r="L21" s="150">
        <f t="shared" si="14"/>
        <v>6.9998214442013138</v>
      </c>
      <c r="M21" s="150">
        <f t="shared" si="14"/>
        <v>6.9998214442013138</v>
      </c>
      <c r="N21" s="148"/>
    </row>
    <row r="22" spans="1:23" hidden="1" outlineLevel="1" x14ac:dyDescent="0.35">
      <c r="A22" s="66" t="s">
        <v>205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8"/>
    </row>
    <row r="23" spans="1:23" collapsed="1" x14ac:dyDescent="0.35">
      <c r="A23" s="71" t="s">
        <v>188</v>
      </c>
      <c r="B23" s="76">
        <f>+B24+B28+B32</f>
        <v>16510.119670138254</v>
      </c>
      <c r="C23" s="76">
        <f t="shared" ref="C23:M23" si="15">+C24+C28+C32</f>
        <v>16510.119670138254</v>
      </c>
      <c r="D23" s="76">
        <f t="shared" si="15"/>
        <v>16510.119670138254</v>
      </c>
      <c r="E23" s="76">
        <f t="shared" si="15"/>
        <v>16510.119670138254</v>
      </c>
      <c r="F23" s="76">
        <f t="shared" si="15"/>
        <v>16510.119670138254</v>
      </c>
      <c r="G23" s="76">
        <f t="shared" si="15"/>
        <v>16510.119670138254</v>
      </c>
      <c r="H23" s="76">
        <f t="shared" si="15"/>
        <v>16510.119670138254</v>
      </c>
      <c r="I23" s="76">
        <f t="shared" si="15"/>
        <v>16510.119670138254</v>
      </c>
      <c r="J23" s="76">
        <f t="shared" si="15"/>
        <v>16510.119670138254</v>
      </c>
      <c r="K23" s="76">
        <f t="shared" si="15"/>
        <v>16510.119670138254</v>
      </c>
      <c r="L23" s="76">
        <f t="shared" si="15"/>
        <v>16510.119670138254</v>
      </c>
      <c r="M23" s="76">
        <f t="shared" si="15"/>
        <v>16510.119670138254</v>
      </c>
      <c r="N23" s="76">
        <f>SUM(B23:M23)</f>
        <v>198121.43604165906</v>
      </c>
    </row>
    <row r="24" spans="1:23" s="57" customFormat="1" x14ac:dyDescent="0.35">
      <c r="A24" s="72" t="s">
        <v>283</v>
      </c>
      <c r="B24" s="79">
        <f>+B25+B27</f>
        <v>7549.1912881938088</v>
      </c>
      <c r="C24" s="79">
        <f t="shared" ref="C24:M24" si="16">+C25+C27</f>
        <v>7549.1912881938088</v>
      </c>
      <c r="D24" s="79">
        <f t="shared" si="16"/>
        <v>7549.1912881938088</v>
      </c>
      <c r="E24" s="79">
        <f t="shared" si="16"/>
        <v>7549.1912881938088</v>
      </c>
      <c r="F24" s="79">
        <f t="shared" si="16"/>
        <v>7549.1912881938088</v>
      </c>
      <c r="G24" s="79">
        <f t="shared" si="16"/>
        <v>7549.1912881938088</v>
      </c>
      <c r="H24" s="79">
        <f t="shared" si="16"/>
        <v>7549.1912881938088</v>
      </c>
      <c r="I24" s="79">
        <f t="shared" si="16"/>
        <v>7549.1912881938088</v>
      </c>
      <c r="J24" s="79">
        <f t="shared" si="16"/>
        <v>7549.1912881938088</v>
      </c>
      <c r="K24" s="79">
        <f t="shared" si="16"/>
        <v>7549.1912881938088</v>
      </c>
      <c r="L24" s="79">
        <f t="shared" si="16"/>
        <v>7549.1912881938088</v>
      </c>
      <c r="M24" s="79">
        <f t="shared" si="16"/>
        <v>7549.1912881938088</v>
      </c>
      <c r="N24" s="79">
        <f>SUM(B24:M24)</f>
        <v>90590.295458325694</v>
      </c>
    </row>
    <row r="25" spans="1:23" outlineLevel="1" x14ac:dyDescent="0.35">
      <c r="A25" s="66" t="s">
        <v>189</v>
      </c>
      <c r="B25" s="146">
        <v>7549.1912881938088</v>
      </c>
      <c r="C25" s="146">
        <f>+B25</f>
        <v>7549.1912881938088</v>
      </c>
      <c r="D25" s="146">
        <f t="shared" ref="D25:M25" si="17">+C25</f>
        <v>7549.1912881938088</v>
      </c>
      <c r="E25" s="146">
        <f t="shared" si="17"/>
        <v>7549.1912881938088</v>
      </c>
      <c r="F25" s="146">
        <f t="shared" si="17"/>
        <v>7549.1912881938088</v>
      </c>
      <c r="G25" s="146">
        <f t="shared" si="17"/>
        <v>7549.1912881938088</v>
      </c>
      <c r="H25" s="146">
        <f t="shared" si="17"/>
        <v>7549.1912881938088</v>
      </c>
      <c r="I25" s="146">
        <f t="shared" si="17"/>
        <v>7549.1912881938088</v>
      </c>
      <c r="J25" s="146">
        <f t="shared" si="17"/>
        <v>7549.1912881938088</v>
      </c>
      <c r="K25" s="146">
        <f t="shared" si="17"/>
        <v>7549.1912881938088</v>
      </c>
      <c r="L25" s="146">
        <f t="shared" si="17"/>
        <v>7549.1912881938088</v>
      </c>
      <c r="M25" s="146">
        <f t="shared" si="17"/>
        <v>7549.1912881938088</v>
      </c>
      <c r="N25" s="146">
        <f>SUM(B25:M25)</f>
        <v>90590.295458325694</v>
      </c>
    </row>
    <row r="26" spans="1:23" outlineLevel="1" x14ac:dyDescent="0.35">
      <c r="A26" s="66" t="s">
        <v>190</v>
      </c>
      <c r="B26" s="149">
        <v>0.2</v>
      </c>
      <c r="C26" s="149">
        <f>+B26</f>
        <v>0.2</v>
      </c>
      <c r="D26" s="149">
        <f t="shared" ref="D26:M26" si="18">+C26</f>
        <v>0.2</v>
      </c>
      <c r="E26" s="149">
        <f t="shared" si="18"/>
        <v>0.2</v>
      </c>
      <c r="F26" s="149">
        <f t="shared" si="18"/>
        <v>0.2</v>
      </c>
      <c r="G26" s="149">
        <f t="shared" si="18"/>
        <v>0.2</v>
      </c>
      <c r="H26" s="149">
        <f t="shared" si="18"/>
        <v>0.2</v>
      </c>
      <c r="I26" s="149">
        <f t="shared" si="18"/>
        <v>0.2</v>
      </c>
      <c r="J26" s="149">
        <f t="shared" si="18"/>
        <v>0.2</v>
      </c>
      <c r="K26" s="149">
        <f t="shared" si="18"/>
        <v>0.2</v>
      </c>
      <c r="L26" s="149">
        <f t="shared" si="18"/>
        <v>0.2</v>
      </c>
      <c r="M26" s="149">
        <f t="shared" si="18"/>
        <v>0.2</v>
      </c>
      <c r="N26" s="146"/>
    </row>
    <row r="27" spans="1:23" outlineLevel="1" x14ac:dyDescent="0.35">
      <c r="A27" s="66" t="s">
        <v>288</v>
      </c>
      <c r="B27" s="146">
        <f>+B37</f>
        <v>0</v>
      </c>
      <c r="C27" s="146">
        <f t="shared" ref="C27:M27" si="19">+C37</f>
        <v>0</v>
      </c>
      <c r="D27" s="146">
        <f t="shared" si="19"/>
        <v>0</v>
      </c>
      <c r="E27" s="146">
        <f t="shared" si="19"/>
        <v>0</v>
      </c>
      <c r="F27" s="146">
        <f t="shared" si="19"/>
        <v>0</v>
      </c>
      <c r="G27" s="146">
        <f t="shared" si="19"/>
        <v>0</v>
      </c>
      <c r="H27" s="146">
        <f t="shared" si="19"/>
        <v>0</v>
      </c>
      <c r="I27" s="146">
        <f t="shared" si="19"/>
        <v>0</v>
      </c>
      <c r="J27" s="146">
        <f t="shared" si="19"/>
        <v>0</v>
      </c>
      <c r="K27" s="146">
        <f t="shared" si="19"/>
        <v>0</v>
      </c>
      <c r="L27" s="146">
        <f t="shared" si="19"/>
        <v>0</v>
      </c>
      <c r="M27" s="146">
        <f t="shared" si="19"/>
        <v>0</v>
      </c>
      <c r="N27" s="146">
        <f t="shared" ref="N27" si="20">SUM(B27:M27)</f>
        <v>0</v>
      </c>
    </row>
    <row r="28" spans="1:23" x14ac:dyDescent="0.35">
      <c r="A28" s="72" t="s">
        <v>285</v>
      </c>
      <c r="B28" s="79">
        <f>+B29+B31</f>
        <v>7067.3739965277773</v>
      </c>
      <c r="C28" s="79">
        <f t="shared" ref="C28:M28" si="21">+C29+C31</f>
        <v>7067.3739965277773</v>
      </c>
      <c r="D28" s="79">
        <f t="shared" si="21"/>
        <v>7067.3739965277773</v>
      </c>
      <c r="E28" s="79">
        <f t="shared" si="21"/>
        <v>7067.3739965277773</v>
      </c>
      <c r="F28" s="79">
        <f t="shared" si="21"/>
        <v>7067.3739965277773</v>
      </c>
      <c r="G28" s="79">
        <f t="shared" si="21"/>
        <v>7067.3739965277773</v>
      </c>
      <c r="H28" s="79">
        <f t="shared" si="21"/>
        <v>7067.3739965277773</v>
      </c>
      <c r="I28" s="79">
        <f t="shared" si="21"/>
        <v>7067.3739965277773</v>
      </c>
      <c r="J28" s="79">
        <f t="shared" si="21"/>
        <v>7067.3739965277773</v>
      </c>
      <c r="K28" s="79">
        <f t="shared" si="21"/>
        <v>7067.3739965277773</v>
      </c>
      <c r="L28" s="79">
        <f t="shared" si="21"/>
        <v>7067.3739965277773</v>
      </c>
      <c r="M28" s="79">
        <f t="shared" si="21"/>
        <v>7067.3739965277773</v>
      </c>
      <c r="N28" s="79">
        <f>SUM(B28:M28)</f>
        <v>84808.487958333324</v>
      </c>
    </row>
    <row r="29" spans="1:23" x14ac:dyDescent="0.35">
      <c r="A29" s="66" t="s">
        <v>189</v>
      </c>
      <c r="B29" s="146">
        <v>7067.3739965277773</v>
      </c>
      <c r="C29" s="146">
        <f>+B29</f>
        <v>7067.3739965277773</v>
      </c>
      <c r="D29" s="146">
        <f t="shared" ref="D29" si="22">+C29</f>
        <v>7067.3739965277773</v>
      </c>
      <c r="E29" s="146">
        <f t="shared" ref="E29" si="23">+D29</f>
        <v>7067.3739965277773</v>
      </c>
      <c r="F29" s="146">
        <f t="shared" ref="F29" si="24">+E29</f>
        <v>7067.3739965277773</v>
      </c>
      <c r="G29" s="146">
        <f t="shared" ref="G29" si="25">+F29</f>
        <v>7067.3739965277773</v>
      </c>
      <c r="H29" s="146">
        <f t="shared" ref="H29" si="26">+G29</f>
        <v>7067.3739965277773</v>
      </c>
      <c r="I29" s="146">
        <f t="shared" ref="I29" si="27">+H29</f>
        <v>7067.3739965277773</v>
      </c>
      <c r="J29" s="146">
        <f t="shared" ref="J29" si="28">+I29</f>
        <v>7067.3739965277773</v>
      </c>
      <c r="K29" s="146">
        <f t="shared" ref="K29" si="29">+J29</f>
        <v>7067.3739965277773</v>
      </c>
      <c r="L29" s="146">
        <f t="shared" ref="L29" si="30">+K29</f>
        <v>7067.3739965277773</v>
      </c>
      <c r="M29" s="146">
        <f t="shared" ref="M29" si="31">+L29</f>
        <v>7067.3739965277773</v>
      </c>
      <c r="N29" s="146">
        <f>SUM(B29:M29)</f>
        <v>84808.487958333324</v>
      </c>
    </row>
    <row r="30" spans="1:23" x14ac:dyDescent="0.35">
      <c r="A30" s="66" t="s">
        <v>190</v>
      </c>
      <c r="B30" s="149">
        <v>0.2</v>
      </c>
      <c r="C30" s="149">
        <f>+B30</f>
        <v>0.2</v>
      </c>
      <c r="D30" s="149">
        <f t="shared" ref="D30:M30" si="32">+C30</f>
        <v>0.2</v>
      </c>
      <c r="E30" s="149">
        <f t="shared" si="32"/>
        <v>0.2</v>
      </c>
      <c r="F30" s="149">
        <f t="shared" si="32"/>
        <v>0.2</v>
      </c>
      <c r="G30" s="149">
        <f t="shared" si="32"/>
        <v>0.2</v>
      </c>
      <c r="H30" s="149">
        <f t="shared" si="32"/>
        <v>0.2</v>
      </c>
      <c r="I30" s="149">
        <f t="shared" si="32"/>
        <v>0.2</v>
      </c>
      <c r="J30" s="149">
        <f t="shared" si="32"/>
        <v>0.2</v>
      </c>
      <c r="K30" s="149">
        <f t="shared" si="32"/>
        <v>0.2</v>
      </c>
      <c r="L30" s="149">
        <f t="shared" si="32"/>
        <v>0.2</v>
      </c>
      <c r="M30" s="149">
        <f t="shared" si="32"/>
        <v>0.2</v>
      </c>
      <c r="N30" s="146"/>
    </row>
    <row r="31" spans="1:23" outlineLevel="1" x14ac:dyDescent="0.35">
      <c r="A31" s="66" t="s">
        <v>288</v>
      </c>
      <c r="B31" s="146">
        <f>+B51</f>
        <v>0</v>
      </c>
      <c r="C31" s="146">
        <f t="shared" ref="C31:M31" si="33">+C51</f>
        <v>0</v>
      </c>
      <c r="D31" s="146">
        <f t="shared" si="33"/>
        <v>0</v>
      </c>
      <c r="E31" s="146">
        <f t="shared" si="33"/>
        <v>0</v>
      </c>
      <c r="F31" s="146">
        <f t="shared" si="33"/>
        <v>0</v>
      </c>
      <c r="G31" s="146">
        <f t="shared" si="33"/>
        <v>0</v>
      </c>
      <c r="H31" s="146">
        <f t="shared" si="33"/>
        <v>0</v>
      </c>
      <c r="I31" s="146">
        <f t="shared" si="33"/>
        <v>0</v>
      </c>
      <c r="J31" s="146">
        <f t="shared" si="33"/>
        <v>0</v>
      </c>
      <c r="K31" s="146">
        <f t="shared" si="33"/>
        <v>0</v>
      </c>
      <c r="L31" s="146">
        <f t="shared" si="33"/>
        <v>0</v>
      </c>
      <c r="M31" s="146">
        <f t="shared" si="33"/>
        <v>0</v>
      </c>
      <c r="N31" s="146">
        <f t="shared" ref="N31" si="34">SUM(B31:M31)</f>
        <v>0</v>
      </c>
      <c r="O31" s="74"/>
      <c r="P31" s="74"/>
      <c r="Q31" s="74"/>
      <c r="R31" s="74"/>
      <c r="S31" s="74"/>
      <c r="T31" s="74"/>
      <c r="U31" s="74"/>
      <c r="V31" s="74"/>
      <c r="W31" s="74"/>
    </row>
    <row r="32" spans="1:23" x14ac:dyDescent="0.35">
      <c r="A32" s="72" t="s">
        <v>287</v>
      </c>
      <c r="B32" s="79">
        <f>+B33+B35</f>
        <v>1893.5543854166665</v>
      </c>
      <c r="C32" s="79">
        <f t="shared" ref="C32:M32" si="35">+C33+C35</f>
        <v>1893.5543854166665</v>
      </c>
      <c r="D32" s="79">
        <f t="shared" si="35"/>
        <v>1893.5543854166665</v>
      </c>
      <c r="E32" s="79">
        <f t="shared" si="35"/>
        <v>1893.5543854166665</v>
      </c>
      <c r="F32" s="79">
        <f t="shared" si="35"/>
        <v>1893.5543854166665</v>
      </c>
      <c r="G32" s="79">
        <f t="shared" si="35"/>
        <v>1893.5543854166665</v>
      </c>
      <c r="H32" s="79">
        <f t="shared" si="35"/>
        <v>1893.5543854166665</v>
      </c>
      <c r="I32" s="79">
        <f t="shared" si="35"/>
        <v>1893.5543854166665</v>
      </c>
      <c r="J32" s="79">
        <f t="shared" si="35"/>
        <v>1893.5543854166665</v>
      </c>
      <c r="K32" s="79">
        <f t="shared" si="35"/>
        <v>1893.5543854166665</v>
      </c>
      <c r="L32" s="79">
        <f t="shared" si="35"/>
        <v>1893.5543854166665</v>
      </c>
      <c r="M32" s="79">
        <f t="shared" si="35"/>
        <v>1893.5543854166665</v>
      </c>
      <c r="N32" s="79">
        <f>SUM(B32:M32)</f>
        <v>22722.652625000002</v>
      </c>
    </row>
    <row r="33" spans="1:14" x14ac:dyDescent="0.35">
      <c r="A33" s="66" t="s">
        <v>189</v>
      </c>
      <c r="B33" s="146">
        <v>1893.5543854166665</v>
      </c>
      <c r="C33" s="146">
        <f>+B33</f>
        <v>1893.5543854166665</v>
      </c>
      <c r="D33" s="146">
        <f t="shared" ref="D33:M33" si="36">+C33</f>
        <v>1893.5543854166665</v>
      </c>
      <c r="E33" s="146">
        <f t="shared" si="36"/>
        <v>1893.5543854166665</v>
      </c>
      <c r="F33" s="146">
        <f t="shared" si="36"/>
        <v>1893.5543854166665</v>
      </c>
      <c r="G33" s="146">
        <f t="shared" si="36"/>
        <v>1893.5543854166665</v>
      </c>
      <c r="H33" s="146">
        <f t="shared" si="36"/>
        <v>1893.5543854166665</v>
      </c>
      <c r="I33" s="146">
        <f t="shared" si="36"/>
        <v>1893.5543854166665</v>
      </c>
      <c r="J33" s="146">
        <f t="shared" si="36"/>
        <v>1893.5543854166665</v>
      </c>
      <c r="K33" s="146">
        <f t="shared" si="36"/>
        <v>1893.5543854166665</v>
      </c>
      <c r="L33" s="146">
        <f t="shared" si="36"/>
        <v>1893.5543854166665</v>
      </c>
      <c r="M33" s="146">
        <f t="shared" si="36"/>
        <v>1893.5543854166665</v>
      </c>
      <c r="N33" s="146">
        <f>SUM(B33:M33)</f>
        <v>22722.652625000002</v>
      </c>
    </row>
    <row r="34" spans="1:14" outlineLevel="1" x14ac:dyDescent="0.35">
      <c r="A34" s="66" t="s">
        <v>190</v>
      </c>
      <c r="B34" s="149">
        <v>0.2</v>
      </c>
      <c r="C34" s="149">
        <f>+B34</f>
        <v>0.2</v>
      </c>
      <c r="D34" s="149">
        <f t="shared" ref="D34:M34" si="37">+C34</f>
        <v>0.2</v>
      </c>
      <c r="E34" s="149">
        <f t="shared" si="37"/>
        <v>0.2</v>
      </c>
      <c r="F34" s="149">
        <f t="shared" si="37"/>
        <v>0.2</v>
      </c>
      <c r="G34" s="149">
        <f t="shared" si="37"/>
        <v>0.2</v>
      </c>
      <c r="H34" s="149">
        <f t="shared" si="37"/>
        <v>0.2</v>
      </c>
      <c r="I34" s="149">
        <f t="shared" si="37"/>
        <v>0.2</v>
      </c>
      <c r="J34" s="149">
        <f t="shared" si="37"/>
        <v>0.2</v>
      </c>
      <c r="K34" s="149">
        <f t="shared" si="37"/>
        <v>0.2</v>
      </c>
      <c r="L34" s="149">
        <f t="shared" si="37"/>
        <v>0.2</v>
      </c>
      <c r="M34" s="149">
        <f t="shared" si="37"/>
        <v>0.2</v>
      </c>
      <c r="N34" s="146"/>
    </row>
    <row r="35" spans="1:14" outlineLevel="1" x14ac:dyDescent="0.35">
      <c r="A35" s="66" t="s">
        <v>288</v>
      </c>
      <c r="B35" s="146">
        <f>+B65</f>
        <v>0</v>
      </c>
      <c r="C35" s="146">
        <f t="shared" ref="C35:M35" si="38">+C65</f>
        <v>0</v>
      </c>
      <c r="D35" s="146">
        <f t="shared" si="38"/>
        <v>0</v>
      </c>
      <c r="E35" s="146">
        <f t="shared" si="38"/>
        <v>0</v>
      </c>
      <c r="F35" s="146">
        <f t="shared" si="38"/>
        <v>0</v>
      </c>
      <c r="G35" s="146">
        <f t="shared" si="38"/>
        <v>0</v>
      </c>
      <c r="H35" s="146">
        <f t="shared" si="38"/>
        <v>0</v>
      </c>
      <c r="I35" s="146">
        <f t="shared" si="38"/>
        <v>0</v>
      </c>
      <c r="J35" s="146">
        <f t="shared" si="38"/>
        <v>0</v>
      </c>
      <c r="K35" s="146">
        <f t="shared" si="38"/>
        <v>0</v>
      </c>
      <c r="L35" s="146">
        <f t="shared" si="38"/>
        <v>0</v>
      </c>
      <c r="M35" s="146">
        <f t="shared" si="38"/>
        <v>0</v>
      </c>
      <c r="N35" s="146">
        <f t="shared" ref="N35" si="39">SUM(B35:M35)</f>
        <v>0</v>
      </c>
    </row>
    <row r="36" spans="1:14" x14ac:dyDescent="0.35">
      <c r="B36" s="160">
        <v>43647</v>
      </c>
      <c r="C36" s="160">
        <f>+B36+31</f>
        <v>43678</v>
      </c>
      <c r="D36" s="160">
        <f t="shared" ref="D36:M36" si="40">+C36+31</f>
        <v>43709</v>
      </c>
      <c r="E36" s="160">
        <f t="shared" si="40"/>
        <v>43740</v>
      </c>
      <c r="F36" s="160">
        <f t="shared" si="40"/>
        <v>43771</v>
      </c>
      <c r="G36" s="160">
        <f t="shared" si="40"/>
        <v>43802</v>
      </c>
      <c r="H36" s="160">
        <f t="shared" si="40"/>
        <v>43833</v>
      </c>
      <c r="I36" s="160">
        <f t="shared" si="40"/>
        <v>43864</v>
      </c>
      <c r="J36" s="160">
        <f t="shared" si="40"/>
        <v>43895</v>
      </c>
      <c r="K36" s="160">
        <f t="shared" si="40"/>
        <v>43926</v>
      </c>
      <c r="L36" s="160">
        <f t="shared" si="40"/>
        <v>43957</v>
      </c>
      <c r="M36" s="160">
        <f t="shared" si="40"/>
        <v>43988</v>
      </c>
      <c r="N36" s="159" t="s">
        <v>84</v>
      </c>
    </row>
    <row r="37" spans="1:14" x14ac:dyDescent="0.35">
      <c r="A37" s="17" t="s">
        <v>289</v>
      </c>
      <c r="B37" s="17">
        <f>SUM(B38:B49)</f>
        <v>0</v>
      </c>
      <c r="C37" s="17">
        <f t="shared" ref="C37:M37" si="41">SUM(C38:C49)</f>
        <v>0</v>
      </c>
      <c r="D37" s="17">
        <f t="shared" si="41"/>
        <v>0</v>
      </c>
      <c r="E37" s="17">
        <f t="shared" si="41"/>
        <v>0</v>
      </c>
      <c r="F37" s="17">
        <f t="shared" si="41"/>
        <v>0</v>
      </c>
      <c r="G37" s="17">
        <f t="shared" si="41"/>
        <v>0</v>
      </c>
      <c r="H37" s="17">
        <f t="shared" si="41"/>
        <v>0</v>
      </c>
      <c r="I37" s="17">
        <f t="shared" si="41"/>
        <v>0</v>
      </c>
      <c r="J37" s="17">
        <f t="shared" si="41"/>
        <v>0</v>
      </c>
      <c r="K37" s="17">
        <f t="shared" si="41"/>
        <v>0</v>
      </c>
      <c r="L37" s="17">
        <f t="shared" si="41"/>
        <v>0</v>
      </c>
      <c r="M37" s="17">
        <f t="shared" si="41"/>
        <v>0</v>
      </c>
      <c r="N37" s="156">
        <f>SUM(B37:M37)</f>
        <v>0</v>
      </c>
    </row>
    <row r="38" spans="1:14" x14ac:dyDescent="0.35">
      <c r="A38" s="157">
        <v>43647</v>
      </c>
      <c r="B38" s="156">
        <f>+B26*B5/12</f>
        <v>0</v>
      </c>
      <c r="C38" s="156">
        <f>+B38</f>
        <v>0</v>
      </c>
      <c r="D38" s="156">
        <f t="shared" ref="D38:M48" si="42">+C38</f>
        <v>0</v>
      </c>
      <c r="E38" s="156">
        <f t="shared" si="42"/>
        <v>0</v>
      </c>
      <c r="F38" s="156">
        <f t="shared" si="42"/>
        <v>0</v>
      </c>
      <c r="G38" s="156">
        <f t="shared" si="42"/>
        <v>0</v>
      </c>
      <c r="H38" s="156">
        <f t="shared" si="42"/>
        <v>0</v>
      </c>
      <c r="I38" s="156">
        <f t="shared" si="42"/>
        <v>0</v>
      </c>
      <c r="J38" s="156">
        <f t="shared" si="42"/>
        <v>0</v>
      </c>
      <c r="K38" s="156">
        <f t="shared" si="42"/>
        <v>0</v>
      </c>
      <c r="L38" s="156">
        <f t="shared" si="42"/>
        <v>0</v>
      </c>
      <c r="M38" s="156">
        <f t="shared" si="42"/>
        <v>0</v>
      </c>
      <c r="N38" s="156">
        <f>SUM(B38:M38)</f>
        <v>0</v>
      </c>
    </row>
    <row r="39" spans="1:14" x14ac:dyDescent="0.35">
      <c r="A39" s="157">
        <f t="shared" ref="A39:A49" si="43">+A38+31</f>
        <v>43678</v>
      </c>
      <c r="B39" s="158"/>
      <c r="C39" s="156">
        <f>+(C5*C26*11/12)/11</f>
        <v>0</v>
      </c>
      <c r="D39" s="156">
        <f t="shared" si="42"/>
        <v>0</v>
      </c>
      <c r="E39" s="156">
        <f t="shared" si="42"/>
        <v>0</v>
      </c>
      <c r="F39" s="156">
        <f t="shared" si="42"/>
        <v>0</v>
      </c>
      <c r="G39" s="156">
        <f t="shared" si="42"/>
        <v>0</v>
      </c>
      <c r="H39" s="156">
        <f t="shared" si="42"/>
        <v>0</v>
      </c>
      <c r="I39" s="156">
        <f t="shared" si="42"/>
        <v>0</v>
      </c>
      <c r="J39" s="156">
        <f t="shared" si="42"/>
        <v>0</v>
      </c>
      <c r="K39" s="156">
        <f t="shared" si="42"/>
        <v>0</v>
      </c>
      <c r="L39" s="156">
        <f t="shared" si="42"/>
        <v>0</v>
      </c>
      <c r="M39" s="156">
        <f t="shared" si="42"/>
        <v>0</v>
      </c>
      <c r="N39" s="156">
        <f t="shared" ref="N39:N49" si="44">SUM(B39:M39)</f>
        <v>0</v>
      </c>
    </row>
    <row r="40" spans="1:14" x14ac:dyDescent="0.35">
      <c r="A40" s="157">
        <f t="shared" si="43"/>
        <v>43709</v>
      </c>
      <c r="B40" s="158"/>
      <c r="C40" s="158"/>
      <c r="D40" s="156">
        <f>+(D5*D26*10/12)/10</f>
        <v>0</v>
      </c>
      <c r="E40" s="156">
        <f t="shared" si="42"/>
        <v>0</v>
      </c>
      <c r="F40" s="156">
        <f t="shared" si="42"/>
        <v>0</v>
      </c>
      <c r="G40" s="156">
        <f t="shared" si="42"/>
        <v>0</v>
      </c>
      <c r="H40" s="156">
        <f t="shared" si="42"/>
        <v>0</v>
      </c>
      <c r="I40" s="156">
        <f t="shared" si="42"/>
        <v>0</v>
      </c>
      <c r="J40" s="156">
        <f t="shared" si="42"/>
        <v>0</v>
      </c>
      <c r="K40" s="156">
        <f t="shared" si="42"/>
        <v>0</v>
      </c>
      <c r="L40" s="156">
        <f t="shared" si="42"/>
        <v>0</v>
      </c>
      <c r="M40" s="156">
        <f t="shared" si="42"/>
        <v>0</v>
      </c>
      <c r="N40" s="156">
        <f t="shared" si="44"/>
        <v>0</v>
      </c>
    </row>
    <row r="41" spans="1:14" x14ac:dyDescent="0.35">
      <c r="A41" s="157">
        <f t="shared" si="43"/>
        <v>43740</v>
      </c>
      <c r="B41" s="158"/>
      <c r="C41" s="158"/>
      <c r="D41" s="158"/>
      <c r="E41" s="156">
        <f>+(E5*E26*9/12)/9</f>
        <v>0</v>
      </c>
      <c r="F41" s="156">
        <f t="shared" si="42"/>
        <v>0</v>
      </c>
      <c r="G41" s="156">
        <f t="shared" si="42"/>
        <v>0</v>
      </c>
      <c r="H41" s="156">
        <f t="shared" si="42"/>
        <v>0</v>
      </c>
      <c r="I41" s="156">
        <f t="shared" si="42"/>
        <v>0</v>
      </c>
      <c r="J41" s="156">
        <f t="shared" si="42"/>
        <v>0</v>
      </c>
      <c r="K41" s="156">
        <f t="shared" si="42"/>
        <v>0</v>
      </c>
      <c r="L41" s="156">
        <f t="shared" si="42"/>
        <v>0</v>
      </c>
      <c r="M41" s="156">
        <f t="shared" si="42"/>
        <v>0</v>
      </c>
      <c r="N41" s="156">
        <f t="shared" si="44"/>
        <v>0</v>
      </c>
    </row>
    <row r="42" spans="1:14" x14ac:dyDescent="0.35">
      <c r="A42" s="157">
        <f t="shared" si="43"/>
        <v>43771</v>
      </c>
      <c r="B42" s="158"/>
      <c r="C42" s="158"/>
      <c r="D42" s="158"/>
      <c r="E42" s="158"/>
      <c r="F42" s="156">
        <f>+(F5*F26*8/12)/8</f>
        <v>0</v>
      </c>
      <c r="G42" s="156">
        <f t="shared" si="42"/>
        <v>0</v>
      </c>
      <c r="H42" s="156">
        <f t="shared" si="42"/>
        <v>0</v>
      </c>
      <c r="I42" s="156">
        <f t="shared" si="42"/>
        <v>0</v>
      </c>
      <c r="J42" s="156">
        <f t="shared" si="42"/>
        <v>0</v>
      </c>
      <c r="K42" s="156">
        <f t="shared" si="42"/>
        <v>0</v>
      </c>
      <c r="L42" s="156">
        <f t="shared" si="42"/>
        <v>0</v>
      </c>
      <c r="M42" s="156">
        <f t="shared" si="42"/>
        <v>0</v>
      </c>
      <c r="N42" s="156">
        <f t="shared" si="44"/>
        <v>0</v>
      </c>
    </row>
    <row r="43" spans="1:14" x14ac:dyDescent="0.35">
      <c r="A43" s="157">
        <f t="shared" si="43"/>
        <v>43802</v>
      </c>
      <c r="B43" s="158"/>
      <c r="C43" s="158"/>
      <c r="D43" s="158"/>
      <c r="E43" s="158"/>
      <c r="F43" s="158"/>
      <c r="G43" s="156">
        <f>+(G5*G26*7/12)/7</f>
        <v>0</v>
      </c>
      <c r="H43" s="156">
        <f t="shared" si="42"/>
        <v>0</v>
      </c>
      <c r="I43" s="156">
        <f t="shared" si="42"/>
        <v>0</v>
      </c>
      <c r="J43" s="156">
        <f t="shared" si="42"/>
        <v>0</v>
      </c>
      <c r="K43" s="156">
        <f t="shared" si="42"/>
        <v>0</v>
      </c>
      <c r="L43" s="156">
        <f t="shared" si="42"/>
        <v>0</v>
      </c>
      <c r="M43" s="156">
        <f t="shared" si="42"/>
        <v>0</v>
      </c>
      <c r="N43" s="156">
        <f t="shared" si="44"/>
        <v>0</v>
      </c>
    </row>
    <row r="44" spans="1:14" x14ac:dyDescent="0.35">
      <c r="A44" s="157">
        <f t="shared" si="43"/>
        <v>43833</v>
      </c>
      <c r="B44" s="158"/>
      <c r="C44" s="158"/>
      <c r="D44" s="158"/>
      <c r="E44" s="158"/>
      <c r="F44" s="158"/>
      <c r="G44" s="158"/>
      <c r="H44" s="156">
        <f>+(H5*H26*6/12)/6</f>
        <v>0</v>
      </c>
      <c r="I44" s="156">
        <f t="shared" si="42"/>
        <v>0</v>
      </c>
      <c r="J44" s="156">
        <f t="shared" si="42"/>
        <v>0</v>
      </c>
      <c r="K44" s="156">
        <f t="shared" si="42"/>
        <v>0</v>
      </c>
      <c r="L44" s="156">
        <f t="shared" si="42"/>
        <v>0</v>
      </c>
      <c r="M44" s="156">
        <f t="shared" si="42"/>
        <v>0</v>
      </c>
      <c r="N44" s="156">
        <f t="shared" si="44"/>
        <v>0</v>
      </c>
    </row>
    <row r="45" spans="1:14" x14ac:dyDescent="0.35">
      <c r="A45" s="157">
        <f t="shared" si="43"/>
        <v>43864</v>
      </c>
      <c r="B45" s="158"/>
      <c r="C45" s="158"/>
      <c r="D45" s="158"/>
      <c r="E45" s="158"/>
      <c r="F45" s="158"/>
      <c r="G45" s="158"/>
      <c r="H45" s="158"/>
      <c r="I45" s="156">
        <f>(I5*I26*5/12)/5</f>
        <v>0</v>
      </c>
      <c r="J45" s="156">
        <f t="shared" si="42"/>
        <v>0</v>
      </c>
      <c r="K45" s="156">
        <f t="shared" si="42"/>
        <v>0</v>
      </c>
      <c r="L45" s="156">
        <f t="shared" si="42"/>
        <v>0</v>
      </c>
      <c r="M45" s="156">
        <f t="shared" si="42"/>
        <v>0</v>
      </c>
      <c r="N45" s="156">
        <f t="shared" si="44"/>
        <v>0</v>
      </c>
    </row>
    <row r="46" spans="1:14" x14ac:dyDescent="0.35">
      <c r="A46" s="157">
        <f t="shared" si="43"/>
        <v>43895</v>
      </c>
      <c r="B46" s="158"/>
      <c r="C46" s="158"/>
      <c r="D46" s="158"/>
      <c r="E46" s="158"/>
      <c r="F46" s="158"/>
      <c r="G46" s="158"/>
      <c r="H46" s="158"/>
      <c r="I46" s="158"/>
      <c r="J46" s="156">
        <f>(J5*J26*4/12)/4</f>
        <v>0</v>
      </c>
      <c r="K46" s="156">
        <f t="shared" si="42"/>
        <v>0</v>
      </c>
      <c r="L46" s="156">
        <f t="shared" si="42"/>
        <v>0</v>
      </c>
      <c r="M46" s="156">
        <f t="shared" si="42"/>
        <v>0</v>
      </c>
      <c r="N46" s="156">
        <f t="shared" si="44"/>
        <v>0</v>
      </c>
    </row>
    <row r="47" spans="1:14" x14ac:dyDescent="0.35">
      <c r="A47" s="157">
        <f t="shared" si="43"/>
        <v>43926</v>
      </c>
      <c r="B47" s="158"/>
      <c r="C47" s="158"/>
      <c r="D47" s="158"/>
      <c r="E47" s="158"/>
      <c r="F47" s="158"/>
      <c r="G47" s="158"/>
      <c r="H47" s="158"/>
      <c r="I47" s="158"/>
      <c r="J47" s="158"/>
      <c r="K47" s="156">
        <f>(K5*K26*3/12)/3</f>
        <v>0</v>
      </c>
      <c r="L47" s="156">
        <f t="shared" si="42"/>
        <v>0</v>
      </c>
      <c r="M47" s="156">
        <f t="shared" si="42"/>
        <v>0</v>
      </c>
      <c r="N47" s="156">
        <f t="shared" si="44"/>
        <v>0</v>
      </c>
    </row>
    <row r="48" spans="1:14" x14ac:dyDescent="0.35">
      <c r="A48" s="157">
        <f t="shared" si="43"/>
        <v>43957</v>
      </c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6">
        <f>(L5*L26*2/12)/2</f>
        <v>0</v>
      </c>
      <c r="M48" s="156">
        <f t="shared" si="42"/>
        <v>0</v>
      </c>
      <c r="N48" s="156">
        <f t="shared" si="44"/>
        <v>0</v>
      </c>
    </row>
    <row r="49" spans="1:14" x14ac:dyDescent="0.35">
      <c r="A49" s="157">
        <f t="shared" si="43"/>
        <v>43988</v>
      </c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6">
        <f>(M5*M26/12)</f>
        <v>0</v>
      </c>
      <c r="N49" s="156">
        <f t="shared" si="44"/>
        <v>0</v>
      </c>
    </row>
    <row r="50" spans="1:14" x14ac:dyDescent="0.35">
      <c r="B50" s="160">
        <v>43647</v>
      </c>
      <c r="C50" s="160">
        <f>+B50+31</f>
        <v>43678</v>
      </c>
      <c r="D50" s="160">
        <f t="shared" ref="D50:M50" si="45">+C50+31</f>
        <v>43709</v>
      </c>
      <c r="E50" s="160">
        <f t="shared" si="45"/>
        <v>43740</v>
      </c>
      <c r="F50" s="160">
        <f t="shared" si="45"/>
        <v>43771</v>
      </c>
      <c r="G50" s="160">
        <f t="shared" si="45"/>
        <v>43802</v>
      </c>
      <c r="H50" s="160">
        <f t="shared" si="45"/>
        <v>43833</v>
      </c>
      <c r="I50" s="160">
        <f t="shared" si="45"/>
        <v>43864</v>
      </c>
      <c r="J50" s="160">
        <f t="shared" si="45"/>
        <v>43895</v>
      </c>
      <c r="K50" s="160">
        <f t="shared" si="45"/>
        <v>43926</v>
      </c>
      <c r="L50" s="160">
        <f t="shared" si="45"/>
        <v>43957</v>
      </c>
      <c r="M50" s="160">
        <f t="shared" si="45"/>
        <v>43988</v>
      </c>
      <c r="N50" s="159" t="s">
        <v>84</v>
      </c>
    </row>
    <row r="51" spans="1:14" x14ac:dyDescent="0.35">
      <c r="A51" s="17" t="s">
        <v>290</v>
      </c>
      <c r="B51" s="17">
        <f>SUM(B52:B63)</f>
        <v>0</v>
      </c>
      <c r="C51" s="17">
        <f t="shared" ref="C51:M51" si="46">SUM(C52:C63)</f>
        <v>0</v>
      </c>
      <c r="D51" s="17">
        <f t="shared" si="46"/>
        <v>0</v>
      </c>
      <c r="E51" s="17">
        <f t="shared" si="46"/>
        <v>0</v>
      </c>
      <c r="F51" s="17">
        <f t="shared" si="46"/>
        <v>0</v>
      </c>
      <c r="G51" s="17">
        <f t="shared" si="46"/>
        <v>0</v>
      </c>
      <c r="H51" s="17">
        <f t="shared" si="46"/>
        <v>0</v>
      </c>
      <c r="I51" s="17">
        <f t="shared" si="46"/>
        <v>0</v>
      </c>
      <c r="J51" s="17">
        <f t="shared" si="46"/>
        <v>0</v>
      </c>
      <c r="K51" s="17">
        <f t="shared" si="46"/>
        <v>0</v>
      </c>
      <c r="L51" s="17">
        <f t="shared" si="46"/>
        <v>0</v>
      </c>
      <c r="M51" s="17">
        <f t="shared" si="46"/>
        <v>0</v>
      </c>
      <c r="N51" s="156">
        <f>SUM(B51:M51)</f>
        <v>0</v>
      </c>
    </row>
    <row r="52" spans="1:14" x14ac:dyDescent="0.35">
      <c r="A52" s="157">
        <v>43647</v>
      </c>
      <c r="B52" s="156">
        <f>+B30*B11/12</f>
        <v>0</v>
      </c>
      <c r="C52" s="156">
        <f>+B52</f>
        <v>0</v>
      </c>
      <c r="D52" s="156">
        <f t="shared" ref="D52:M62" si="47">+C52</f>
        <v>0</v>
      </c>
      <c r="E52" s="156">
        <f t="shared" si="47"/>
        <v>0</v>
      </c>
      <c r="F52" s="156">
        <f t="shared" si="47"/>
        <v>0</v>
      </c>
      <c r="G52" s="156">
        <f t="shared" si="47"/>
        <v>0</v>
      </c>
      <c r="H52" s="156">
        <f t="shared" si="47"/>
        <v>0</v>
      </c>
      <c r="I52" s="156">
        <f t="shared" si="47"/>
        <v>0</v>
      </c>
      <c r="J52" s="156">
        <f t="shared" si="47"/>
        <v>0</v>
      </c>
      <c r="K52" s="156">
        <f t="shared" si="47"/>
        <v>0</v>
      </c>
      <c r="L52" s="156">
        <f t="shared" si="47"/>
        <v>0</v>
      </c>
      <c r="M52" s="156">
        <f t="shared" si="47"/>
        <v>0</v>
      </c>
      <c r="N52" s="156">
        <f>SUM(B52:M52)</f>
        <v>0</v>
      </c>
    </row>
    <row r="53" spans="1:14" x14ac:dyDescent="0.35">
      <c r="A53" s="157">
        <f t="shared" ref="A53:A63" si="48">+A52+31</f>
        <v>43678</v>
      </c>
      <c r="B53" s="158"/>
      <c r="C53" s="156">
        <f>+(C30*C11*11/12)/11</f>
        <v>0</v>
      </c>
      <c r="D53" s="156">
        <f t="shared" si="47"/>
        <v>0</v>
      </c>
      <c r="E53" s="156">
        <f t="shared" si="47"/>
        <v>0</v>
      </c>
      <c r="F53" s="156">
        <f t="shared" si="47"/>
        <v>0</v>
      </c>
      <c r="G53" s="156">
        <f t="shared" si="47"/>
        <v>0</v>
      </c>
      <c r="H53" s="156">
        <f t="shared" si="47"/>
        <v>0</v>
      </c>
      <c r="I53" s="156">
        <f t="shared" si="47"/>
        <v>0</v>
      </c>
      <c r="J53" s="156">
        <f t="shared" si="47"/>
        <v>0</v>
      </c>
      <c r="K53" s="156">
        <f t="shared" si="47"/>
        <v>0</v>
      </c>
      <c r="L53" s="156">
        <f t="shared" si="47"/>
        <v>0</v>
      </c>
      <c r="M53" s="156">
        <f t="shared" si="47"/>
        <v>0</v>
      </c>
      <c r="N53" s="156">
        <f t="shared" ref="N53:N63" si="49">SUM(B53:M53)</f>
        <v>0</v>
      </c>
    </row>
    <row r="54" spans="1:14" x14ac:dyDescent="0.35">
      <c r="A54" s="157">
        <f t="shared" si="48"/>
        <v>43709</v>
      </c>
      <c r="B54" s="158"/>
      <c r="C54" s="158"/>
      <c r="D54" s="156">
        <f>+(D30*D11*10/12)/10</f>
        <v>0</v>
      </c>
      <c r="E54" s="156">
        <f t="shared" si="47"/>
        <v>0</v>
      </c>
      <c r="F54" s="156">
        <f t="shared" si="47"/>
        <v>0</v>
      </c>
      <c r="G54" s="156">
        <f t="shared" si="47"/>
        <v>0</v>
      </c>
      <c r="H54" s="156">
        <f t="shared" si="47"/>
        <v>0</v>
      </c>
      <c r="I54" s="156">
        <f t="shared" si="47"/>
        <v>0</v>
      </c>
      <c r="J54" s="156">
        <f t="shared" si="47"/>
        <v>0</v>
      </c>
      <c r="K54" s="156">
        <f t="shared" si="47"/>
        <v>0</v>
      </c>
      <c r="L54" s="156">
        <f t="shared" si="47"/>
        <v>0</v>
      </c>
      <c r="M54" s="156">
        <f t="shared" si="47"/>
        <v>0</v>
      </c>
      <c r="N54" s="156">
        <f t="shared" si="49"/>
        <v>0</v>
      </c>
    </row>
    <row r="55" spans="1:14" x14ac:dyDescent="0.35">
      <c r="A55" s="157">
        <f t="shared" si="48"/>
        <v>43740</v>
      </c>
      <c r="B55" s="158"/>
      <c r="C55" s="158"/>
      <c r="D55" s="158"/>
      <c r="E55" s="156">
        <f>+(E30*E11*9/12)/9</f>
        <v>0</v>
      </c>
      <c r="F55" s="156">
        <f t="shared" si="47"/>
        <v>0</v>
      </c>
      <c r="G55" s="156">
        <f t="shared" si="47"/>
        <v>0</v>
      </c>
      <c r="H55" s="156">
        <f t="shared" si="47"/>
        <v>0</v>
      </c>
      <c r="I55" s="156">
        <f t="shared" si="47"/>
        <v>0</v>
      </c>
      <c r="J55" s="156">
        <f t="shared" si="47"/>
        <v>0</v>
      </c>
      <c r="K55" s="156">
        <f t="shared" si="47"/>
        <v>0</v>
      </c>
      <c r="L55" s="156">
        <f t="shared" si="47"/>
        <v>0</v>
      </c>
      <c r="M55" s="156">
        <f t="shared" si="47"/>
        <v>0</v>
      </c>
      <c r="N55" s="156">
        <f t="shared" si="49"/>
        <v>0</v>
      </c>
    </row>
    <row r="56" spans="1:14" x14ac:dyDescent="0.35">
      <c r="A56" s="157">
        <f t="shared" si="48"/>
        <v>43771</v>
      </c>
      <c r="B56" s="158"/>
      <c r="C56" s="158"/>
      <c r="D56" s="158"/>
      <c r="E56" s="158"/>
      <c r="F56" s="156">
        <f>(+F30*F11*8/12)/8</f>
        <v>0</v>
      </c>
      <c r="G56" s="156">
        <f t="shared" si="47"/>
        <v>0</v>
      </c>
      <c r="H56" s="156">
        <f t="shared" si="47"/>
        <v>0</v>
      </c>
      <c r="I56" s="156">
        <f t="shared" si="47"/>
        <v>0</v>
      </c>
      <c r="J56" s="156">
        <f t="shared" si="47"/>
        <v>0</v>
      </c>
      <c r="K56" s="156">
        <f t="shared" si="47"/>
        <v>0</v>
      </c>
      <c r="L56" s="156">
        <f t="shared" si="47"/>
        <v>0</v>
      </c>
      <c r="M56" s="156">
        <f t="shared" si="47"/>
        <v>0</v>
      </c>
      <c r="N56" s="156">
        <f t="shared" si="49"/>
        <v>0</v>
      </c>
    </row>
    <row r="57" spans="1:14" x14ac:dyDescent="0.35">
      <c r="A57" s="157">
        <f t="shared" si="48"/>
        <v>43802</v>
      </c>
      <c r="B57" s="158"/>
      <c r="C57" s="158"/>
      <c r="D57" s="158"/>
      <c r="E57" s="158"/>
      <c r="F57" s="158"/>
      <c r="G57" s="156">
        <f>+(G30*G11*7/12)/7</f>
        <v>0</v>
      </c>
      <c r="H57" s="156">
        <f>+G57</f>
        <v>0</v>
      </c>
      <c r="I57" s="156">
        <f t="shared" si="47"/>
        <v>0</v>
      </c>
      <c r="J57" s="156">
        <f t="shared" si="47"/>
        <v>0</v>
      </c>
      <c r="K57" s="156">
        <f t="shared" si="47"/>
        <v>0</v>
      </c>
      <c r="L57" s="156">
        <f t="shared" si="47"/>
        <v>0</v>
      </c>
      <c r="M57" s="156">
        <f t="shared" si="47"/>
        <v>0</v>
      </c>
      <c r="N57" s="156">
        <f t="shared" si="49"/>
        <v>0</v>
      </c>
    </row>
    <row r="58" spans="1:14" x14ac:dyDescent="0.35">
      <c r="A58" s="157">
        <f t="shared" si="48"/>
        <v>43833</v>
      </c>
      <c r="B58" s="158"/>
      <c r="C58" s="158"/>
      <c r="D58" s="158"/>
      <c r="E58" s="158"/>
      <c r="F58" s="158"/>
      <c r="G58" s="158"/>
      <c r="H58" s="156">
        <f>+(H30*H11*6/12)/6</f>
        <v>0</v>
      </c>
      <c r="I58" s="156">
        <f t="shared" si="47"/>
        <v>0</v>
      </c>
      <c r="J58" s="156">
        <f t="shared" si="47"/>
        <v>0</v>
      </c>
      <c r="K58" s="156">
        <f t="shared" si="47"/>
        <v>0</v>
      </c>
      <c r="L58" s="156">
        <f t="shared" si="47"/>
        <v>0</v>
      </c>
      <c r="M58" s="156">
        <f t="shared" si="47"/>
        <v>0</v>
      </c>
      <c r="N58" s="156">
        <f t="shared" si="49"/>
        <v>0</v>
      </c>
    </row>
    <row r="59" spans="1:14" x14ac:dyDescent="0.35">
      <c r="A59" s="157">
        <f t="shared" si="48"/>
        <v>43864</v>
      </c>
      <c r="B59" s="158"/>
      <c r="C59" s="158"/>
      <c r="D59" s="158"/>
      <c r="E59" s="158"/>
      <c r="F59" s="158"/>
      <c r="G59" s="158"/>
      <c r="H59" s="158"/>
      <c r="I59" s="156">
        <f>+(I30*I11*5/12)/5</f>
        <v>0</v>
      </c>
      <c r="J59" s="156">
        <f t="shared" si="47"/>
        <v>0</v>
      </c>
      <c r="K59" s="156">
        <f t="shared" si="47"/>
        <v>0</v>
      </c>
      <c r="L59" s="156">
        <f t="shared" si="47"/>
        <v>0</v>
      </c>
      <c r="M59" s="156">
        <f t="shared" si="47"/>
        <v>0</v>
      </c>
      <c r="N59" s="156">
        <f t="shared" si="49"/>
        <v>0</v>
      </c>
    </row>
    <row r="60" spans="1:14" x14ac:dyDescent="0.35">
      <c r="A60" s="157">
        <f t="shared" si="48"/>
        <v>43895</v>
      </c>
      <c r="B60" s="158"/>
      <c r="C60" s="158"/>
      <c r="D60" s="158"/>
      <c r="E60" s="158"/>
      <c r="F60" s="158"/>
      <c r="G60" s="158"/>
      <c r="H60" s="158"/>
      <c r="I60" s="158"/>
      <c r="J60" s="156">
        <f>+(J30*J11*4/12)/4</f>
        <v>0</v>
      </c>
      <c r="K60" s="156">
        <f t="shared" si="47"/>
        <v>0</v>
      </c>
      <c r="L60" s="156">
        <f t="shared" si="47"/>
        <v>0</v>
      </c>
      <c r="M60" s="156">
        <f t="shared" si="47"/>
        <v>0</v>
      </c>
      <c r="N60" s="156">
        <f t="shared" si="49"/>
        <v>0</v>
      </c>
    </row>
    <row r="61" spans="1:14" x14ac:dyDescent="0.35">
      <c r="A61" s="157">
        <f t="shared" si="48"/>
        <v>43926</v>
      </c>
      <c r="B61" s="158"/>
      <c r="C61" s="158"/>
      <c r="D61" s="158"/>
      <c r="E61" s="158"/>
      <c r="F61" s="158"/>
      <c r="G61" s="158"/>
      <c r="H61" s="158"/>
      <c r="I61" s="158"/>
      <c r="J61" s="158"/>
      <c r="K61" s="156">
        <f>+(K30*K11*3/12)/3</f>
        <v>0</v>
      </c>
      <c r="L61" s="156">
        <f t="shared" si="47"/>
        <v>0</v>
      </c>
      <c r="M61" s="156">
        <f t="shared" si="47"/>
        <v>0</v>
      </c>
      <c r="N61" s="156">
        <f t="shared" si="49"/>
        <v>0</v>
      </c>
    </row>
    <row r="62" spans="1:14" x14ac:dyDescent="0.35">
      <c r="A62" s="157">
        <f t="shared" si="48"/>
        <v>43957</v>
      </c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6">
        <f>+(L30*L11*2/12)/2</f>
        <v>0</v>
      </c>
      <c r="M62" s="156">
        <f t="shared" si="47"/>
        <v>0</v>
      </c>
      <c r="N62" s="156">
        <f t="shared" si="49"/>
        <v>0</v>
      </c>
    </row>
    <row r="63" spans="1:14" x14ac:dyDescent="0.35">
      <c r="A63" s="157">
        <f t="shared" si="48"/>
        <v>43988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6">
        <f>+(M30*M11/12)</f>
        <v>0</v>
      </c>
      <c r="N63" s="156">
        <f t="shared" si="49"/>
        <v>0</v>
      </c>
    </row>
    <row r="64" spans="1:14" x14ac:dyDescent="0.35">
      <c r="B64" s="160">
        <v>43647</v>
      </c>
      <c r="C64" s="160">
        <f>+B64+31</f>
        <v>43678</v>
      </c>
      <c r="D64" s="160">
        <f t="shared" ref="D64:M64" si="50">+C64+31</f>
        <v>43709</v>
      </c>
      <c r="E64" s="160">
        <f t="shared" si="50"/>
        <v>43740</v>
      </c>
      <c r="F64" s="160">
        <f t="shared" si="50"/>
        <v>43771</v>
      </c>
      <c r="G64" s="160">
        <f t="shared" si="50"/>
        <v>43802</v>
      </c>
      <c r="H64" s="160">
        <f t="shared" si="50"/>
        <v>43833</v>
      </c>
      <c r="I64" s="160">
        <f t="shared" si="50"/>
        <v>43864</v>
      </c>
      <c r="J64" s="160">
        <f t="shared" si="50"/>
        <v>43895</v>
      </c>
      <c r="K64" s="160">
        <f t="shared" si="50"/>
        <v>43926</v>
      </c>
      <c r="L64" s="160">
        <f t="shared" si="50"/>
        <v>43957</v>
      </c>
      <c r="M64" s="160">
        <f t="shared" si="50"/>
        <v>43988</v>
      </c>
      <c r="N64" s="159" t="s">
        <v>84</v>
      </c>
    </row>
    <row r="65" spans="1:14" x14ac:dyDescent="0.35">
      <c r="A65" s="17" t="s">
        <v>291</v>
      </c>
      <c r="B65" s="17">
        <f>SUM(B66:B77)</f>
        <v>0</v>
      </c>
      <c r="C65" s="17">
        <f t="shared" ref="C65:M65" si="51">SUM(C66:C77)</f>
        <v>0</v>
      </c>
      <c r="D65" s="17">
        <f t="shared" si="51"/>
        <v>0</v>
      </c>
      <c r="E65" s="17">
        <f t="shared" si="51"/>
        <v>0</v>
      </c>
      <c r="F65" s="17">
        <f t="shared" si="51"/>
        <v>0</v>
      </c>
      <c r="G65" s="17">
        <f t="shared" si="51"/>
        <v>0</v>
      </c>
      <c r="H65" s="17">
        <f t="shared" si="51"/>
        <v>0</v>
      </c>
      <c r="I65" s="17">
        <f t="shared" si="51"/>
        <v>0</v>
      </c>
      <c r="J65" s="17">
        <f t="shared" si="51"/>
        <v>0</v>
      </c>
      <c r="K65" s="17">
        <f t="shared" si="51"/>
        <v>0</v>
      </c>
      <c r="L65" s="17">
        <f t="shared" si="51"/>
        <v>0</v>
      </c>
      <c r="M65" s="17">
        <f t="shared" si="51"/>
        <v>0</v>
      </c>
      <c r="N65" s="156">
        <f>SUM(B65:M65)</f>
        <v>0</v>
      </c>
    </row>
    <row r="66" spans="1:14" x14ac:dyDescent="0.35">
      <c r="A66" s="157">
        <v>43647</v>
      </c>
      <c r="B66" s="156">
        <f>+B34*B17/12</f>
        <v>0</v>
      </c>
      <c r="C66" s="156">
        <f>+B66</f>
        <v>0</v>
      </c>
      <c r="D66" s="156">
        <f t="shared" ref="D66:M76" si="52">+C66</f>
        <v>0</v>
      </c>
      <c r="E66" s="156">
        <f t="shared" si="52"/>
        <v>0</v>
      </c>
      <c r="F66" s="156">
        <f t="shared" si="52"/>
        <v>0</v>
      </c>
      <c r="G66" s="156">
        <f t="shared" si="52"/>
        <v>0</v>
      </c>
      <c r="H66" s="156">
        <f t="shared" si="52"/>
        <v>0</v>
      </c>
      <c r="I66" s="156">
        <f t="shared" si="52"/>
        <v>0</v>
      </c>
      <c r="J66" s="156">
        <f t="shared" si="52"/>
        <v>0</v>
      </c>
      <c r="K66" s="156">
        <f t="shared" si="52"/>
        <v>0</v>
      </c>
      <c r="L66" s="156">
        <f t="shared" si="52"/>
        <v>0</v>
      </c>
      <c r="M66" s="156">
        <f t="shared" si="52"/>
        <v>0</v>
      </c>
      <c r="N66" s="156">
        <f>SUM(B66:M66)</f>
        <v>0</v>
      </c>
    </row>
    <row r="67" spans="1:14" x14ac:dyDescent="0.35">
      <c r="A67" s="157">
        <f t="shared" ref="A67:A77" si="53">+A66+31</f>
        <v>43678</v>
      </c>
      <c r="B67" s="158"/>
      <c r="C67" s="156">
        <f>+(C34*C17*11/12)/11</f>
        <v>0</v>
      </c>
      <c r="D67" s="156">
        <f t="shared" si="52"/>
        <v>0</v>
      </c>
      <c r="E67" s="156">
        <f t="shared" si="52"/>
        <v>0</v>
      </c>
      <c r="F67" s="156">
        <f t="shared" si="52"/>
        <v>0</v>
      </c>
      <c r="G67" s="156">
        <f t="shared" si="52"/>
        <v>0</v>
      </c>
      <c r="H67" s="156">
        <f t="shared" si="52"/>
        <v>0</v>
      </c>
      <c r="I67" s="156">
        <f t="shared" si="52"/>
        <v>0</v>
      </c>
      <c r="J67" s="156">
        <f t="shared" si="52"/>
        <v>0</v>
      </c>
      <c r="K67" s="156">
        <f t="shared" si="52"/>
        <v>0</v>
      </c>
      <c r="L67" s="156">
        <f t="shared" si="52"/>
        <v>0</v>
      </c>
      <c r="M67" s="156">
        <f t="shared" si="52"/>
        <v>0</v>
      </c>
      <c r="N67" s="156">
        <f t="shared" ref="N67:N77" si="54">SUM(B67:M67)</f>
        <v>0</v>
      </c>
    </row>
    <row r="68" spans="1:14" x14ac:dyDescent="0.35">
      <c r="A68" s="157">
        <f t="shared" si="53"/>
        <v>43709</v>
      </c>
      <c r="B68" s="158"/>
      <c r="C68" s="158"/>
      <c r="D68" s="156">
        <f>+(D34*D17*10/12)/10</f>
        <v>0</v>
      </c>
      <c r="E68" s="156">
        <f t="shared" si="52"/>
        <v>0</v>
      </c>
      <c r="F68" s="156">
        <f t="shared" si="52"/>
        <v>0</v>
      </c>
      <c r="G68" s="156">
        <f t="shared" si="52"/>
        <v>0</v>
      </c>
      <c r="H68" s="156">
        <f t="shared" si="52"/>
        <v>0</v>
      </c>
      <c r="I68" s="156">
        <f t="shared" si="52"/>
        <v>0</v>
      </c>
      <c r="J68" s="156">
        <f t="shared" si="52"/>
        <v>0</v>
      </c>
      <c r="K68" s="156">
        <f t="shared" si="52"/>
        <v>0</v>
      </c>
      <c r="L68" s="156">
        <f t="shared" si="52"/>
        <v>0</v>
      </c>
      <c r="M68" s="156">
        <f t="shared" si="52"/>
        <v>0</v>
      </c>
      <c r="N68" s="156">
        <f t="shared" si="54"/>
        <v>0</v>
      </c>
    </row>
    <row r="69" spans="1:14" x14ac:dyDescent="0.35">
      <c r="A69" s="157">
        <f t="shared" si="53"/>
        <v>43740</v>
      </c>
      <c r="B69" s="158"/>
      <c r="C69" s="158"/>
      <c r="D69" s="158"/>
      <c r="E69" s="156">
        <f>+(E34*E17*9/12)/9</f>
        <v>0</v>
      </c>
      <c r="F69" s="156">
        <f t="shared" si="52"/>
        <v>0</v>
      </c>
      <c r="G69" s="156">
        <f t="shared" si="52"/>
        <v>0</v>
      </c>
      <c r="H69" s="156">
        <f t="shared" si="52"/>
        <v>0</v>
      </c>
      <c r="I69" s="156">
        <f t="shared" si="52"/>
        <v>0</v>
      </c>
      <c r="J69" s="156">
        <f t="shared" si="52"/>
        <v>0</v>
      </c>
      <c r="K69" s="156">
        <f t="shared" si="52"/>
        <v>0</v>
      </c>
      <c r="L69" s="156">
        <f t="shared" si="52"/>
        <v>0</v>
      </c>
      <c r="M69" s="156">
        <f t="shared" si="52"/>
        <v>0</v>
      </c>
      <c r="N69" s="156">
        <f t="shared" si="54"/>
        <v>0</v>
      </c>
    </row>
    <row r="70" spans="1:14" x14ac:dyDescent="0.35">
      <c r="A70" s="157">
        <f t="shared" si="53"/>
        <v>43771</v>
      </c>
      <c r="B70" s="158"/>
      <c r="C70" s="158"/>
      <c r="D70" s="158"/>
      <c r="E70" s="158"/>
      <c r="F70" s="156">
        <f>(+F34*F17*8/12)/8</f>
        <v>0</v>
      </c>
      <c r="G70" s="156">
        <f t="shared" si="52"/>
        <v>0</v>
      </c>
      <c r="H70" s="156">
        <f t="shared" si="52"/>
        <v>0</v>
      </c>
      <c r="I70" s="156">
        <f t="shared" si="52"/>
        <v>0</v>
      </c>
      <c r="J70" s="156">
        <f t="shared" si="52"/>
        <v>0</v>
      </c>
      <c r="K70" s="156">
        <f t="shared" si="52"/>
        <v>0</v>
      </c>
      <c r="L70" s="156">
        <f t="shared" si="52"/>
        <v>0</v>
      </c>
      <c r="M70" s="156">
        <f t="shared" si="52"/>
        <v>0</v>
      </c>
      <c r="N70" s="156">
        <f t="shared" si="54"/>
        <v>0</v>
      </c>
    </row>
    <row r="71" spans="1:14" x14ac:dyDescent="0.35">
      <c r="A71" s="157">
        <f t="shared" si="53"/>
        <v>43802</v>
      </c>
      <c r="B71" s="158"/>
      <c r="C71" s="158"/>
      <c r="D71" s="158"/>
      <c r="E71" s="158"/>
      <c r="F71" s="158"/>
      <c r="G71" s="156">
        <f>+(G34*G17*7/12)/7</f>
        <v>0</v>
      </c>
      <c r="H71" s="156">
        <f>+G71</f>
        <v>0</v>
      </c>
      <c r="I71" s="156">
        <f t="shared" si="52"/>
        <v>0</v>
      </c>
      <c r="J71" s="156">
        <f t="shared" si="52"/>
        <v>0</v>
      </c>
      <c r="K71" s="156">
        <f t="shared" si="52"/>
        <v>0</v>
      </c>
      <c r="L71" s="156">
        <f t="shared" si="52"/>
        <v>0</v>
      </c>
      <c r="M71" s="156">
        <f t="shared" si="52"/>
        <v>0</v>
      </c>
      <c r="N71" s="156">
        <f t="shared" si="54"/>
        <v>0</v>
      </c>
    </row>
    <row r="72" spans="1:14" x14ac:dyDescent="0.35">
      <c r="A72" s="157">
        <f t="shared" si="53"/>
        <v>43833</v>
      </c>
      <c r="B72" s="158"/>
      <c r="C72" s="158"/>
      <c r="D72" s="158"/>
      <c r="E72" s="158"/>
      <c r="F72" s="158"/>
      <c r="G72" s="158"/>
      <c r="H72" s="156">
        <f>+(H34*H17*6/12)/6</f>
        <v>0</v>
      </c>
      <c r="I72" s="156">
        <f t="shared" si="52"/>
        <v>0</v>
      </c>
      <c r="J72" s="156">
        <f t="shared" si="52"/>
        <v>0</v>
      </c>
      <c r="K72" s="156">
        <f t="shared" si="52"/>
        <v>0</v>
      </c>
      <c r="L72" s="156">
        <f t="shared" si="52"/>
        <v>0</v>
      </c>
      <c r="M72" s="156">
        <f t="shared" si="52"/>
        <v>0</v>
      </c>
      <c r="N72" s="156">
        <f t="shared" si="54"/>
        <v>0</v>
      </c>
    </row>
    <row r="73" spans="1:14" x14ac:dyDescent="0.35">
      <c r="A73" s="157">
        <f t="shared" si="53"/>
        <v>43864</v>
      </c>
      <c r="B73" s="158"/>
      <c r="C73" s="158"/>
      <c r="D73" s="158"/>
      <c r="E73" s="158"/>
      <c r="F73" s="158"/>
      <c r="G73" s="158"/>
      <c r="H73" s="158"/>
      <c r="I73" s="156">
        <f>+(I34*I17*5/12)/5</f>
        <v>0</v>
      </c>
      <c r="J73" s="156">
        <f t="shared" si="52"/>
        <v>0</v>
      </c>
      <c r="K73" s="156">
        <f t="shared" si="52"/>
        <v>0</v>
      </c>
      <c r="L73" s="156">
        <f t="shared" si="52"/>
        <v>0</v>
      </c>
      <c r="M73" s="156">
        <f t="shared" si="52"/>
        <v>0</v>
      </c>
      <c r="N73" s="156">
        <f t="shared" si="54"/>
        <v>0</v>
      </c>
    </row>
    <row r="74" spans="1:14" x14ac:dyDescent="0.35">
      <c r="A74" s="157">
        <f t="shared" si="53"/>
        <v>43895</v>
      </c>
      <c r="B74" s="158"/>
      <c r="C74" s="158"/>
      <c r="D74" s="158"/>
      <c r="E74" s="158"/>
      <c r="F74" s="158"/>
      <c r="G74" s="158"/>
      <c r="H74" s="158"/>
      <c r="I74" s="158"/>
      <c r="J74" s="156">
        <f>+(J34*J17*4/12)/4</f>
        <v>0</v>
      </c>
      <c r="K74" s="156">
        <f t="shared" si="52"/>
        <v>0</v>
      </c>
      <c r="L74" s="156">
        <f t="shared" si="52"/>
        <v>0</v>
      </c>
      <c r="M74" s="156">
        <f t="shared" si="52"/>
        <v>0</v>
      </c>
      <c r="N74" s="156">
        <f t="shared" si="54"/>
        <v>0</v>
      </c>
    </row>
    <row r="75" spans="1:14" x14ac:dyDescent="0.35">
      <c r="A75" s="157">
        <f t="shared" si="53"/>
        <v>43926</v>
      </c>
      <c r="B75" s="158"/>
      <c r="C75" s="158"/>
      <c r="D75" s="158"/>
      <c r="E75" s="158"/>
      <c r="F75" s="158"/>
      <c r="G75" s="158"/>
      <c r="H75" s="158"/>
      <c r="I75" s="158"/>
      <c r="J75" s="158"/>
      <c r="K75" s="156">
        <f>+(K34*K17*3/12)/3</f>
        <v>0</v>
      </c>
      <c r="L75" s="156">
        <f t="shared" si="52"/>
        <v>0</v>
      </c>
      <c r="M75" s="156">
        <f t="shared" si="52"/>
        <v>0</v>
      </c>
      <c r="N75" s="156">
        <f t="shared" si="54"/>
        <v>0</v>
      </c>
    </row>
    <row r="76" spans="1:14" x14ac:dyDescent="0.35">
      <c r="A76" s="157">
        <f t="shared" si="53"/>
        <v>43957</v>
      </c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6">
        <f>+(L34*L17*2/12)/2</f>
        <v>0</v>
      </c>
      <c r="M76" s="156">
        <f t="shared" si="52"/>
        <v>0</v>
      </c>
      <c r="N76" s="156">
        <f t="shared" si="54"/>
        <v>0</v>
      </c>
    </row>
    <row r="77" spans="1:14" x14ac:dyDescent="0.35">
      <c r="A77" s="157">
        <f t="shared" si="53"/>
        <v>43988</v>
      </c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6">
        <f>+(M34*M17/12)</f>
        <v>0</v>
      </c>
      <c r="N77" s="156">
        <f t="shared" si="54"/>
        <v>0</v>
      </c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W68"/>
  <sheetViews>
    <sheetView topLeftCell="A6" workbookViewId="0">
      <selection activeCell="B16" sqref="B16"/>
    </sheetView>
  </sheetViews>
  <sheetFormatPr baseColWidth="10" defaultColWidth="11.46484375" defaultRowHeight="11.65" x14ac:dyDescent="0.35"/>
  <cols>
    <col min="1" max="1" width="30.53125" style="32" bestFit="1" customWidth="1"/>
    <col min="2" max="14" width="8" style="32" customWidth="1"/>
    <col min="15" max="16384" width="11.46484375" style="32"/>
  </cols>
  <sheetData>
    <row r="1" spans="1:14" ht="35.25" thickBot="1" x14ac:dyDescent="0.4">
      <c r="A1" s="68" t="s">
        <v>232</v>
      </c>
    </row>
    <row r="3" spans="1:14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4" s="57" customFormat="1" x14ac:dyDescent="0.35">
      <c r="A4" s="71" t="s">
        <v>179</v>
      </c>
      <c r="B4" s="76">
        <f t="shared" ref="B4:M4" si="1">+B5+B8+B11</f>
        <v>0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0</v>
      </c>
      <c r="L4" s="76">
        <f t="shared" si="1"/>
        <v>0</v>
      </c>
      <c r="M4" s="76">
        <f t="shared" si="1"/>
        <v>0</v>
      </c>
      <c r="N4" s="76">
        <f>SUM(B4:M4)</f>
        <v>0</v>
      </c>
    </row>
    <row r="5" spans="1:14" s="57" customFormat="1" x14ac:dyDescent="0.35">
      <c r="A5" s="72" t="s">
        <v>282</v>
      </c>
      <c r="B5" s="79">
        <f>+B6+B7</f>
        <v>0</v>
      </c>
      <c r="C5" s="79">
        <f t="shared" ref="C5:M5" si="2">+C6+C7</f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>SUM(B5:M5)</f>
        <v>0</v>
      </c>
    </row>
    <row r="6" spans="1:14" x14ac:dyDescent="0.35">
      <c r="A6" s="66" t="s">
        <v>211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>
        <f>SUM(B6:M6)</f>
        <v>0</v>
      </c>
    </row>
    <row r="7" spans="1:14" x14ac:dyDescent="0.35">
      <c r="A7" s="66" t="s">
        <v>212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>
        <f t="shared" ref="N7" si="3">SUM(B7:M7)</f>
        <v>0</v>
      </c>
    </row>
    <row r="8" spans="1:14" x14ac:dyDescent="0.35">
      <c r="A8" s="72" t="s">
        <v>284</v>
      </c>
      <c r="B8" s="79">
        <f t="shared" ref="B8:M8" si="4">+B9+B10</f>
        <v>0</v>
      </c>
      <c r="C8" s="79">
        <f t="shared" si="4"/>
        <v>0</v>
      </c>
      <c r="D8" s="79">
        <f t="shared" si="4"/>
        <v>0</v>
      </c>
      <c r="E8" s="79">
        <f t="shared" si="4"/>
        <v>0</v>
      </c>
      <c r="F8" s="79">
        <f t="shared" si="4"/>
        <v>0</v>
      </c>
      <c r="G8" s="79">
        <f t="shared" si="4"/>
        <v>0</v>
      </c>
      <c r="H8" s="79">
        <f t="shared" si="4"/>
        <v>0</v>
      </c>
      <c r="I8" s="79">
        <f t="shared" si="4"/>
        <v>0</v>
      </c>
      <c r="J8" s="79">
        <f t="shared" si="4"/>
        <v>0</v>
      </c>
      <c r="K8" s="79">
        <f t="shared" si="4"/>
        <v>0</v>
      </c>
      <c r="L8" s="79">
        <f t="shared" si="4"/>
        <v>0</v>
      </c>
      <c r="M8" s="79">
        <f t="shared" si="4"/>
        <v>0</v>
      </c>
      <c r="N8" s="79">
        <f>SUM(B8:M8)</f>
        <v>0</v>
      </c>
    </row>
    <row r="9" spans="1:14" x14ac:dyDescent="0.35">
      <c r="A9" s="66" t="s">
        <v>211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>
        <f>SUM(B9:M9)</f>
        <v>0</v>
      </c>
    </row>
    <row r="10" spans="1:14" x14ac:dyDescent="0.35">
      <c r="A10" s="66" t="s">
        <v>212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>
        <f t="shared" ref="N10" si="5">SUM(B10:M10)</f>
        <v>0</v>
      </c>
    </row>
    <row r="11" spans="1:14" x14ac:dyDescent="0.35">
      <c r="A11" s="72" t="s">
        <v>286</v>
      </c>
      <c r="B11" s="79">
        <f t="shared" ref="B11:M11" si="6">+B12+B13</f>
        <v>0</v>
      </c>
      <c r="C11" s="79">
        <f t="shared" si="6"/>
        <v>0</v>
      </c>
      <c r="D11" s="79">
        <f t="shared" si="6"/>
        <v>0</v>
      </c>
      <c r="E11" s="79">
        <f t="shared" si="6"/>
        <v>0</v>
      </c>
      <c r="F11" s="79">
        <f t="shared" si="6"/>
        <v>0</v>
      </c>
      <c r="G11" s="79">
        <f t="shared" si="6"/>
        <v>0</v>
      </c>
      <c r="H11" s="79">
        <f t="shared" si="6"/>
        <v>0</v>
      </c>
      <c r="I11" s="79">
        <f t="shared" si="6"/>
        <v>0</v>
      </c>
      <c r="J11" s="79">
        <f t="shared" si="6"/>
        <v>0</v>
      </c>
      <c r="K11" s="79">
        <f t="shared" si="6"/>
        <v>0</v>
      </c>
      <c r="L11" s="79">
        <f t="shared" si="6"/>
        <v>0</v>
      </c>
      <c r="M11" s="79">
        <f t="shared" si="6"/>
        <v>0</v>
      </c>
      <c r="N11" s="79">
        <f>SUM(B11:M11)</f>
        <v>0</v>
      </c>
    </row>
    <row r="12" spans="1:14" x14ac:dyDescent="0.35">
      <c r="A12" s="66" t="s">
        <v>211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>
        <f>SUM(B12:M12)</f>
        <v>0</v>
      </c>
    </row>
    <row r="13" spans="1:14" x14ac:dyDescent="0.35">
      <c r="A13" s="66" t="s">
        <v>212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>
        <f t="shared" ref="N13" si="7">SUM(B13:M13)</f>
        <v>0</v>
      </c>
    </row>
    <row r="14" spans="1:14" x14ac:dyDescent="0.35">
      <c r="A14" s="71" t="s">
        <v>188</v>
      </c>
      <c r="B14" s="76">
        <f>+B15+B19+B23</f>
        <v>500</v>
      </c>
      <c r="C14" s="76">
        <f t="shared" ref="C14:M14" si="8">+C15+C19+C23</f>
        <v>500</v>
      </c>
      <c r="D14" s="76">
        <f t="shared" si="8"/>
        <v>500</v>
      </c>
      <c r="E14" s="76">
        <f t="shared" si="8"/>
        <v>500</v>
      </c>
      <c r="F14" s="76">
        <f t="shared" si="8"/>
        <v>500</v>
      </c>
      <c r="G14" s="76">
        <f t="shared" si="8"/>
        <v>500</v>
      </c>
      <c r="H14" s="76">
        <f t="shared" si="8"/>
        <v>500</v>
      </c>
      <c r="I14" s="76">
        <f t="shared" si="8"/>
        <v>500</v>
      </c>
      <c r="J14" s="76">
        <f t="shared" si="8"/>
        <v>500</v>
      </c>
      <c r="K14" s="76">
        <f t="shared" si="8"/>
        <v>500</v>
      </c>
      <c r="L14" s="76">
        <f t="shared" si="8"/>
        <v>500</v>
      </c>
      <c r="M14" s="76">
        <f t="shared" si="8"/>
        <v>500</v>
      </c>
      <c r="N14" s="76">
        <f>SUM(B14:M14)</f>
        <v>6000</v>
      </c>
    </row>
    <row r="15" spans="1:14" s="57" customFormat="1" x14ac:dyDescent="0.35">
      <c r="A15" s="72" t="s">
        <v>283</v>
      </c>
      <c r="B15" s="79">
        <f>+B16+B18</f>
        <v>266.66666666666669</v>
      </c>
      <c r="C15" s="79">
        <f t="shared" ref="C15:M15" si="9">+C16+C18</f>
        <v>266.66666666666669</v>
      </c>
      <c r="D15" s="79">
        <f t="shared" si="9"/>
        <v>266.66666666666669</v>
      </c>
      <c r="E15" s="79">
        <f t="shared" si="9"/>
        <v>266.66666666666669</v>
      </c>
      <c r="F15" s="79">
        <f t="shared" si="9"/>
        <v>266.66666666666669</v>
      </c>
      <c r="G15" s="79">
        <f t="shared" si="9"/>
        <v>266.66666666666669</v>
      </c>
      <c r="H15" s="79">
        <f t="shared" si="9"/>
        <v>266.66666666666669</v>
      </c>
      <c r="I15" s="79">
        <f t="shared" si="9"/>
        <v>266.66666666666669</v>
      </c>
      <c r="J15" s="79">
        <f t="shared" si="9"/>
        <v>266.66666666666669</v>
      </c>
      <c r="K15" s="79">
        <f t="shared" si="9"/>
        <v>266.66666666666669</v>
      </c>
      <c r="L15" s="79">
        <f t="shared" si="9"/>
        <v>266.66666666666669</v>
      </c>
      <c r="M15" s="79">
        <f t="shared" si="9"/>
        <v>266.66666666666669</v>
      </c>
      <c r="N15" s="79">
        <f>SUM(B15:M15)</f>
        <v>3199.9999999999995</v>
      </c>
    </row>
    <row r="16" spans="1:14" x14ac:dyDescent="0.35">
      <c r="A16" s="66" t="s">
        <v>189</v>
      </c>
      <c r="B16" s="146">
        <v>266.66666666666669</v>
      </c>
      <c r="C16" s="146">
        <f>+B16</f>
        <v>266.66666666666669</v>
      </c>
      <c r="D16" s="146">
        <f t="shared" ref="D16:M16" si="10">+C16</f>
        <v>266.66666666666669</v>
      </c>
      <c r="E16" s="146">
        <f t="shared" si="10"/>
        <v>266.66666666666669</v>
      </c>
      <c r="F16" s="146">
        <f t="shared" si="10"/>
        <v>266.66666666666669</v>
      </c>
      <c r="G16" s="146">
        <f t="shared" si="10"/>
        <v>266.66666666666669</v>
      </c>
      <c r="H16" s="146">
        <f t="shared" si="10"/>
        <v>266.66666666666669</v>
      </c>
      <c r="I16" s="146">
        <f t="shared" si="10"/>
        <v>266.66666666666669</v>
      </c>
      <c r="J16" s="146">
        <f t="shared" si="10"/>
        <v>266.66666666666669</v>
      </c>
      <c r="K16" s="146">
        <f t="shared" si="10"/>
        <v>266.66666666666669</v>
      </c>
      <c r="L16" s="146">
        <f t="shared" si="10"/>
        <v>266.66666666666669</v>
      </c>
      <c r="M16" s="146">
        <f t="shared" si="10"/>
        <v>266.66666666666669</v>
      </c>
      <c r="N16" s="146">
        <f>SUM(B16:M16)</f>
        <v>3199.9999999999995</v>
      </c>
    </row>
    <row r="17" spans="1:23" x14ac:dyDescent="0.35">
      <c r="A17" s="66" t="s">
        <v>190</v>
      </c>
      <c r="B17" s="149">
        <v>0.2</v>
      </c>
      <c r="C17" s="149">
        <f>+B17</f>
        <v>0.2</v>
      </c>
      <c r="D17" s="149">
        <f t="shared" ref="D17:M17" si="11">+C17</f>
        <v>0.2</v>
      </c>
      <c r="E17" s="149">
        <f t="shared" si="11"/>
        <v>0.2</v>
      </c>
      <c r="F17" s="149">
        <f t="shared" si="11"/>
        <v>0.2</v>
      </c>
      <c r="G17" s="149">
        <f t="shared" si="11"/>
        <v>0.2</v>
      </c>
      <c r="H17" s="149">
        <f t="shared" si="11"/>
        <v>0.2</v>
      </c>
      <c r="I17" s="149">
        <f t="shared" si="11"/>
        <v>0.2</v>
      </c>
      <c r="J17" s="149">
        <f t="shared" si="11"/>
        <v>0.2</v>
      </c>
      <c r="K17" s="149">
        <f t="shared" si="11"/>
        <v>0.2</v>
      </c>
      <c r="L17" s="149">
        <f t="shared" si="11"/>
        <v>0.2</v>
      </c>
      <c r="M17" s="149">
        <f t="shared" si="11"/>
        <v>0.2</v>
      </c>
      <c r="N17" s="146"/>
    </row>
    <row r="18" spans="1:23" x14ac:dyDescent="0.35">
      <c r="A18" s="66" t="s">
        <v>288</v>
      </c>
      <c r="B18" s="146">
        <f>+B28</f>
        <v>0</v>
      </c>
      <c r="C18" s="146">
        <f t="shared" ref="C18:M18" si="12">+C28</f>
        <v>0</v>
      </c>
      <c r="D18" s="146">
        <f t="shared" si="12"/>
        <v>0</v>
      </c>
      <c r="E18" s="146">
        <f t="shared" si="12"/>
        <v>0</v>
      </c>
      <c r="F18" s="146">
        <f t="shared" si="12"/>
        <v>0</v>
      </c>
      <c r="G18" s="146">
        <f t="shared" si="12"/>
        <v>0</v>
      </c>
      <c r="H18" s="146">
        <f t="shared" si="12"/>
        <v>0</v>
      </c>
      <c r="I18" s="146">
        <f t="shared" si="12"/>
        <v>0</v>
      </c>
      <c r="J18" s="146">
        <f t="shared" si="12"/>
        <v>0</v>
      </c>
      <c r="K18" s="146">
        <f t="shared" si="12"/>
        <v>0</v>
      </c>
      <c r="L18" s="146">
        <f t="shared" si="12"/>
        <v>0</v>
      </c>
      <c r="M18" s="146">
        <f t="shared" si="12"/>
        <v>0</v>
      </c>
      <c r="N18" s="146">
        <f t="shared" ref="N18" si="13">SUM(B18:M18)</f>
        <v>0</v>
      </c>
    </row>
    <row r="19" spans="1:23" x14ac:dyDescent="0.35">
      <c r="A19" s="72" t="s">
        <v>285</v>
      </c>
      <c r="B19" s="79">
        <f>+B20+B22</f>
        <v>0</v>
      </c>
      <c r="C19" s="79">
        <f t="shared" ref="C19:M19" si="14">+C20+C22</f>
        <v>0</v>
      </c>
      <c r="D19" s="79">
        <f t="shared" si="14"/>
        <v>0</v>
      </c>
      <c r="E19" s="79">
        <f t="shared" si="14"/>
        <v>0</v>
      </c>
      <c r="F19" s="79">
        <f t="shared" si="14"/>
        <v>0</v>
      </c>
      <c r="G19" s="79">
        <f t="shared" si="14"/>
        <v>0</v>
      </c>
      <c r="H19" s="79">
        <f t="shared" si="14"/>
        <v>0</v>
      </c>
      <c r="I19" s="79">
        <f t="shared" si="14"/>
        <v>0</v>
      </c>
      <c r="J19" s="79">
        <f t="shared" si="14"/>
        <v>0</v>
      </c>
      <c r="K19" s="79">
        <f t="shared" si="14"/>
        <v>0</v>
      </c>
      <c r="L19" s="79">
        <f t="shared" si="14"/>
        <v>0</v>
      </c>
      <c r="M19" s="79">
        <f t="shared" si="14"/>
        <v>0</v>
      </c>
      <c r="N19" s="79">
        <f>SUM(B19:M19)</f>
        <v>0</v>
      </c>
    </row>
    <row r="20" spans="1:23" x14ac:dyDescent="0.35">
      <c r="A20" s="66" t="s">
        <v>189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>
        <f>SUM(B20:M20)</f>
        <v>0</v>
      </c>
    </row>
    <row r="21" spans="1:23" x14ac:dyDescent="0.35">
      <c r="A21" s="66" t="s">
        <v>190</v>
      </c>
      <c r="B21" s="149">
        <v>0.2</v>
      </c>
      <c r="C21" s="149">
        <f>+B21</f>
        <v>0.2</v>
      </c>
      <c r="D21" s="149">
        <f t="shared" ref="D21:M21" si="15">+C21</f>
        <v>0.2</v>
      </c>
      <c r="E21" s="149">
        <f t="shared" si="15"/>
        <v>0.2</v>
      </c>
      <c r="F21" s="149">
        <f t="shared" si="15"/>
        <v>0.2</v>
      </c>
      <c r="G21" s="149">
        <f t="shared" si="15"/>
        <v>0.2</v>
      </c>
      <c r="H21" s="149">
        <f t="shared" si="15"/>
        <v>0.2</v>
      </c>
      <c r="I21" s="149">
        <f t="shared" si="15"/>
        <v>0.2</v>
      </c>
      <c r="J21" s="149">
        <f t="shared" si="15"/>
        <v>0.2</v>
      </c>
      <c r="K21" s="149">
        <f t="shared" si="15"/>
        <v>0.2</v>
      </c>
      <c r="L21" s="149">
        <f t="shared" si="15"/>
        <v>0.2</v>
      </c>
      <c r="M21" s="149">
        <f t="shared" si="15"/>
        <v>0.2</v>
      </c>
      <c r="N21" s="146"/>
    </row>
    <row r="22" spans="1:23" x14ac:dyDescent="0.35">
      <c r="A22" s="66" t="s">
        <v>288</v>
      </c>
      <c r="B22" s="146">
        <f>+B42</f>
        <v>0</v>
      </c>
      <c r="C22" s="146">
        <f t="shared" ref="C22:M22" si="16">+C42</f>
        <v>0</v>
      </c>
      <c r="D22" s="146">
        <f t="shared" si="16"/>
        <v>0</v>
      </c>
      <c r="E22" s="146">
        <f t="shared" si="16"/>
        <v>0</v>
      </c>
      <c r="F22" s="146">
        <f t="shared" si="16"/>
        <v>0</v>
      </c>
      <c r="G22" s="146">
        <f t="shared" si="16"/>
        <v>0</v>
      </c>
      <c r="H22" s="146">
        <f t="shared" si="16"/>
        <v>0</v>
      </c>
      <c r="I22" s="146">
        <f t="shared" si="16"/>
        <v>0</v>
      </c>
      <c r="J22" s="146">
        <f t="shared" si="16"/>
        <v>0</v>
      </c>
      <c r="K22" s="146">
        <f t="shared" si="16"/>
        <v>0</v>
      </c>
      <c r="L22" s="146">
        <f t="shared" si="16"/>
        <v>0</v>
      </c>
      <c r="M22" s="146">
        <f t="shared" si="16"/>
        <v>0</v>
      </c>
      <c r="N22" s="146">
        <f t="shared" ref="N22" si="17">SUM(B22:M22)</f>
        <v>0</v>
      </c>
      <c r="O22" s="74"/>
      <c r="P22" s="74"/>
      <c r="Q22" s="74"/>
      <c r="R22" s="74"/>
      <c r="S22" s="74"/>
      <c r="T22" s="74"/>
      <c r="U22" s="74"/>
      <c r="V22" s="74"/>
      <c r="W22" s="74"/>
    </row>
    <row r="23" spans="1:23" x14ac:dyDescent="0.35">
      <c r="A23" s="72" t="s">
        <v>287</v>
      </c>
      <c r="B23" s="79">
        <f>+B24+B26</f>
        <v>233.33333333333334</v>
      </c>
      <c r="C23" s="79">
        <f t="shared" ref="C23:M23" si="18">+C24+C26</f>
        <v>233.33333333333334</v>
      </c>
      <c r="D23" s="79">
        <f t="shared" si="18"/>
        <v>233.33333333333334</v>
      </c>
      <c r="E23" s="79">
        <f t="shared" si="18"/>
        <v>233.33333333333334</v>
      </c>
      <c r="F23" s="79">
        <f t="shared" si="18"/>
        <v>233.33333333333334</v>
      </c>
      <c r="G23" s="79">
        <f t="shared" si="18"/>
        <v>233.33333333333334</v>
      </c>
      <c r="H23" s="79">
        <f t="shared" si="18"/>
        <v>233.33333333333334</v>
      </c>
      <c r="I23" s="79">
        <f t="shared" si="18"/>
        <v>233.33333333333334</v>
      </c>
      <c r="J23" s="79">
        <f t="shared" si="18"/>
        <v>233.33333333333334</v>
      </c>
      <c r="K23" s="79">
        <f t="shared" si="18"/>
        <v>233.33333333333334</v>
      </c>
      <c r="L23" s="79">
        <f t="shared" si="18"/>
        <v>233.33333333333334</v>
      </c>
      <c r="M23" s="79">
        <f t="shared" si="18"/>
        <v>233.33333333333334</v>
      </c>
      <c r="N23" s="79">
        <f>SUM(B23:M23)</f>
        <v>2800.0000000000005</v>
      </c>
    </row>
    <row r="24" spans="1:23" x14ac:dyDescent="0.35">
      <c r="A24" s="66" t="s">
        <v>189</v>
      </c>
      <c r="B24" s="146">
        <v>233.33333333333334</v>
      </c>
      <c r="C24" s="146">
        <f>+B24</f>
        <v>233.33333333333334</v>
      </c>
      <c r="D24" s="146">
        <f t="shared" ref="D24:M24" si="19">+C24</f>
        <v>233.33333333333334</v>
      </c>
      <c r="E24" s="146">
        <f t="shared" si="19"/>
        <v>233.33333333333334</v>
      </c>
      <c r="F24" s="146">
        <f t="shared" si="19"/>
        <v>233.33333333333334</v>
      </c>
      <c r="G24" s="146">
        <f t="shared" si="19"/>
        <v>233.33333333333334</v>
      </c>
      <c r="H24" s="146">
        <f t="shared" si="19"/>
        <v>233.33333333333334</v>
      </c>
      <c r="I24" s="146">
        <f t="shared" si="19"/>
        <v>233.33333333333334</v>
      </c>
      <c r="J24" s="146">
        <f t="shared" si="19"/>
        <v>233.33333333333334</v>
      </c>
      <c r="K24" s="146">
        <f t="shared" si="19"/>
        <v>233.33333333333334</v>
      </c>
      <c r="L24" s="146">
        <f t="shared" si="19"/>
        <v>233.33333333333334</v>
      </c>
      <c r="M24" s="146">
        <f t="shared" si="19"/>
        <v>233.33333333333334</v>
      </c>
      <c r="N24" s="146">
        <f>SUM(B24:M24)</f>
        <v>2800.0000000000005</v>
      </c>
    </row>
    <row r="25" spans="1:23" x14ac:dyDescent="0.35">
      <c r="A25" s="66" t="s">
        <v>190</v>
      </c>
      <c r="B25" s="149">
        <v>0.2</v>
      </c>
      <c r="C25" s="149">
        <f>+B25</f>
        <v>0.2</v>
      </c>
      <c r="D25" s="149">
        <f t="shared" ref="D25:M25" si="20">+C25</f>
        <v>0.2</v>
      </c>
      <c r="E25" s="149">
        <f t="shared" si="20"/>
        <v>0.2</v>
      </c>
      <c r="F25" s="149">
        <f t="shared" si="20"/>
        <v>0.2</v>
      </c>
      <c r="G25" s="149">
        <f t="shared" si="20"/>
        <v>0.2</v>
      </c>
      <c r="H25" s="149">
        <f t="shared" si="20"/>
        <v>0.2</v>
      </c>
      <c r="I25" s="149">
        <f t="shared" si="20"/>
        <v>0.2</v>
      </c>
      <c r="J25" s="149">
        <f t="shared" si="20"/>
        <v>0.2</v>
      </c>
      <c r="K25" s="149">
        <f t="shared" si="20"/>
        <v>0.2</v>
      </c>
      <c r="L25" s="149">
        <f t="shared" si="20"/>
        <v>0.2</v>
      </c>
      <c r="M25" s="149">
        <f t="shared" si="20"/>
        <v>0.2</v>
      </c>
      <c r="N25" s="146"/>
    </row>
    <row r="26" spans="1:23" x14ac:dyDescent="0.35">
      <c r="A26" s="66" t="s">
        <v>288</v>
      </c>
      <c r="B26" s="146">
        <f>+B56</f>
        <v>0</v>
      </c>
      <c r="C26" s="146">
        <f t="shared" ref="C26:M26" si="21">+C56</f>
        <v>0</v>
      </c>
      <c r="D26" s="146">
        <f t="shared" si="21"/>
        <v>0</v>
      </c>
      <c r="E26" s="146">
        <f t="shared" si="21"/>
        <v>0</v>
      </c>
      <c r="F26" s="146">
        <f t="shared" si="21"/>
        <v>0</v>
      </c>
      <c r="G26" s="146">
        <f t="shared" si="21"/>
        <v>0</v>
      </c>
      <c r="H26" s="146">
        <f t="shared" si="21"/>
        <v>0</v>
      </c>
      <c r="I26" s="146">
        <f t="shared" si="21"/>
        <v>0</v>
      </c>
      <c r="J26" s="146">
        <f t="shared" si="21"/>
        <v>0</v>
      </c>
      <c r="K26" s="146">
        <f t="shared" si="21"/>
        <v>0</v>
      </c>
      <c r="L26" s="146">
        <f t="shared" si="21"/>
        <v>0</v>
      </c>
      <c r="M26" s="146">
        <f t="shared" si="21"/>
        <v>0</v>
      </c>
      <c r="N26" s="146">
        <f t="shared" ref="N26" si="22">SUM(B26:M26)</f>
        <v>0</v>
      </c>
    </row>
    <row r="27" spans="1:23" x14ac:dyDescent="0.35">
      <c r="B27" s="160">
        <v>43647</v>
      </c>
      <c r="C27" s="160">
        <f>+B27+31</f>
        <v>43678</v>
      </c>
      <c r="D27" s="160">
        <f t="shared" ref="D27:M27" si="23">+C27+31</f>
        <v>43709</v>
      </c>
      <c r="E27" s="160">
        <f t="shared" si="23"/>
        <v>43740</v>
      </c>
      <c r="F27" s="160">
        <f t="shared" si="23"/>
        <v>43771</v>
      </c>
      <c r="G27" s="160">
        <f t="shared" si="23"/>
        <v>43802</v>
      </c>
      <c r="H27" s="160">
        <f t="shared" si="23"/>
        <v>43833</v>
      </c>
      <c r="I27" s="160">
        <f t="shared" si="23"/>
        <v>43864</v>
      </c>
      <c r="J27" s="160">
        <f t="shared" si="23"/>
        <v>43895</v>
      </c>
      <c r="K27" s="160">
        <f t="shared" si="23"/>
        <v>43926</v>
      </c>
      <c r="L27" s="160">
        <f t="shared" si="23"/>
        <v>43957</v>
      </c>
      <c r="M27" s="160">
        <f t="shared" si="23"/>
        <v>43988</v>
      </c>
      <c r="N27" s="159" t="s">
        <v>84</v>
      </c>
    </row>
    <row r="28" spans="1:23" x14ac:dyDescent="0.35">
      <c r="A28" s="17" t="s">
        <v>289</v>
      </c>
      <c r="B28" s="17">
        <f>SUM(B29:B40)</f>
        <v>0</v>
      </c>
      <c r="C28" s="17">
        <f t="shared" ref="C28:M28" si="24">SUM(C29:C40)</f>
        <v>0</v>
      </c>
      <c r="D28" s="17">
        <f t="shared" si="24"/>
        <v>0</v>
      </c>
      <c r="E28" s="17">
        <f t="shared" si="24"/>
        <v>0</v>
      </c>
      <c r="F28" s="17">
        <f t="shared" si="24"/>
        <v>0</v>
      </c>
      <c r="G28" s="17">
        <f t="shared" si="24"/>
        <v>0</v>
      </c>
      <c r="H28" s="17">
        <f t="shared" si="24"/>
        <v>0</v>
      </c>
      <c r="I28" s="17">
        <f t="shared" si="24"/>
        <v>0</v>
      </c>
      <c r="J28" s="17">
        <f t="shared" si="24"/>
        <v>0</v>
      </c>
      <c r="K28" s="17">
        <f t="shared" si="24"/>
        <v>0</v>
      </c>
      <c r="L28" s="17">
        <f t="shared" si="24"/>
        <v>0</v>
      </c>
      <c r="M28" s="17">
        <f t="shared" si="24"/>
        <v>0</v>
      </c>
      <c r="N28" s="156">
        <f>SUM(B28:M28)</f>
        <v>0</v>
      </c>
    </row>
    <row r="29" spans="1:23" x14ac:dyDescent="0.35">
      <c r="A29" s="157">
        <v>43647</v>
      </c>
      <c r="B29" s="156">
        <f>+B17*B5/12</f>
        <v>0</v>
      </c>
      <c r="C29" s="156">
        <f>+B29</f>
        <v>0</v>
      </c>
      <c r="D29" s="156">
        <f t="shared" ref="D29:M39" si="25">+C29</f>
        <v>0</v>
      </c>
      <c r="E29" s="156">
        <f t="shared" si="25"/>
        <v>0</v>
      </c>
      <c r="F29" s="156">
        <f t="shared" si="25"/>
        <v>0</v>
      </c>
      <c r="G29" s="156">
        <f t="shared" si="25"/>
        <v>0</v>
      </c>
      <c r="H29" s="156">
        <f t="shared" si="25"/>
        <v>0</v>
      </c>
      <c r="I29" s="156">
        <f t="shared" si="25"/>
        <v>0</v>
      </c>
      <c r="J29" s="156">
        <f t="shared" si="25"/>
        <v>0</v>
      </c>
      <c r="K29" s="156">
        <f t="shared" si="25"/>
        <v>0</v>
      </c>
      <c r="L29" s="156">
        <f t="shared" si="25"/>
        <v>0</v>
      </c>
      <c r="M29" s="156">
        <f t="shared" si="25"/>
        <v>0</v>
      </c>
      <c r="N29" s="156">
        <f>SUM(B29:M29)</f>
        <v>0</v>
      </c>
    </row>
    <row r="30" spans="1:23" x14ac:dyDescent="0.35">
      <c r="A30" s="157">
        <f t="shared" ref="A30:A40" si="26">+A29+31</f>
        <v>43678</v>
      </c>
      <c r="B30" s="158"/>
      <c r="C30" s="156">
        <f>+(C5*C17*11/12)/11</f>
        <v>0</v>
      </c>
      <c r="D30" s="156">
        <f t="shared" si="25"/>
        <v>0</v>
      </c>
      <c r="E30" s="156">
        <f t="shared" si="25"/>
        <v>0</v>
      </c>
      <c r="F30" s="156">
        <f t="shared" si="25"/>
        <v>0</v>
      </c>
      <c r="G30" s="156">
        <f t="shared" si="25"/>
        <v>0</v>
      </c>
      <c r="H30" s="156">
        <f t="shared" si="25"/>
        <v>0</v>
      </c>
      <c r="I30" s="156">
        <f t="shared" si="25"/>
        <v>0</v>
      </c>
      <c r="J30" s="156">
        <f t="shared" si="25"/>
        <v>0</v>
      </c>
      <c r="K30" s="156">
        <f t="shared" si="25"/>
        <v>0</v>
      </c>
      <c r="L30" s="156">
        <f t="shared" si="25"/>
        <v>0</v>
      </c>
      <c r="M30" s="156">
        <f t="shared" si="25"/>
        <v>0</v>
      </c>
      <c r="N30" s="156">
        <f t="shared" ref="N30:N40" si="27">SUM(B30:M30)</f>
        <v>0</v>
      </c>
    </row>
    <row r="31" spans="1:23" x14ac:dyDescent="0.35">
      <c r="A31" s="157">
        <f t="shared" si="26"/>
        <v>43709</v>
      </c>
      <c r="B31" s="158"/>
      <c r="C31" s="158"/>
      <c r="D31" s="156">
        <f>+(D5*D17*10/12)/10</f>
        <v>0</v>
      </c>
      <c r="E31" s="156">
        <f t="shared" si="25"/>
        <v>0</v>
      </c>
      <c r="F31" s="156">
        <f t="shared" si="25"/>
        <v>0</v>
      </c>
      <c r="G31" s="156">
        <f t="shared" si="25"/>
        <v>0</v>
      </c>
      <c r="H31" s="156">
        <f t="shared" si="25"/>
        <v>0</v>
      </c>
      <c r="I31" s="156">
        <f t="shared" si="25"/>
        <v>0</v>
      </c>
      <c r="J31" s="156">
        <f t="shared" si="25"/>
        <v>0</v>
      </c>
      <c r="K31" s="156">
        <f t="shared" si="25"/>
        <v>0</v>
      </c>
      <c r="L31" s="156">
        <f t="shared" si="25"/>
        <v>0</v>
      </c>
      <c r="M31" s="156">
        <f t="shared" si="25"/>
        <v>0</v>
      </c>
      <c r="N31" s="156">
        <f t="shared" si="27"/>
        <v>0</v>
      </c>
    </row>
    <row r="32" spans="1:23" x14ac:dyDescent="0.35">
      <c r="A32" s="157">
        <f t="shared" si="26"/>
        <v>43740</v>
      </c>
      <c r="B32" s="158"/>
      <c r="C32" s="158"/>
      <c r="D32" s="158"/>
      <c r="E32" s="156">
        <f>+(E5*E17*9/12)/9</f>
        <v>0</v>
      </c>
      <c r="F32" s="156">
        <f t="shared" si="25"/>
        <v>0</v>
      </c>
      <c r="G32" s="156">
        <f t="shared" si="25"/>
        <v>0</v>
      </c>
      <c r="H32" s="156">
        <f t="shared" si="25"/>
        <v>0</v>
      </c>
      <c r="I32" s="156">
        <f t="shared" si="25"/>
        <v>0</v>
      </c>
      <c r="J32" s="156">
        <f t="shared" si="25"/>
        <v>0</v>
      </c>
      <c r="K32" s="156">
        <f t="shared" si="25"/>
        <v>0</v>
      </c>
      <c r="L32" s="156">
        <f t="shared" si="25"/>
        <v>0</v>
      </c>
      <c r="M32" s="156">
        <f t="shared" si="25"/>
        <v>0</v>
      </c>
      <c r="N32" s="156">
        <f t="shared" si="27"/>
        <v>0</v>
      </c>
    </row>
    <row r="33" spans="1:14" x14ac:dyDescent="0.35">
      <c r="A33" s="157">
        <f t="shared" si="26"/>
        <v>43771</v>
      </c>
      <c r="B33" s="158"/>
      <c r="C33" s="158"/>
      <c r="D33" s="158"/>
      <c r="E33" s="158"/>
      <c r="F33" s="156">
        <f>+(F5*F17*8/12)/8</f>
        <v>0</v>
      </c>
      <c r="G33" s="156">
        <f t="shared" si="25"/>
        <v>0</v>
      </c>
      <c r="H33" s="156">
        <f t="shared" si="25"/>
        <v>0</v>
      </c>
      <c r="I33" s="156">
        <f t="shared" si="25"/>
        <v>0</v>
      </c>
      <c r="J33" s="156">
        <f t="shared" si="25"/>
        <v>0</v>
      </c>
      <c r="K33" s="156">
        <f t="shared" si="25"/>
        <v>0</v>
      </c>
      <c r="L33" s="156">
        <f t="shared" si="25"/>
        <v>0</v>
      </c>
      <c r="M33" s="156">
        <f t="shared" si="25"/>
        <v>0</v>
      </c>
      <c r="N33" s="156">
        <f t="shared" si="27"/>
        <v>0</v>
      </c>
    </row>
    <row r="34" spans="1:14" x14ac:dyDescent="0.35">
      <c r="A34" s="157">
        <f t="shared" si="26"/>
        <v>43802</v>
      </c>
      <c r="B34" s="158"/>
      <c r="C34" s="158"/>
      <c r="D34" s="158"/>
      <c r="E34" s="158"/>
      <c r="F34" s="158"/>
      <c r="G34" s="156">
        <f>+(G5*G17*7/12)/7</f>
        <v>0</v>
      </c>
      <c r="H34" s="156">
        <f t="shared" si="25"/>
        <v>0</v>
      </c>
      <c r="I34" s="156">
        <f t="shared" si="25"/>
        <v>0</v>
      </c>
      <c r="J34" s="156">
        <f t="shared" si="25"/>
        <v>0</v>
      </c>
      <c r="K34" s="156">
        <f t="shared" si="25"/>
        <v>0</v>
      </c>
      <c r="L34" s="156">
        <f t="shared" si="25"/>
        <v>0</v>
      </c>
      <c r="M34" s="156">
        <f t="shared" si="25"/>
        <v>0</v>
      </c>
      <c r="N34" s="156">
        <f t="shared" si="27"/>
        <v>0</v>
      </c>
    </row>
    <row r="35" spans="1:14" x14ac:dyDescent="0.35">
      <c r="A35" s="157">
        <f t="shared" si="26"/>
        <v>43833</v>
      </c>
      <c r="B35" s="158"/>
      <c r="C35" s="158"/>
      <c r="D35" s="158"/>
      <c r="E35" s="158"/>
      <c r="F35" s="158"/>
      <c r="G35" s="158"/>
      <c r="H35" s="156">
        <f>+(H5*H17*6/12)/6</f>
        <v>0</v>
      </c>
      <c r="I35" s="156">
        <f t="shared" si="25"/>
        <v>0</v>
      </c>
      <c r="J35" s="156">
        <f t="shared" si="25"/>
        <v>0</v>
      </c>
      <c r="K35" s="156">
        <f t="shared" si="25"/>
        <v>0</v>
      </c>
      <c r="L35" s="156">
        <f t="shared" si="25"/>
        <v>0</v>
      </c>
      <c r="M35" s="156">
        <f t="shared" si="25"/>
        <v>0</v>
      </c>
      <c r="N35" s="156">
        <f t="shared" si="27"/>
        <v>0</v>
      </c>
    </row>
    <row r="36" spans="1:14" x14ac:dyDescent="0.35">
      <c r="A36" s="157">
        <f t="shared" si="26"/>
        <v>43864</v>
      </c>
      <c r="B36" s="158"/>
      <c r="C36" s="158"/>
      <c r="D36" s="158"/>
      <c r="E36" s="158"/>
      <c r="F36" s="158"/>
      <c r="G36" s="158"/>
      <c r="H36" s="158"/>
      <c r="I36" s="156">
        <f>(I5*I17*5/12)/5</f>
        <v>0</v>
      </c>
      <c r="J36" s="156">
        <f t="shared" si="25"/>
        <v>0</v>
      </c>
      <c r="K36" s="156">
        <f t="shared" si="25"/>
        <v>0</v>
      </c>
      <c r="L36" s="156">
        <f t="shared" si="25"/>
        <v>0</v>
      </c>
      <c r="M36" s="156">
        <f t="shared" si="25"/>
        <v>0</v>
      </c>
      <c r="N36" s="156">
        <f t="shared" si="27"/>
        <v>0</v>
      </c>
    </row>
    <row r="37" spans="1:14" x14ac:dyDescent="0.35">
      <c r="A37" s="157">
        <f t="shared" si="26"/>
        <v>43895</v>
      </c>
      <c r="B37" s="158"/>
      <c r="C37" s="158"/>
      <c r="D37" s="158"/>
      <c r="E37" s="158"/>
      <c r="F37" s="158"/>
      <c r="G37" s="158"/>
      <c r="H37" s="158"/>
      <c r="I37" s="158"/>
      <c r="J37" s="156">
        <f>(J5*J17*4/12)/4</f>
        <v>0</v>
      </c>
      <c r="K37" s="156">
        <f t="shared" si="25"/>
        <v>0</v>
      </c>
      <c r="L37" s="156">
        <f t="shared" si="25"/>
        <v>0</v>
      </c>
      <c r="M37" s="156">
        <f t="shared" si="25"/>
        <v>0</v>
      </c>
      <c r="N37" s="156">
        <f t="shared" si="27"/>
        <v>0</v>
      </c>
    </row>
    <row r="38" spans="1:14" x14ac:dyDescent="0.35">
      <c r="A38" s="157">
        <f t="shared" si="26"/>
        <v>43926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6">
        <f>(K5*K17*3/12)/3</f>
        <v>0</v>
      </c>
      <c r="L38" s="156">
        <f t="shared" si="25"/>
        <v>0</v>
      </c>
      <c r="M38" s="156">
        <f t="shared" si="25"/>
        <v>0</v>
      </c>
      <c r="N38" s="156">
        <f t="shared" si="27"/>
        <v>0</v>
      </c>
    </row>
    <row r="39" spans="1:14" x14ac:dyDescent="0.35">
      <c r="A39" s="157">
        <f t="shared" si="26"/>
        <v>43957</v>
      </c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6">
        <f>(L5*L17*2/12)/2</f>
        <v>0</v>
      </c>
      <c r="M39" s="156">
        <f t="shared" si="25"/>
        <v>0</v>
      </c>
      <c r="N39" s="156">
        <f t="shared" si="27"/>
        <v>0</v>
      </c>
    </row>
    <row r="40" spans="1:14" x14ac:dyDescent="0.35">
      <c r="A40" s="157">
        <f t="shared" si="26"/>
        <v>43988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6">
        <f>(M5*M17/12)</f>
        <v>0</v>
      </c>
      <c r="N40" s="156">
        <f t="shared" si="27"/>
        <v>0</v>
      </c>
    </row>
    <row r="41" spans="1:14" x14ac:dyDescent="0.35">
      <c r="B41" s="160">
        <v>43647</v>
      </c>
      <c r="C41" s="160">
        <f>+B41+31</f>
        <v>43678</v>
      </c>
      <c r="D41" s="160">
        <f t="shared" ref="D41:M41" si="28">+C41+31</f>
        <v>43709</v>
      </c>
      <c r="E41" s="160">
        <f t="shared" si="28"/>
        <v>43740</v>
      </c>
      <c r="F41" s="160">
        <f t="shared" si="28"/>
        <v>43771</v>
      </c>
      <c r="G41" s="160">
        <f t="shared" si="28"/>
        <v>43802</v>
      </c>
      <c r="H41" s="160">
        <f t="shared" si="28"/>
        <v>43833</v>
      </c>
      <c r="I41" s="160">
        <f t="shared" si="28"/>
        <v>43864</v>
      </c>
      <c r="J41" s="160">
        <f t="shared" si="28"/>
        <v>43895</v>
      </c>
      <c r="K41" s="160">
        <f t="shared" si="28"/>
        <v>43926</v>
      </c>
      <c r="L41" s="160">
        <f t="shared" si="28"/>
        <v>43957</v>
      </c>
      <c r="M41" s="160">
        <f t="shared" si="28"/>
        <v>43988</v>
      </c>
      <c r="N41" s="159" t="s">
        <v>84</v>
      </c>
    </row>
    <row r="42" spans="1:14" x14ac:dyDescent="0.35">
      <c r="A42" s="17" t="s">
        <v>290</v>
      </c>
      <c r="B42" s="17">
        <f>SUM(B43:B54)</f>
        <v>0</v>
      </c>
      <c r="C42" s="17">
        <f t="shared" ref="C42:M42" si="29">SUM(C43:C54)</f>
        <v>0</v>
      </c>
      <c r="D42" s="17">
        <f t="shared" si="29"/>
        <v>0</v>
      </c>
      <c r="E42" s="17">
        <f t="shared" si="29"/>
        <v>0</v>
      </c>
      <c r="F42" s="17">
        <f t="shared" si="29"/>
        <v>0</v>
      </c>
      <c r="G42" s="17">
        <f t="shared" si="29"/>
        <v>0</v>
      </c>
      <c r="H42" s="17">
        <f t="shared" si="29"/>
        <v>0</v>
      </c>
      <c r="I42" s="17">
        <f t="shared" si="29"/>
        <v>0</v>
      </c>
      <c r="J42" s="17">
        <f t="shared" si="29"/>
        <v>0</v>
      </c>
      <c r="K42" s="17">
        <f t="shared" si="29"/>
        <v>0</v>
      </c>
      <c r="L42" s="17">
        <f t="shared" si="29"/>
        <v>0</v>
      </c>
      <c r="M42" s="17">
        <f t="shared" si="29"/>
        <v>0</v>
      </c>
      <c r="N42" s="156">
        <f>SUM(B42:M42)</f>
        <v>0</v>
      </c>
    </row>
    <row r="43" spans="1:14" x14ac:dyDescent="0.35">
      <c r="A43" s="157">
        <v>43647</v>
      </c>
      <c r="B43" s="156">
        <f>+B21*B8/12</f>
        <v>0</v>
      </c>
      <c r="C43" s="156">
        <f>+B43</f>
        <v>0</v>
      </c>
      <c r="D43" s="156">
        <f t="shared" ref="D43:M53" si="30">+C43</f>
        <v>0</v>
      </c>
      <c r="E43" s="156">
        <f t="shared" si="30"/>
        <v>0</v>
      </c>
      <c r="F43" s="156">
        <f t="shared" si="30"/>
        <v>0</v>
      </c>
      <c r="G43" s="156">
        <f t="shared" si="30"/>
        <v>0</v>
      </c>
      <c r="H43" s="156">
        <f t="shared" si="30"/>
        <v>0</v>
      </c>
      <c r="I43" s="156">
        <f t="shared" si="30"/>
        <v>0</v>
      </c>
      <c r="J43" s="156">
        <f t="shared" si="30"/>
        <v>0</v>
      </c>
      <c r="K43" s="156">
        <f t="shared" si="30"/>
        <v>0</v>
      </c>
      <c r="L43" s="156">
        <f t="shared" si="30"/>
        <v>0</v>
      </c>
      <c r="M43" s="156">
        <f t="shared" si="30"/>
        <v>0</v>
      </c>
      <c r="N43" s="156">
        <f>SUM(B43:M43)</f>
        <v>0</v>
      </c>
    </row>
    <row r="44" spans="1:14" x14ac:dyDescent="0.35">
      <c r="A44" s="157">
        <f t="shared" ref="A44:A54" si="31">+A43+31</f>
        <v>43678</v>
      </c>
      <c r="B44" s="158"/>
      <c r="C44" s="156">
        <f>+(C21*C8*11/12)/11</f>
        <v>0</v>
      </c>
      <c r="D44" s="156">
        <f t="shared" si="30"/>
        <v>0</v>
      </c>
      <c r="E44" s="156">
        <f t="shared" si="30"/>
        <v>0</v>
      </c>
      <c r="F44" s="156">
        <f t="shared" si="30"/>
        <v>0</v>
      </c>
      <c r="G44" s="156">
        <f t="shared" si="30"/>
        <v>0</v>
      </c>
      <c r="H44" s="156">
        <f t="shared" si="30"/>
        <v>0</v>
      </c>
      <c r="I44" s="156">
        <f t="shared" si="30"/>
        <v>0</v>
      </c>
      <c r="J44" s="156">
        <f t="shared" si="30"/>
        <v>0</v>
      </c>
      <c r="K44" s="156">
        <f t="shared" si="30"/>
        <v>0</v>
      </c>
      <c r="L44" s="156">
        <f t="shared" si="30"/>
        <v>0</v>
      </c>
      <c r="M44" s="156">
        <f t="shared" si="30"/>
        <v>0</v>
      </c>
      <c r="N44" s="156">
        <f t="shared" ref="N44:N54" si="32">SUM(B44:M44)</f>
        <v>0</v>
      </c>
    </row>
    <row r="45" spans="1:14" x14ac:dyDescent="0.35">
      <c r="A45" s="157">
        <f t="shared" si="31"/>
        <v>43709</v>
      </c>
      <c r="B45" s="158"/>
      <c r="C45" s="158"/>
      <c r="D45" s="156">
        <f>+(D21*D8*10/12)/10</f>
        <v>0</v>
      </c>
      <c r="E45" s="156">
        <f t="shared" si="30"/>
        <v>0</v>
      </c>
      <c r="F45" s="156">
        <f t="shared" si="30"/>
        <v>0</v>
      </c>
      <c r="G45" s="156">
        <f t="shared" si="30"/>
        <v>0</v>
      </c>
      <c r="H45" s="156">
        <f t="shared" si="30"/>
        <v>0</v>
      </c>
      <c r="I45" s="156">
        <f t="shared" si="30"/>
        <v>0</v>
      </c>
      <c r="J45" s="156">
        <f t="shared" si="30"/>
        <v>0</v>
      </c>
      <c r="K45" s="156">
        <f t="shared" si="30"/>
        <v>0</v>
      </c>
      <c r="L45" s="156">
        <f t="shared" si="30"/>
        <v>0</v>
      </c>
      <c r="M45" s="156">
        <f t="shared" si="30"/>
        <v>0</v>
      </c>
      <c r="N45" s="156">
        <f t="shared" si="32"/>
        <v>0</v>
      </c>
    </row>
    <row r="46" spans="1:14" x14ac:dyDescent="0.35">
      <c r="A46" s="157">
        <f t="shared" si="31"/>
        <v>43740</v>
      </c>
      <c r="B46" s="158"/>
      <c r="C46" s="158"/>
      <c r="D46" s="158"/>
      <c r="E46" s="156">
        <f>+(E21*E8*9/12)/9</f>
        <v>0</v>
      </c>
      <c r="F46" s="156">
        <f t="shared" si="30"/>
        <v>0</v>
      </c>
      <c r="G46" s="156">
        <f t="shared" si="30"/>
        <v>0</v>
      </c>
      <c r="H46" s="156">
        <f t="shared" si="30"/>
        <v>0</v>
      </c>
      <c r="I46" s="156">
        <f t="shared" si="30"/>
        <v>0</v>
      </c>
      <c r="J46" s="156">
        <f t="shared" si="30"/>
        <v>0</v>
      </c>
      <c r="K46" s="156">
        <f t="shared" si="30"/>
        <v>0</v>
      </c>
      <c r="L46" s="156">
        <f t="shared" si="30"/>
        <v>0</v>
      </c>
      <c r="M46" s="156">
        <f t="shared" si="30"/>
        <v>0</v>
      </c>
      <c r="N46" s="156">
        <f t="shared" si="32"/>
        <v>0</v>
      </c>
    </row>
    <row r="47" spans="1:14" x14ac:dyDescent="0.35">
      <c r="A47" s="157">
        <f t="shared" si="31"/>
        <v>43771</v>
      </c>
      <c r="B47" s="158"/>
      <c r="C47" s="158"/>
      <c r="D47" s="158"/>
      <c r="E47" s="158"/>
      <c r="F47" s="156">
        <f>(+F21*F8*8/12)/8</f>
        <v>0</v>
      </c>
      <c r="G47" s="156">
        <f t="shared" si="30"/>
        <v>0</v>
      </c>
      <c r="H47" s="156">
        <f t="shared" si="30"/>
        <v>0</v>
      </c>
      <c r="I47" s="156">
        <f t="shared" si="30"/>
        <v>0</v>
      </c>
      <c r="J47" s="156">
        <f t="shared" si="30"/>
        <v>0</v>
      </c>
      <c r="K47" s="156">
        <f t="shared" si="30"/>
        <v>0</v>
      </c>
      <c r="L47" s="156">
        <f t="shared" si="30"/>
        <v>0</v>
      </c>
      <c r="M47" s="156">
        <f t="shared" si="30"/>
        <v>0</v>
      </c>
      <c r="N47" s="156">
        <f t="shared" si="32"/>
        <v>0</v>
      </c>
    </row>
    <row r="48" spans="1:14" x14ac:dyDescent="0.35">
      <c r="A48" s="157">
        <f t="shared" si="31"/>
        <v>43802</v>
      </c>
      <c r="B48" s="158"/>
      <c r="C48" s="158"/>
      <c r="D48" s="158"/>
      <c r="E48" s="158"/>
      <c r="F48" s="158"/>
      <c r="G48" s="156">
        <f>+(G21*G8*7/12)/7</f>
        <v>0</v>
      </c>
      <c r="H48" s="156">
        <f>+G48</f>
        <v>0</v>
      </c>
      <c r="I48" s="156">
        <f t="shared" si="30"/>
        <v>0</v>
      </c>
      <c r="J48" s="156">
        <f t="shared" si="30"/>
        <v>0</v>
      </c>
      <c r="K48" s="156">
        <f t="shared" si="30"/>
        <v>0</v>
      </c>
      <c r="L48" s="156">
        <f t="shared" si="30"/>
        <v>0</v>
      </c>
      <c r="M48" s="156">
        <f t="shared" si="30"/>
        <v>0</v>
      </c>
      <c r="N48" s="156">
        <f t="shared" si="32"/>
        <v>0</v>
      </c>
    </row>
    <row r="49" spans="1:14" x14ac:dyDescent="0.35">
      <c r="A49" s="157">
        <f t="shared" si="31"/>
        <v>43833</v>
      </c>
      <c r="B49" s="158"/>
      <c r="C49" s="158"/>
      <c r="D49" s="158"/>
      <c r="E49" s="158"/>
      <c r="F49" s="158"/>
      <c r="G49" s="158"/>
      <c r="H49" s="156">
        <f>+(H21*H8*6/12)/6</f>
        <v>0</v>
      </c>
      <c r="I49" s="156">
        <f t="shared" si="30"/>
        <v>0</v>
      </c>
      <c r="J49" s="156">
        <f t="shared" si="30"/>
        <v>0</v>
      </c>
      <c r="K49" s="156">
        <f t="shared" si="30"/>
        <v>0</v>
      </c>
      <c r="L49" s="156">
        <f t="shared" si="30"/>
        <v>0</v>
      </c>
      <c r="M49" s="156">
        <f t="shared" si="30"/>
        <v>0</v>
      </c>
      <c r="N49" s="156">
        <f t="shared" si="32"/>
        <v>0</v>
      </c>
    </row>
    <row r="50" spans="1:14" x14ac:dyDescent="0.35">
      <c r="A50" s="157">
        <f t="shared" si="31"/>
        <v>43864</v>
      </c>
      <c r="B50" s="158"/>
      <c r="C50" s="158"/>
      <c r="D50" s="158"/>
      <c r="E50" s="158"/>
      <c r="F50" s="158"/>
      <c r="G50" s="158"/>
      <c r="H50" s="158"/>
      <c r="I50" s="156">
        <f>+(I21*I8*5/12)/5</f>
        <v>0</v>
      </c>
      <c r="J50" s="156">
        <f t="shared" si="30"/>
        <v>0</v>
      </c>
      <c r="K50" s="156">
        <f t="shared" si="30"/>
        <v>0</v>
      </c>
      <c r="L50" s="156">
        <f t="shared" si="30"/>
        <v>0</v>
      </c>
      <c r="M50" s="156">
        <f t="shared" si="30"/>
        <v>0</v>
      </c>
      <c r="N50" s="156">
        <f t="shared" si="32"/>
        <v>0</v>
      </c>
    </row>
    <row r="51" spans="1:14" x14ac:dyDescent="0.35">
      <c r="A51" s="157">
        <f t="shared" si="31"/>
        <v>43895</v>
      </c>
      <c r="B51" s="158"/>
      <c r="C51" s="158"/>
      <c r="D51" s="158"/>
      <c r="E51" s="158"/>
      <c r="F51" s="158"/>
      <c r="G51" s="158"/>
      <c r="H51" s="158"/>
      <c r="I51" s="158"/>
      <c r="J51" s="156">
        <f>+(J21*J8*4/12)/4</f>
        <v>0</v>
      </c>
      <c r="K51" s="156">
        <f t="shared" si="30"/>
        <v>0</v>
      </c>
      <c r="L51" s="156">
        <f t="shared" si="30"/>
        <v>0</v>
      </c>
      <c r="M51" s="156">
        <f t="shared" si="30"/>
        <v>0</v>
      </c>
      <c r="N51" s="156">
        <f t="shared" si="32"/>
        <v>0</v>
      </c>
    </row>
    <row r="52" spans="1:14" x14ac:dyDescent="0.35">
      <c r="A52" s="157">
        <f t="shared" si="31"/>
        <v>43926</v>
      </c>
      <c r="B52" s="158"/>
      <c r="C52" s="158"/>
      <c r="D52" s="158"/>
      <c r="E52" s="158"/>
      <c r="F52" s="158"/>
      <c r="G52" s="158"/>
      <c r="H52" s="158"/>
      <c r="I52" s="158"/>
      <c r="J52" s="158"/>
      <c r="K52" s="156">
        <f>+(K21*K8*3/12)/3</f>
        <v>0</v>
      </c>
      <c r="L52" s="156">
        <f t="shared" si="30"/>
        <v>0</v>
      </c>
      <c r="M52" s="156">
        <f t="shared" si="30"/>
        <v>0</v>
      </c>
      <c r="N52" s="156">
        <f t="shared" si="32"/>
        <v>0</v>
      </c>
    </row>
    <row r="53" spans="1:14" x14ac:dyDescent="0.35">
      <c r="A53" s="157">
        <f t="shared" si="31"/>
        <v>43957</v>
      </c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6">
        <f>+(L21*L8*2/12)/2</f>
        <v>0</v>
      </c>
      <c r="M53" s="156">
        <f t="shared" si="30"/>
        <v>0</v>
      </c>
      <c r="N53" s="156">
        <f t="shared" si="32"/>
        <v>0</v>
      </c>
    </row>
    <row r="54" spans="1:14" x14ac:dyDescent="0.35">
      <c r="A54" s="157">
        <f t="shared" si="31"/>
        <v>43988</v>
      </c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6">
        <f>+(M21*M8/12)</f>
        <v>0</v>
      </c>
      <c r="N54" s="156">
        <f t="shared" si="32"/>
        <v>0</v>
      </c>
    </row>
    <row r="55" spans="1:14" x14ac:dyDescent="0.35">
      <c r="B55" s="160">
        <v>43647</v>
      </c>
      <c r="C55" s="160">
        <f>+B55+31</f>
        <v>43678</v>
      </c>
      <c r="D55" s="160">
        <f t="shared" ref="D55:M55" si="33">+C55+31</f>
        <v>43709</v>
      </c>
      <c r="E55" s="160">
        <f t="shared" si="33"/>
        <v>43740</v>
      </c>
      <c r="F55" s="160">
        <f t="shared" si="33"/>
        <v>43771</v>
      </c>
      <c r="G55" s="160">
        <f t="shared" si="33"/>
        <v>43802</v>
      </c>
      <c r="H55" s="160">
        <f t="shared" si="33"/>
        <v>43833</v>
      </c>
      <c r="I55" s="160">
        <f t="shared" si="33"/>
        <v>43864</v>
      </c>
      <c r="J55" s="160">
        <f t="shared" si="33"/>
        <v>43895</v>
      </c>
      <c r="K55" s="160">
        <f t="shared" si="33"/>
        <v>43926</v>
      </c>
      <c r="L55" s="160">
        <f t="shared" si="33"/>
        <v>43957</v>
      </c>
      <c r="M55" s="160">
        <f t="shared" si="33"/>
        <v>43988</v>
      </c>
      <c r="N55" s="159" t="s">
        <v>84</v>
      </c>
    </row>
    <row r="56" spans="1:14" x14ac:dyDescent="0.35">
      <c r="A56" s="17" t="s">
        <v>291</v>
      </c>
      <c r="B56" s="17">
        <f>SUM(B57:B68)</f>
        <v>0</v>
      </c>
      <c r="C56" s="17">
        <f t="shared" ref="C56:M56" si="34">SUM(C57:C68)</f>
        <v>0</v>
      </c>
      <c r="D56" s="17">
        <f t="shared" si="34"/>
        <v>0</v>
      </c>
      <c r="E56" s="17">
        <f t="shared" si="34"/>
        <v>0</v>
      </c>
      <c r="F56" s="17">
        <f t="shared" si="34"/>
        <v>0</v>
      </c>
      <c r="G56" s="17">
        <f t="shared" si="34"/>
        <v>0</v>
      </c>
      <c r="H56" s="17">
        <f t="shared" si="34"/>
        <v>0</v>
      </c>
      <c r="I56" s="17">
        <f t="shared" si="34"/>
        <v>0</v>
      </c>
      <c r="J56" s="17">
        <f t="shared" si="34"/>
        <v>0</v>
      </c>
      <c r="K56" s="17">
        <f t="shared" si="34"/>
        <v>0</v>
      </c>
      <c r="L56" s="17">
        <f t="shared" si="34"/>
        <v>0</v>
      </c>
      <c r="M56" s="17">
        <f t="shared" si="34"/>
        <v>0</v>
      </c>
      <c r="N56" s="156">
        <f>SUM(B56:M56)</f>
        <v>0</v>
      </c>
    </row>
    <row r="57" spans="1:14" x14ac:dyDescent="0.35">
      <c r="A57" s="157">
        <v>43647</v>
      </c>
      <c r="B57" s="156">
        <f>+B25*B11/12</f>
        <v>0</v>
      </c>
      <c r="C57" s="156">
        <f>+B57</f>
        <v>0</v>
      </c>
      <c r="D57" s="156">
        <f t="shared" ref="D57:M67" si="35">+C57</f>
        <v>0</v>
      </c>
      <c r="E57" s="156">
        <f t="shared" si="35"/>
        <v>0</v>
      </c>
      <c r="F57" s="156">
        <f t="shared" si="35"/>
        <v>0</v>
      </c>
      <c r="G57" s="156">
        <f t="shared" si="35"/>
        <v>0</v>
      </c>
      <c r="H57" s="156">
        <f t="shared" si="35"/>
        <v>0</v>
      </c>
      <c r="I57" s="156">
        <f t="shared" si="35"/>
        <v>0</v>
      </c>
      <c r="J57" s="156">
        <f t="shared" si="35"/>
        <v>0</v>
      </c>
      <c r="K57" s="156">
        <f t="shared" si="35"/>
        <v>0</v>
      </c>
      <c r="L57" s="156">
        <f t="shared" si="35"/>
        <v>0</v>
      </c>
      <c r="M57" s="156">
        <f t="shared" si="35"/>
        <v>0</v>
      </c>
      <c r="N57" s="156">
        <f>SUM(B57:M57)</f>
        <v>0</v>
      </c>
    </row>
    <row r="58" spans="1:14" x14ac:dyDescent="0.35">
      <c r="A58" s="157">
        <f t="shared" ref="A58:A68" si="36">+A57+31</f>
        <v>43678</v>
      </c>
      <c r="B58" s="158"/>
      <c r="C58" s="156">
        <f>+(C25*C11*11/12)/11</f>
        <v>0</v>
      </c>
      <c r="D58" s="156">
        <f t="shared" si="35"/>
        <v>0</v>
      </c>
      <c r="E58" s="156">
        <f t="shared" si="35"/>
        <v>0</v>
      </c>
      <c r="F58" s="156">
        <f t="shared" si="35"/>
        <v>0</v>
      </c>
      <c r="G58" s="156">
        <f t="shared" si="35"/>
        <v>0</v>
      </c>
      <c r="H58" s="156">
        <f t="shared" si="35"/>
        <v>0</v>
      </c>
      <c r="I58" s="156">
        <f t="shared" si="35"/>
        <v>0</v>
      </c>
      <c r="J58" s="156">
        <f t="shared" si="35"/>
        <v>0</v>
      </c>
      <c r="K58" s="156">
        <f t="shared" si="35"/>
        <v>0</v>
      </c>
      <c r="L58" s="156">
        <f t="shared" si="35"/>
        <v>0</v>
      </c>
      <c r="M58" s="156">
        <f t="shared" si="35"/>
        <v>0</v>
      </c>
      <c r="N58" s="156">
        <f t="shared" ref="N58:N68" si="37">SUM(B58:M58)</f>
        <v>0</v>
      </c>
    </row>
    <row r="59" spans="1:14" x14ac:dyDescent="0.35">
      <c r="A59" s="157">
        <f t="shared" si="36"/>
        <v>43709</v>
      </c>
      <c r="B59" s="158"/>
      <c r="C59" s="158"/>
      <c r="D59" s="156">
        <f>+(D25*D11*10/12)/10</f>
        <v>0</v>
      </c>
      <c r="E59" s="156">
        <f t="shared" si="35"/>
        <v>0</v>
      </c>
      <c r="F59" s="156">
        <f t="shared" si="35"/>
        <v>0</v>
      </c>
      <c r="G59" s="156">
        <f t="shared" si="35"/>
        <v>0</v>
      </c>
      <c r="H59" s="156">
        <f t="shared" si="35"/>
        <v>0</v>
      </c>
      <c r="I59" s="156">
        <f t="shared" si="35"/>
        <v>0</v>
      </c>
      <c r="J59" s="156">
        <f t="shared" si="35"/>
        <v>0</v>
      </c>
      <c r="K59" s="156">
        <f t="shared" si="35"/>
        <v>0</v>
      </c>
      <c r="L59" s="156">
        <f t="shared" si="35"/>
        <v>0</v>
      </c>
      <c r="M59" s="156">
        <f t="shared" si="35"/>
        <v>0</v>
      </c>
      <c r="N59" s="156">
        <f t="shared" si="37"/>
        <v>0</v>
      </c>
    </row>
    <row r="60" spans="1:14" x14ac:dyDescent="0.35">
      <c r="A60" s="157">
        <f t="shared" si="36"/>
        <v>43740</v>
      </c>
      <c r="B60" s="158"/>
      <c r="C60" s="158"/>
      <c r="D60" s="158"/>
      <c r="E60" s="156">
        <f>+(E25*E11*9/12)/9</f>
        <v>0</v>
      </c>
      <c r="F60" s="156">
        <f t="shared" si="35"/>
        <v>0</v>
      </c>
      <c r="G60" s="156">
        <f t="shared" si="35"/>
        <v>0</v>
      </c>
      <c r="H60" s="156">
        <f t="shared" si="35"/>
        <v>0</v>
      </c>
      <c r="I60" s="156">
        <f t="shared" si="35"/>
        <v>0</v>
      </c>
      <c r="J60" s="156">
        <f t="shared" si="35"/>
        <v>0</v>
      </c>
      <c r="K60" s="156">
        <f t="shared" si="35"/>
        <v>0</v>
      </c>
      <c r="L60" s="156">
        <f t="shared" si="35"/>
        <v>0</v>
      </c>
      <c r="M60" s="156">
        <f t="shared" si="35"/>
        <v>0</v>
      </c>
      <c r="N60" s="156">
        <f t="shared" si="37"/>
        <v>0</v>
      </c>
    </row>
    <row r="61" spans="1:14" x14ac:dyDescent="0.35">
      <c r="A61" s="157">
        <f t="shared" si="36"/>
        <v>43771</v>
      </c>
      <c r="B61" s="158"/>
      <c r="C61" s="158"/>
      <c r="D61" s="158"/>
      <c r="E61" s="158"/>
      <c r="F61" s="156">
        <f>(+F25*F11*8/12)/8</f>
        <v>0</v>
      </c>
      <c r="G61" s="156">
        <f t="shared" si="35"/>
        <v>0</v>
      </c>
      <c r="H61" s="156">
        <f t="shared" si="35"/>
        <v>0</v>
      </c>
      <c r="I61" s="156">
        <f t="shared" si="35"/>
        <v>0</v>
      </c>
      <c r="J61" s="156">
        <f t="shared" si="35"/>
        <v>0</v>
      </c>
      <c r="K61" s="156">
        <f t="shared" si="35"/>
        <v>0</v>
      </c>
      <c r="L61" s="156">
        <f t="shared" si="35"/>
        <v>0</v>
      </c>
      <c r="M61" s="156">
        <f t="shared" si="35"/>
        <v>0</v>
      </c>
      <c r="N61" s="156">
        <f t="shared" si="37"/>
        <v>0</v>
      </c>
    </row>
    <row r="62" spans="1:14" x14ac:dyDescent="0.35">
      <c r="A62" s="157">
        <f t="shared" si="36"/>
        <v>43802</v>
      </c>
      <c r="B62" s="158"/>
      <c r="C62" s="158"/>
      <c r="D62" s="158"/>
      <c r="E62" s="158"/>
      <c r="F62" s="158"/>
      <c r="G62" s="156">
        <f>+(G25*G11*7/12)/7</f>
        <v>0</v>
      </c>
      <c r="H62" s="156">
        <f>+G62</f>
        <v>0</v>
      </c>
      <c r="I62" s="156">
        <f t="shared" si="35"/>
        <v>0</v>
      </c>
      <c r="J62" s="156">
        <f t="shared" si="35"/>
        <v>0</v>
      </c>
      <c r="K62" s="156">
        <f t="shared" si="35"/>
        <v>0</v>
      </c>
      <c r="L62" s="156">
        <f t="shared" si="35"/>
        <v>0</v>
      </c>
      <c r="M62" s="156">
        <f t="shared" si="35"/>
        <v>0</v>
      </c>
      <c r="N62" s="156">
        <f t="shared" si="37"/>
        <v>0</v>
      </c>
    </row>
    <row r="63" spans="1:14" x14ac:dyDescent="0.35">
      <c r="A63" s="157">
        <f t="shared" si="36"/>
        <v>43833</v>
      </c>
      <c r="B63" s="158"/>
      <c r="C63" s="158"/>
      <c r="D63" s="158"/>
      <c r="E63" s="158"/>
      <c r="F63" s="158"/>
      <c r="G63" s="158"/>
      <c r="H63" s="156">
        <f>+(H25*H11*6/12)/6</f>
        <v>0</v>
      </c>
      <c r="I63" s="156">
        <f t="shared" si="35"/>
        <v>0</v>
      </c>
      <c r="J63" s="156">
        <f t="shared" si="35"/>
        <v>0</v>
      </c>
      <c r="K63" s="156">
        <f t="shared" si="35"/>
        <v>0</v>
      </c>
      <c r="L63" s="156">
        <f t="shared" si="35"/>
        <v>0</v>
      </c>
      <c r="M63" s="156">
        <f t="shared" si="35"/>
        <v>0</v>
      </c>
      <c r="N63" s="156">
        <f t="shared" si="37"/>
        <v>0</v>
      </c>
    </row>
    <row r="64" spans="1:14" x14ac:dyDescent="0.35">
      <c r="A64" s="157">
        <f t="shared" si="36"/>
        <v>43864</v>
      </c>
      <c r="B64" s="158"/>
      <c r="C64" s="158"/>
      <c r="D64" s="158"/>
      <c r="E64" s="158"/>
      <c r="F64" s="158"/>
      <c r="G64" s="158"/>
      <c r="H64" s="158"/>
      <c r="I64" s="156">
        <f>+(I25*I11*5/12)/5</f>
        <v>0</v>
      </c>
      <c r="J64" s="156">
        <f t="shared" si="35"/>
        <v>0</v>
      </c>
      <c r="K64" s="156">
        <f t="shared" si="35"/>
        <v>0</v>
      </c>
      <c r="L64" s="156">
        <f t="shared" si="35"/>
        <v>0</v>
      </c>
      <c r="M64" s="156">
        <f t="shared" si="35"/>
        <v>0</v>
      </c>
      <c r="N64" s="156">
        <f t="shared" si="37"/>
        <v>0</v>
      </c>
    </row>
    <row r="65" spans="1:14" x14ac:dyDescent="0.35">
      <c r="A65" s="157">
        <f t="shared" si="36"/>
        <v>43895</v>
      </c>
      <c r="B65" s="158"/>
      <c r="C65" s="158"/>
      <c r="D65" s="158"/>
      <c r="E65" s="158"/>
      <c r="F65" s="158"/>
      <c r="G65" s="158"/>
      <c r="H65" s="158"/>
      <c r="I65" s="158"/>
      <c r="J65" s="156">
        <f>+(J25*J11*4/12)/4</f>
        <v>0</v>
      </c>
      <c r="K65" s="156">
        <f t="shared" si="35"/>
        <v>0</v>
      </c>
      <c r="L65" s="156">
        <f t="shared" si="35"/>
        <v>0</v>
      </c>
      <c r="M65" s="156">
        <f t="shared" si="35"/>
        <v>0</v>
      </c>
      <c r="N65" s="156">
        <f t="shared" si="37"/>
        <v>0</v>
      </c>
    </row>
    <row r="66" spans="1:14" x14ac:dyDescent="0.35">
      <c r="A66" s="157">
        <f t="shared" si="36"/>
        <v>43926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6">
        <f>+(K25*K11*3/12)/3</f>
        <v>0</v>
      </c>
      <c r="L66" s="156">
        <f t="shared" si="35"/>
        <v>0</v>
      </c>
      <c r="M66" s="156">
        <f t="shared" si="35"/>
        <v>0</v>
      </c>
      <c r="N66" s="156">
        <f t="shared" si="37"/>
        <v>0</v>
      </c>
    </row>
    <row r="67" spans="1:14" x14ac:dyDescent="0.35">
      <c r="A67" s="157">
        <f t="shared" si="36"/>
        <v>43957</v>
      </c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6">
        <f>+(L25*L11*2/12)/2</f>
        <v>0</v>
      </c>
      <c r="M67" s="156">
        <f t="shared" si="35"/>
        <v>0</v>
      </c>
      <c r="N67" s="156">
        <f t="shared" si="37"/>
        <v>0</v>
      </c>
    </row>
    <row r="68" spans="1:14" x14ac:dyDescent="0.35">
      <c r="A68" s="157">
        <f t="shared" si="36"/>
        <v>43988</v>
      </c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6">
        <f>+(M25*M11/12)</f>
        <v>0</v>
      </c>
      <c r="N68" s="156">
        <f t="shared" si="37"/>
        <v>0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W68"/>
  <sheetViews>
    <sheetView workbookViewId="0">
      <selection activeCell="B27" sqref="B27:N27"/>
    </sheetView>
  </sheetViews>
  <sheetFormatPr baseColWidth="10" defaultColWidth="11.46484375" defaultRowHeight="11.65" x14ac:dyDescent="0.35"/>
  <cols>
    <col min="1" max="1" width="30.53125" style="32" bestFit="1" customWidth="1"/>
    <col min="2" max="14" width="8" style="32" customWidth="1"/>
    <col min="15" max="16384" width="11.46484375" style="32"/>
  </cols>
  <sheetData>
    <row r="1" spans="1:16" ht="35.25" thickBot="1" x14ac:dyDescent="0.4">
      <c r="A1" s="68" t="s">
        <v>231</v>
      </c>
    </row>
    <row r="3" spans="1:16" s="57" customFormat="1" x14ac:dyDescent="0.35">
      <c r="B3" s="69">
        <f>+Synthèse!$B$2</f>
        <v>45839</v>
      </c>
      <c r="C3" s="69">
        <f>+B3+31</f>
        <v>45870</v>
      </c>
      <c r="D3" s="69">
        <f t="shared" ref="D3:M3" si="0">+C3+31</f>
        <v>45901</v>
      </c>
      <c r="E3" s="69">
        <f t="shared" si="0"/>
        <v>45932</v>
      </c>
      <c r="F3" s="69">
        <f t="shared" si="0"/>
        <v>45963</v>
      </c>
      <c r="G3" s="69">
        <f t="shared" si="0"/>
        <v>45994</v>
      </c>
      <c r="H3" s="69">
        <f t="shared" si="0"/>
        <v>46025</v>
      </c>
      <c r="I3" s="69">
        <f t="shared" si="0"/>
        <v>46056</v>
      </c>
      <c r="J3" s="69">
        <f t="shared" si="0"/>
        <v>46087</v>
      </c>
      <c r="K3" s="69">
        <f t="shared" si="0"/>
        <v>46118</v>
      </c>
      <c r="L3" s="69">
        <f t="shared" si="0"/>
        <v>46149</v>
      </c>
      <c r="M3" s="69">
        <f t="shared" si="0"/>
        <v>46180</v>
      </c>
      <c r="N3" s="57" t="s">
        <v>84</v>
      </c>
    </row>
    <row r="4" spans="1:16" s="57" customFormat="1" x14ac:dyDescent="0.35">
      <c r="A4" s="71" t="s">
        <v>179</v>
      </c>
      <c r="B4" s="76">
        <f t="shared" ref="B4:M4" si="1">+B5+B8+B11</f>
        <v>0</v>
      </c>
      <c r="C4" s="76">
        <f t="shared" si="1"/>
        <v>0</v>
      </c>
      <c r="D4" s="76">
        <f t="shared" si="1"/>
        <v>0</v>
      </c>
      <c r="E4" s="76">
        <f t="shared" si="1"/>
        <v>0</v>
      </c>
      <c r="F4" s="76">
        <f t="shared" si="1"/>
        <v>0</v>
      </c>
      <c r="G4" s="76">
        <f t="shared" si="1"/>
        <v>0</v>
      </c>
      <c r="H4" s="76">
        <f t="shared" si="1"/>
        <v>0</v>
      </c>
      <c r="I4" s="76">
        <f t="shared" si="1"/>
        <v>0</v>
      </c>
      <c r="J4" s="76">
        <f t="shared" si="1"/>
        <v>0</v>
      </c>
      <c r="K4" s="76">
        <f t="shared" si="1"/>
        <v>0</v>
      </c>
      <c r="L4" s="76">
        <f t="shared" si="1"/>
        <v>0</v>
      </c>
      <c r="M4" s="76">
        <f t="shared" si="1"/>
        <v>0</v>
      </c>
      <c r="N4" s="76">
        <f>SUM(B4:M4)</f>
        <v>0</v>
      </c>
    </row>
    <row r="5" spans="1:16" s="57" customFormat="1" x14ac:dyDescent="0.35">
      <c r="A5" s="72" t="s">
        <v>282</v>
      </c>
      <c r="B5" s="79">
        <f t="shared" ref="B5:M5" si="2">+B6+B7</f>
        <v>0</v>
      </c>
      <c r="C5" s="79">
        <f t="shared" si="2"/>
        <v>0</v>
      </c>
      <c r="D5" s="79">
        <f t="shared" si="2"/>
        <v>0</v>
      </c>
      <c r="E5" s="79">
        <f t="shared" si="2"/>
        <v>0</v>
      </c>
      <c r="F5" s="79">
        <f t="shared" si="2"/>
        <v>0</v>
      </c>
      <c r="G5" s="79">
        <f t="shared" si="2"/>
        <v>0</v>
      </c>
      <c r="H5" s="79">
        <f t="shared" si="2"/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>SUM(B5:M5)</f>
        <v>0</v>
      </c>
    </row>
    <row r="6" spans="1:16" x14ac:dyDescent="0.35">
      <c r="A6" s="66" t="s">
        <v>213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>
        <f>SUM(B6:M6)</f>
        <v>0</v>
      </c>
      <c r="P6" s="164">
        <f>+'Budget Filet'!N37+'Budget Fibre de coco'!N37+'Budget Plastique'!N37</f>
        <v>218885.69999999998</v>
      </c>
    </row>
    <row r="7" spans="1:16" x14ac:dyDescent="0.35">
      <c r="A7" s="66" t="s">
        <v>214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>
        <f t="shared" ref="N7" si="3">SUM(B7:M7)</f>
        <v>0</v>
      </c>
    </row>
    <row r="8" spans="1:16" x14ac:dyDescent="0.35">
      <c r="A8" s="72" t="s">
        <v>284</v>
      </c>
      <c r="B8" s="79">
        <f t="shared" ref="B8:M8" si="4">+B9+B10</f>
        <v>0</v>
      </c>
      <c r="C8" s="79">
        <f t="shared" si="4"/>
        <v>0</v>
      </c>
      <c r="D8" s="79">
        <f t="shared" si="4"/>
        <v>0</v>
      </c>
      <c r="E8" s="79">
        <f t="shared" si="4"/>
        <v>0</v>
      </c>
      <c r="F8" s="79">
        <f t="shared" si="4"/>
        <v>0</v>
      </c>
      <c r="G8" s="79">
        <f t="shared" si="4"/>
        <v>0</v>
      </c>
      <c r="H8" s="79">
        <f t="shared" si="4"/>
        <v>0</v>
      </c>
      <c r="I8" s="79">
        <f t="shared" si="4"/>
        <v>0</v>
      </c>
      <c r="J8" s="79">
        <f t="shared" si="4"/>
        <v>0</v>
      </c>
      <c r="K8" s="79">
        <f t="shared" si="4"/>
        <v>0</v>
      </c>
      <c r="L8" s="79">
        <f t="shared" si="4"/>
        <v>0</v>
      </c>
      <c r="M8" s="79">
        <f t="shared" si="4"/>
        <v>0</v>
      </c>
      <c r="N8" s="79">
        <f>SUM(B8:M8)</f>
        <v>0</v>
      </c>
    </row>
    <row r="9" spans="1:16" x14ac:dyDescent="0.35">
      <c r="A9" s="66" t="s">
        <v>213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>
        <f>SUM(B9:M9)</f>
        <v>0</v>
      </c>
    </row>
    <row r="10" spans="1:16" x14ac:dyDescent="0.35">
      <c r="A10" s="66" t="s">
        <v>214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>
        <f t="shared" ref="N10" si="5">SUM(B10:M10)</f>
        <v>0</v>
      </c>
    </row>
    <row r="11" spans="1:16" x14ac:dyDescent="0.35">
      <c r="A11" s="72" t="s">
        <v>286</v>
      </c>
      <c r="B11" s="79">
        <f t="shared" ref="B11:M11" si="6">+B12+B13</f>
        <v>0</v>
      </c>
      <c r="C11" s="79">
        <f t="shared" si="6"/>
        <v>0</v>
      </c>
      <c r="D11" s="79">
        <f t="shared" si="6"/>
        <v>0</v>
      </c>
      <c r="E11" s="79">
        <f t="shared" si="6"/>
        <v>0</v>
      </c>
      <c r="F11" s="79">
        <f t="shared" si="6"/>
        <v>0</v>
      </c>
      <c r="G11" s="79">
        <f t="shared" si="6"/>
        <v>0</v>
      </c>
      <c r="H11" s="79">
        <f t="shared" si="6"/>
        <v>0</v>
      </c>
      <c r="I11" s="79">
        <f t="shared" si="6"/>
        <v>0</v>
      </c>
      <c r="J11" s="79">
        <f t="shared" si="6"/>
        <v>0</v>
      </c>
      <c r="K11" s="79">
        <f t="shared" si="6"/>
        <v>0</v>
      </c>
      <c r="L11" s="79">
        <f t="shared" si="6"/>
        <v>0</v>
      </c>
      <c r="M11" s="79">
        <f t="shared" si="6"/>
        <v>0</v>
      </c>
      <c r="N11" s="79">
        <f>SUM(B11:M11)</f>
        <v>0</v>
      </c>
    </row>
    <row r="12" spans="1:16" x14ac:dyDescent="0.35">
      <c r="A12" s="66" t="s">
        <v>213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>
        <f>SUM(B12:M12)</f>
        <v>0</v>
      </c>
    </row>
    <row r="13" spans="1:16" x14ac:dyDescent="0.35">
      <c r="A13" s="66" t="s">
        <v>214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>
        <f t="shared" ref="N13" si="7">SUM(B13:M13)</f>
        <v>0</v>
      </c>
    </row>
    <row r="14" spans="1:16" x14ac:dyDescent="0.35">
      <c r="A14" s="71" t="s">
        <v>188</v>
      </c>
      <c r="B14" s="76">
        <f>+B15+B19+B23</f>
        <v>5228.8144166666671</v>
      </c>
      <c r="C14" s="76">
        <f t="shared" ref="C14:M14" si="8">+C15+C19+C23</f>
        <v>5228.8144166666671</v>
      </c>
      <c r="D14" s="76">
        <f t="shared" si="8"/>
        <v>5228.8144166666671</v>
      </c>
      <c r="E14" s="76">
        <f t="shared" si="8"/>
        <v>5228.8144166666671</v>
      </c>
      <c r="F14" s="76">
        <f t="shared" si="8"/>
        <v>5228.8144166666671</v>
      </c>
      <c r="G14" s="76">
        <f t="shared" si="8"/>
        <v>5228.8144166666671</v>
      </c>
      <c r="H14" s="76">
        <f t="shared" si="8"/>
        <v>5228.8144166666671</v>
      </c>
      <c r="I14" s="76">
        <f t="shared" si="8"/>
        <v>5228.8144166666671</v>
      </c>
      <c r="J14" s="76">
        <f t="shared" si="8"/>
        <v>5228.8144166666671</v>
      </c>
      <c r="K14" s="76">
        <f t="shared" si="8"/>
        <v>5228.8144166666671</v>
      </c>
      <c r="L14" s="76">
        <f t="shared" si="8"/>
        <v>5228.8144166666671</v>
      </c>
      <c r="M14" s="76">
        <f t="shared" si="8"/>
        <v>5228.8144166666671</v>
      </c>
      <c r="N14" s="76">
        <f>SUM(B14:M14)</f>
        <v>62745.773000000008</v>
      </c>
    </row>
    <row r="15" spans="1:16" s="57" customFormat="1" x14ac:dyDescent="0.35">
      <c r="A15" s="72" t="s">
        <v>283</v>
      </c>
      <c r="B15" s="79">
        <f>+B16+B18</f>
        <v>184.72916666666666</v>
      </c>
      <c r="C15" s="79">
        <f t="shared" ref="C15:M15" si="9">+C16+C18</f>
        <v>184.72916666666666</v>
      </c>
      <c r="D15" s="79">
        <f t="shared" si="9"/>
        <v>184.72916666666666</v>
      </c>
      <c r="E15" s="79">
        <f t="shared" si="9"/>
        <v>184.72916666666666</v>
      </c>
      <c r="F15" s="79">
        <f t="shared" si="9"/>
        <v>184.72916666666666</v>
      </c>
      <c r="G15" s="79">
        <f t="shared" si="9"/>
        <v>184.72916666666666</v>
      </c>
      <c r="H15" s="79">
        <f t="shared" si="9"/>
        <v>184.72916666666666</v>
      </c>
      <c r="I15" s="79">
        <f t="shared" si="9"/>
        <v>184.72916666666666</v>
      </c>
      <c r="J15" s="79">
        <f t="shared" si="9"/>
        <v>184.72916666666666</v>
      </c>
      <c r="K15" s="79">
        <f t="shared" si="9"/>
        <v>184.72916666666666</v>
      </c>
      <c r="L15" s="79">
        <f t="shared" si="9"/>
        <v>184.72916666666666</v>
      </c>
      <c r="M15" s="79">
        <f t="shared" si="9"/>
        <v>184.72916666666666</v>
      </c>
      <c r="N15" s="79">
        <f>SUM(B15:M15)</f>
        <v>2216.7500000000005</v>
      </c>
    </row>
    <row r="16" spans="1:16" x14ac:dyDescent="0.35">
      <c r="A16" s="66" t="s">
        <v>189</v>
      </c>
      <c r="B16" s="146">
        <v>184.72916666666666</v>
      </c>
      <c r="C16" s="146">
        <v>184.72916666666666</v>
      </c>
      <c r="D16" s="146">
        <v>184.72916666666666</v>
      </c>
      <c r="E16" s="146">
        <v>184.72916666666666</v>
      </c>
      <c r="F16" s="146">
        <v>184.72916666666666</v>
      </c>
      <c r="G16" s="146">
        <v>184.72916666666666</v>
      </c>
      <c r="H16" s="146">
        <v>184.72916666666666</v>
      </c>
      <c r="I16" s="146">
        <v>184.72916666666666</v>
      </c>
      <c r="J16" s="146">
        <v>184.72916666666666</v>
      </c>
      <c r="K16" s="146">
        <v>184.72916666666666</v>
      </c>
      <c r="L16" s="146">
        <v>184.72916666666666</v>
      </c>
      <c r="M16" s="146">
        <v>184.72916666666666</v>
      </c>
      <c r="N16" s="146">
        <f>SUM(B16:M16)</f>
        <v>2216.7500000000005</v>
      </c>
    </row>
    <row r="17" spans="1:23" x14ac:dyDescent="0.35">
      <c r="A17" s="66" t="s">
        <v>190</v>
      </c>
      <c r="B17" s="149">
        <v>0.2</v>
      </c>
      <c r="C17" s="149">
        <f>+B17</f>
        <v>0.2</v>
      </c>
      <c r="D17" s="149">
        <f t="shared" ref="D17:M17" si="10">+C17</f>
        <v>0.2</v>
      </c>
      <c r="E17" s="149">
        <f t="shared" si="10"/>
        <v>0.2</v>
      </c>
      <c r="F17" s="149">
        <f t="shared" si="10"/>
        <v>0.2</v>
      </c>
      <c r="G17" s="149">
        <f t="shared" si="10"/>
        <v>0.2</v>
      </c>
      <c r="H17" s="149">
        <f t="shared" si="10"/>
        <v>0.2</v>
      </c>
      <c r="I17" s="149">
        <f t="shared" si="10"/>
        <v>0.2</v>
      </c>
      <c r="J17" s="149">
        <f t="shared" si="10"/>
        <v>0.2</v>
      </c>
      <c r="K17" s="149">
        <f t="shared" si="10"/>
        <v>0.2</v>
      </c>
      <c r="L17" s="149">
        <f t="shared" si="10"/>
        <v>0.2</v>
      </c>
      <c r="M17" s="149">
        <f t="shared" si="10"/>
        <v>0.2</v>
      </c>
      <c r="N17" s="146"/>
    </row>
    <row r="18" spans="1:23" x14ac:dyDescent="0.35">
      <c r="A18" s="66" t="s">
        <v>288</v>
      </c>
      <c r="B18" s="146">
        <f>+B28</f>
        <v>0</v>
      </c>
      <c r="C18" s="146">
        <f t="shared" ref="C18:M18" si="11">+C28</f>
        <v>0</v>
      </c>
      <c r="D18" s="146">
        <f t="shared" si="11"/>
        <v>0</v>
      </c>
      <c r="E18" s="146">
        <f t="shared" si="11"/>
        <v>0</v>
      </c>
      <c r="F18" s="146">
        <f t="shared" si="11"/>
        <v>0</v>
      </c>
      <c r="G18" s="146">
        <f t="shared" si="11"/>
        <v>0</v>
      </c>
      <c r="H18" s="146">
        <f t="shared" si="11"/>
        <v>0</v>
      </c>
      <c r="I18" s="146">
        <f t="shared" si="11"/>
        <v>0</v>
      </c>
      <c r="J18" s="146">
        <f t="shared" si="11"/>
        <v>0</v>
      </c>
      <c r="K18" s="146">
        <f t="shared" si="11"/>
        <v>0</v>
      </c>
      <c r="L18" s="146">
        <f t="shared" si="11"/>
        <v>0</v>
      </c>
      <c r="M18" s="146">
        <f t="shared" si="11"/>
        <v>0</v>
      </c>
      <c r="N18" s="146">
        <f t="shared" ref="N18" si="12">SUM(B18:M18)</f>
        <v>0</v>
      </c>
    </row>
    <row r="19" spans="1:23" x14ac:dyDescent="0.35">
      <c r="A19" s="72" t="s">
        <v>285</v>
      </c>
      <c r="B19" s="79">
        <f>+B20+B22</f>
        <v>4925.4435833333337</v>
      </c>
      <c r="C19" s="79">
        <f t="shared" ref="C19:M19" si="13">+C20+C22</f>
        <v>4925.4435833333337</v>
      </c>
      <c r="D19" s="79">
        <f t="shared" si="13"/>
        <v>4925.4435833333337</v>
      </c>
      <c r="E19" s="79">
        <f t="shared" si="13"/>
        <v>4925.4435833333337</v>
      </c>
      <c r="F19" s="79">
        <f t="shared" si="13"/>
        <v>4925.4435833333337</v>
      </c>
      <c r="G19" s="79">
        <f t="shared" si="13"/>
        <v>4925.4435833333337</v>
      </c>
      <c r="H19" s="79">
        <f t="shared" si="13"/>
        <v>4925.4435833333337</v>
      </c>
      <c r="I19" s="79">
        <f t="shared" si="13"/>
        <v>4925.4435833333337</v>
      </c>
      <c r="J19" s="79">
        <f t="shared" si="13"/>
        <v>4925.4435833333337</v>
      </c>
      <c r="K19" s="79">
        <f t="shared" si="13"/>
        <v>4925.4435833333337</v>
      </c>
      <c r="L19" s="79">
        <f t="shared" si="13"/>
        <v>4925.4435833333337</v>
      </c>
      <c r="M19" s="79">
        <f t="shared" si="13"/>
        <v>4925.4435833333337</v>
      </c>
      <c r="N19" s="79">
        <f>SUM(B19:M19)</f>
        <v>59105.323000000004</v>
      </c>
    </row>
    <row r="20" spans="1:23" x14ac:dyDescent="0.35">
      <c r="A20" s="66" t="s">
        <v>189</v>
      </c>
      <c r="B20" s="146">
        <v>4925.4435833333337</v>
      </c>
      <c r="C20" s="146">
        <v>4925.4435833333337</v>
      </c>
      <c r="D20" s="146">
        <v>4925.4435833333337</v>
      </c>
      <c r="E20" s="146">
        <v>4925.4435833333337</v>
      </c>
      <c r="F20" s="146">
        <v>4925.4435833333337</v>
      </c>
      <c r="G20" s="146">
        <v>4925.4435833333337</v>
      </c>
      <c r="H20" s="146">
        <v>4925.4435833333337</v>
      </c>
      <c r="I20" s="146">
        <v>4925.4435833333337</v>
      </c>
      <c r="J20" s="146">
        <v>4925.4435833333337</v>
      </c>
      <c r="K20" s="146">
        <v>4925.4435833333337</v>
      </c>
      <c r="L20" s="146">
        <v>4925.4435833333337</v>
      </c>
      <c r="M20" s="146">
        <v>4925.4435833333337</v>
      </c>
      <c r="N20" s="146">
        <f>SUM(B20:M20)</f>
        <v>59105.323000000004</v>
      </c>
    </row>
    <row r="21" spans="1:23" x14ac:dyDescent="0.35">
      <c r="A21" s="66" t="s">
        <v>190</v>
      </c>
      <c r="B21" s="149">
        <v>0.2</v>
      </c>
      <c r="C21" s="149">
        <f>+B21</f>
        <v>0.2</v>
      </c>
      <c r="D21" s="149">
        <f t="shared" ref="D21:M21" si="14">+C21</f>
        <v>0.2</v>
      </c>
      <c r="E21" s="149">
        <f t="shared" si="14"/>
        <v>0.2</v>
      </c>
      <c r="F21" s="149">
        <f t="shared" si="14"/>
        <v>0.2</v>
      </c>
      <c r="G21" s="149">
        <f t="shared" si="14"/>
        <v>0.2</v>
      </c>
      <c r="H21" s="149">
        <f t="shared" si="14"/>
        <v>0.2</v>
      </c>
      <c r="I21" s="149">
        <f t="shared" si="14"/>
        <v>0.2</v>
      </c>
      <c r="J21" s="149">
        <f t="shared" si="14"/>
        <v>0.2</v>
      </c>
      <c r="K21" s="149">
        <f t="shared" si="14"/>
        <v>0.2</v>
      </c>
      <c r="L21" s="149">
        <f t="shared" si="14"/>
        <v>0.2</v>
      </c>
      <c r="M21" s="149">
        <f t="shared" si="14"/>
        <v>0.2</v>
      </c>
      <c r="N21" s="146"/>
    </row>
    <row r="22" spans="1:23" x14ac:dyDescent="0.35">
      <c r="A22" s="66" t="s">
        <v>288</v>
      </c>
      <c r="B22" s="146">
        <f>+B42</f>
        <v>0</v>
      </c>
      <c r="C22" s="146">
        <f t="shared" ref="C22:M22" si="15">+C42</f>
        <v>0</v>
      </c>
      <c r="D22" s="146">
        <f t="shared" si="15"/>
        <v>0</v>
      </c>
      <c r="E22" s="146">
        <f t="shared" si="15"/>
        <v>0</v>
      </c>
      <c r="F22" s="146">
        <f t="shared" si="15"/>
        <v>0</v>
      </c>
      <c r="G22" s="146">
        <f t="shared" si="15"/>
        <v>0</v>
      </c>
      <c r="H22" s="146">
        <f t="shared" si="15"/>
        <v>0</v>
      </c>
      <c r="I22" s="146">
        <f t="shared" si="15"/>
        <v>0</v>
      </c>
      <c r="J22" s="146">
        <f t="shared" si="15"/>
        <v>0</v>
      </c>
      <c r="K22" s="146">
        <f t="shared" si="15"/>
        <v>0</v>
      </c>
      <c r="L22" s="146">
        <f t="shared" si="15"/>
        <v>0</v>
      </c>
      <c r="M22" s="146">
        <f t="shared" si="15"/>
        <v>0</v>
      </c>
      <c r="N22" s="146">
        <f t="shared" ref="N22" si="16">SUM(B22:M22)</f>
        <v>0</v>
      </c>
      <c r="O22" s="74"/>
      <c r="P22" s="74"/>
      <c r="Q22" s="74"/>
      <c r="R22" s="74"/>
      <c r="S22" s="74"/>
      <c r="T22" s="74"/>
      <c r="U22" s="74"/>
      <c r="V22" s="74"/>
      <c r="W22" s="74"/>
    </row>
    <row r="23" spans="1:23" x14ac:dyDescent="0.35">
      <c r="A23" s="72" t="s">
        <v>287</v>
      </c>
      <c r="B23" s="79">
        <f>+B24+B26</f>
        <v>118.64166666666667</v>
      </c>
      <c r="C23" s="79">
        <f t="shared" ref="C23:M23" si="17">+C24+C26</f>
        <v>118.64166666666667</v>
      </c>
      <c r="D23" s="79">
        <f t="shared" si="17"/>
        <v>118.64166666666667</v>
      </c>
      <c r="E23" s="79">
        <f t="shared" si="17"/>
        <v>118.64166666666667</v>
      </c>
      <c r="F23" s="79">
        <f t="shared" si="17"/>
        <v>118.64166666666667</v>
      </c>
      <c r="G23" s="79">
        <f t="shared" si="17"/>
        <v>118.64166666666667</v>
      </c>
      <c r="H23" s="79">
        <f t="shared" si="17"/>
        <v>118.64166666666667</v>
      </c>
      <c r="I23" s="79">
        <f t="shared" si="17"/>
        <v>118.64166666666667</v>
      </c>
      <c r="J23" s="79">
        <f t="shared" si="17"/>
        <v>118.64166666666667</v>
      </c>
      <c r="K23" s="79">
        <f t="shared" si="17"/>
        <v>118.64166666666667</v>
      </c>
      <c r="L23" s="79">
        <f t="shared" si="17"/>
        <v>118.64166666666667</v>
      </c>
      <c r="M23" s="79">
        <f t="shared" si="17"/>
        <v>118.64166666666667</v>
      </c>
      <c r="N23" s="79">
        <f>SUM(B23:M23)</f>
        <v>1423.7</v>
      </c>
    </row>
    <row r="24" spans="1:23" x14ac:dyDescent="0.35">
      <c r="A24" s="66" t="s">
        <v>189</v>
      </c>
      <c r="B24" s="146">
        <v>118.64166666666667</v>
      </c>
      <c r="C24" s="146">
        <v>118.64166666666667</v>
      </c>
      <c r="D24" s="146">
        <v>118.64166666666667</v>
      </c>
      <c r="E24" s="146">
        <v>118.64166666666667</v>
      </c>
      <c r="F24" s="146">
        <v>118.64166666666667</v>
      </c>
      <c r="G24" s="146">
        <v>118.64166666666667</v>
      </c>
      <c r="H24" s="146">
        <v>118.64166666666667</v>
      </c>
      <c r="I24" s="146">
        <v>118.64166666666667</v>
      </c>
      <c r="J24" s="146">
        <v>118.64166666666667</v>
      </c>
      <c r="K24" s="146">
        <v>118.64166666666667</v>
      </c>
      <c r="L24" s="146">
        <v>118.64166666666667</v>
      </c>
      <c r="M24" s="146">
        <v>118.64166666666667</v>
      </c>
      <c r="N24" s="146">
        <f>SUM(B24:M24)</f>
        <v>1423.7</v>
      </c>
    </row>
    <row r="25" spans="1:23" x14ac:dyDescent="0.35">
      <c r="A25" s="66" t="s">
        <v>190</v>
      </c>
      <c r="B25" s="149">
        <v>0.2</v>
      </c>
      <c r="C25" s="149">
        <f>+B25</f>
        <v>0.2</v>
      </c>
      <c r="D25" s="149">
        <f t="shared" ref="D25:M25" si="18">+C25</f>
        <v>0.2</v>
      </c>
      <c r="E25" s="149">
        <f t="shared" si="18"/>
        <v>0.2</v>
      </c>
      <c r="F25" s="149">
        <f t="shared" si="18"/>
        <v>0.2</v>
      </c>
      <c r="G25" s="149">
        <f t="shared" si="18"/>
        <v>0.2</v>
      </c>
      <c r="H25" s="149">
        <f t="shared" si="18"/>
        <v>0.2</v>
      </c>
      <c r="I25" s="149">
        <f t="shared" si="18"/>
        <v>0.2</v>
      </c>
      <c r="J25" s="149">
        <f t="shared" si="18"/>
        <v>0.2</v>
      </c>
      <c r="K25" s="149">
        <f t="shared" si="18"/>
        <v>0.2</v>
      </c>
      <c r="L25" s="149">
        <f t="shared" si="18"/>
        <v>0.2</v>
      </c>
      <c r="M25" s="149">
        <f t="shared" si="18"/>
        <v>0.2</v>
      </c>
      <c r="N25" s="146"/>
    </row>
    <row r="26" spans="1:23" x14ac:dyDescent="0.35">
      <c r="A26" s="66" t="s">
        <v>288</v>
      </c>
      <c r="B26" s="146">
        <f>+B56</f>
        <v>0</v>
      </c>
      <c r="C26" s="146">
        <f t="shared" ref="C26:M26" si="19">+C56</f>
        <v>0</v>
      </c>
      <c r="D26" s="146">
        <f t="shared" si="19"/>
        <v>0</v>
      </c>
      <c r="E26" s="146">
        <f t="shared" si="19"/>
        <v>0</v>
      </c>
      <c r="F26" s="146">
        <f t="shared" si="19"/>
        <v>0</v>
      </c>
      <c r="G26" s="146">
        <f t="shared" si="19"/>
        <v>0</v>
      </c>
      <c r="H26" s="146">
        <f t="shared" si="19"/>
        <v>0</v>
      </c>
      <c r="I26" s="146">
        <f t="shared" si="19"/>
        <v>0</v>
      </c>
      <c r="J26" s="146">
        <f t="shared" si="19"/>
        <v>0</v>
      </c>
      <c r="K26" s="146">
        <f t="shared" si="19"/>
        <v>0</v>
      </c>
      <c r="L26" s="146">
        <f t="shared" si="19"/>
        <v>0</v>
      </c>
      <c r="M26" s="146">
        <f t="shared" si="19"/>
        <v>0</v>
      </c>
      <c r="N26" s="146">
        <f t="shared" ref="N26" si="20">SUM(B26:M26)</f>
        <v>0</v>
      </c>
    </row>
    <row r="27" spans="1:23" x14ac:dyDescent="0.35">
      <c r="B27" s="160">
        <v>43647</v>
      </c>
      <c r="C27" s="160">
        <f>+B27+31</f>
        <v>43678</v>
      </c>
      <c r="D27" s="160">
        <f t="shared" ref="D27:M27" si="21">+C27+31</f>
        <v>43709</v>
      </c>
      <c r="E27" s="160">
        <f t="shared" si="21"/>
        <v>43740</v>
      </c>
      <c r="F27" s="160">
        <f t="shared" si="21"/>
        <v>43771</v>
      </c>
      <c r="G27" s="160">
        <f t="shared" si="21"/>
        <v>43802</v>
      </c>
      <c r="H27" s="160">
        <f t="shared" si="21"/>
        <v>43833</v>
      </c>
      <c r="I27" s="160">
        <f t="shared" si="21"/>
        <v>43864</v>
      </c>
      <c r="J27" s="160">
        <f t="shared" si="21"/>
        <v>43895</v>
      </c>
      <c r="K27" s="160">
        <f t="shared" si="21"/>
        <v>43926</v>
      </c>
      <c r="L27" s="160">
        <f t="shared" si="21"/>
        <v>43957</v>
      </c>
      <c r="M27" s="160">
        <f t="shared" si="21"/>
        <v>43988</v>
      </c>
      <c r="N27" s="159" t="s">
        <v>84</v>
      </c>
    </row>
    <row r="28" spans="1:23" x14ac:dyDescent="0.35">
      <c r="A28" s="17" t="s">
        <v>289</v>
      </c>
      <c r="B28" s="17">
        <f>SUM(B29:B40)</f>
        <v>0</v>
      </c>
      <c r="C28" s="17">
        <f t="shared" ref="C28:M28" si="22">SUM(C29:C40)</f>
        <v>0</v>
      </c>
      <c r="D28" s="17">
        <f t="shared" si="22"/>
        <v>0</v>
      </c>
      <c r="E28" s="17">
        <f t="shared" si="22"/>
        <v>0</v>
      </c>
      <c r="F28" s="17">
        <f t="shared" si="22"/>
        <v>0</v>
      </c>
      <c r="G28" s="17">
        <f t="shared" si="22"/>
        <v>0</v>
      </c>
      <c r="H28" s="17">
        <f t="shared" si="22"/>
        <v>0</v>
      </c>
      <c r="I28" s="17">
        <f t="shared" si="22"/>
        <v>0</v>
      </c>
      <c r="J28" s="17">
        <f t="shared" si="22"/>
        <v>0</v>
      </c>
      <c r="K28" s="17">
        <f t="shared" si="22"/>
        <v>0</v>
      </c>
      <c r="L28" s="17">
        <f t="shared" si="22"/>
        <v>0</v>
      </c>
      <c r="M28" s="17">
        <f t="shared" si="22"/>
        <v>0</v>
      </c>
      <c r="N28" s="156">
        <f>SUM(B28:M28)</f>
        <v>0</v>
      </c>
    </row>
    <row r="29" spans="1:23" x14ac:dyDescent="0.35">
      <c r="A29" s="157">
        <v>43647</v>
      </c>
      <c r="B29" s="156">
        <f>+B17*B5/12</f>
        <v>0</v>
      </c>
      <c r="C29" s="156">
        <f>+B29</f>
        <v>0</v>
      </c>
      <c r="D29" s="156">
        <f t="shared" ref="D29:M39" si="23">+C29</f>
        <v>0</v>
      </c>
      <c r="E29" s="156">
        <f t="shared" si="23"/>
        <v>0</v>
      </c>
      <c r="F29" s="156">
        <f t="shared" si="23"/>
        <v>0</v>
      </c>
      <c r="G29" s="156">
        <f t="shared" si="23"/>
        <v>0</v>
      </c>
      <c r="H29" s="156">
        <f t="shared" si="23"/>
        <v>0</v>
      </c>
      <c r="I29" s="156">
        <f t="shared" si="23"/>
        <v>0</v>
      </c>
      <c r="J29" s="156">
        <f t="shared" si="23"/>
        <v>0</v>
      </c>
      <c r="K29" s="156">
        <f t="shared" si="23"/>
        <v>0</v>
      </c>
      <c r="L29" s="156">
        <f t="shared" si="23"/>
        <v>0</v>
      </c>
      <c r="M29" s="156">
        <f t="shared" si="23"/>
        <v>0</v>
      </c>
      <c r="N29" s="156">
        <f>SUM(B29:M29)</f>
        <v>0</v>
      </c>
    </row>
    <row r="30" spans="1:23" x14ac:dyDescent="0.35">
      <c r="A30" s="157">
        <f>+A29+31</f>
        <v>43678</v>
      </c>
      <c r="B30" s="158"/>
      <c r="C30" s="156">
        <f>+(C5*C17*11/12)/11</f>
        <v>0</v>
      </c>
      <c r="D30" s="156">
        <f t="shared" si="23"/>
        <v>0</v>
      </c>
      <c r="E30" s="156">
        <f t="shared" si="23"/>
        <v>0</v>
      </c>
      <c r="F30" s="156">
        <f t="shared" si="23"/>
        <v>0</v>
      </c>
      <c r="G30" s="156">
        <f t="shared" si="23"/>
        <v>0</v>
      </c>
      <c r="H30" s="156">
        <f t="shared" si="23"/>
        <v>0</v>
      </c>
      <c r="I30" s="156">
        <f t="shared" si="23"/>
        <v>0</v>
      </c>
      <c r="J30" s="156">
        <f t="shared" si="23"/>
        <v>0</v>
      </c>
      <c r="K30" s="156">
        <f t="shared" si="23"/>
        <v>0</v>
      </c>
      <c r="L30" s="156">
        <f t="shared" si="23"/>
        <v>0</v>
      </c>
      <c r="M30" s="156">
        <f t="shared" si="23"/>
        <v>0</v>
      </c>
      <c r="N30" s="156">
        <f t="shared" ref="N30:N40" si="24">SUM(B30:M30)</f>
        <v>0</v>
      </c>
    </row>
    <row r="31" spans="1:23" x14ac:dyDescent="0.35">
      <c r="A31" s="157">
        <f t="shared" ref="A31:A40" si="25">+A30+31</f>
        <v>43709</v>
      </c>
      <c r="B31" s="158"/>
      <c r="C31" s="158"/>
      <c r="D31" s="156">
        <f>+(D5*D17*10/12)/10</f>
        <v>0</v>
      </c>
      <c r="E31" s="156">
        <f t="shared" si="23"/>
        <v>0</v>
      </c>
      <c r="F31" s="156">
        <f t="shared" si="23"/>
        <v>0</v>
      </c>
      <c r="G31" s="156">
        <f t="shared" si="23"/>
        <v>0</v>
      </c>
      <c r="H31" s="156">
        <f t="shared" si="23"/>
        <v>0</v>
      </c>
      <c r="I31" s="156">
        <f t="shared" si="23"/>
        <v>0</v>
      </c>
      <c r="J31" s="156">
        <f t="shared" si="23"/>
        <v>0</v>
      </c>
      <c r="K31" s="156">
        <f t="shared" si="23"/>
        <v>0</v>
      </c>
      <c r="L31" s="156">
        <f t="shared" si="23"/>
        <v>0</v>
      </c>
      <c r="M31" s="156">
        <f t="shared" si="23"/>
        <v>0</v>
      </c>
      <c r="N31" s="156">
        <f t="shared" si="24"/>
        <v>0</v>
      </c>
    </row>
    <row r="32" spans="1:23" x14ac:dyDescent="0.35">
      <c r="A32" s="157">
        <f t="shared" si="25"/>
        <v>43740</v>
      </c>
      <c r="B32" s="158"/>
      <c r="C32" s="158"/>
      <c r="D32" s="158"/>
      <c r="E32" s="156">
        <f>+(E5*E17*9/12)/9</f>
        <v>0</v>
      </c>
      <c r="F32" s="156">
        <f t="shared" si="23"/>
        <v>0</v>
      </c>
      <c r="G32" s="156">
        <f t="shared" si="23"/>
        <v>0</v>
      </c>
      <c r="H32" s="156">
        <f t="shared" si="23"/>
        <v>0</v>
      </c>
      <c r="I32" s="156">
        <f t="shared" si="23"/>
        <v>0</v>
      </c>
      <c r="J32" s="156">
        <f t="shared" si="23"/>
        <v>0</v>
      </c>
      <c r="K32" s="156">
        <f t="shared" si="23"/>
        <v>0</v>
      </c>
      <c r="L32" s="156">
        <f t="shared" si="23"/>
        <v>0</v>
      </c>
      <c r="M32" s="156">
        <f t="shared" si="23"/>
        <v>0</v>
      </c>
      <c r="N32" s="156">
        <f t="shared" si="24"/>
        <v>0</v>
      </c>
    </row>
    <row r="33" spans="1:14" x14ac:dyDescent="0.35">
      <c r="A33" s="157">
        <f t="shared" si="25"/>
        <v>43771</v>
      </c>
      <c r="B33" s="158"/>
      <c r="C33" s="158"/>
      <c r="D33" s="158"/>
      <c r="E33" s="158"/>
      <c r="F33" s="156">
        <f>+(F5*F17*8/12)/8</f>
        <v>0</v>
      </c>
      <c r="G33" s="156">
        <f t="shared" si="23"/>
        <v>0</v>
      </c>
      <c r="H33" s="156">
        <f t="shared" si="23"/>
        <v>0</v>
      </c>
      <c r="I33" s="156">
        <f t="shared" si="23"/>
        <v>0</v>
      </c>
      <c r="J33" s="156">
        <f t="shared" si="23"/>
        <v>0</v>
      </c>
      <c r="K33" s="156">
        <f t="shared" si="23"/>
        <v>0</v>
      </c>
      <c r="L33" s="156">
        <f t="shared" si="23"/>
        <v>0</v>
      </c>
      <c r="M33" s="156">
        <f t="shared" si="23"/>
        <v>0</v>
      </c>
      <c r="N33" s="156">
        <f t="shared" si="24"/>
        <v>0</v>
      </c>
    </row>
    <row r="34" spans="1:14" x14ac:dyDescent="0.35">
      <c r="A34" s="157">
        <f t="shared" si="25"/>
        <v>43802</v>
      </c>
      <c r="B34" s="158"/>
      <c r="C34" s="158"/>
      <c r="D34" s="158"/>
      <c r="E34" s="158"/>
      <c r="F34" s="158"/>
      <c r="G34" s="156">
        <f>+(G5*G17*7/12)/7</f>
        <v>0</v>
      </c>
      <c r="H34" s="156">
        <f t="shared" si="23"/>
        <v>0</v>
      </c>
      <c r="I34" s="156">
        <f t="shared" si="23"/>
        <v>0</v>
      </c>
      <c r="J34" s="156">
        <f t="shared" si="23"/>
        <v>0</v>
      </c>
      <c r="K34" s="156">
        <f t="shared" si="23"/>
        <v>0</v>
      </c>
      <c r="L34" s="156">
        <f t="shared" si="23"/>
        <v>0</v>
      </c>
      <c r="M34" s="156">
        <f t="shared" si="23"/>
        <v>0</v>
      </c>
      <c r="N34" s="156">
        <f t="shared" si="24"/>
        <v>0</v>
      </c>
    </row>
    <row r="35" spans="1:14" x14ac:dyDescent="0.35">
      <c r="A35" s="157">
        <f t="shared" si="25"/>
        <v>43833</v>
      </c>
      <c r="B35" s="158"/>
      <c r="C35" s="158"/>
      <c r="D35" s="158"/>
      <c r="E35" s="158"/>
      <c r="F35" s="158"/>
      <c r="G35" s="158"/>
      <c r="H35" s="156">
        <f>+(H5*H17*6/12)/6</f>
        <v>0</v>
      </c>
      <c r="I35" s="156">
        <f t="shared" si="23"/>
        <v>0</v>
      </c>
      <c r="J35" s="156">
        <f t="shared" si="23"/>
        <v>0</v>
      </c>
      <c r="K35" s="156">
        <f t="shared" si="23"/>
        <v>0</v>
      </c>
      <c r="L35" s="156">
        <f t="shared" si="23"/>
        <v>0</v>
      </c>
      <c r="M35" s="156">
        <f t="shared" si="23"/>
        <v>0</v>
      </c>
      <c r="N35" s="156">
        <f t="shared" si="24"/>
        <v>0</v>
      </c>
    </row>
    <row r="36" spans="1:14" x14ac:dyDescent="0.35">
      <c r="A36" s="157">
        <f t="shared" si="25"/>
        <v>43864</v>
      </c>
      <c r="B36" s="158"/>
      <c r="C36" s="158"/>
      <c r="D36" s="158"/>
      <c r="E36" s="158"/>
      <c r="F36" s="158"/>
      <c r="G36" s="158"/>
      <c r="H36" s="158"/>
      <c r="I36" s="156">
        <f>(I5*I17*5/12)/5</f>
        <v>0</v>
      </c>
      <c r="J36" s="156">
        <f t="shared" si="23"/>
        <v>0</v>
      </c>
      <c r="K36" s="156">
        <f t="shared" si="23"/>
        <v>0</v>
      </c>
      <c r="L36" s="156">
        <f t="shared" si="23"/>
        <v>0</v>
      </c>
      <c r="M36" s="156">
        <f t="shared" si="23"/>
        <v>0</v>
      </c>
      <c r="N36" s="156">
        <f t="shared" si="24"/>
        <v>0</v>
      </c>
    </row>
    <row r="37" spans="1:14" x14ac:dyDescent="0.35">
      <c r="A37" s="157">
        <f t="shared" si="25"/>
        <v>43895</v>
      </c>
      <c r="B37" s="158"/>
      <c r="C37" s="158"/>
      <c r="D37" s="158"/>
      <c r="E37" s="158"/>
      <c r="F37" s="158"/>
      <c r="G37" s="158"/>
      <c r="H37" s="158"/>
      <c r="I37" s="158"/>
      <c r="J37" s="156">
        <f>(J5*J17*4/12)/4</f>
        <v>0</v>
      </c>
      <c r="K37" s="156">
        <f t="shared" si="23"/>
        <v>0</v>
      </c>
      <c r="L37" s="156">
        <f t="shared" si="23"/>
        <v>0</v>
      </c>
      <c r="M37" s="156">
        <f t="shared" si="23"/>
        <v>0</v>
      </c>
      <c r="N37" s="156">
        <f t="shared" si="24"/>
        <v>0</v>
      </c>
    </row>
    <row r="38" spans="1:14" x14ac:dyDescent="0.35">
      <c r="A38" s="157">
        <f t="shared" si="25"/>
        <v>43926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6">
        <f>(K5*K17*3/12)/3</f>
        <v>0</v>
      </c>
      <c r="L38" s="156">
        <f t="shared" si="23"/>
        <v>0</v>
      </c>
      <c r="M38" s="156">
        <f t="shared" si="23"/>
        <v>0</v>
      </c>
      <c r="N38" s="156">
        <f t="shared" si="24"/>
        <v>0</v>
      </c>
    </row>
    <row r="39" spans="1:14" x14ac:dyDescent="0.35">
      <c r="A39" s="157">
        <f t="shared" si="25"/>
        <v>43957</v>
      </c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6">
        <f>(L5*L17*2/12)/2</f>
        <v>0</v>
      </c>
      <c r="M39" s="156">
        <f t="shared" si="23"/>
        <v>0</v>
      </c>
      <c r="N39" s="156">
        <f t="shared" si="24"/>
        <v>0</v>
      </c>
    </row>
    <row r="40" spans="1:14" x14ac:dyDescent="0.35">
      <c r="A40" s="157">
        <f t="shared" si="25"/>
        <v>43988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6">
        <f>(M5*M17/12)</f>
        <v>0</v>
      </c>
      <c r="N40" s="156">
        <f t="shared" si="24"/>
        <v>0</v>
      </c>
    </row>
    <row r="41" spans="1:14" x14ac:dyDescent="0.35">
      <c r="B41" s="160">
        <v>43647</v>
      </c>
      <c r="C41" s="160">
        <f>+B41+31</f>
        <v>43678</v>
      </c>
      <c r="D41" s="160">
        <f t="shared" ref="D41:M41" si="26">+C41+31</f>
        <v>43709</v>
      </c>
      <c r="E41" s="160">
        <f t="shared" si="26"/>
        <v>43740</v>
      </c>
      <c r="F41" s="160">
        <f t="shared" si="26"/>
        <v>43771</v>
      </c>
      <c r="G41" s="160">
        <f t="shared" si="26"/>
        <v>43802</v>
      </c>
      <c r="H41" s="160">
        <f t="shared" si="26"/>
        <v>43833</v>
      </c>
      <c r="I41" s="160">
        <f t="shared" si="26"/>
        <v>43864</v>
      </c>
      <c r="J41" s="160">
        <f t="shared" si="26"/>
        <v>43895</v>
      </c>
      <c r="K41" s="160">
        <f t="shared" si="26"/>
        <v>43926</v>
      </c>
      <c r="L41" s="160">
        <f t="shared" si="26"/>
        <v>43957</v>
      </c>
      <c r="M41" s="160">
        <f t="shared" si="26"/>
        <v>43988</v>
      </c>
      <c r="N41" s="159" t="s">
        <v>84</v>
      </c>
    </row>
    <row r="42" spans="1:14" x14ac:dyDescent="0.35">
      <c r="A42" s="17" t="s">
        <v>290</v>
      </c>
      <c r="B42" s="17">
        <f>SUM(B43:B54)</f>
        <v>0</v>
      </c>
      <c r="C42" s="17">
        <f t="shared" ref="C42:M42" si="27">SUM(C43:C54)</f>
        <v>0</v>
      </c>
      <c r="D42" s="17">
        <f t="shared" si="27"/>
        <v>0</v>
      </c>
      <c r="E42" s="17">
        <f t="shared" si="27"/>
        <v>0</v>
      </c>
      <c r="F42" s="17">
        <f t="shared" si="27"/>
        <v>0</v>
      </c>
      <c r="G42" s="17">
        <f t="shared" si="27"/>
        <v>0</v>
      </c>
      <c r="H42" s="17">
        <f t="shared" si="27"/>
        <v>0</v>
      </c>
      <c r="I42" s="17">
        <f t="shared" si="27"/>
        <v>0</v>
      </c>
      <c r="J42" s="17">
        <f t="shared" si="27"/>
        <v>0</v>
      </c>
      <c r="K42" s="17">
        <f t="shared" si="27"/>
        <v>0</v>
      </c>
      <c r="L42" s="17">
        <f t="shared" si="27"/>
        <v>0</v>
      </c>
      <c r="M42" s="17">
        <f t="shared" si="27"/>
        <v>0</v>
      </c>
      <c r="N42" s="156">
        <f>SUM(B42:M42)</f>
        <v>0</v>
      </c>
    </row>
    <row r="43" spans="1:14" x14ac:dyDescent="0.35">
      <c r="A43" s="157">
        <v>43647</v>
      </c>
      <c r="B43" s="156">
        <f>+B21*B8/12</f>
        <v>0</v>
      </c>
      <c r="C43" s="156">
        <f>+B43</f>
        <v>0</v>
      </c>
      <c r="D43" s="156">
        <f t="shared" ref="D43:M53" si="28">+C43</f>
        <v>0</v>
      </c>
      <c r="E43" s="156">
        <f t="shared" si="28"/>
        <v>0</v>
      </c>
      <c r="F43" s="156">
        <f t="shared" si="28"/>
        <v>0</v>
      </c>
      <c r="G43" s="156">
        <f t="shared" si="28"/>
        <v>0</v>
      </c>
      <c r="H43" s="156">
        <f t="shared" si="28"/>
        <v>0</v>
      </c>
      <c r="I43" s="156">
        <f t="shared" si="28"/>
        <v>0</v>
      </c>
      <c r="J43" s="156">
        <f t="shared" si="28"/>
        <v>0</v>
      </c>
      <c r="K43" s="156">
        <f t="shared" si="28"/>
        <v>0</v>
      </c>
      <c r="L43" s="156">
        <f t="shared" si="28"/>
        <v>0</v>
      </c>
      <c r="M43" s="156">
        <f t="shared" si="28"/>
        <v>0</v>
      </c>
      <c r="N43" s="156">
        <f>SUM(B43:M43)</f>
        <v>0</v>
      </c>
    </row>
    <row r="44" spans="1:14" x14ac:dyDescent="0.35">
      <c r="A44" s="157">
        <f>+A43+31</f>
        <v>43678</v>
      </c>
      <c r="B44" s="158"/>
      <c r="C44" s="156">
        <f>+(C21*C8*11/12)/11</f>
        <v>0</v>
      </c>
      <c r="D44" s="156">
        <f t="shared" si="28"/>
        <v>0</v>
      </c>
      <c r="E44" s="156">
        <f t="shared" si="28"/>
        <v>0</v>
      </c>
      <c r="F44" s="156">
        <f t="shared" si="28"/>
        <v>0</v>
      </c>
      <c r="G44" s="156">
        <f t="shared" si="28"/>
        <v>0</v>
      </c>
      <c r="H44" s="156">
        <f t="shared" si="28"/>
        <v>0</v>
      </c>
      <c r="I44" s="156">
        <f t="shared" si="28"/>
        <v>0</v>
      </c>
      <c r="J44" s="156">
        <f t="shared" si="28"/>
        <v>0</v>
      </c>
      <c r="K44" s="156">
        <f t="shared" si="28"/>
        <v>0</v>
      </c>
      <c r="L44" s="156">
        <f t="shared" si="28"/>
        <v>0</v>
      </c>
      <c r="M44" s="156">
        <f t="shared" si="28"/>
        <v>0</v>
      </c>
      <c r="N44" s="156">
        <f t="shared" ref="N44:N54" si="29">SUM(B44:M44)</f>
        <v>0</v>
      </c>
    </row>
    <row r="45" spans="1:14" x14ac:dyDescent="0.35">
      <c r="A45" s="157">
        <f t="shared" ref="A45:A54" si="30">+A44+31</f>
        <v>43709</v>
      </c>
      <c r="B45" s="158"/>
      <c r="C45" s="158"/>
      <c r="D45" s="156">
        <f>+(D21*D8*10/12)/10</f>
        <v>0</v>
      </c>
      <c r="E45" s="156">
        <f t="shared" si="28"/>
        <v>0</v>
      </c>
      <c r="F45" s="156">
        <f t="shared" si="28"/>
        <v>0</v>
      </c>
      <c r="G45" s="156">
        <f t="shared" si="28"/>
        <v>0</v>
      </c>
      <c r="H45" s="156">
        <f t="shared" si="28"/>
        <v>0</v>
      </c>
      <c r="I45" s="156">
        <f t="shared" si="28"/>
        <v>0</v>
      </c>
      <c r="J45" s="156">
        <f t="shared" si="28"/>
        <v>0</v>
      </c>
      <c r="K45" s="156">
        <f t="shared" si="28"/>
        <v>0</v>
      </c>
      <c r="L45" s="156">
        <f t="shared" si="28"/>
        <v>0</v>
      </c>
      <c r="M45" s="156">
        <f t="shared" si="28"/>
        <v>0</v>
      </c>
      <c r="N45" s="156">
        <f t="shared" si="29"/>
        <v>0</v>
      </c>
    </row>
    <row r="46" spans="1:14" x14ac:dyDescent="0.35">
      <c r="A46" s="157">
        <f t="shared" si="30"/>
        <v>43740</v>
      </c>
      <c r="B46" s="158"/>
      <c r="C46" s="158"/>
      <c r="D46" s="158"/>
      <c r="E46" s="156">
        <f>+(E21*E8*9/12)/9</f>
        <v>0</v>
      </c>
      <c r="F46" s="156">
        <f t="shared" si="28"/>
        <v>0</v>
      </c>
      <c r="G46" s="156">
        <f t="shared" si="28"/>
        <v>0</v>
      </c>
      <c r="H46" s="156">
        <f t="shared" si="28"/>
        <v>0</v>
      </c>
      <c r="I46" s="156">
        <f t="shared" si="28"/>
        <v>0</v>
      </c>
      <c r="J46" s="156">
        <f t="shared" si="28"/>
        <v>0</v>
      </c>
      <c r="K46" s="156">
        <f t="shared" si="28"/>
        <v>0</v>
      </c>
      <c r="L46" s="156">
        <f t="shared" si="28"/>
        <v>0</v>
      </c>
      <c r="M46" s="156">
        <f t="shared" si="28"/>
        <v>0</v>
      </c>
      <c r="N46" s="156">
        <f t="shared" si="29"/>
        <v>0</v>
      </c>
    </row>
    <row r="47" spans="1:14" x14ac:dyDescent="0.35">
      <c r="A47" s="157">
        <f t="shared" si="30"/>
        <v>43771</v>
      </c>
      <c r="B47" s="158"/>
      <c r="C47" s="158"/>
      <c r="D47" s="158"/>
      <c r="E47" s="158"/>
      <c r="F47" s="156">
        <f>(+F21*F8*8/12)/8</f>
        <v>0</v>
      </c>
      <c r="G47" s="156">
        <f t="shared" si="28"/>
        <v>0</v>
      </c>
      <c r="H47" s="156">
        <f t="shared" si="28"/>
        <v>0</v>
      </c>
      <c r="I47" s="156">
        <f t="shared" si="28"/>
        <v>0</v>
      </c>
      <c r="J47" s="156">
        <f t="shared" si="28"/>
        <v>0</v>
      </c>
      <c r="K47" s="156">
        <f t="shared" si="28"/>
        <v>0</v>
      </c>
      <c r="L47" s="156">
        <f t="shared" si="28"/>
        <v>0</v>
      </c>
      <c r="M47" s="156">
        <f t="shared" si="28"/>
        <v>0</v>
      </c>
      <c r="N47" s="156">
        <f t="shared" si="29"/>
        <v>0</v>
      </c>
    </row>
    <row r="48" spans="1:14" x14ac:dyDescent="0.35">
      <c r="A48" s="157">
        <f t="shared" si="30"/>
        <v>43802</v>
      </c>
      <c r="B48" s="158"/>
      <c r="C48" s="158"/>
      <c r="D48" s="158"/>
      <c r="E48" s="158"/>
      <c r="F48" s="158"/>
      <c r="G48" s="156">
        <f>+(G21*G8*7/12)/7</f>
        <v>0</v>
      </c>
      <c r="H48" s="156">
        <f>+G48</f>
        <v>0</v>
      </c>
      <c r="I48" s="156">
        <f t="shared" si="28"/>
        <v>0</v>
      </c>
      <c r="J48" s="156">
        <f t="shared" si="28"/>
        <v>0</v>
      </c>
      <c r="K48" s="156">
        <f t="shared" si="28"/>
        <v>0</v>
      </c>
      <c r="L48" s="156">
        <f t="shared" si="28"/>
        <v>0</v>
      </c>
      <c r="M48" s="156">
        <f t="shared" si="28"/>
        <v>0</v>
      </c>
      <c r="N48" s="156">
        <f t="shared" si="29"/>
        <v>0</v>
      </c>
    </row>
    <row r="49" spans="1:14" x14ac:dyDescent="0.35">
      <c r="A49" s="157">
        <f t="shared" si="30"/>
        <v>43833</v>
      </c>
      <c r="B49" s="158"/>
      <c r="C49" s="158"/>
      <c r="D49" s="158"/>
      <c r="E49" s="158"/>
      <c r="F49" s="158"/>
      <c r="G49" s="158"/>
      <c r="H49" s="156">
        <f>+(H21*H8*6/12)/6</f>
        <v>0</v>
      </c>
      <c r="I49" s="156">
        <f t="shared" si="28"/>
        <v>0</v>
      </c>
      <c r="J49" s="156">
        <f t="shared" si="28"/>
        <v>0</v>
      </c>
      <c r="K49" s="156">
        <f t="shared" si="28"/>
        <v>0</v>
      </c>
      <c r="L49" s="156">
        <f t="shared" si="28"/>
        <v>0</v>
      </c>
      <c r="M49" s="156">
        <f t="shared" si="28"/>
        <v>0</v>
      </c>
      <c r="N49" s="156">
        <f t="shared" si="29"/>
        <v>0</v>
      </c>
    </row>
    <row r="50" spans="1:14" x14ac:dyDescent="0.35">
      <c r="A50" s="157">
        <f t="shared" si="30"/>
        <v>43864</v>
      </c>
      <c r="B50" s="158"/>
      <c r="C50" s="158"/>
      <c r="D50" s="158"/>
      <c r="E50" s="158"/>
      <c r="F50" s="158"/>
      <c r="G50" s="158"/>
      <c r="H50" s="158"/>
      <c r="I50" s="156">
        <f>+(I21*I8*5/12)/5</f>
        <v>0</v>
      </c>
      <c r="J50" s="156">
        <f t="shared" si="28"/>
        <v>0</v>
      </c>
      <c r="K50" s="156">
        <f t="shared" si="28"/>
        <v>0</v>
      </c>
      <c r="L50" s="156">
        <f t="shared" si="28"/>
        <v>0</v>
      </c>
      <c r="M50" s="156">
        <f t="shared" si="28"/>
        <v>0</v>
      </c>
      <c r="N50" s="156">
        <f t="shared" si="29"/>
        <v>0</v>
      </c>
    </row>
    <row r="51" spans="1:14" x14ac:dyDescent="0.35">
      <c r="A51" s="157">
        <f t="shared" si="30"/>
        <v>43895</v>
      </c>
      <c r="B51" s="158"/>
      <c r="C51" s="158"/>
      <c r="D51" s="158"/>
      <c r="E51" s="158"/>
      <c r="F51" s="158"/>
      <c r="G51" s="158"/>
      <c r="H51" s="158"/>
      <c r="I51" s="158"/>
      <c r="J51" s="156">
        <f>+(J21*J8*4/12)/4</f>
        <v>0</v>
      </c>
      <c r="K51" s="156">
        <f t="shared" si="28"/>
        <v>0</v>
      </c>
      <c r="L51" s="156">
        <f t="shared" si="28"/>
        <v>0</v>
      </c>
      <c r="M51" s="156">
        <f t="shared" si="28"/>
        <v>0</v>
      </c>
      <c r="N51" s="156">
        <f t="shared" si="29"/>
        <v>0</v>
      </c>
    </row>
    <row r="52" spans="1:14" x14ac:dyDescent="0.35">
      <c r="A52" s="157">
        <f t="shared" si="30"/>
        <v>43926</v>
      </c>
      <c r="B52" s="158"/>
      <c r="C52" s="158"/>
      <c r="D52" s="158"/>
      <c r="E52" s="158"/>
      <c r="F52" s="158"/>
      <c r="G52" s="158"/>
      <c r="H52" s="158"/>
      <c r="I52" s="158"/>
      <c r="J52" s="158"/>
      <c r="K52" s="156">
        <f>+(K21*K8*3/12)/3</f>
        <v>0</v>
      </c>
      <c r="L52" s="156">
        <f t="shared" si="28"/>
        <v>0</v>
      </c>
      <c r="M52" s="156">
        <f t="shared" si="28"/>
        <v>0</v>
      </c>
      <c r="N52" s="156">
        <f t="shared" si="29"/>
        <v>0</v>
      </c>
    </row>
    <row r="53" spans="1:14" x14ac:dyDescent="0.35">
      <c r="A53" s="157">
        <f t="shared" si="30"/>
        <v>43957</v>
      </c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6">
        <f>+(L21*L8*2/12)/2</f>
        <v>0</v>
      </c>
      <c r="M53" s="156">
        <f t="shared" si="28"/>
        <v>0</v>
      </c>
      <c r="N53" s="156">
        <f t="shared" si="29"/>
        <v>0</v>
      </c>
    </row>
    <row r="54" spans="1:14" x14ac:dyDescent="0.35">
      <c r="A54" s="157">
        <f t="shared" si="30"/>
        <v>43988</v>
      </c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6">
        <f>+(M21*M8/12)</f>
        <v>0</v>
      </c>
      <c r="N54" s="156">
        <f t="shared" si="29"/>
        <v>0</v>
      </c>
    </row>
    <row r="55" spans="1:14" x14ac:dyDescent="0.35">
      <c r="B55" s="160">
        <v>43647</v>
      </c>
      <c r="C55" s="160">
        <f>+B55+31</f>
        <v>43678</v>
      </c>
      <c r="D55" s="160">
        <f t="shared" ref="D55:M55" si="31">+C55+31</f>
        <v>43709</v>
      </c>
      <c r="E55" s="160">
        <f t="shared" si="31"/>
        <v>43740</v>
      </c>
      <c r="F55" s="160">
        <f t="shared" si="31"/>
        <v>43771</v>
      </c>
      <c r="G55" s="160">
        <f t="shared" si="31"/>
        <v>43802</v>
      </c>
      <c r="H55" s="160">
        <f t="shared" si="31"/>
        <v>43833</v>
      </c>
      <c r="I55" s="160">
        <f t="shared" si="31"/>
        <v>43864</v>
      </c>
      <c r="J55" s="160">
        <f t="shared" si="31"/>
        <v>43895</v>
      </c>
      <c r="K55" s="160">
        <f t="shared" si="31"/>
        <v>43926</v>
      </c>
      <c r="L55" s="160">
        <f t="shared" si="31"/>
        <v>43957</v>
      </c>
      <c r="M55" s="160">
        <f t="shared" si="31"/>
        <v>43988</v>
      </c>
      <c r="N55" s="159" t="s">
        <v>84</v>
      </c>
    </row>
    <row r="56" spans="1:14" x14ac:dyDescent="0.35">
      <c r="A56" s="17" t="s">
        <v>291</v>
      </c>
      <c r="B56" s="17">
        <f>SUM(B57:B68)</f>
        <v>0</v>
      </c>
      <c r="C56" s="17">
        <f t="shared" ref="C56:M56" si="32">SUM(C57:C68)</f>
        <v>0</v>
      </c>
      <c r="D56" s="17">
        <f t="shared" si="32"/>
        <v>0</v>
      </c>
      <c r="E56" s="17">
        <f t="shared" si="32"/>
        <v>0</v>
      </c>
      <c r="F56" s="17">
        <f t="shared" si="32"/>
        <v>0</v>
      </c>
      <c r="G56" s="17">
        <f t="shared" si="32"/>
        <v>0</v>
      </c>
      <c r="H56" s="17">
        <f t="shared" si="32"/>
        <v>0</v>
      </c>
      <c r="I56" s="17">
        <f t="shared" si="32"/>
        <v>0</v>
      </c>
      <c r="J56" s="17">
        <f t="shared" si="32"/>
        <v>0</v>
      </c>
      <c r="K56" s="17">
        <f t="shared" si="32"/>
        <v>0</v>
      </c>
      <c r="L56" s="17">
        <f t="shared" si="32"/>
        <v>0</v>
      </c>
      <c r="M56" s="17">
        <f t="shared" si="32"/>
        <v>0</v>
      </c>
      <c r="N56" s="156">
        <f>SUM(B56:M56)</f>
        <v>0</v>
      </c>
    </row>
    <row r="57" spans="1:14" x14ac:dyDescent="0.35">
      <c r="A57" s="157">
        <v>43647</v>
      </c>
      <c r="B57" s="156">
        <f>+B25*B11/12</f>
        <v>0</v>
      </c>
      <c r="C57" s="156">
        <f>+B57</f>
        <v>0</v>
      </c>
      <c r="D57" s="156">
        <f t="shared" ref="D57:M67" si="33">+C57</f>
        <v>0</v>
      </c>
      <c r="E57" s="156">
        <f t="shared" si="33"/>
        <v>0</v>
      </c>
      <c r="F57" s="156">
        <f t="shared" si="33"/>
        <v>0</v>
      </c>
      <c r="G57" s="156">
        <f t="shared" si="33"/>
        <v>0</v>
      </c>
      <c r="H57" s="156">
        <f t="shared" si="33"/>
        <v>0</v>
      </c>
      <c r="I57" s="156">
        <f t="shared" si="33"/>
        <v>0</v>
      </c>
      <c r="J57" s="156">
        <f t="shared" si="33"/>
        <v>0</v>
      </c>
      <c r="K57" s="156">
        <f t="shared" si="33"/>
        <v>0</v>
      </c>
      <c r="L57" s="156">
        <f t="shared" si="33"/>
        <v>0</v>
      </c>
      <c r="M57" s="156">
        <f t="shared" si="33"/>
        <v>0</v>
      </c>
      <c r="N57" s="156">
        <f>SUM(B57:M57)</f>
        <v>0</v>
      </c>
    </row>
    <row r="58" spans="1:14" x14ac:dyDescent="0.35">
      <c r="A58" s="157">
        <f>+A57+31</f>
        <v>43678</v>
      </c>
      <c r="B58" s="158"/>
      <c r="C58" s="156">
        <f>+(C25*C11*11/12)/11</f>
        <v>0</v>
      </c>
      <c r="D58" s="156">
        <f t="shared" si="33"/>
        <v>0</v>
      </c>
      <c r="E58" s="156">
        <f t="shared" si="33"/>
        <v>0</v>
      </c>
      <c r="F58" s="156">
        <f t="shared" si="33"/>
        <v>0</v>
      </c>
      <c r="G58" s="156">
        <f t="shared" si="33"/>
        <v>0</v>
      </c>
      <c r="H58" s="156">
        <f t="shared" si="33"/>
        <v>0</v>
      </c>
      <c r="I58" s="156">
        <f t="shared" si="33"/>
        <v>0</v>
      </c>
      <c r="J58" s="156">
        <f t="shared" si="33"/>
        <v>0</v>
      </c>
      <c r="K58" s="156">
        <f t="shared" si="33"/>
        <v>0</v>
      </c>
      <c r="L58" s="156">
        <f t="shared" si="33"/>
        <v>0</v>
      </c>
      <c r="M58" s="156">
        <f t="shared" si="33"/>
        <v>0</v>
      </c>
      <c r="N58" s="156">
        <f t="shared" ref="N58:N68" si="34">SUM(B58:M58)</f>
        <v>0</v>
      </c>
    </row>
    <row r="59" spans="1:14" x14ac:dyDescent="0.35">
      <c r="A59" s="157">
        <f t="shared" ref="A59:A68" si="35">+A58+31</f>
        <v>43709</v>
      </c>
      <c r="B59" s="158"/>
      <c r="C59" s="158"/>
      <c r="D59" s="156">
        <f>+(D25*D11*10/12)/10</f>
        <v>0</v>
      </c>
      <c r="E59" s="156">
        <f t="shared" si="33"/>
        <v>0</v>
      </c>
      <c r="F59" s="156">
        <f t="shared" si="33"/>
        <v>0</v>
      </c>
      <c r="G59" s="156">
        <f t="shared" si="33"/>
        <v>0</v>
      </c>
      <c r="H59" s="156">
        <f t="shared" si="33"/>
        <v>0</v>
      </c>
      <c r="I59" s="156">
        <f t="shared" si="33"/>
        <v>0</v>
      </c>
      <c r="J59" s="156">
        <f t="shared" si="33"/>
        <v>0</v>
      </c>
      <c r="K59" s="156">
        <f t="shared" si="33"/>
        <v>0</v>
      </c>
      <c r="L59" s="156">
        <f t="shared" si="33"/>
        <v>0</v>
      </c>
      <c r="M59" s="156">
        <f t="shared" si="33"/>
        <v>0</v>
      </c>
      <c r="N59" s="156">
        <f t="shared" si="34"/>
        <v>0</v>
      </c>
    </row>
    <row r="60" spans="1:14" x14ac:dyDescent="0.35">
      <c r="A60" s="157">
        <f t="shared" si="35"/>
        <v>43740</v>
      </c>
      <c r="B60" s="158"/>
      <c r="C60" s="158"/>
      <c r="D60" s="158"/>
      <c r="E60" s="156">
        <f>+(E25*E11*9/12)/9</f>
        <v>0</v>
      </c>
      <c r="F60" s="156">
        <f t="shared" si="33"/>
        <v>0</v>
      </c>
      <c r="G60" s="156">
        <f t="shared" si="33"/>
        <v>0</v>
      </c>
      <c r="H60" s="156">
        <f t="shared" si="33"/>
        <v>0</v>
      </c>
      <c r="I60" s="156">
        <f t="shared" si="33"/>
        <v>0</v>
      </c>
      <c r="J60" s="156">
        <f t="shared" si="33"/>
        <v>0</v>
      </c>
      <c r="K60" s="156">
        <f t="shared" si="33"/>
        <v>0</v>
      </c>
      <c r="L60" s="156">
        <f t="shared" si="33"/>
        <v>0</v>
      </c>
      <c r="M60" s="156">
        <f t="shared" si="33"/>
        <v>0</v>
      </c>
      <c r="N60" s="156">
        <f t="shared" si="34"/>
        <v>0</v>
      </c>
    </row>
    <row r="61" spans="1:14" x14ac:dyDescent="0.35">
      <c r="A61" s="157">
        <f t="shared" si="35"/>
        <v>43771</v>
      </c>
      <c r="B61" s="158"/>
      <c r="C61" s="158"/>
      <c r="D61" s="158"/>
      <c r="E61" s="158"/>
      <c r="F61" s="156">
        <f>(+F25*F11*8/12)/8</f>
        <v>0</v>
      </c>
      <c r="G61" s="156">
        <f t="shared" si="33"/>
        <v>0</v>
      </c>
      <c r="H61" s="156">
        <f t="shared" si="33"/>
        <v>0</v>
      </c>
      <c r="I61" s="156">
        <f t="shared" si="33"/>
        <v>0</v>
      </c>
      <c r="J61" s="156">
        <f t="shared" si="33"/>
        <v>0</v>
      </c>
      <c r="K61" s="156">
        <f t="shared" si="33"/>
        <v>0</v>
      </c>
      <c r="L61" s="156">
        <f t="shared" si="33"/>
        <v>0</v>
      </c>
      <c r="M61" s="156">
        <f t="shared" si="33"/>
        <v>0</v>
      </c>
      <c r="N61" s="156">
        <f t="shared" si="34"/>
        <v>0</v>
      </c>
    </row>
    <row r="62" spans="1:14" x14ac:dyDescent="0.35">
      <c r="A62" s="157">
        <f t="shared" si="35"/>
        <v>43802</v>
      </c>
      <c r="B62" s="158"/>
      <c r="C62" s="158"/>
      <c r="D62" s="158"/>
      <c r="E62" s="158"/>
      <c r="F62" s="158"/>
      <c r="G62" s="156">
        <f>+(G25*G11*7/12)/7</f>
        <v>0</v>
      </c>
      <c r="H62" s="156">
        <f>+G62</f>
        <v>0</v>
      </c>
      <c r="I62" s="156">
        <f t="shared" si="33"/>
        <v>0</v>
      </c>
      <c r="J62" s="156">
        <f t="shared" si="33"/>
        <v>0</v>
      </c>
      <c r="K62" s="156">
        <f t="shared" si="33"/>
        <v>0</v>
      </c>
      <c r="L62" s="156">
        <f t="shared" si="33"/>
        <v>0</v>
      </c>
      <c r="M62" s="156">
        <f t="shared" si="33"/>
        <v>0</v>
      </c>
      <c r="N62" s="156">
        <f t="shared" si="34"/>
        <v>0</v>
      </c>
    </row>
    <row r="63" spans="1:14" x14ac:dyDescent="0.35">
      <c r="A63" s="157">
        <f t="shared" si="35"/>
        <v>43833</v>
      </c>
      <c r="B63" s="158"/>
      <c r="C63" s="158"/>
      <c r="D63" s="158"/>
      <c r="E63" s="158"/>
      <c r="F63" s="158"/>
      <c r="G63" s="158"/>
      <c r="H63" s="156">
        <f>+(H25*H11*6/12)/6</f>
        <v>0</v>
      </c>
      <c r="I63" s="156">
        <f t="shared" si="33"/>
        <v>0</v>
      </c>
      <c r="J63" s="156">
        <f t="shared" si="33"/>
        <v>0</v>
      </c>
      <c r="K63" s="156">
        <f t="shared" si="33"/>
        <v>0</v>
      </c>
      <c r="L63" s="156">
        <f t="shared" si="33"/>
        <v>0</v>
      </c>
      <c r="M63" s="156">
        <f t="shared" si="33"/>
        <v>0</v>
      </c>
      <c r="N63" s="156">
        <f t="shared" si="34"/>
        <v>0</v>
      </c>
    </row>
    <row r="64" spans="1:14" x14ac:dyDescent="0.35">
      <c r="A64" s="157">
        <f t="shared" si="35"/>
        <v>43864</v>
      </c>
      <c r="B64" s="158"/>
      <c r="C64" s="158"/>
      <c r="D64" s="158"/>
      <c r="E64" s="158"/>
      <c r="F64" s="158"/>
      <c r="G64" s="158"/>
      <c r="H64" s="158"/>
      <c r="I64" s="156">
        <f>+(I25*I11*5/12)/5</f>
        <v>0</v>
      </c>
      <c r="J64" s="156">
        <f t="shared" si="33"/>
        <v>0</v>
      </c>
      <c r="K64" s="156">
        <f t="shared" si="33"/>
        <v>0</v>
      </c>
      <c r="L64" s="156">
        <f t="shared" si="33"/>
        <v>0</v>
      </c>
      <c r="M64" s="156">
        <f t="shared" si="33"/>
        <v>0</v>
      </c>
      <c r="N64" s="156">
        <f t="shared" si="34"/>
        <v>0</v>
      </c>
    </row>
    <row r="65" spans="1:14" x14ac:dyDescent="0.35">
      <c r="A65" s="157">
        <f t="shared" si="35"/>
        <v>43895</v>
      </c>
      <c r="B65" s="158"/>
      <c r="C65" s="158"/>
      <c r="D65" s="158"/>
      <c r="E65" s="158"/>
      <c r="F65" s="158"/>
      <c r="G65" s="158"/>
      <c r="H65" s="158"/>
      <c r="I65" s="158"/>
      <c r="J65" s="156">
        <f>+(J25*J11*4/12)/4</f>
        <v>0</v>
      </c>
      <c r="K65" s="156">
        <f t="shared" si="33"/>
        <v>0</v>
      </c>
      <c r="L65" s="156">
        <f t="shared" si="33"/>
        <v>0</v>
      </c>
      <c r="M65" s="156">
        <f t="shared" si="33"/>
        <v>0</v>
      </c>
      <c r="N65" s="156">
        <f t="shared" si="34"/>
        <v>0</v>
      </c>
    </row>
    <row r="66" spans="1:14" x14ac:dyDescent="0.35">
      <c r="A66" s="157">
        <f t="shared" si="35"/>
        <v>43926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6">
        <f>+(K25*K11*3/12)/3</f>
        <v>0</v>
      </c>
      <c r="L66" s="156">
        <f t="shared" si="33"/>
        <v>0</v>
      </c>
      <c r="M66" s="156">
        <f t="shared" si="33"/>
        <v>0</v>
      </c>
      <c r="N66" s="156">
        <f t="shared" si="34"/>
        <v>0</v>
      </c>
    </row>
    <row r="67" spans="1:14" x14ac:dyDescent="0.35">
      <c r="A67" s="157">
        <f t="shared" si="35"/>
        <v>43957</v>
      </c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6">
        <f>+(L25*L11*2/12)/2</f>
        <v>0</v>
      </c>
      <c r="M67" s="156">
        <f t="shared" si="33"/>
        <v>0</v>
      </c>
      <c r="N67" s="156">
        <f t="shared" si="34"/>
        <v>0</v>
      </c>
    </row>
    <row r="68" spans="1:14" x14ac:dyDescent="0.35">
      <c r="A68" s="157">
        <f t="shared" si="35"/>
        <v>43988</v>
      </c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6">
        <f>+(M25*M11/12)</f>
        <v>0</v>
      </c>
      <c r="N68" s="156">
        <f t="shared" si="34"/>
        <v>0</v>
      </c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83B7-E9EB-4D84-9C93-27F13996604F}">
  <sheetPr>
    <tabColor rgb="FF92D050"/>
  </sheetPr>
  <dimension ref="A3:C17"/>
  <sheetViews>
    <sheetView workbookViewId="0">
      <selection activeCell="B12" sqref="B12"/>
    </sheetView>
  </sheetViews>
  <sheetFormatPr baseColWidth="10" defaultRowHeight="14.25" x14ac:dyDescent="0.45"/>
  <cols>
    <col min="1" max="1" width="19.53125" bestFit="1" customWidth="1"/>
    <col min="2" max="3" width="23" bestFit="1" customWidth="1"/>
  </cols>
  <sheetData>
    <row r="3" spans="1:3" x14ac:dyDescent="0.45">
      <c r="A3" s="189" t="s">
        <v>279</v>
      </c>
      <c r="B3" t="s">
        <v>281</v>
      </c>
      <c r="C3" s="201"/>
    </row>
    <row r="4" spans="1:3" x14ac:dyDescent="0.45">
      <c r="A4" s="190" t="s">
        <v>261</v>
      </c>
      <c r="B4" s="192">
        <v>100110.432</v>
      </c>
      <c r="C4" s="194">
        <f>+C5+C6</f>
        <v>8342.5360000000001</v>
      </c>
    </row>
    <row r="5" spans="1:3" x14ac:dyDescent="0.45">
      <c r="A5" s="191">
        <v>8036</v>
      </c>
      <c r="B5" s="192">
        <v>29749.450999999997</v>
      </c>
      <c r="C5" s="193">
        <f>+GETPIVOTDATA("Dotation 19/20",$A$3,"Poste","Construction","Domaine",8036)/12</f>
        <v>2479.1209166666663</v>
      </c>
    </row>
    <row r="6" spans="1:3" x14ac:dyDescent="0.45">
      <c r="A6" s="191">
        <v>8038</v>
      </c>
      <c r="B6" s="192">
        <v>70360.981</v>
      </c>
      <c r="C6" s="193">
        <f>+GETPIVOTDATA("Dotation 19/20",$A$3,"Poste","Construction","Domaine",8038)/12</f>
        <v>5863.4150833333333</v>
      </c>
    </row>
    <row r="7" spans="1:3" x14ac:dyDescent="0.45">
      <c r="A7" s="190" t="s">
        <v>265</v>
      </c>
      <c r="B7" s="192">
        <v>2360403.6471887426</v>
      </c>
      <c r="C7" s="194">
        <f>SUM(C8:C10)</f>
        <v>196700.30393239524</v>
      </c>
    </row>
    <row r="8" spans="1:3" x14ac:dyDescent="0.45">
      <c r="A8" s="191">
        <v>8036</v>
      </c>
      <c r="B8" s="192">
        <v>754962.12706239265</v>
      </c>
      <c r="C8" s="193">
        <f>+GETPIVOTDATA("Dotation 19/20",$A$3,"Poste","ITMO","Domaine",8036)/12</f>
        <v>62913.510588532721</v>
      </c>
    </row>
    <row r="9" spans="1:3" x14ac:dyDescent="0.45">
      <c r="A9" s="191">
        <v>8038</v>
      </c>
      <c r="B9" s="192">
        <v>1434692.5138952071</v>
      </c>
      <c r="C9" s="193">
        <f>+GETPIVOTDATA("Dotation 19/20",$A$3,"Poste","ITMO","Domaine",8038)/12</f>
        <v>119557.70949126726</v>
      </c>
    </row>
    <row r="10" spans="1:3" x14ac:dyDescent="0.45">
      <c r="A10" s="191">
        <v>8039</v>
      </c>
      <c r="B10" s="192">
        <v>170749.00623114299</v>
      </c>
      <c r="C10" s="193">
        <f>+GETPIVOTDATA("Dotation 19/20",$A$3,"Poste","ITMO","Domaine",8039)/12</f>
        <v>14229.083852595249</v>
      </c>
    </row>
    <row r="11" spans="1:3" x14ac:dyDescent="0.45">
      <c r="A11" s="190" t="s">
        <v>273</v>
      </c>
      <c r="B11" s="192">
        <v>62745.773000000001</v>
      </c>
      <c r="C11" s="194">
        <f>SUM(C12:C14)</f>
        <v>5228.8144166666671</v>
      </c>
    </row>
    <row r="12" spans="1:3" x14ac:dyDescent="0.45">
      <c r="A12" s="191">
        <v>8036</v>
      </c>
      <c r="B12" s="192">
        <v>2216.75</v>
      </c>
      <c r="C12" s="193">
        <f>+GETPIVOTDATA("Dotation 19/20",$A$3,"Poste","MMB","Domaine",8036)/12</f>
        <v>184.72916666666666</v>
      </c>
    </row>
    <row r="13" spans="1:3" x14ac:dyDescent="0.45">
      <c r="A13" s="191">
        <v>8038</v>
      </c>
      <c r="B13" s="192">
        <v>59105.323000000004</v>
      </c>
      <c r="C13" s="193">
        <f>+GETPIVOTDATA("Dotation 19/20",$A$3,"Poste","MMB","Domaine",8038)/12</f>
        <v>4925.4435833333337</v>
      </c>
    </row>
    <row r="14" spans="1:3" x14ac:dyDescent="0.45">
      <c r="A14" s="191">
        <v>8039</v>
      </c>
      <c r="B14" s="192">
        <v>1423.7</v>
      </c>
      <c r="C14" s="193">
        <f>+GETPIVOTDATA("Dotation 19/20",$A$3,"Poste","MMB","Domaine",8039)/12</f>
        <v>118.64166666666667</v>
      </c>
    </row>
    <row r="15" spans="1:3" x14ac:dyDescent="0.45">
      <c r="A15" s="190" t="s">
        <v>280</v>
      </c>
      <c r="B15" s="192">
        <v>2523259.8521887427</v>
      </c>
      <c r="C15" s="194">
        <f>+C11+C7+C4</f>
        <v>210271.65434906189</v>
      </c>
    </row>
    <row r="16" spans="1:3" x14ac:dyDescent="0.45">
      <c r="C16" s="202">
        <f>+C15*12</f>
        <v>2523259.8521887427</v>
      </c>
    </row>
    <row r="17" spans="3:3" x14ac:dyDescent="0.45">
      <c r="C17" s="20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48F9-E399-4E08-AF4E-BA4E3A3726D7}">
  <sheetPr filterMode="1">
    <tabColor rgb="FF92D050"/>
  </sheetPr>
  <dimension ref="A1:O279"/>
  <sheetViews>
    <sheetView zoomScaleNormal="100" workbookViewId="0">
      <selection activeCell="B12" sqref="B12"/>
    </sheetView>
  </sheetViews>
  <sheetFormatPr baseColWidth="10" defaultColWidth="11.46484375" defaultRowHeight="11.65" x14ac:dyDescent="0.35"/>
  <cols>
    <col min="1" max="1" width="11.46484375" style="173"/>
    <col min="2" max="2" width="11" style="173" bestFit="1" customWidth="1"/>
    <col min="3" max="3" width="25.59765625" style="173" bestFit="1" customWidth="1"/>
    <col min="4" max="4" width="10.73046875" style="173" customWidth="1"/>
    <col min="5" max="5" width="11.46484375" style="173" customWidth="1"/>
    <col min="6" max="6" width="12" style="173" customWidth="1"/>
    <col min="7" max="7" width="13.46484375" style="173" bestFit="1" customWidth="1"/>
    <col min="8" max="8" width="9" style="173" customWidth="1"/>
    <col min="9" max="9" width="14.265625" style="173" hidden="1" customWidth="1"/>
    <col min="10" max="10" width="14.06640625" style="173" hidden="1" customWidth="1"/>
    <col min="11" max="11" width="12.73046875" style="173" hidden="1" customWidth="1"/>
    <col min="12" max="16384" width="11.46484375" style="173"/>
  </cols>
  <sheetData>
    <row r="1" spans="1:14" s="180" customFormat="1" x14ac:dyDescent="0.45">
      <c r="A1" s="180" t="s">
        <v>259</v>
      </c>
      <c r="B1" s="180" t="s">
        <v>249</v>
      </c>
      <c r="C1" s="180" t="s">
        <v>250</v>
      </c>
      <c r="D1" s="180" t="s">
        <v>251</v>
      </c>
      <c r="E1" s="180" t="s">
        <v>252</v>
      </c>
      <c r="F1" s="180" t="s">
        <v>253</v>
      </c>
      <c r="G1" s="180" t="s">
        <v>254</v>
      </c>
      <c r="H1" s="180" t="s">
        <v>255</v>
      </c>
      <c r="I1" s="180" t="s">
        <v>256</v>
      </c>
      <c r="J1" s="180" t="s">
        <v>257</v>
      </c>
      <c r="K1" s="180" t="s">
        <v>258</v>
      </c>
      <c r="L1" s="180" t="s">
        <v>276</v>
      </c>
      <c r="M1" s="180" t="s">
        <v>277</v>
      </c>
      <c r="N1" s="180" t="s">
        <v>278</v>
      </c>
    </row>
    <row r="2" spans="1:14" ht="12" hidden="1" customHeight="1" x14ac:dyDescent="0.35">
      <c r="A2" s="182" t="s">
        <v>261</v>
      </c>
      <c r="B2" s="188">
        <v>23230000</v>
      </c>
      <c r="C2" s="173" t="s">
        <v>260</v>
      </c>
      <c r="D2" s="181">
        <v>40724</v>
      </c>
      <c r="E2" s="181">
        <v>40724</v>
      </c>
      <c r="F2" s="173">
        <v>8036</v>
      </c>
      <c r="G2" s="182">
        <v>4500</v>
      </c>
      <c r="H2" s="183">
        <v>0.1</v>
      </c>
      <c r="I2" s="182">
        <v>450</v>
      </c>
      <c r="J2" s="182">
        <v>4050</v>
      </c>
      <c r="K2" s="182">
        <v>450</v>
      </c>
      <c r="L2" s="182">
        <f>+I2</f>
        <v>450</v>
      </c>
      <c r="M2" s="182">
        <f>+L2+J2</f>
        <v>4500</v>
      </c>
      <c r="N2" s="182">
        <f>+G2-M2</f>
        <v>0</v>
      </c>
    </row>
    <row r="3" spans="1:14" ht="12" hidden="1" customHeight="1" x14ac:dyDescent="0.35">
      <c r="A3" s="173" t="s">
        <v>261</v>
      </c>
      <c r="B3" s="188">
        <v>23230000</v>
      </c>
      <c r="C3" s="195" t="s">
        <v>260</v>
      </c>
      <c r="D3" s="181">
        <v>40724</v>
      </c>
      <c r="E3" s="181">
        <v>40724</v>
      </c>
      <c r="F3" s="173">
        <v>8036</v>
      </c>
      <c r="G3" s="182">
        <v>1674.88</v>
      </c>
      <c r="H3" s="183">
        <v>0.1</v>
      </c>
      <c r="I3" s="182">
        <v>167.48800000000003</v>
      </c>
      <c r="J3" s="182">
        <v>1507.3800000000003</v>
      </c>
      <c r="K3" s="182">
        <v>167.4999999999998</v>
      </c>
      <c r="L3" s="182">
        <f t="shared" ref="L3:L66" si="0">+I3</f>
        <v>167.48800000000003</v>
      </c>
      <c r="M3" s="182">
        <f t="shared" ref="M3:M66" si="1">+L3+J3</f>
        <v>1674.8680000000004</v>
      </c>
      <c r="N3" s="182">
        <f t="shared" ref="N3:N66" si="2">+G3-M3</f>
        <v>1.1999999999716238E-2</v>
      </c>
    </row>
    <row r="4" spans="1:14" ht="12" hidden="1" customHeight="1" x14ac:dyDescent="0.35">
      <c r="A4" s="173" t="s">
        <v>261</v>
      </c>
      <c r="B4" s="188">
        <v>23230000</v>
      </c>
      <c r="C4" s="195" t="s">
        <v>260</v>
      </c>
      <c r="D4" s="181">
        <v>40724</v>
      </c>
      <c r="E4" s="181">
        <v>40724</v>
      </c>
      <c r="F4" s="173">
        <v>8036</v>
      </c>
      <c r="G4" s="182">
        <v>1843.56</v>
      </c>
      <c r="H4" s="183">
        <v>0.1</v>
      </c>
      <c r="I4" s="182">
        <v>184.35599999999999</v>
      </c>
      <c r="J4" s="182">
        <v>1659.14</v>
      </c>
      <c r="K4" s="182">
        <v>184.41999999999985</v>
      </c>
      <c r="L4" s="182">
        <f t="shared" si="0"/>
        <v>184.35599999999999</v>
      </c>
      <c r="M4" s="182">
        <f t="shared" si="1"/>
        <v>1843.4960000000001</v>
      </c>
      <c r="N4" s="182">
        <f t="shared" si="2"/>
        <v>6.3999999999850843E-2</v>
      </c>
    </row>
    <row r="5" spans="1:14" ht="12" hidden="1" customHeight="1" x14ac:dyDescent="0.35">
      <c r="A5" s="173" t="s">
        <v>261</v>
      </c>
      <c r="B5" s="188">
        <v>23230000</v>
      </c>
      <c r="C5" s="195" t="s">
        <v>260</v>
      </c>
      <c r="D5" s="181">
        <v>40724</v>
      </c>
      <c r="E5" s="181">
        <v>40724</v>
      </c>
      <c r="F5" s="173">
        <v>8036</v>
      </c>
      <c r="G5" s="182">
        <v>600</v>
      </c>
      <c r="H5" s="183">
        <v>0.1</v>
      </c>
      <c r="I5" s="182">
        <v>60</v>
      </c>
      <c r="J5" s="182">
        <v>540</v>
      </c>
      <c r="K5" s="182">
        <v>60</v>
      </c>
      <c r="L5" s="182">
        <f t="shared" si="0"/>
        <v>60</v>
      </c>
      <c r="M5" s="182">
        <f t="shared" si="1"/>
        <v>600</v>
      </c>
      <c r="N5" s="182">
        <f t="shared" si="2"/>
        <v>0</v>
      </c>
    </row>
    <row r="6" spans="1:14" ht="12" hidden="1" customHeight="1" x14ac:dyDescent="0.35">
      <c r="A6" s="173" t="s">
        <v>261</v>
      </c>
      <c r="B6" s="188">
        <v>23230000</v>
      </c>
      <c r="C6" s="195" t="s">
        <v>260</v>
      </c>
      <c r="D6" s="181">
        <v>40724</v>
      </c>
      <c r="E6" s="181">
        <v>40724</v>
      </c>
      <c r="F6" s="173">
        <v>8036</v>
      </c>
      <c r="G6" s="182">
        <v>4296</v>
      </c>
      <c r="H6" s="183">
        <v>0.1</v>
      </c>
      <c r="I6" s="182">
        <v>429.6</v>
      </c>
      <c r="J6" s="182">
        <v>3830.5999999999995</v>
      </c>
      <c r="K6" s="182">
        <v>465.40000000000043</v>
      </c>
      <c r="L6" s="182">
        <f t="shared" si="0"/>
        <v>429.6</v>
      </c>
      <c r="M6" s="182">
        <f t="shared" si="1"/>
        <v>4260.2</v>
      </c>
      <c r="N6" s="182">
        <f t="shared" si="2"/>
        <v>35.800000000000182</v>
      </c>
    </row>
    <row r="7" spans="1:14" ht="12" hidden="1" customHeight="1" x14ac:dyDescent="0.35">
      <c r="A7" s="173" t="s">
        <v>261</v>
      </c>
      <c r="B7" s="188">
        <v>23230000</v>
      </c>
      <c r="C7" s="195" t="s">
        <v>260</v>
      </c>
      <c r="D7" s="181">
        <v>40724</v>
      </c>
      <c r="E7" s="181">
        <v>40724</v>
      </c>
      <c r="F7" s="173">
        <v>8036</v>
      </c>
      <c r="G7" s="182">
        <v>3000</v>
      </c>
      <c r="H7" s="183">
        <v>0.1</v>
      </c>
      <c r="I7" s="182">
        <v>300</v>
      </c>
      <c r="J7" s="182">
        <v>2600</v>
      </c>
      <c r="K7" s="182">
        <v>400</v>
      </c>
      <c r="L7" s="182">
        <f t="shared" si="0"/>
        <v>300</v>
      </c>
      <c r="M7" s="182">
        <f t="shared" si="1"/>
        <v>2900</v>
      </c>
      <c r="N7" s="182">
        <f t="shared" si="2"/>
        <v>100</v>
      </c>
    </row>
    <row r="8" spans="1:14" ht="12" hidden="1" customHeight="1" x14ac:dyDescent="0.35">
      <c r="A8" s="173" t="s">
        <v>261</v>
      </c>
      <c r="B8" s="188">
        <v>23230000</v>
      </c>
      <c r="C8" s="195" t="s">
        <v>260</v>
      </c>
      <c r="D8" s="181">
        <v>40724</v>
      </c>
      <c r="E8" s="181">
        <v>40724</v>
      </c>
      <c r="F8" s="173">
        <v>8036</v>
      </c>
      <c r="G8" s="182">
        <v>25256</v>
      </c>
      <c r="H8" s="183">
        <v>0.1</v>
      </c>
      <c r="I8" s="182">
        <v>2525.6000000000004</v>
      </c>
      <c r="J8" s="182">
        <v>20836.200000000004</v>
      </c>
      <c r="K8" s="182">
        <v>4419.7999999999975</v>
      </c>
      <c r="L8" s="182">
        <f t="shared" si="0"/>
        <v>2525.6000000000004</v>
      </c>
      <c r="M8" s="182">
        <f t="shared" si="1"/>
        <v>23361.800000000003</v>
      </c>
      <c r="N8" s="182">
        <f t="shared" si="2"/>
        <v>1894.1999999999971</v>
      </c>
    </row>
    <row r="9" spans="1:14" ht="12" hidden="1" customHeight="1" x14ac:dyDescent="0.35">
      <c r="A9" s="173" t="s">
        <v>261</v>
      </c>
      <c r="B9" s="188">
        <v>23230000</v>
      </c>
      <c r="C9" s="195" t="s">
        <v>260</v>
      </c>
      <c r="D9" s="181">
        <v>40724</v>
      </c>
      <c r="E9" s="181">
        <v>40724</v>
      </c>
      <c r="F9" s="173">
        <v>8036</v>
      </c>
      <c r="G9" s="182">
        <v>16999</v>
      </c>
      <c r="H9" s="183">
        <v>0.1</v>
      </c>
      <c r="I9" s="182">
        <v>1699.9</v>
      </c>
      <c r="J9" s="182">
        <v>13882.519999999999</v>
      </c>
      <c r="K9" s="182">
        <v>3116.4800000000009</v>
      </c>
      <c r="L9" s="182">
        <f t="shared" si="0"/>
        <v>1699.9</v>
      </c>
      <c r="M9" s="182">
        <f t="shared" si="1"/>
        <v>15582.419999999998</v>
      </c>
      <c r="N9" s="182">
        <f t="shared" si="2"/>
        <v>1416.5800000000017</v>
      </c>
    </row>
    <row r="10" spans="1:14" ht="12" hidden="1" customHeight="1" x14ac:dyDescent="0.35">
      <c r="A10" s="173" t="s">
        <v>261</v>
      </c>
      <c r="B10" s="188">
        <v>23230000</v>
      </c>
      <c r="C10" s="195" t="s">
        <v>260</v>
      </c>
      <c r="D10" s="181">
        <v>40724</v>
      </c>
      <c r="E10" s="181">
        <v>40724</v>
      </c>
      <c r="F10" s="173">
        <v>8036</v>
      </c>
      <c r="G10" s="182">
        <v>7809</v>
      </c>
      <c r="H10" s="183">
        <v>0.1</v>
      </c>
      <c r="I10" s="182">
        <v>780.90000000000009</v>
      </c>
      <c r="J10" s="182">
        <v>6377.35</v>
      </c>
      <c r="K10" s="182">
        <v>1431.6499999999992</v>
      </c>
      <c r="L10" s="182">
        <f t="shared" si="0"/>
        <v>780.90000000000009</v>
      </c>
      <c r="M10" s="182">
        <f t="shared" si="1"/>
        <v>7158.25</v>
      </c>
      <c r="N10" s="182">
        <f t="shared" si="2"/>
        <v>650.75</v>
      </c>
    </row>
    <row r="11" spans="1:14" ht="12" hidden="1" customHeight="1" x14ac:dyDescent="0.35">
      <c r="A11" s="173" t="s">
        <v>261</v>
      </c>
      <c r="B11" s="188">
        <v>23230000</v>
      </c>
      <c r="C11" s="195" t="s">
        <v>260</v>
      </c>
      <c r="D11" s="181">
        <v>40724</v>
      </c>
      <c r="E11" s="181">
        <v>40724</v>
      </c>
      <c r="F11" s="173">
        <v>8036</v>
      </c>
      <c r="G11" s="182">
        <v>23785</v>
      </c>
      <c r="H11" s="183">
        <v>0.1</v>
      </c>
      <c r="I11" s="182">
        <v>2378.5</v>
      </c>
      <c r="J11" s="182">
        <v>19424.419999999998</v>
      </c>
      <c r="K11" s="182">
        <v>4360.5800000000017</v>
      </c>
      <c r="L11" s="182">
        <f t="shared" si="0"/>
        <v>2378.5</v>
      </c>
      <c r="M11" s="182">
        <f t="shared" si="1"/>
        <v>21802.92</v>
      </c>
      <c r="N11" s="182">
        <f t="shared" si="2"/>
        <v>1982.0800000000017</v>
      </c>
    </row>
    <row r="12" spans="1:14" ht="12" hidden="1" customHeight="1" x14ac:dyDescent="0.35">
      <c r="A12" s="173" t="s">
        <v>261</v>
      </c>
      <c r="B12" s="188">
        <v>23230000</v>
      </c>
      <c r="C12" s="195" t="s">
        <v>260</v>
      </c>
      <c r="D12" s="181">
        <v>40724</v>
      </c>
      <c r="E12" s="181">
        <v>40724</v>
      </c>
      <c r="F12" s="173">
        <v>8036</v>
      </c>
      <c r="G12" s="182">
        <v>3270</v>
      </c>
      <c r="H12" s="183">
        <v>0.1</v>
      </c>
      <c r="I12" s="182">
        <v>327</v>
      </c>
      <c r="J12" s="182">
        <v>2670.5</v>
      </c>
      <c r="K12" s="182">
        <v>599.5</v>
      </c>
      <c r="L12" s="182">
        <f t="shared" si="0"/>
        <v>327</v>
      </c>
      <c r="M12" s="182">
        <f t="shared" si="1"/>
        <v>2997.5</v>
      </c>
      <c r="N12" s="182">
        <f t="shared" si="2"/>
        <v>272.5</v>
      </c>
    </row>
    <row r="13" spans="1:14" ht="12" hidden="1" customHeight="1" x14ac:dyDescent="0.35">
      <c r="A13" s="173" t="s">
        <v>261</v>
      </c>
      <c r="B13" s="188">
        <v>23230000</v>
      </c>
      <c r="C13" s="195" t="s">
        <v>260</v>
      </c>
      <c r="D13" s="181">
        <v>40724</v>
      </c>
      <c r="E13" s="181">
        <v>40724</v>
      </c>
      <c r="F13" s="173">
        <v>8036</v>
      </c>
      <c r="G13" s="182">
        <v>4969</v>
      </c>
      <c r="H13" s="183">
        <v>0.1</v>
      </c>
      <c r="I13" s="182">
        <v>496.90000000000003</v>
      </c>
      <c r="J13" s="182">
        <v>4058.0200000000004</v>
      </c>
      <c r="K13" s="182">
        <v>910.97999999999956</v>
      </c>
      <c r="L13" s="182">
        <f t="shared" si="0"/>
        <v>496.90000000000003</v>
      </c>
      <c r="M13" s="182">
        <f t="shared" si="1"/>
        <v>4554.92</v>
      </c>
      <c r="N13" s="182">
        <f t="shared" si="2"/>
        <v>414.07999999999993</v>
      </c>
    </row>
    <row r="14" spans="1:14" ht="12" hidden="1" customHeight="1" x14ac:dyDescent="0.35">
      <c r="A14" s="173" t="s">
        <v>261</v>
      </c>
      <c r="B14" s="188">
        <v>23230000</v>
      </c>
      <c r="C14" s="195" t="s">
        <v>260</v>
      </c>
      <c r="D14" s="181">
        <v>40725</v>
      </c>
      <c r="E14" s="181">
        <v>41090</v>
      </c>
      <c r="F14" s="173">
        <v>8038</v>
      </c>
      <c r="G14" s="182">
        <v>17686.8</v>
      </c>
      <c r="H14" s="183">
        <v>0.1</v>
      </c>
      <c r="I14" s="182">
        <v>1768.68</v>
      </c>
      <c r="J14" s="182">
        <v>14149.44</v>
      </c>
      <c r="K14" s="182">
        <v>3537.3599999999988</v>
      </c>
      <c r="L14" s="182">
        <f t="shared" si="0"/>
        <v>1768.68</v>
      </c>
      <c r="M14" s="182">
        <f t="shared" si="1"/>
        <v>15918.12</v>
      </c>
      <c r="N14" s="182">
        <f t="shared" si="2"/>
        <v>1768.6799999999985</v>
      </c>
    </row>
    <row r="15" spans="1:14" ht="12" hidden="1" customHeight="1" x14ac:dyDescent="0.35">
      <c r="A15" s="173" t="s">
        <v>261</v>
      </c>
      <c r="B15" s="188">
        <v>23230000</v>
      </c>
      <c r="C15" s="195" t="s">
        <v>260</v>
      </c>
      <c r="D15" s="181">
        <v>40725</v>
      </c>
      <c r="E15" s="181">
        <v>41090</v>
      </c>
      <c r="F15" s="173">
        <v>8038</v>
      </c>
      <c r="G15" s="182">
        <v>27333.13</v>
      </c>
      <c r="H15" s="183">
        <v>0.1</v>
      </c>
      <c r="I15" s="182">
        <v>2733.3130000000001</v>
      </c>
      <c r="J15" s="182">
        <v>21866.495000000003</v>
      </c>
      <c r="K15" s="182">
        <v>5466.6350000000002</v>
      </c>
      <c r="L15" s="182">
        <f t="shared" si="0"/>
        <v>2733.3130000000001</v>
      </c>
      <c r="M15" s="182">
        <f t="shared" si="1"/>
        <v>24599.808000000005</v>
      </c>
      <c r="N15" s="182">
        <f t="shared" si="2"/>
        <v>2733.3219999999965</v>
      </c>
    </row>
    <row r="16" spans="1:14" ht="12" hidden="1" customHeight="1" x14ac:dyDescent="0.35">
      <c r="A16" s="173" t="s">
        <v>261</v>
      </c>
      <c r="B16" s="188">
        <v>23230000</v>
      </c>
      <c r="C16" s="195" t="s">
        <v>260</v>
      </c>
      <c r="D16" s="181">
        <v>40725</v>
      </c>
      <c r="E16" s="181">
        <v>41090</v>
      </c>
      <c r="F16" s="173">
        <v>8038</v>
      </c>
      <c r="G16" s="182">
        <v>10875</v>
      </c>
      <c r="H16" s="183">
        <v>0.1</v>
      </c>
      <c r="I16" s="182">
        <v>1087.5</v>
      </c>
      <c r="J16" s="182">
        <v>8700</v>
      </c>
      <c r="K16" s="182">
        <v>2175</v>
      </c>
      <c r="L16" s="182">
        <f t="shared" si="0"/>
        <v>1087.5</v>
      </c>
      <c r="M16" s="182">
        <f t="shared" si="1"/>
        <v>9787.5</v>
      </c>
      <c r="N16" s="182">
        <f t="shared" si="2"/>
        <v>1087.5</v>
      </c>
    </row>
    <row r="17" spans="1:14" ht="12" hidden="1" customHeight="1" x14ac:dyDescent="0.35">
      <c r="A17" s="173" t="s">
        <v>261</v>
      </c>
      <c r="B17" s="188">
        <v>23230000</v>
      </c>
      <c r="C17" s="195" t="s">
        <v>260</v>
      </c>
      <c r="D17" s="181">
        <v>40725</v>
      </c>
      <c r="E17" s="181">
        <v>41090</v>
      </c>
      <c r="F17" s="173">
        <v>8038</v>
      </c>
      <c r="G17" s="182">
        <v>3297</v>
      </c>
      <c r="H17" s="183">
        <v>0.1</v>
      </c>
      <c r="I17" s="182">
        <v>329.70000000000005</v>
      </c>
      <c r="J17" s="182">
        <v>2637.6000000000004</v>
      </c>
      <c r="K17" s="182">
        <v>659.39999999999986</v>
      </c>
      <c r="L17" s="182">
        <f t="shared" si="0"/>
        <v>329.70000000000005</v>
      </c>
      <c r="M17" s="182">
        <f t="shared" si="1"/>
        <v>2967.3</v>
      </c>
      <c r="N17" s="182">
        <f t="shared" si="2"/>
        <v>329.69999999999982</v>
      </c>
    </row>
    <row r="18" spans="1:14" ht="12" hidden="1" customHeight="1" x14ac:dyDescent="0.35">
      <c r="A18" s="173" t="s">
        <v>261</v>
      </c>
      <c r="B18" s="188">
        <v>23230000</v>
      </c>
      <c r="C18" s="173" t="s">
        <v>260</v>
      </c>
      <c r="D18" s="181">
        <v>40725</v>
      </c>
      <c r="E18" s="181">
        <v>41090</v>
      </c>
      <c r="F18" s="173">
        <v>8038</v>
      </c>
      <c r="G18" s="182">
        <v>22160</v>
      </c>
      <c r="H18" s="183">
        <v>0.1</v>
      </c>
      <c r="I18" s="182">
        <v>2216</v>
      </c>
      <c r="J18" s="182">
        <v>17728</v>
      </c>
      <c r="K18" s="182">
        <v>4432</v>
      </c>
      <c r="L18" s="182">
        <f t="shared" si="0"/>
        <v>2216</v>
      </c>
      <c r="M18" s="182">
        <f t="shared" si="1"/>
        <v>19944</v>
      </c>
      <c r="N18" s="182">
        <f t="shared" si="2"/>
        <v>2216</v>
      </c>
    </row>
    <row r="19" spans="1:14" ht="12" hidden="1" customHeight="1" x14ac:dyDescent="0.35">
      <c r="A19" s="173" t="s">
        <v>261</v>
      </c>
      <c r="B19" s="188">
        <v>23230000</v>
      </c>
      <c r="C19" s="173" t="s">
        <v>260</v>
      </c>
      <c r="D19" s="181">
        <v>40725</v>
      </c>
      <c r="E19" s="181">
        <v>41090</v>
      </c>
      <c r="F19" s="173">
        <v>8038</v>
      </c>
      <c r="G19" s="182">
        <v>20388.099999999999</v>
      </c>
      <c r="H19" s="183">
        <v>0.1</v>
      </c>
      <c r="I19" s="182">
        <v>2038.81</v>
      </c>
      <c r="J19" s="182">
        <v>16310.479999999998</v>
      </c>
      <c r="K19" s="182">
        <v>4077.6200000000003</v>
      </c>
      <c r="L19" s="182">
        <f t="shared" si="0"/>
        <v>2038.81</v>
      </c>
      <c r="M19" s="182">
        <f t="shared" si="1"/>
        <v>18349.289999999997</v>
      </c>
      <c r="N19" s="182">
        <f t="shared" si="2"/>
        <v>2038.8100000000013</v>
      </c>
    </row>
    <row r="20" spans="1:14" ht="12" hidden="1" customHeight="1" x14ac:dyDescent="0.35">
      <c r="A20" s="173" t="s">
        <v>261</v>
      </c>
      <c r="B20" s="188">
        <v>23230000</v>
      </c>
      <c r="C20" s="173" t="s">
        <v>260</v>
      </c>
      <c r="D20" s="181">
        <v>40725</v>
      </c>
      <c r="E20" s="181">
        <v>41090</v>
      </c>
      <c r="F20" s="173">
        <v>8038</v>
      </c>
      <c r="G20" s="182">
        <v>1100</v>
      </c>
      <c r="H20" s="183">
        <v>0.1</v>
      </c>
      <c r="I20" s="182">
        <v>110</v>
      </c>
      <c r="J20" s="182">
        <v>880</v>
      </c>
      <c r="K20" s="182">
        <v>220</v>
      </c>
      <c r="L20" s="182">
        <f t="shared" si="0"/>
        <v>110</v>
      </c>
      <c r="M20" s="182">
        <f t="shared" si="1"/>
        <v>990</v>
      </c>
      <c r="N20" s="182">
        <f t="shared" si="2"/>
        <v>110</v>
      </c>
    </row>
    <row r="21" spans="1:14" ht="12" hidden="1" customHeight="1" x14ac:dyDescent="0.35">
      <c r="A21" s="173" t="s">
        <v>261</v>
      </c>
      <c r="B21" s="188">
        <v>23230000</v>
      </c>
      <c r="C21" s="173" t="s">
        <v>260</v>
      </c>
      <c r="D21" s="181">
        <v>40725</v>
      </c>
      <c r="E21" s="181">
        <v>41090</v>
      </c>
      <c r="F21" s="173">
        <v>8038</v>
      </c>
      <c r="G21" s="182">
        <v>3926</v>
      </c>
      <c r="H21" s="183">
        <v>0.1</v>
      </c>
      <c r="I21" s="182">
        <v>392.6</v>
      </c>
      <c r="J21" s="182">
        <v>3140.7999999999997</v>
      </c>
      <c r="K21" s="182">
        <v>785.20000000000016</v>
      </c>
      <c r="L21" s="182">
        <f t="shared" si="0"/>
        <v>392.6</v>
      </c>
      <c r="M21" s="182">
        <f t="shared" si="1"/>
        <v>3533.3999999999996</v>
      </c>
      <c r="N21" s="182">
        <f t="shared" si="2"/>
        <v>392.60000000000036</v>
      </c>
    </row>
    <row r="22" spans="1:14" ht="12" hidden="1" customHeight="1" x14ac:dyDescent="0.35">
      <c r="A22" s="173" t="s">
        <v>261</v>
      </c>
      <c r="B22" s="188">
        <v>23230000</v>
      </c>
      <c r="C22" s="173" t="s">
        <v>260</v>
      </c>
      <c r="D22" s="181">
        <v>40728</v>
      </c>
      <c r="E22" s="181">
        <v>41090</v>
      </c>
      <c r="F22" s="173">
        <v>8038</v>
      </c>
      <c r="G22" s="182">
        <v>14421</v>
      </c>
      <c r="H22" s="183">
        <v>0.1</v>
      </c>
      <c r="I22" s="182">
        <v>1442.1000000000001</v>
      </c>
      <c r="J22" s="182">
        <v>11536.800000000001</v>
      </c>
      <c r="K22" s="182">
        <v>2884.1999999999989</v>
      </c>
      <c r="L22" s="182">
        <f t="shared" si="0"/>
        <v>1442.1000000000001</v>
      </c>
      <c r="M22" s="182">
        <f t="shared" si="1"/>
        <v>12978.900000000001</v>
      </c>
      <c r="N22" s="182">
        <f t="shared" si="2"/>
        <v>1442.0999999999985</v>
      </c>
    </row>
    <row r="23" spans="1:14" ht="12" hidden="1" customHeight="1" x14ac:dyDescent="0.35">
      <c r="A23" s="173" t="s">
        <v>261</v>
      </c>
      <c r="B23" s="188">
        <v>23230000</v>
      </c>
      <c r="C23" s="173" t="s">
        <v>260</v>
      </c>
      <c r="D23" s="181">
        <v>40731</v>
      </c>
      <c r="E23" s="181">
        <v>41090</v>
      </c>
      <c r="F23" s="173">
        <v>8038</v>
      </c>
      <c r="G23" s="182">
        <v>6500</v>
      </c>
      <c r="H23" s="183">
        <v>0.1</v>
      </c>
      <c r="I23" s="182">
        <v>650</v>
      </c>
      <c r="J23" s="182">
        <v>5200</v>
      </c>
      <c r="K23" s="182">
        <v>1300</v>
      </c>
      <c r="L23" s="182">
        <f t="shared" si="0"/>
        <v>650</v>
      </c>
      <c r="M23" s="182">
        <f t="shared" si="1"/>
        <v>5850</v>
      </c>
      <c r="N23" s="182">
        <f t="shared" si="2"/>
        <v>650</v>
      </c>
    </row>
    <row r="24" spans="1:14" ht="12" hidden="1" customHeight="1" x14ac:dyDescent="0.35">
      <c r="A24" s="173" t="s">
        <v>261</v>
      </c>
      <c r="B24" s="188">
        <v>23230000</v>
      </c>
      <c r="C24" s="173" t="s">
        <v>260</v>
      </c>
      <c r="D24" s="181">
        <v>40736</v>
      </c>
      <c r="E24" s="181">
        <v>41090</v>
      </c>
      <c r="F24" s="173">
        <v>8038</v>
      </c>
      <c r="G24" s="182">
        <v>8895</v>
      </c>
      <c r="H24" s="183">
        <v>0.1</v>
      </c>
      <c r="I24" s="182">
        <v>889.5</v>
      </c>
      <c r="J24" s="182">
        <v>7116</v>
      </c>
      <c r="K24" s="182">
        <v>1779</v>
      </c>
      <c r="L24" s="182">
        <f t="shared" si="0"/>
        <v>889.5</v>
      </c>
      <c r="M24" s="182">
        <f t="shared" si="1"/>
        <v>8005.5</v>
      </c>
      <c r="N24" s="182">
        <f t="shared" si="2"/>
        <v>889.5</v>
      </c>
    </row>
    <row r="25" spans="1:14" ht="12" hidden="1" customHeight="1" x14ac:dyDescent="0.35">
      <c r="A25" s="173" t="s">
        <v>261</v>
      </c>
      <c r="B25" s="188">
        <v>23230000</v>
      </c>
      <c r="C25" s="173" t="s">
        <v>260</v>
      </c>
      <c r="D25" s="181">
        <v>40738</v>
      </c>
      <c r="E25" s="181">
        <v>41090</v>
      </c>
      <c r="F25" s="173">
        <v>8038</v>
      </c>
      <c r="G25" s="182">
        <v>7909.5</v>
      </c>
      <c r="H25" s="183">
        <v>0.1</v>
      </c>
      <c r="I25" s="182">
        <v>790.95</v>
      </c>
      <c r="J25" s="182">
        <v>6327.5999999999995</v>
      </c>
      <c r="K25" s="182">
        <v>1581.9000000000003</v>
      </c>
      <c r="L25" s="182">
        <f t="shared" si="0"/>
        <v>790.95</v>
      </c>
      <c r="M25" s="182">
        <f t="shared" si="1"/>
        <v>7118.5499999999993</v>
      </c>
      <c r="N25" s="182">
        <f t="shared" si="2"/>
        <v>790.95000000000073</v>
      </c>
    </row>
    <row r="26" spans="1:14" ht="12" hidden="1" customHeight="1" x14ac:dyDescent="0.35">
      <c r="A26" s="173" t="s">
        <v>261</v>
      </c>
      <c r="B26" s="188">
        <v>23230000</v>
      </c>
      <c r="C26" s="173" t="s">
        <v>260</v>
      </c>
      <c r="D26" s="181">
        <v>40752</v>
      </c>
      <c r="E26" s="181">
        <v>41090</v>
      </c>
      <c r="F26" s="173">
        <v>8038</v>
      </c>
      <c r="G26" s="182">
        <v>21720</v>
      </c>
      <c r="H26" s="183">
        <v>0.1</v>
      </c>
      <c r="I26" s="182">
        <v>2172</v>
      </c>
      <c r="J26" s="182">
        <v>17376</v>
      </c>
      <c r="K26" s="182">
        <v>4344</v>
      </c>
      <c r="L26" s="182">
        <f t="shared" si="0"/>
        <v>2172</v>
      </c>
      <c r="M26" s="182">
        <f t="shared" si="1"/>
        <v>19548</v>
      </c>
      <c r="N26" s="182">
        <f t="shared" si="2"/>
        <v>2172</v>
      </c>
    </row>
    <row r="27" spans="1:14" ht="12" hidden="1" customHeight="1" x14ac:dyDescent="0.35">
      <c r="A27" s="173" t="s">
        <v>261</v>
      </c>
      <c r="B27" s="188">
        <v>23230000</v>
      </c>
      <c r="C27" s="173" t="s">
        <v>260</v>
      </c>
      <c r="D27" s="181">
        <v>40752</v>
      </c>
      <c r="E27" s="181">
        <v>41090</v>
      </c>
      <c r="F27" s="173">
        <v>8038</v>
      </c>
      <c r="G27" s="182">
        <v>17787</v>
      </c>
      <c r="H27" s="183">
        <v>0.1</v>
      </c>
      <c r="I27" s="182">
        <v>1778.7</v>
      </c>
      <c r="J27" s="182">
        <v>14229.600000000002</v>
      </c>
      <c r="K27" s="182">
        <v>3557.3999999999987</v>
      </c>
      <c r="L27" s="182">
        <f t="shared" si="0"/>
        <v>1778.7</v>
      </c>
      <c r="M27" s="182">
        <f t="shared" si="1"/>
        <v>16008.300000000003</v>
      </c>
      <c r="N27" s="182">
        <f t="shared" si="2"/>
        <v>1778.6999999999971</v>
      </c>
    </row>
    <row r="28" spans="1:14" ht="12" hidden="1" customHeight="1" x14ac:dyDescent="0.35">
      <c r="A28" s="173" t="s">
        <v>261</v>
      </c>
      <c r="B28" s="188">
        <v>23230000</v>
      </c>
      <c r="C28" s="173" t="s">
        <v>260</v>
      </c>
      <c r="D28" s="181">
        <v>40755</v>
      </c>
      <c r="E28" s="181">
        <v>41090</v>
      </c>
      <c r="F28" s="173">
        <v>8038</v>
      </c>
      <c r="G28" s="182">
        <v>88400</v>
      </c>
      <c r="H28" s="183">
        <v>0.1</v>
      </c>
      <c r="I28" s="182">
        <v>8840</v>
      </c>
      <c r="J28" s="182">
        <v>70720</v>
      </c>
      <c r="K28" s="182">
        <v>17680</v>
      </c>
      <c r="L28" s="182">
        <f t="shared" si="0"/>
        <v>8840</v>
      </c>
      <c r="M28" s="182">
        <f t="shared" si="1"/>
        <v>79560</v>
      </c>
      <c r="N28" s="182">
        <f t="shared" si="2"/>
        <v>8840</v>
      </c>
    </row>
    <row r="29" spans="1:14" ht="12" hidden="1" customHeight="1" x14ac:dyDescent="0.35">
      <c r="A29" s="173" t="s">
        <v>261</v>
      </c>
      <c r="B29" s="188">
        <v>23230000</v>
      </c>
      <c r="C29" s="173" t="s">
        <v>260</v>
      </c>
      <c r="D29" s="181">
        <v>40786</v>
      </c>
      <c r="E29" s="181">
        <v>41090</v>
      </c>
      <c r="F29" s="173">
        <v>8038</v>
      </c>
      <c r="G29" s="182">
        <v>47600</v>
      </c>
      <c r="H29" s="183">
        <v>0.1</v>
      </c>
      <c r="I29" s="182">
        <v>4760</v>
      </c>
      <c r="J29" s="182">
        <v>37683.33</v>
      </c>
      <c r="K29" s="182">
        <v>9916.6699999999983</v>
      </c>
      <c r="L29" s="182">
        <f t="shared" si="0"/>
        <v>4760</v>
      </c>
      <c r="M29" s="182">
        <f t="shared" si="1"/>
        <v>42443.33</v>
      </c>
      <c r="N29" s="182">
        <f t="shared" si="2"/>
        <v>5156.6699999999983</v>
      </c>
    </row>
    <row r="30" spans="1:14" ht="12" hidden="1" customHeight="1" x14ac:dyDescent="0.35">
      <c r="A30" s="173" t="s">
        <v>261</v>
      </c>
      <c r="B30" s="188">
        <v>23230000</v>
      </c>
      <c r="C30" s="173" t="s">
        <v>260</v>
      </c>
      <c r="D30" s="181">
        <v>40786</v>
      </c>
      <c r="E30" s="181">
        <v>41090</v>
      </c>
      <c r="F30" s="173">
        <v>8038</v>
      </c>
      <c r="G30" s="182">
        <v>20496</v>
      </c>
      <c r="H30" s="183">
        <v>0.1</v>
      </c>
      <c r="I30" s="182">
        <v>2049.6</v>
      </c>
      <c r="J30" s="182">
        <v>16225.990000000002</v>
      </c>
      <c r="K30" s="182">
        <v>4270.0099999999984</v>
      </c>
      <c r="L30" s="182">
        <f t="shared" si="0"/>
        <v>2049.6</v>
      </c>
      <c r="M30" s="182">
        <f t="shared" si="1"/>
        <v>18275.59</v>
      </c>
      <c r="N30" s="182">
        <f t="shared" si="2"/>
        <v>2220.41</v>
      </c>
    </row>
    <row r="31" spans="1:14" ht="12" hidden="1" customHeight="1" x14ac:dyDescent="0.35">
      <c r="A31" s="173" t="s">
        <v>261</v>
      </c>
      <c r="B31" s="188">
        <v>23230000</v>
      </c>
      <c r="C31" s="173" t="s">
        <v>260</v>
      </c>
      <c r="D31" s="181">
        <v>40938</v>
      </c>
      <c r="E31" s="181">
        <v>41090</v>
      </c>
      <c r="F31" s="173">
        <v>8038</v>
      </c>
      <c r="G31" s="182">
        <v>9687.5300000000007</v>
      </c>
      <c r="H31" s="183">
        <v>0.1</v>
      </c>
      <c r="I31" s="182">
        <v>968.75300000000016</v>
      </c>
      <c r="J31" s="182">
        <v>7265.635000000002</v>
      </c>
      <c r="K31" s="182">
        <v>2421.8949999999991</v>
      </c>
      <c r="L31" s="182">
        <f t="shared" si="0"/>
        <v>968.75300000000016</v>
      </c>
      <c r="M31" s="182">
        <f t="shared" si="1"/>
        <v>8234.3880000000026</v>
      </c>
      <c r="N31" s="182">
        <f t="shared" si="2"/>
        <v>1453.141999999998</v>
      </c>
    </row>
    <row r="32" spans="1:14" ht="12" hidden="1" customHeight="1" x14ac:dyDescent="0.35">
      <c r="A32" s="173" t="s">
        <v>261</v>
      </c>
      <c r="B32" s="188">
        <v>23230000</v>
      </c>
      <c r="C32" s="173" t="s">
        <v>260</v>
      </c>
      <c r="D32" s="181">
        <v>41090</v>
      </c>
      <c r="E32" s="181">
        <v>41090</v>
      </c>
      <c r="F32" s="173">
        <v>8038</v>
      </c>
      <c r="G32" s="182">
        <v>82900</v>
      </c>
      <c r="H32" s="183">
        <v>0.1</v>
      </c>
      <c r="I32" s="182">
        <v>8290</v>
      </c>
      <c r="J32" s="182">
        <v>58720.83</v>
      </c>
      <c r="K32" s="182">
        <v>24179.17</v>
      </c>
      <c r="L32" s="182">
        <f t="shared" si="0"/>
        <v>8290</v>
      </c>
      <c r="M32" s="182">
        <f t="shared" si="1"/>
        <v>67010.83</v>
      </c>
      <c r="N32" s="182">
        <f t="shared" si="2"/>
        <v>15889.169999999998</v>
      </c>
    </row>
    <row r="33" spans="1:14" ht="12" hidden="1" customHeight="1" x14ac:dyDescent="0.35">
      <c r="A33" s="173" t="s">
        <v>261</v>
      </c>
      <c r="B33" s="188">
        <v>23230000</v>
      </c>
      <c r="C33" s="173" t="s">
        <v>260</v>
      </c>
      <c r="D33" s="181">
        <v>41309</v>
      </c>
      <c r="E33" s="181">
        <v>41455</v>
      </c>
      <c r="F33" s="173">
        <v>8038</v>
      </c>
      <c r="G33" s="182">
        <v>60000</v>
      </c>
      <c r="H33" s="183">
        <v>0.1</v>
      </c>
      <c r="I33" s="182">
        <v>6000</v>
      </c>
      <c r="J33" s="182">
        <v>38500</v>
      </c>
      <c r="K33" s="182">
        <v>21500</v>
      </c>
      <c r="L33" s="182">
        <f t="shared" si="0"/>
        <v>6000</v>
      </c>
      <c r="M33" s="182">
        <f t="shared" si="1"/>
        <v>44500</v>
      </c>
      <c r="N33" s="182">
        <f t="shared" si="2"/>
        <v>15500</v>
      </c>
    </row>
    <row r="34" spans="1:14" ht="12" hidden="1" customHeight="1" x14ac:dyDescent="0.35">
      <c r="A34" s="173" t="s">
        <v>261</v>
      </c>
      <c r="B34" s="188">
        <v>23251000</v>
      </c>
      <c r="C34" s="173" t="s">
        <v>262</v>
      </c>
      <c r="D34" s="181">
        <v>40724</v>
      </c>
      <c r="E34" s="181">
        <v>40724</v>
      </c>
      <c r="F34" s="173">
        <v>8036</v>
      </c>
      <c r="G34" s="182">
        <v>1000</v>
      </c>
      <c r="H34" s="183">
        <v>0.05</v>
      </c>
      <c r="I34" s="182">
        <v>50</v>
      </c>
      <c r="J34" s="182">
        <v>445.85</v>
      </c>
      <c r="K34" s="182">
        <v>554.15</v>
      </c>
      <c r="L34" s="182">
        <f t="shared" si="0"/>
        <v>50</v>
      </c>
      <c r="M34" s="182">
        <f t="shared" si="1"/>
        <v>495.85</v>
      </c>
      <c r="N34" s="182">
        <f t="shared" si="2"/>
        <v>504.15</v>
      </c>
    </row>
    <row r="35" spans="1:14" ht="12" hidden="1" customHeight="1" x14ac:dyDescent="0.35">
      <c r="A35" s="173" t="s">
        <v>261</v>
      </c>
      <c r="B35" s="188">
        <v>23251000</v>
      </c>
      <c r="C35" s="173" t="s">
        <v>262</v>
      </c>
      <c r="D35" s="181">
        <v>40724</v>
      </c>
      <c r="E35" s="181">
        <v>40724</v>
      </c>
      <c r="F35" s="173">
        <v>8036</v>
      </c>
      <c r="G35" s="182">
        <v>98042.53</v>
      </c>
      <c r="H35" s="183">
        <v>0.05</v>
      </c>
      <c r="I35" s="182">
        <v>4902.1265000000003</v>
      </c>
      <c r="J35" s="182">
        <v>43710.602499999994</v>
      </c>
      <c r="K35" s="182">
        <v>54331.927500000005</v>
      </c>
      <c r="L35" s="182">
        <f t="shared" si="0"/>
        <v>4902.1265000000003</v>
      </c>
      <c r="M35" s="182">
        <f t="shared" si="1"/>
        <v>48612.728999999992</v>
      </c>
      <c r="N35" s="182">
        <f t="shared" si="2"/>
        <v>49429.801000000007</v>
      </c>
    </row>
    <row r="36" spans="1:14" ht="12" hidden="1" customHeight="1" x14ac:dyDescent="0.35">
      <c r="A36" s="173" t="s">
        <v>261</v>
      </c>
      <c r="B36" s="188">
        <v>23251000</v>
      </c>
      <c r="C36" s="173" t="s">
        <v>262</v>
      </c>
      <c r="D36" s="181">
        <v>40724</v>
      </c>
      <c r="E36" s="181">
        <v>40724</v>
      </c>
      <c r="F36" s="173">
        <v>8036</v>
      </c>
      <c r="G36" s="182">
        <v>35312.5</v>
      </c>
      <c r="H36" s="183">
        <v>0.05</v>
      </c>
      <c r="I36" s="182">
        <v>1765.625</v>
      </c>
      <c r="J36" s="182">
        <v>16037.775</v>
      </c>
      <c r="K36" s="182">
        <v>19274.724999999999</v>
      </c>
      <c r="L36" s="182">
        <f t="shared" si="0"/>
        <v>1765.625</v>
      </c>
      <c r="M36" s="182">
        <f t="shared" si="1"/>
        <v>17803.400000000001</v>
      </c>
      <c r="N36" s="182">
        <f t="shared" si="2"/>
        <v>17509.099999999999</v>
      </c>
    </row>
    <row r="37" spans="1:14" ht="12" hidden="1" customHeight="1" x14ac:dyDescent="0.35">
      <c r="A37" s="173" t="s">
        <v>261</v>
      </c>
      <c r="B37" s="188">
        <v>23251000</v>
      </c>
      <c r="C37" s="173" t="s">
        <v>262</v>
      </c>
      <c r="D37" s="181">
        <v>40724</v>
      </c>
      <c r="E37" s="181">
        <v>40724</v>
      </c>
      <c r="F37" s="173">
        <v>8036</v>
      </c>
      <c r="G37" s="182">
        <v>6688</v>
      </c>
      <c r="H37" s="183">
        <v>0.05</v>
      </c>
      <c r="I37" s="182">
        <v>334.40000000000003</v>
      </c>
      <c r="J37" s="182">
        <v>3009.6200000000003</v>
      </c>
      <c r="K37" s="182">
        <v>3678.3799999999997</v>
      </c>
      <c r="L37" s="182">
        <f t="shared" si="0"/>
        <v>334.40000000000003</v>
      </c>
      <c r="M37" s="182">
        <f t="shared" si="1"/>
        <v>3344.0200000000004</v>
      </c>
      <c r="N37" s="182">
        <f t="shared" si="2"/>
        <v>3343.9799999999996</v>
      </c>
    </row>
    <row r="38" spans="1:14" ht="12" hidden="1" customHeight="1" x14ac:dyDescent="0.35">
      <c r="A38" s="173" t="s">
        <v>261</v>
      </c>
      <c r="B38" s="188">
        <v>23251000</v>
      </c>
      <c r="C38" s="173" t="s">
        <v>262</v>
      </c>
      <c r="D38" s="181">
        <v>40724</v>
      </c>
      <c r="E38" s="181">
        <v>40724</v>
      </c>
      <c r="F38" s="173">
        <v>8036</v>
      </c>
      <c r="G38" s="182">
        <v>6335</v>
      </c>
      <c r="H38" s="183">
        <v>0.05</v>
      </c>
      <c r="I38" s="182">
        <v>316.75</v>
      </c>
      <c r="J38" s="182">
        <v>2850.7799999999997</v>
      </c>
      <c r="K38" s="182">
        <v>3484.2200000000003</v>
      </c>
      <c r="L38" s="182">
        <f t="shared" si="0"/>
        <v>316.75</v>
      </c>
      <c r="M38" s="182">
        <f t="shared" si="1"/>
        <v>3167.5299999999997</v>
      </c>
      <c r="N38" s="182">
        <f t="shared" si="2"/>
        <v>3167.4700000000003</v>
      </c>
    </row>
    <row r="39" spans="1:14" ht="12" hidden="1" customHeight="1" x14ac:dyDescent="0.35">
      <c r="A39" s="173" t="s">
        <v>261</v>
      </c>
      <c r="B39" s="188">
        <v>23251000</v>
      </c>
      <c r="C39" s="173" t="s">
        <v>262</v>
      </c>
      <c r="D39" s="181">
        <v>40724</v>
      </c>
      <c r="E39" s="181">
        <v>40724</v>
      </c>
      <c r="F39" s="173">
        <v>8036</v>
      </c>
      <c r="G39" s="182">
        <v>817.1</v>
      </c>
      <c r="H39" s="183">
        <v>0.05</v>
      </c>
      <c r="I39" s="182">
        <v>40.855000000000004</v>
      </c>
      <c r="J39" s="182">
        <v>367.65500000000003</v>
      </c>
      <c r="K39" s="182">
        <v>449.44499999999999</v>
      </c>
      <c r="L39" s="182">
        <f t="shared" si="0"/>
        <v>40.855000000000004</v>
      </c>
      <c r="M39" s="182">
        <f t="shared" si="1"/>
        <v>408.51000000000005</v>
      </c>
      <c r="N39" s="182">
        <f t="shared" si="2"/>
        <v>408.59</v>
      </c>
    </row>
    <row r="40" spans="1:14" ht="12" hidden="1" customHeight="1" x14ac:dyDescent="0.35">
      <c r="A40" s="173" t="s">
        <v>261</v>
      </c>
      <c r="B40" s="188">
        <v>23251000</v>
      </c>
      <c r="C40" s="173" t="s">
        <v>262</v>
      </c>
      <c r="D40" s="181">
        <v>40724</v>
      </c>
      <c r="E40" s="181">
        <v>40724</v>
      </c>
      <c r="F40" s="173">
        <v>8036</v>
      </c>
      <c r="G40" s="182">
        <v>2833.34</v>
      </c>
      <c r="H40" s="183">
        <v>0.05</v>
      </c>
      <c r="I40" s="182">
        <v>141.667</v>
      </c>
      <c r="J40" s="182">
        <v>1251.385</v>
      </c>
      <c r="K40" s="182">
        <v>1581.9550000000002</v>
      </c>
      <c r="L40" s="182">
        <f t="shared" si="0"/>
        <v>141.667</v>
      </c>
      <c r="M40" s="182">
        <f t="shared" si="1"/>
        <v>1393.0519999999999</v>
      </c>
      <c r="N40" s="182">
        <f t="shared" si="2"/>
        <v>1440.2880000000002</v>
      </c>
    </row>
    <row r="41" spans="1:14" ht="12" hidden="1" customHeight="1" x14ac:dyDescent="0.35">
      <c r="A41" s="173" t="s">
        <v>261</v>
      </c>
      <c r="B41" s="188">
        <v>23251000</v>
      </c>
      <c r="C41" s="173" t="s">
        <v>262</v>
      </c>
      <c r="D41" s="181">
        <v>40724</v>
      </c>
      <c r="E41" s="181">
        <v>40724</v>
      </c>
      <c r="F41" s="173">
        <v>8036</v>
      </c>
      <c r="G41" s="182">
        <v>116000</v>
      </c>
      <c r="H41" s="183">
        <v>0.05</v>
      </c>
      <c r="I41" s="182">
        <v>5800</v>
      </c>
      <c r="J41" s="182">
        <v>51716.65</v>
      </c>
      <c r="K41" s="182">
        <v>64283.350000000006</v>
      </c>
      <c r="L41" s="182">
        <f t="shared" si="0"/>
        <v>5800</v>
      </c>
      <c r="M41" s="182">
        <f t="shared" si="1"/>
        <v>57516.65</v>
      </c>
      <c r="N41" s="182">
        <f t="shared" si="2"/>
        <v>58483.35</v>
      </c>
    </row>
    <row r="42" spans="1:14" ht="12" hidden="1" customHeight="1" x14ac:dyDescent="0.35">
      <c r="A42" s="173" t="s">
        <v>261</v>
      </c>
      <c r="B42" s="188">
        <v>23251000</v>
      </c>
      <c r="C42" s="173" t="s">
        <v>262</v>
      </c>
      <c r="D42" s="181">
        <v>40724</v>
      </c>
      <c r="E42" s="181">
        <v>40724</v>
      </c>
      <c r="F42" s="173">
        <v>8036</v>
      </c>
      <c r="G42" s="182">
        <v>62306</v>
      </c>
      <c r="H42" s="183">
        <v>0.05</v>
      </c>
      <c r="I42" s="182">
        <v>3115.3</v>
      </c>
      <c r="J42" s="182">
        <v>27778.099999999995</v>
      </c>
      <c r="K42" s="182">
        <v>34527.9</v>
      </c>
      <c r="L42" s="182">
        <f t="shared" si="0"/>
        <v>3115.3</v>
      </c>
      <c r="M42" s="182">
        <f t="shared" si="1"/>
        <v>30893.399999999994</v>
      </c>
      <c r="N42" s="182">
        <f t="shared" si="2"/>
        <v>31412.600000000006</v>
      </c>
    </row>
    <row r="43" spans="1:14" ht="12" hidden="1" customHeight="1" x14ac:dyDescent="0.35">
      <c r="A43" s="173" t="s">
        <v>261</v>
      </c>
      <c r="B43" s="188">
        <v>23251000</v>
      </c>
      <c r="C43" s="173" t="s">
        <v>262</v>
      </c>
      <c r="D43" s="181">
        <v>40724</v>
      </c>
      <c r="E43" s="181">
        <v>40724</v>
      </c>
      <c r="F43" s="173">
        <v>8036</v>
      </c>
      <c r="G43" s="182">
        <v>21491.67</v>
      </c>
      <c r="H43" s="183">
        <v>0.05</v>
      </c>
      <c r="I43" s="182">
        <v>1074.5835</v>
      </c>
      <c r="J43" s="182">
        <v>9581.7075000000004</v>
      </c>
      <c r="K43" s="182">
        <v>11909.962499999998</v>
      </c>
      <c r="L43" s="182">
        <f t="shared" si="0"/>
        <v>1074.5835</v>
      </c>
      <c r="M43" s="182">
        <f t="shared" si="1"/>
        <v>10656.291000000001</v>
      </c>
      <c r="N43" s="182">
        <f t="shared" si="2"/>
        <v>10835.378999999997</v>
      </c>
    </row>
    <row r="44" spans="1:14" ht="12" hidden="1" customHeight="1" x14ac:dyDescent="0.35">
      <c r="A44" s="173" t="s">
        <v>261</v>
      </c>
      <c r="B44" s="188">
        <v>23251000</v>
      </c>
      <c r="C44" s="173" t="s">
        <v>262</v>
      </c>
      <c r="D44" s="181">
        <v>40724</v>
      </c>
      <c r="E44" s="181">
        <v>40724</v>
      </c>
      <c r="F44" s="173">
        <v>8036</v>
      </c>
      <c r="G44" s="182">
        <v>9957</v>
      </c>
      <c r="H44" s="183">
        <v>0.05</v>
      </c>
      <c r="I44" s="182">
        <v>497.85</v>
      </c>
      <c r="J44" s="182">
        <v>4397.6899999999996</v>
      </c>
      <c r="K44" s="182">
        <v>5559.3099999999995</v>
      </c>
      <c r="L44" s="182">
        <f t="shared" si="0"/>
        <v>497.85</v>
      </c>
      <c r="M44" s="182">
        <f t="shared" si="1"/>
        <v>4895.54</v>
      </c>
      <c r="N44" s="182">
        <f t="shared" si="2"/>
        <v>5061.46</v>
      </c>
    </row>
    <row r="45" spans="1:14" ht="12" hidden="1" customHeight="1" x14ac:dyDescent="0.35">
      <c r="A45" s="173" t="s">
        <v>261</v>
      </c>
      <c r="B45" s="188">
        <v>23251000</v>
      </c>
      <c r="C45" s="173" t="s">
        <v>262</v>
      </c>
      <c r="D45" s="181">
        <v>40724</v>
      </c>
      <c r="E45" s="181">
        <v>40724</v>
      </c>
      <c r="F45" s="173">
        <v>8036</v>
      </c>
      <c r="G45" s="182">
        <v>5909</v>
      </c>
      <c r="H45" s="183">
        <v>0.05</v>
      </c>
      <c r="I45" s="182">
        <v>295.45</v>
      </c>
      <c r="J45" s="182">
        <v>2585.19</v>
      </c>
      <c r="K45" s="182">
        <v>3323.81</v>
      </c>
      <c r="L45" s="182">
        <f t="shared" si="0"/>
        <v>295.45</v>
      </c>
      <c r="M45" s="182">
        <f t="shared" si="1"/>
        <v>2880.64</v>
      </c>
      <c r="N45" s="182">
        <f t="shared" si="2"/>
        <v>3028.36</v>
      </c>
    </row>
    <row r="46" spans="1:14" ht="12" hidden="1" customHeight="1" x14ac:dyDescent="0.35">
      <c r="A46" s="173" t="s">
        <v>261</v>
      </c>
      <c r="B46" s="188">
        <v>23251000</v>
      </c>
      <c r="C46" s="173" t="s">
        <v>262</v>
      </c>
      <c r="D46" s="181">
        <v>40724</v>
      </c>
      <c r="E46" s="181">
        <v>40724</v>
      </c>
      <c r="F46" s="173">
        <v>8036</v>
      </c>
      <c r="G46" s="182">
        <v>11007</v>
      </c>
      <c r="H46" s="183">
        <v>0.05</v>
      </c>
      <c r="I46" s="182">
        <v>550.35</v>
      </c>
      <c r="J46" s="182">
        <v>4815.5600000000004</v>
      </c>
      <c r="K46" s="182">
        <v>6191.44</v>
      </c>
      <c r="L46" s="182">
        <f t="shared" si="0"/>
        <v>550.35</v>
      </c>
      <c r="M46" s="182">
        <f t="shared" si="1"/>
        <v>5365.9100000000008</v>
      </c>
      <c r="N46" s="182">
        <f t="shared" si="2"/>
        <v>5641.0899999999992</v>
      </c>
    </row>
    <row r="47" spans="1:14" ht="12" hidden="1" customHeight="1" x14ac:dyDescent="0.35">
      <c r="A47" s="173" t="s">
        <v>261</v>
      </c>
      <c r="B47" s="188">
        <v>23251000</v>
      </c>
      <c r="C47" s="173" t="s">
        <v>262</v>
      </c>
      <c r="D47" s="181">
        <v>40724</v>
      </c>
      <c r="E47" s="181">
        <v>40724</v>
      </c>
      <c r="F47" s="173">
        <v>8036</v>
      </c>
      <c r="G47" s="182">
        <v>975</v>
      </c>
      <c r="H47" s="183">
        <v>0.05</v>
      </c>
      <c r="I47" s="182">
        <v>48.75</v>
      </c>
      <c r="J47" s="182">
        <v>426.56</v>
      </c>
      <c r="K47" s="182">
        <v>548.44000000000005</v>
      </c>
      <c r="L47" s="182">
        <f t="shared" si="0"/>
        <v>48.75</v>
      </c>
      <c r="M47" s="182">
        <f t="shared" si="1"/>
        <v>475.31</v>
      </c>
      <c r="N47" s="182">
        <f t="shared" si="2"/>
        <v>499.69</v>
      </c>
    </row>
    <row r="48" spans="1:14" ht="12" hidden="1" customHeight="1" x14ac:dyDescent="0.35">
      <c r="A48" s="173" t="s">
        <v>261</v>
      </c>
      <c r="B48" s="188">
        <v>23251000</v>
      </c>
      <c r="C48" s="173" t="s">
        <v>262</v>
      </c>
      <c r="D48" s="181">
        <v>40724</v>
      </c>
      <c r="E48" s="181">
        <v>40724</v>
      </c>
      <c r="F48" s="173">
        <v>8036</v>
      </c>
      <c r="G48" s="182">
        <v>20310</v>
      </c>
      <c r="H48" s="183">
        <v>0.05</v>
      </c>
      <c r="I48" s="182">
        <v>1015.5</v>
      </c>
      <c r="J48" s="182">
        <v>8716.380000000001</v>
      </c>
      <c r="K48" s="182">
        <v>11593.619999999999</v>
      </c>
      <c r="L48" s="182">
        <f t="shared" si="0"/>
        <v>1015.5</v>
      </c>
      <c r="M48" s="182">
        <f t="shared" si="1"/>
        <v>9731.880000000001</v>
      </c>
      <c r="N48" s="182">
        <f t="shared" si="2"/>
        <v>10578.119999999999</v>
      </c>
    </row>
    <row r="49" spans="1:14" ht="12" hidden="1" customHeight="1" x14ac:dyDescent="0.35">
      <c r="A49" s="173" t="s">
        <v>261</v>
      </c>
      <c r="B49" s="188">
        <v>23251000</v>
      </c>
      <c r="C49" s="173" t="s">
        <v>262</v>
      </c>
      <c r="D49" s="181">
        <v>40731</v>
      </c>
      <c r="E49" s="181">
        <v>41090</v>
      </c>
      <c r="F49" s="173">
        <v>8038</v>
      </c>
      <c r="G49" s="182">
        <v>40320</v>
      </c>
      <c r="H49" s="183">
        <v>0.05</v>
      </c>
      <c r="I49" s="182">
        <v>2016</v>
      </c>
      <c r="J49" s="182">
        <v>16128</v>
      </c>
      <c r="K49" s="182">
        <v>24192</v>
      </c>
      <c r="L49" s="182">
        <f t="shared" si="0"/>
        <v>2016</v>
      </c>
      <c r="M49" s="182">
        <f t="shared" si="1"/>
        <v>18144</v>
      </c>
      <c r="N49" s="182">
        <f t="shared" si="2"/>
        <v>22176</v>
      </c>
    </row>
    <row r="50" spans="1:14" ht="12" hidden="1" customHeight="1" x14ac:dyDescent="0.35">
      <c r="A50" s="173" t="s">
        <v>261</v>
      </c>
      <c r="B50" s="188">
        <v>23251000</v>
      </c>
      <c r="C50" s="173" t="s">
        <v>262</v>
      </c>
      <c r="D50" s="181">
        <v>40753</v>
      </c>
      <c r="E50" s="181">
        <v>41090</v>
      </c>
      <c r="F50" s="173">
        <v>8038</v>
      </c>
      <c r="G50" s="182">
        <v>9996.5</v>
      </c>
      <c r="H50" s="183">
        <v>0.05</v>
      </c>
      <c r="I50" s="182">
        <v>499.82500000000005</v>
      </c>
      <c r="J50" s="182">
        <v>3998.585</v>
      </c>
      <c r="K50" s="182">
        <v>5997.915</v>
      </c>
      <c r="L50" s="182">
        <f t="shared" si="0"/>
        <v>499.82500000000005</v>
      </c>
      <c r="M50" s="182">
        <f t="shared" si="1"/>
        <v>4498.41</v>
      </c>
      <c r="N50" s="182">
        <f t="shared" si="2"/>
        <v>5498.09</v>
      </c>
    </row>
    <row r="51" spans="1:14" ht="12" hidden="1" customHeight="1" x14ac:dyDescent="0.35">
      <c r="A51" s="173" t="s">
        <v>261</v>
      </c>
      <c r="B51" s="188">
        <v>23251000</v>
      </c>
      <c r="C51" s="173" t="s">
        <v>262</v>
      </c>
      <c r="D51" s="181">
        <v>40753</v>
      </c>
      <c r="E51" s="181">
        <v>41090</v>
      </c>
      <c r="F51" s="173">
        <v>8038</v>
      </c>
      <c r="G51" s="182">
        <v>41154</v>
      </c>
      <c r="H51" s="183">
        <v>0.05</v>
      </c>
      <c r="I51" s="182">
        <v>2057.7000000000003</v>
      </c>
      <c r="J51" s="182">
        <v>16461.570000000003</v>
      </c>
      <c r="K51" s="182">
        <v>24692.429999999997</v>
      </c>
      <c r="L51" s="182">
        <f t="shared" si="0"/>
        <v>2057.7000000000003</v>
      </c>
      <c r="M51" s="182">
        <f t="shared" si="1"/>
        <v>18519.270000000004</v>
      </c>
      <c r="N51" s="182">
        <f t="shared" si="2"/>
        <v>22634.729999999996</v>
      </c>
    </row>
    <row r="52" spans="1:14" ht="12" hidden="1" customHeight="1" x14ac:dyDescent="0.35">
      <c r="A52" s="173" t="s">
        <v>261</v>
      </c>
      <c r="B52" s="188" t="s">
        <v>263</v>
      </c>
      <c r="C52" s="173" t="s">
        <v>262</v>
      </c>
      <c r="D52" s="181">
        <v>42977</v>
      </c>
      <c r="E52" s="181">
        <v>43281</v>
      </c>
      <c r="F52" s="173">
        <v>8038</v>
      </c>
      <c r="G52" s="182">
        <v>55800</v>
      </c>
      <c r="H52" s="183">
        <v>0.2</v>
      </c>
      <c r="I52" s="182">
        <v>11160</v>
      </c>
      <c r="J52" s="182">
        <v>21390</v>
      </c>
      <c r="K52" s="182">
        <v>34410</v>
      </c>
      <c r="L52" s="182">
        <f t="shared" si="0"/>
        <v>11160</v>
      </c>
      <c r="M52" s="182">
        <f t="shared" si="1"/>
        <v>32550</v>
      </c>
      <c r="N52" s="182">
        <f t="shared" si="2"/>
        <v>23250</v>
      </c>
    </row>
    <row r="53" spans="1:14" ht="12" hidden="1" customHeight="1" x14ac:dyDescent="0.35">
      <c r="A53" s="195" t="s">
        <v>265</v>
      </c>
      <c r="B53" s="195">
        <v>23310000</v>
      </c>
      <c r="C53" s="195" t="s">
        <v>264</v>
      </c>
      <c r="D53" s="197">
        <v>40724</v>
      </c>
      <c r="E53" s="197">
        <v>40724</v>
      </c>
      <c r="F53" s="195">
        <v>8036</v>
      </c>
      <c r="G53" s="198">
        <v>4781.26</v>
      </c>
      <c r="H53" s="199">
        <v>0.1</v>
      </c>
      <c r="I53" s="182">
        <v>478.12600000000003</v>
      </c>
      <c r="J53" s="182">
        <v>4263.2540000000008</v>
      </c>
      <c r="K53" s="182">
        <v>518.00599999999963</v>
      </c>
      <c r="L53" s="198">
        <f t="shared" si="0"/>
        <v>478.12600000000003</v>
      </c>
      <c r="M53" s="198">
        <f t="shared" si="1"/>
        <v>4741.380000000001</v>
      </c>
      <c r="N53" s="198">
        <f t="shared" si="2"/>
        <v>39.8799999999992</v>
      </c>
    </row>
    <row r="54" spans="1:14" ht="12" customHeight="1" x14ac:dyDescent="0.35">
      <c r="A54" s="195" t="s">
        <v>265</v>
      </c>
      <c r="B54" s="195">
        <v>23310002</v>
      </c>
      <c r="C54" s="195" t="s">
        <v>266</v>
      </c>
      <c r="D54" s="197">
        <v>43314</v>
      </c>
      <c r="E54" s="197">
        <v>43646</v>
      </c>
      <c r="F54" s="195">
        <v>8038</v>
      </c>
      <c r="G54" s="198">
        <v>3720.0000000000005</v>
      </c>
      <c r="H54" s="199">
        <v>0.1</v>
      </c>
      <c r="I54" s="182">
        <v>341.00000000000006</v>
      </c>
      <c r="J54" s="182">
        <v>341.00000000000006</v>
      </c>
      <c r="K54" s="182">
        <v>3379.0000000000005</v>
      </c>
      <c r="L54" s="198">
        <f t="shared" si="0"/>
        <v>341.00000000000006</v>
      </c>
      <c r="M54" s="198">
        <f t="shared" si="1"/>
        <v>682.00000000000011</v>
      </c>
      <c r="N54" s="198">
        <f t="shared" si="2"/>
        <v>3038.0000000000005</v>
      </c>
    </row>
    <row r="55" spans="1:14" ht="12" customHeight="1" x14ac:dyDescent="0.35">
      <c r="A55" s="195" t="s">
        <v>265</v>
      </c>
      <c r="B55" s="195">
        <v>23310002</v>
      </c>
      <c r="C55" s="195" t="s">
        <v>266</v>
      </c>
      <c r="D55" s="197">
        <v>43314</v>
      </c>
      <c r="E55" s="197">
        <v>43646</v>
      </c>
      <c r="F55" s="195">
        <v>8038</v>
      </c>
      <c r="G55" s="198">
        <v>55000</v>
      </c>
      <c r="H55" s="199">
        <v>0.1</v>
      </c>
      <c r="I55" s="182">
        <v>5041.6666666666661</v>
      </c>
      <c r="J55" s="182">
        <v>5041.6666666666661</v>
      </c>
      <c r="K55" s="182">
        <v>49958.333333333336</v>
      </c>
      <c r="L55" s="198">
        <f t="shared" si="0"/>
        <v>5041.6666666666661</v>
      </c>
      <c r="M55" s="198">
        <f t="shared" si="1"/>
        <v>10083.333333333332</v>
      </c>
      <c r="N55" s="198">
        <f t="shared" si="2"/>
        <v>44916.666666666672</v>
      </c>
    </row>
    <row r="56" spans="1:14" ht="12" customHeight="1" x14ac:dyDescent="0.35">
      <c r="A56" s="195" t="s">
        <v>265</v>
      </c>
      <c r="B56" s="195">
        <v>23310002</v>
      </c>
      <c r="C56" s="195" t="s">
        <v>266</v>
      </c>
      <c r="D56" s="197">
        <v>43328</v>
      </c>
      <c r="E56" s="197">
        <v>43646</v>
      </c>
      <c r="F56" s="195">
        <v>8038</v>
      </c>
      <c r="G56" s="198">
        <v>55000</v>
      </c>
      <c r="H56" s="199">
        <v>0.1</v>
      </c>
      <c r="I56" s="182">
        <v>5041.6666666666661</v>
      </c>
      <c r="J56" s="182">
        <v>5041.6666666666661</v>
      </c>
      <c r="K56" s="182">
        <v>49958.333333333336</v>
      </c>
      <c r="L56" s="198">
        <f t="shared" si="0"/>
        <v>5041.6666666666661</v>
      </c>
      <c r="M56" s="198">
        <f t="shared" si="1"/>
        <v>10083.333333333332</v>
      </c>
      <c r="N56" s="198">
        <f t="shared" si="2"/>
        <v>44916.666666666672</v>
      </c>
    </row>
    <row r="57" spans="1:14" ht="12" customHeight="1" x14ac:dyDescent="0.35">
      <c r="A57" s="195" t="s">
        <v>265</v>
      </c>
      <c r="B57" s="195">
        <v>23310002</v>
      </c>
      <c r="C57" s="195" t="s">
        <v>266</v>
      </c>
      <c r="D57" s="197">
        <v>43328</v>
      </c>
      <c r="E57" s="197">
        <v>43646</v>
      </c>
      <c r="F57" s="195">
        <v>8038</v>
      </c>
      <c r="G57" s="198">
        <v>720</v>
      </c>
      <c r="H57" s="199">
        <v>0.1</v>
      </c>
      <c r="I57" s="182">
        <v>66</v>
      </c>
      <c r="J57" s="182">
        <v>66</v>
      </c>
      <c r="K57" s="182">
        <v>654</v>
      </c>
      <c r="L57" s="198">
        <f t="shared" si="0"/>
        <v>66</v>
      </c>
      <c r="M57" s="198">
        <f t="shared" si="1"/>
        <v>132</v>
      </c>
      <c r="N57" s="198">
        <f t="shared" si="2"/>
        <v>588</v>
      </c>
    </row>
    <row r="58" spans="1:14" ht="12" customHeight="1" x14ac:dyDescent="0.35">
      <c r="A58" s="195" t="s">
        <v>265</v>
      </c>
      <c r="B58" s="195">
        <v>23310002</v>
      </c>
      <c r="C58" s="195" t="s">
        <v>266</v>
      </c>
      <c r="D58" s="197">
        <v>43346</v>
      </c>
      <c r="E58" s="197">
        <v>43646</v>
      </c>
      <c r="F58" s="195">
        <v>8038</v>
      </c>
      <c r="G58" s="198">
        <v>5500</v>
      </c>
      <c r="H58" s="199">
        <v>0.1</v>
      </c>
      <c r="I58" s="182">
        <v>458.33333333333337</v>
      </c>
      <c r="J58" s="182">
        <v>458.33333333333337</v>
      </c>
      <c r="K58" s="182">
        <v>5041.666666666667</v>
      </c>
      <c r="L58" s="198">
        <f t="shared" si="0"/>
        <v>458.33333333333337</v>
      </c>
      <c r="M58" s="198">
        <f t="shared" si="1"/>
        <v>916.66666666666674</v>
      </c>
      <c r="N58" s="198">
        <f t="shared" si="2"/>
        <v>4583.333333333333</v>
      </c>
    </row>
    <row r="59" spans="1:14" ht="12" customHeight="1" x14ac:dyDescent="0.35">
      <c r="A59" s="195" t="s">
        <v>265</v>
      </c>
      <c r="B59" s="195">
        <v>23310002</v>
      </c>
      <c r="C59" s="195" t="s">
        <v>266</v>
      </c>
      <c r="D59" s="197">
        <v>43353</v>
      </c>
      <c r="E59" s="197">
        <v>43646</v>
      </c>
      <c r="F59" s="195">
        <v>8038</v>
      </c>
      <c r="G59" s="198">
        <v>12000</v>
      </c>
      <c r="H59" s="199">
        <v>0.1</v>
      </c>
      <c r="I59" s="182">
        <v>1000</v>
      </c>
      <c r="J59" s="182">
        <v>1000</v>
      </c>
      <c r="K59" s="182">
        <v>11000</v>
      </c>
      <c r="L59" s="198">
        <f t="shared" si="0"/>
        <v>1000</v>
      </c>
      <c r="M59" s="198">
        <f t="shared" si="1"/>
        <v>2000</v>
      </c>
      <c r="N59" s="198">
        <f t="shared" si="2"/>
        <v>10000</v>
      </c>
    </row>
    <row r="60" spans="1:14" ht="12" customHeight="1" x14ac:dyDescent="0.35">
      <c r="A60" s="195" t="s">
        <v>265</v>
      </c>
      <c r="B60" s="195">
        <v>23310002</v>
      </c>
      <c r="C60" s="195" t="s">
        <v>266</v>
      </c>
      <c r="D60" s="197">
        <v>43360</v>
      </c>
      <c r="E60" s="197">
        <v>43646</v>
      </c>
      <c r="F60" s="195">
        <v>8038</v>
      </c>
      <c r="G60" s="198">
        <v>360</v>
      </c>
      <c r="H60" s="199">
        <v>0.1</v>
      </c>
      <c r="I60" s="182">
        <v>30</v>
      </c>
      <c r="J60" s="182">
        <v>30</v>
      </c>
      <c r="K60" s="182">
        <v>330</v>
      </c>
      <c r="L60" s="198">
        <f t="shared" si="0"/>
        <v>30</v>
      </c>
      <c r="M60" s="198">
        <f t="shared" si="1"/>
        <v>60</v>
      </c>
      <c r="N60" s="198">
        <f t="shared" si="2"/>
        <v>300</v>
      </c>
    </row>
    <row r="61" spans="1:14" ht="12" hidden="1" customHeight="1" x14ac:dyDescent="0.35">
      <c r="A61" s="173" t="s">
        <v>265</v>
      </c>
      <c r="B61" s="173">
        <v>23310002</v>
      </c>
      <c r="C61" s="173" t="s">
        <v>266</v>
      </c>
      <c r="D61" s="181">
        <v>40724</v>
      </c>
      <c r="E61" s="181">
        <v>40724</v>
      </c>
      <c r="F61" s="173">
        <v>8036</v>
      </c>
      <c r="G61" s="182">
        <v>498607</v>
      </c>
      <c r="H61" s="183">
        <v>0.1</v>
      </c>
      <c r="I61" s="182">
        <v>49860.700000000004</v>
      </c>
      <c r="J61" s="182">
        <v>440436.20000000007</v>
      </c>
      <c r="K61" s="182">
        <v>58170.799999999937</v>
      </c>
      <c r="L61" s="182">
        <f t="shared" si="0"/>
        <v>49860.700000000004</v>
      </c>
      <c r="M61" s="182">
        <f t="shared" si="1"/>
        <v>490296.90000000008</v>
      </c>
      <c r="N61" s="182">
        <f t="shared" si="2"/>
        <v>8310.0999999999185</v>
      </c>
    </row>
    <row r="62" spans="1:14" ht="12" hidden="1" customHeight="1" x14ac:dyDescent="0.35">
      <c r="A62" s="173" t="s">
        <v>265</v>
      </c>
      <c r="B62" s="173">
        <v>23310002</v>
      </c>
      <c r="C62" s="173" t="s">
        <v>266</v>
      </c>
      <c r="D62" s="181">
        <v>40724</v>
      </c>
      <c r="E62" s="181">
        <v>40724</v>
      </c>
      <c r="F62" s="173">
        <v>8036</v>
      </c>
      <c r="G62" s="182">
        <v>69503.820000000007</v>
      </c>
      <c r="H62" s="183">
        <v>0.1</v>
      </c>
      <c r="I62" s="182">
        <v>6950.3820000000014</v>
      </c>
      <c r="J62" s="182">
        <v>61974.239999999991</v>
      </c>
      <c r="K62" s="182">
        <v>7529.5800000000127</v>
      </c>
      <c r="L62" s="182">
        <f t="shared" si="0"/>
        <v>6950.3820000000014</v>
      </c>
      <c r="M62" s="182">
        <f t="shared" si="1"/>
        <v>68924.621999999988</v>
      </c>
      <c r="N62" s="182">
        <f t="shared" si="2"/>
        <v>579.19800000001851</v>
      </c>
    </row>
    <row r="63" spans="1:14" ht="12" hidden="1" customHeight="1" x14ac:dyDescent="0.35">
      <c r="A63" s="173" t="s">
        <v>265</v>
      </c>
      <c r="B63" s="173">
        <v>23310002</v>
      </c>
      <c r="C63" s="173" t="s">
        <v>266</v>
      </c>
      <c r="D63" s="181">
        <v>40724</v>
      </c>
      <c r="E63" s="181">
        <v>40724</v>
      </c>
      <c r="F63" s="173">
        <v>8036</v>
      </c>
      <c r="G63" s="182">
        <v>20259.439999999999</v>
      </c>
      <c r="H63" s="183">
        <v>0.1</v>
      </c>
      <c r="I63" s="182">
        <v>2025.944</v>
      </c>
      <c r="J63" s="182">
        <v>18064.66</v>
      </c>
      <c r="K63" s="182">
        <v>2194.7800000000002</v>
      </c>
      <c r="L63" s="182">
        <f t="shared" si="0"/>
        <v>2025.944</v>
      </c>
      <c r="M63" s="182">
        <f t="shared" si="1"/>
        <v>20090.603999999999</v>
      </c>
      <c r="N63" s="182">
        <f t="shared" si="2"/>
        <v>168.83599999999933</v>
      </c>
    </row>
    <row r="64" spans="1:14" ht="12" customHeight="1" x14ac:dyDescent="0.35">
      <c r="A64" s="195" t="s">
        <v>265</v>
      </c>
      <c r="B64" s="195">
        <v>23310002</v>
      </c>
      <c r="C64" s="195" t="s">
        <v>266</v>
      </c>
      <c r="D64" s="197">
        <v>42917</v>
      </c>
      <c r="E64" s="197">
        <v>43281</v>
      </c>
      <c r="F64" s="195">
        <v>8038</v>
      </c>
      <c r="G64" s="198">
        <v>65244.35</v>
      </c>
      <c r="H64" s="199">
        <v>0.1</v>
      </c>
      <c r="I64" s="182">
        <v>6524.4350000000004</v>
      </c>
      <c r="J64" s="182">
        <v>13048.87</v>
      </c>
      <c r="K64" s="182">
        <v>52195.48</v>
      </c>
      <c r="L64" s="198">
        <f t="shared" si="0"/>
        <v>6524.4350000000004</v>
      </c>
      <c r="M64" s="198">
        <f t="shared" si="1"/>
        <v>19573.305</v>
      </c>
      <c r="N64" s="198">
        <f t="shared" si="2"/>
        <v>45671.044999999998</v>
      </c>
    </row>
    <row r="65" spans="1:14" ht="12" hidden="1" customHeight="1" x14ac:dyDescent="0.35">
      <c r="A65" s="195" t="s">
        <v>265</v>
      </c>
      <c r="B65" s="195">
        <v>23310000</v>
      </c>
      <c r="C65" s="195" t="s">
        <v>264</v>
      </c>
      <c r="D65" s="197">
        <v>40724</v>
      </c>
      <c r="E65" s="197">
        <v>40724</v>
      </c>
      <c r="F65" s="195">
        <v>8036</v>
      </c>
      <c r="G65" s="198">
        <v>262720</v>
      </c>
      <c r="H65" s="199">
        <v>0.5</v>
      </c>
      <c r="I65" s="182">
        <v>0</v>
      </c>
      <c r="J65" s="182">
        <v>262720</v>
      </c>
      <c r="K65" s="182">
        <v>0</v>
      </c>
      <c r="L65" s="198">
        <f t="shared" si="0"/>
        <v>0</v>
      </c>
      <c r="M65" s="198">
        <f t="shared" si="1"/>
        <v>262720</v>
      </c>
      <c r="N65" s="198">
        <f t="shared" si="2"/>
        <v>0</v>
      </c>
    </row>
    <row r="66" spans="1:14" ht="12" hidden="1" customHeight="1" x14ac:dyDescent="0.35">
      <c r="A66" s="195" t="s">
        <v>265</v>
      </c>
      <c r="B66" s="196" t="s">
        <v>267</v>
      </c>
      <c r="C66" s="195" t="s">
        <v>268</v>
      </c>
      <c r="D66" s="197">
        <v>40724</v>
      </c>
      <c r="E66" s="197">
        <v>40724</v>
      </c>
      <c r="F66" s="195">
        <v>8036</v>
      </c>
      <c r="G66" s="198">
        <v>26750</v>
      </c>
      <c r="H66" s="199">
        <v>0.2</v>
      </c>
      <c r="I66" s="182">
        <v>0</v>
      </c>
      <c r="J66" s="182">
        <v>26750</v>
      </c>
      <c r="K66" s="182">
        <v>0</v>
      </c>
      <c r="L66" s="198">
        <f t="shared" si="0"/>
        <v>0</v>
      </c>
      <c r="M66" s="198">
        <f t="shared" si="1"/>
        <v>26750</v>
      </c>
      <c r="N66" s="198">
        <f t="shared" si="2"/>
        <v>0</v>
      </c>
    </row>
    <row r="67" spans="1:14" ht="12" hidden="1" customHeight="1" x14ac:dyDescent="0.35">
      <c r="A67" s="173" t="s">
        <v>265</v>
      </c>
      <c r="B67" s="173">
        <v>23310002</v>
      </c>
      <c r="C67" s="173" t="s">
        <v>266</v>
      </c>
      <c r="D67" s="181">
        <v>40724</v>
      </c>
      <c r="E67" s="181">
        <v>40724</v>
      </c>
      <c r="F67" s="173">
        <v>8036</v>
      </c>
      <c r="G67" s="182">
        <v>2456164.86</v>
      </c>
      <c r="H67" s="183">
        <v>0.25</v>
      </c>
      <c r="I67" s="182">
        <v>-4.999999888241291E-3</v>
      </c>
      <c r="J67" s="182">
        <v>2456164.86</v>
      </c>
      <c r="K67" s="182">
        <v>0</v>
      </c>
      <c r="L67" s="182">
        <f t="shared" ref="L67:L130" si="3">+I67</f>
        <v>-4.999999888241291E-3</v>
      </c>
      <c r="M67" s="182">
        <f t="shared" ref="M67:M130" si="4">+L67+J67</f>
        <v>2456164.855</v>
      </c>
      <c r="N67" s="182">
        <f t="shared" ref="N67:N130" si="5">+G67-M67</f>
        <v>4.999999888241291E-3</v>
      </c>
    </row>
    <row r="68" spans="1:14" ht="12" hidden="1" customHeight="1" x14ac:dyDescent="0.35">
      <c r="A68" s="195" t="s">
        <v>265</v>
      </c>
      <c r="B68" s="196" t="s">
        <v>267</v>
      </c>
      <c r="C68" s="195" t="s">
        <v>268</v>
      </c>
      <c r="D68" s="197">
        <v>40724</v>
      </c>
      <c r="E68" s="197">
        <v>40724</v>
      </c>
      <c r="F68" s="195">
        <v>8036</v>
      </c>
      <c r="G68" s="198">
        <v>23000</v>
      </c>
      <c r="H68" s="199">
        <v>0.2</v>
      </c>
      <c r="I68" s="182">
        <v>0</v>
      </c>
      <c r="J68" s="182">
        <v>23000</v>
      </c>
      <c r="K68" s="182">
        <v>0</v>
      </c>
      <c r="L68" s="198">
        <f t="shared" si="3"/>
        <v>0</v>
      </c>
      <c r="M68" s="198">
        <f t="shared" si="4"/>
        <v>23000</v>
      </c>
      <c r="N68" s="198">
        <f t="shared" si="5"/>
        <v>0</v>
      </c>
    </row>
    <row r="69" spans="1:14" ht="12" hidden="1" customHeight="1" x14ac:dyDescent="0.35">
      <c r="A69" s="195" t="s">
        <v>265</v>
      </c>
      <c r="B69" s="196" t="s">
        <v>267</v>
      </c>
      <c r="C69" s="195" t="s">
        <v>268</v>
      </c>
      <c r="D69" s="197">
        <v>40724</v>
      </c>
      <c r="E69" s="197">
        <v>40724</v>
      </c>
      <c r="F69" s="195">
        <v>8036</v>
      </c>
      <c r="G69" s="198">
        <v>53610</v>
      </c>
      <c r="H69" s="199">
        <v>0.2</v>
      </c>
      <c r="I69" s="182">
        <v>0</v>
      </c>
      <c r="J69" s="182">
        <v>53610</v>
      </c>
      <c r="K69" s="182">
        <v>0</v>
      </c>
      <c r="L69" s="198">
        <f t="shared" si="3"/>
        <v>0</v>
      </c>
      <c r="M69" s="198">
        <f t="shared" si="4"/>
        <v>53610</v>
      </c>
      <c r="N69" s="198">
        <f t="shared" si="5"/>
        <v>0</v>
      </c>
    </row>
    <row r="70" spans="1:14" ht="12" hidden="1" customHeight="1" x14ac:dyDescent="0.35">
      <c r="A70" s="173" t="s">
        <v>265</v>
      </c>
      <c r="B70" s="173">
        <v>23310002</v>
      </c>
      <c r="C70" s="173" t="s">
        <v>266</v>
      </c>
      <c r="D70" s="181">
        <v>40724</v>
      </c>
      <c r="E70" s="181">
        <v>40724</v>
      </c>
      <c r="F70" s="173">
        <v>8036</v>
      </c>
      <c r="G70" s="182">
        <v>1318945</v>
      </c>
      <c r="H70" s="183">
        <v>0.1</v>
      </c>
      <c r="I70" s="182">
        <v>131894.5</v>
      </c>
      <c r="J70" s="182">
        <v>1121103.26</v>
      </c>
      <c r="K70" s="182">
        <v>197841.74</v>
      </c>
      <c r="L70" s="182">
        <f t="shared" si="3"/>
        <v>131894.5</v>
      </c>
      <c r="M70" s="182">
        <f t="shared" si="4"/>
        <v>1252997.76</v>
      </c>
      <c r="N70" s="182">
        <f t="shared" si="5"/>
        <v>65947.239999999991</v>
      </c>
    </row>
    <row r="71" spans="1:14" ht="12" hidden="1" customHeight="1" x14ac:dyDescent="0.35">
      <c r="A71" s="173" t="s">
        <v>265</v>
      </c>
      <c r="B71" s="173">
        <v>23310002</v>
      </c>
      <c r="C71" s="173" t="s">
        <v>266</v>
      </c>
      <c r="D71" s="181">
        <v>40724</v>
      </c>
      <c r="E71" s="181">
        <v>40724</v>
      </c>
      <c r="F71" s="173">
        <v>8036</v>
      </c>
      <c r="G71" s="182">
        <v>24831.65</v>
      </c>
      <c r="H71" s="183">
        <v>0.1</v>
      </c>
      <c r="I71" s="182">
        <v>2483.1650000000004</v>
      </c>
      <c r="J71" s="182">
        <v>21520.74</v>
      </c>
      <c r="K71" s="182">
        <v>3310.9100000000003</v>
      </c>
      <c r="L71" s="182">
        <f t="shared" si="3"/>
        <v>2483.1650000000004</v>
      </c>
      <c r="M71" s="182">
        <f t="shared" si="4"/>
        <v>24003.905000000002</v>
      </c>
      <c r="N71" s="182">
        <f t="shared" si="5"/>
        <v>827.74499999999898</v>
      </c>
    </row>
    <row r="72" spans="1:14" ht="12" hidden="1" customHeight="1" x14ac:dyDescent="0.35">
      <c r="A72" s="173" t="s">
        <v>265</v>
      </c>
      <c r="B72" s="173">
        <v>23310002</v>
      </c>
      <c r="C72" s="173" t="s">
        <v>266</v>
      </c>
      <c r="D72" s="181">
        <v>40724</v>
      </c>
      <c r="E72" s="181">
        <v>40724</v>
      </c>
      <c r="F72" s="173">
        <v>8036</v>
      </c>
      <c r="G72" s="182">
        <v>124950</v>
      </c>
      <c r="H72" s="183">
        <v>0.1</v>
      </c>
      <c r="I72" s="182">
        <v>12495</v>
      </c>
      <c r="J72" s="182">
        <v>104125</v>
      </c>
      <c r="K72" s="182">
        <v>20825</v>
      </c>
      <c r="L72" s="182">
        <f t="shared" si="3"/>
        <v>12495</v>
      </c>
      <c r="M72" s="182">
        <f t="shared" si="4"/>
        <v>116620</v>
      </c>
      <c r="N72" s="182">
        <f t="shared" si="5"/>
        <v>8330</v>
      </c>
    </row>
    <row r="73" spans="1:14" ht="12" hidden="1" customHeight="1" x14ac:dyDescent="0.35">
      <c r="A73" s="195" t="s">
        <v>265</v>
      </c>
      <c r="B73" s="195">
        <v>23310000</v>
      </c>
      <c r="C73" s="195" t="s">
        <v>264</v>
      </c>
      <c r="D73" s="197">
        <v>40724</v>
      </c>
      <c r="E73" s="197">
        <v>40724</v>
      </c>
      <c r="F73" s="195">
        <v>8036</v>
      </c>
      <c r="G73" s="198">
        <v>309080.90999999997</v>
      </c>
      <c r="H73" s="199">
        <v>0.25</v>
      </c>
      <c r="I73" s="182">
        <v>0</v>
      </c>
      <c r="J73" s="182">
        <v>309080.90749999997</v>
      </c>
      <c r="K73" s="182">
        <v>2.5000000023283064E-3</v>
      </c>
      <c r="L73" s="198">
        <f t="shared" si="3"/>
        <v>0</v>
      </c>
      <c r="M73" s="198">
        <f t="shared" si="4"/>
        <v>309080.90749999997</v>
      </c>
      <c r="N73" s="198">
        <f t="shared" si="5"/>
        <v>2.5000000023283064E-3</v>
      </c>
    </row>
    <row r="74" spans="1:14" ht="12" hidden="1" customHeight="1" x14ac:dyDescent="0.35">
      <c r="A74" s="195" t="s">
        <v>265</v>
      </c>
      <c r="B74" s="195">
        <v>23310000</v>
      </c>
      <c r="C74" s="195" t="s">
        <v>264</v>
      </c>
      <c r="D74" s="197">
        <v>40724</v>
      </c>
      <c r="E74" s="197">
        <v>40724</v>
      </c>
      <c r="F74" s="195">
        <v>8036</v>
      </c>
      <c r="G74" s="198">
        <v>101376</v>
      </c>
      <c r="H74" s="199">
        <v>0.5</v>
      </c>
      <c r="I74" s="182">
        <v>0</v>
      </c>
      <c r="J74" s="182">
        <v>101376</v>
      </c>
      <c r="K74" s="182">
        <v>0</v>
      </c>
      <c r="L74" s="198">
        <f t="shared" si="3"/>
        <v>0</v>
      </c>
      <c r="M74" s="198">
        <f t="shared" si="4"/>
        <v>101376</v>
      </c>
      <c r="N74" s="198">
        <f t="shared" si="5"/>
        <v>0</v>
      </c>
    </row>
    <row r="75" spans="1:14" ht="12" hidden="1" customHeight="1" x14ac:dyDescent="0.35">
      <c r="A75" s="173" t="s">
        <v>265</v>
      </c>
      <c r="B75" s="173">
        <v>23310002</v>
      </c>
      <c r="C75" s="173" t="s">
        <v>266</v>
      </c>
      <c r="D75" s="181">
        <v>40724</v>
      </c>
      <c r="E75" s="181">
        <v>40724</v>
      </c>
      <c r="F75" s="173">
        <v>8036</v>
      </c>
      <c r="G75" s="182">
        <v>618672.78</v>
      </c>
      <c r="H75" s="183">
        <v>0.1</v>
      </c>
      <c r="I75" s="182">
        <v>61867.278000000006</v>
      </c>
      <c r="J75" s="182">
        <v>531027.44999999995</v>
      </c>
      <c r="K75" s="182">
        <v>87645.33000000006</v>
      </c>
      <c r="L75" s="182">
        <f t="shared" si="3"/>
        <v>61867.278000000006</v>
      </c>
      <c r="M75" s="182">
        <f t="shared" si="4"/>
        <v>592894.728</v>
      </c>
      <c r="N75" s="182">
        <f t="shared" si="5"/>
        <v>25778.052000000025</v>
      </c>
    </row>
    <row r="76" spans="1:14" ht="12" hidden="1" customHeight="1" x14ac:dyDescent="0.35">
      <c r="A76" s="195" t="s">
        <v>265</v>
      </c>
      <c r="B76" s="195">
        <v>23310000</v>
      </c>
      <c r="C76" s="195" t="s">
        <v>264</v>
      </c>
      <c r="D76" s="197">
        <v>40724</v>
      </c>
      <c r="E76" s="197">
        <v>40724</v>
      </c>
      <c r="F76" s="195">
        <v>8036</v>
      </c>
      <c r="G76" s="198">
        <v>56000</v>
      </c>
      <c r="H76" s="199">
        <v>0.25</v>
      </c>
      <c r="I76" s="182">
        <v>0</v>
      </c>
      <c r="J76" s="182">
        <v>56000</v>
      </c>
      <c r="K76" s="182">
        <v>0</v>
      </c>
      <c r="L76" s="198">
        <f t="shared" si="3"/>
        <v>0</v>
      </c>
      <c r="M76" s="198">
        <f t="shared" si="4"/>
        <v>56000</v>
      </c>
      <c r="N76" s="198">
        <f t="shared" si="5"/>
        <v>0</v>
      </c>
    </row>
    <row r="77" spans="1:14" ht="12" hidden="1" customHeight="1" x14ac:dyDescent="0.35">
      <c r="A77" s="195" t="s">
        <v>265</v>
      </c>
      <c r="B77" s="196" t="s">
        <v>267</v>
      </c>
      <c r="C77" s="195" t="s">
        <v>268</v>
      </c>
      <c r="D77" s="197">
        <v>40724</v>
      </c>
      <c r="E77" s="197">
        <v>40724</v>
      </c>
      <c r="F77" s="195">
        <v>8036</v>
      </c>
      <c r="G77" s="198">
        <v>70000</v>
      </c>
      <c r="H77" s="199">
        <v>0.2</v>
      </c>
      <c r="I77" s="182">
        <v>0</v>
      </c>
      <c r="J77" s="182">
        <v>70000</v>
      </c>
      <c r="K77" s="182">
        <v>0</v>
      </c>
      <c r="L77" s="198">
        <f t="shared" si="3"/>
        <v>0</v>
      </c>
      <c r="M77" s="198">
        <f t="shared" si="4"/>
        <v>70000</v>
      </c>
      <c r="N77" s="198">
        <f t="shared" si="5"/>
        <v>0</v>
      </c>
    </row>
    <row r="78" spans="1:14" ht="12" hidden="1" customHeight="1" x14ac:dyDescent="0.35">
      <c r="A78" s="195" t="s">
        <v>265</v>
      </c>
      <c r="B78" s="196" t="s">
        <v>267</v>
      </c>
      <c r="C78" s="195" t="s">
        <v>268</v>
      </c>
      <c r="D78" s="197">
        <v>40724</v>
      </c>
      <c r="E78" s="197">
        <v>40724</v>
      </c>
      <c r="F78" s="195">
        <v>8036</v>
      </c>
      <c r="G78" s="198">
        <v>164000</v>
      </c>
      <c r="H78" s="199">
        <v>0.2</v>
      </c>
      <c r="I78" s="182">
        <v>0</v>
      </c>
      <c r="J78" s="182">
        <v>164000</v>
      </c>
      <c r="K78" s="182">
        <v>0</v>
      </c>
      <c r="L78" s="198">
        <f t="shared" si="3"/>
        <v>0</v>
      </c>
      <c r="M78" s="198">
        <f t="shared" si="4"/>
        <v>164000</v>
      </c>
      <c r="N78" s="198">
        <f t="shared" si="5"/>
        <v>0</v>
      </c>
    </row>
    <row r="79" spans="1:14" ht="12" hidden="1" customHeight="1" x14ac:dyDescent="0.35">
      <c r="A79" s="195" t="s">
        <v>265</v>
      </c>
      <c r="B79" s="196" t="s">
        <v>267</v>
      </c>
      <c r="C79" s="195" t="s">
        <v>268</v>
      </c>
      <c r="D79" s="197">
        <v>40724</v>
      </c>
      <c r="E79" s="197">
        <v>40724</v>
      </c>
      <c r="F79" s="195">
        <v>8036</v>
      </c>
      <c r="G79" s="198">
        <v>37000</v>
      </c>
      <c r="H79" s="199">
        <v>0.2</v>
      </c>
      <c r="I79" s="182">
        <v>0</v>
      </c>
      <c r="J79" s="182">
        <v>37000</v>
      </c>
      <c r="K79" s="182">
        <v>0</v>
      </c>
      <c r="L79" s="198">
        <f t="shared" si="3"/>
        <v>0</v>
      </c>
      <c r="M79" s="198">
        <f t="shared" si="4"/>
        <v>37000</v>
      </c>
      <c r="N79" s="198">
        <f t="shared" si="5"/>
        <v>0</v>
      </c>
    </row>
    <row r="80" spans="1:14" ht="12" hidden="1" customHeight="1" x14ac:dyDescent="0.35">
      <c r="A80" s="195" t="s">
        <v>265</v>
      </c>
      <c r="B80" s="196" t="s">
        <v>267</v>
      </c>
      <c r="C80" s="195" t="s">
        <v>268</v>
      </c>
      <c r="D80" s="197">
        <v>40724</v>
      </c>
      <c r="E80" s="197">
        <v>40724</v>
      </c>
      <c r="F80" s="195">
        <v>8036</v>
      </c>
      <c r="G80" s="198">
        <v>62175</v>
      </c>
      <c r="H80" s="199">
        <v>0.2</v>
      </c>
      <c r="I80" s="182">
        <v>0</v>
      </c>
      <c r="J80" s="182">
        <v>62175</v>
      </c>
      <c r="K80" s="182">
        <v>0</v>
      </c>
      <c r="L80" s="198">
        <f t="shared" si="3"/>
        <v>0</v>
      </c>
      <c r="M80" s="198">
        <f t="shared" si="4"/>
        <v>62175</v>
      </c>
      <c r="N80" s="198">
        <f t="shared" si="5"/>
        <v>0</v>
      </c>
    </row>
    <row r="81" spans="1:14" ht="12" customHeight="1" x14ac:dyDescent="0.35">
      <c r="A81" s="195" t="s">
        <v>265</v>
      </c>
      <c r="B81" s="195">
        <v>23310001</v>
      </c>
      <c r="C81" s="195" t="s">
        <v>264</v>
      </c>
      <c r="D81" s="197">
        <v>40729</v>
      </c>
      <c r="E81" s="197">
        <v>41090</v>
      </c>
      <c r="F81" s="195">
        <v>8038</v>
      </c>
      <c r="G81" s="198">
        <v>751399.53</v>
      </c>
      <c r="H81" s="199">
        <v>0.1</v>
      </c>
      <c r="I81" s="182">
        <v>75139.953000000009</v>
      </c>
      <c r="J81" s="182">
        <v>601119.61499999999</v>
      </c>
      <c r="K81" s="182">
        <v>150279.91500000001</v>
      </c>
      <c r="L81" s="198">
        <f t="shared" si="3"/>
        <v>75139.953000000009</v>
      </c>
      <c r="M81" s="198">
        <f t="shared" si="4"/>
        <v>676259.56799999997</v>
      </c>
      <c r="N81" s="198">
        <f t="shared" si="5"/>
        <v>75139.962000000058</v>
      </c>
    </row>
    <row r="82" spans="1:14" ht="12" hidden="1" customHeight="1" x14ac:dyDescent="0.35">
      <c r="A82" s="195" t="s">
        <v>265</v>
      </c>
      <c r="B82" s="195">
        <v>23310001</v>
      </c>
      <c r="C82" s="195" t="s">
        <v>264</v>
      </c>
      <c r="D82" s="197">
        <v>43053</v>
      </c>
      <c r="E82" s="197">
        <v>43281</v>
      </c>
      <c r="F82" s="195">
        <v>8036</v>
      </c>
      <c r="G82" s="198">
        <v>8400</v>
      </c>
      <c r="H82" s="199">
        <v>0.2</v>
      </c>
      <c r="I82" s="182">
        <v>1680</v>
      </c>
      <c r="J82" s="182">
        <v>2800</v>
      </c>
      <c r="K82" s="182">
        <v>5600</v>
      </c>
      <c r="L82" s="198">
        <f t="shared" si="3"/>
        <v>1680</v>
      </c>
      <c r="M82" s="198">
        <f t="shared" si="4"/>
        <v>4480</v>
      </c>
      <c r="N82" s="198">
        <f t="shared" si="5"/>
        <v>3920</v>
      </c>
    </row>
    <row r="83" spans="1:14" ht="12" customHeight="1" x14ac:dyDescent="0.35">
      <c r="A83" s="195" t="s">
        <v>265</v>
      </c>
      <c r="B83" s="195">
        <v>23310001</v>
      </c>
      <c r="C83" s="195" t="s">
        <v>264</v>
      </c>
      <c r="D83" s="197">
        <v>43055</v>
      </c>
      <c r="E83" s="197">
        <v>43281</v>
      </c>
      <c r="F83" s="195">
        <v>8038</v>
      </c>
      <c r="G83" s="198">
        <v>8400</v>
      </c>
      <c r="H83" s="199">
        <v>0.2</v>
      </c>
      <c r="I83" s="182">
        <v>1680</v>
      </c>
      <c r="J83" s="182">
        <v>2800</v>
      </c>
      <c r="K83" s="182">
        <v>5600</v>
      </c>
      <c r="L83" s="198">
        <f t="shared" si="3"/>
        <v>1680</v>
      </c>
      <c r="M83" s="198">
        <f t="shared" si="4"/>
        <v>4480</v>
      </c>
      <c r="N83" s="198">
        <f t="shared" si="5"/>
        <v>3920</v>
      </c>
    </row>
    <row r="84" spans="1:14" ht="12" customHeight="1" x14ac:dyDescent="0.35">
      <c r="A84" s="195" t="s">
        <v>265</v>
      </c>
      <c r="B84" s="195">
        <v>23310001</v>
      </c>
      <c r="C84" s="195" t="s">
        <v>264</v>
      </c>
      <c r="D84" s="197">
        <v>42994</v>
      </c>
      <c r="E84" s="197">
        <v>43281</v>
      </c>
      <c r="F84" s="195">
        <v>8038</v>
      </c>
      <c r="G84" s="198">
        <v>25000</v>
      </c>
      <c r="H84" s="199">
        <v>0.2</v>
      </c>
      <c r="I84" s="182">
        <v>5000</v>
      </c>
      <c r="J84" s="182">
        <v>9166.6666666666679</v>
      </c>
      <c r="K84" s="182">
        <v>15833.333333333332</v>
      </c>
      <c r="L84" s="198">
        <f t="shared" si="3"/>
        <v>5000</v>
      </c>
      <c r="M84" s="198">
        <f t="shared" si="4"/>
        <v>14166.666666666668</v>
      </c>
      <c r="N84" s="198">
        <f t="shared" si="5"/>
        <v>10833.333333333332</v>
      </c>
    </row>
    <row r="85" spans="1:14" ht="12" customHeight="1" x14ac:dyDescent="0.35">
      <c r="A85" s="195" t="s">
        <v>265</v>
      </c>
      <c r="B85" s="195">
        <v>23310001</v>
      </c>
      <c r="C85" s="195" t="s">
        <v>264</v>
      </c>
      <c r="D85" s="197">
        <v>42994</v>
      </c>
      <c r="E85" s="197">
        <v>43281</v>
      </c>
      <c r="F85" s="195">
        <v>8038</v>
      </c>
      <c r="G85" s="198">
        <v>200</v>
      </c>
      <c r="H85" s="199">
        <v>0.2</v>
      </c>
      <c r="I85" s="182">
        <v>40</v>
      </c>
      <c r="J85" s="182">
        <v>73.333333333333343</v>
      </c>
      <c r="K85" s="182">
        <v>126.66666666666666</v>
      </c>
      <c r="L85" s="198">
        <f t="shared" si="3"/>
        <v>40</v>
      </c>
      <c r="M85" s="198">
        <f t="shared" si="4"/>
        <v>113.33333333333334</v>
      </c>
      <c r="N85" s="198">
        <f t="shared" si="5"/>
        <v>86.666666666666657</v>
      </c>
    </row>
    <row r="86" spans="1:14" ht="12" customHeight="1" x14ac:dyDescent="0.35">
      <c r="A86" s="195" t="s">
        <v>265</v>
      </c>
      <c r="B86" s="195">
        <v>23310001</v>
      </c>
      <c r="C86" s="195" t="s">
        <v>264</v>
      </c>
      <c r="D86" s="197">
        <v>42994</v>
      </c>
      <c r="E86" s="197">
        <v>43281</v>
      </c>
      <c r="F86" s="195">
        <v>8038</v>
      </c>
      <c r="G86" s="198">
        <v>600</v>
      </c>
      <c r="H86" s="199">
        <v>0.2</v>
      </c>
      <c r="I86" s="182">
        <v>120</v>
      </c>
      <c r="J86" s="182">
        <v>220</v>
      </c>
      <c r="K86" s="182">
        <v>380</v>
      </c>
      <c r="L86" s="198">
        <f t="shared" si="3"/>
        <v>120</v>
      </c>
      <c r="M86" s="198">
        <f t="shared" si="4"/>
        <v>340</v>
      </c>
      <c r="N86" s="198">
        <f t="shared" si="5"/>
        <v>260</v>
      </c>
    </row>
    <row r="87" spans="1:14" ht="12" customHeight="1" x14ac:dyDescent="0.35">
      <c r="A87" s="195" t="s">
        <v>265</v>
      </c>
      <c r="B87" s="195">
        <v>23310001</v>
      </c>
      <c r="C87" s="195" t="s">
        <v>264</v>
      </c>
      <c r="D87" s="197">
        <v>42994</v>
      </c>
      <c r="E87" s="197">
        <v>43281</v>
      </c>
      <c r="F87" s="195">
        <v>8038</v>
      </c>
      <c r="G87" s="198">
        <v>24000</v>
      </c>
      <c r="H87" s="199">
        <v>0.2</v>
      </c>
      <c r="I87" s="182">
        <v>4800</v>
      </c>
      <c r="J87" s="182">
        <v>8800</v>
      </c>
      <c r="K87" s="182">
        <v>15200</v>
      </c>
      <c r="L87" s="198">
        <f t="shared" si="3"/>
        <v>4800</v>
      </c>
      <c r="M87" s="198">
        <f t="shared" si="4"/>
        <v>13600</v>
      </c>
      <c r="N87" s="198">
        <f t="shared" si="5"/>
        <v>10400</v>
      </c>
    </row>
    <row r="88" spans="1:14" ht="12" customHeight="1" x14ac:dyDescent="0.35">
      <c r="A88" s="195" t="s">
        <v>265</v>
      </c>
      <c r="B88" s="195">
        <v>23310001</v>
      </c>
      <c r="C88" s="195" t="s">
        <v>264</v>
      </c>
      <c r="D88" s="197">
        <v>42994</v>
      </c>
      <c r="E88" s="197">
        <v>43281</v>
      </c>
      <c r="F88" s="195">
        <v>8038</v>
      </c>
      <c r="G88" s="198">
        <v>600</v>
      </c>
      <c r="H88" s="199">
        <v>0.2</v>
      </c>
      <c r="I88" s="182">
        <v>120</v>
      </c>
      <c r="J88" s="182">
        <v>220</v>
      </c>
      <c r="K88" s="182">
        <v>380</v>
      </c>
      <c r="L88" s="198">
        <f t="shared" si="3"/>
        <v>120</v>
      </c>
      <c r="M88" s="198">
        <f t="shared" si="4"/>
        <v>340</v>
      </c>
      <c r="N88" s="198">
        <f t="shared" si="5"/>
        <v>260</v>
      </c>
    </row>
    <row r="89" spans="1:14" ht="12" customHeight="1" x14ac:dyDescent="0.35">
      <c r="A89" s="195" t="s">
        <v>265</v>
      </c>
      <c r="B89" s="195">
        <v>23310001</v>
      </c>
      <c r="C89" s="195" t="s">
        <v>264</v>
      </c>
      <c r="D89" s="197">
        <v>42994</v>
      </c>
      <c r="E89" s="197">
        <v>43281</v>
      </c>
      <c r="F89" s="195">
        <v>8038</v>
      </c>
      <c r="G89" s="198">
        <v>15000</v>
      </c>
      <c r="H89" s="199">
        <v>0.2</v>
      </c>
      <c r="I89" s="182">
        <v>3000</v>
      </c>
      <c r="J89" s="182">
        <v>5500</v>
      </c>
      <c r="K89" s="182">
        <v>9500</v>
      </c>
      <c r="L89" s="198">
        <f t="shared" si="3"/>
        <v>3000</v>
      </c>
      <c r="M89" s="198">
        <f t="shared" si="4"/>
        <v>8500</v>
      </c>
      <c r="N89" s="198">
        <f t="shared" si="5"/>
        <v>6500</v>
      </c>
    </row>
    <row r="90" spans="1:14" ht="12" customHeight="1" x14ac:dyDescent="0.35">
      <c r="A90" s="195" t="s">
        <v>265</v>
      </c>
      <c r="B90" s="195">
        <v>23310001</v>
      </c>
      <c r="C90" s="195" t="s">
        <v>264</v>
      </c>
      <c r="D90" s="197">
        <v>42994</v>
      </c>
      <c r="E90" s="197">
        <v>43281</v>
      </c>
      <c r="F90" s="195">
        <v>8038</v>
      </c>
      <c r="G90" s="198">
        <v>11000</v>
      </c>
      <c r="H90" s="199">
        <v>0.2</v>
      </c>
      <c r="I90" s="182">
        <v>2200</v>
      </c>
      <c r="J90" s="182">
        <v>4033.333333333333</v>
      </c>
      <c r="K90" s="182">
        <v>6966.6666666666661</v>
      </c>
      <c r="L90" s="198">
        <f t="shared" si="3"/>
        <v>2200</v>
      </c>
      <c r="M90" s="198">
        <f t="shared" si="4"/>
        <v>6233.333333333333</v>
      </c>
      <c r="N90" s="198">
        <f t="shared" si="5"/>
        <v>4766.666666666667</v>
      </c>
    </row>
    <row r="91" spans="1:14" ht="12" customHeight="1" x14ac:dyDescent="0.35">
      <c r="A91" s="195" t="s">
        <v>265</v>
      </c>
      <c r="B91" s="195">
        <v>23310001</v>
      </c>
      <c r="C91" s="195" t="s">
        <v>264</v>
      </c>
      <c r="D91" s="197">
        <v>42994</v>
      </c>
      <c r="E91" s="197">
        <v>43281</v>
      </c>
      <c r="F91" s="195">
        <v>8038</v>
      </c>
      <c r="G91" s="198">
        <v>300</v>
      </c>
      <c r="H91" s="199">
        <v>0.2</v>
      </c>
      <c r="I91" s="182">
        <v>60</v>
      </c>
      <c r="J91" s="182">
        <v>110</v>
      </c>
      <c r="K91" s="182">
        <v>190</v>
      </c>
      <c r="L91" s="198">
        <f t="shared" si="3"/>
        <v>60</v>
      </c>
      <c r="M91" s="198">
        <f t="shared" si="4"/>
        <v>170</v>
      </c>
      <c r="N91" s="198">
        <f t="shared" si="5"/>
        <v>130</v>
      </c>
    </row>
    <row r="92" spans="1:14" ht="12" customHeight="1" x14ac:dyDescent="0.35">
      <c r="A92" s="195" t="s">
        <v>265</v>
      </c>
      <c r="B92" s="195">
        <v>23310001</v>
      </c>
      <c r="C92" s="195" t="s">
        <v>264</v>
      </c>
      <c r="D92" s="197">
        <v>42994</v>
      </c>
      <c r="E92" s="197">
        <v>43281</v>
      </c>
      <c r="F92" s="195">
        <v>8038</v>
      </c>
      <c r="G92" s="198">
        <v>1500</v>
      </c>
      <c r="H92" s="199">
        <v>0.2</v>
      </c>
      <c r="I92" s="182">
        <v>300</v>
      </c>
      <c r="J92" s="182">
        <v>550</v>
      </c>
      <c r="K92" s="182">
        <v>950</v>
      </c>
      <c r="L92" s="198">
        <f t="shared" si="3"/>
        <v>300</v>
      </c>
      <c r="M92" s="198">
        <f t="shared" si="4"/>
        <v>850</v>
      </c>
      <c r="N92" s="198">
        <f t="shared" si="5"/>
        <v>650</v>
      </c>
    </row>
    <row r="93" spans="1:14" ht="12" customHeight="1" x14ac:dyDescent="0.35">
      <c r="A93" s="195" t="s">
        <v>265</v>
      </c>
      <c r="B93" s="195">
        <v>23310001</v>
      </c>
      <c r="C93" s="195" t="s">
        <v>264</v>
      </c>
      <c r="D93" s="197">
        <v>42994</v>
      </c>
      <c r="E93" s="197">
        <v>43281</v>
      </c>
      <c r="F93" s="195">
        <v>8038</v>
      </c>
      <c r="G93" s="198">
        <v>200</v>
      </c>
      <c r="H93" s="199">
        <v>0.2</v>
      </c>
      <c r="I93" s="182">
        <v>40</v>
      </c>
      <c r="J93" s="182">
        <v>73.333333333333343</v>
      </c>
      <c r="K93" s="182">
        <v>126.66666666666666</v>
      </c>
      <c r="L93" s="198">
        <f t="shared" si="3"/>
        <v>40</v>
      </c>
      <c r="M93" s="198">
        <f t="shared" si="4"/>
        <v>113.33333333333334</v>
      </c>
      <c r="N93" s="198">
        <f t="shared" si="5"/>
        <v>86.666666666666657</v>
      </c>
    </row>
    <row r="94" spans="1:14" ht="12" hidden="1" customHeight="1" x14ac:dyDescent="0.35">
      <c r="A94" s="173" t="s">
        <v>261</v>
      </c>
      <c r="B94" s="188">
        <v>23210001</v>
      </c>
      <c r="C94" s="173" t="s">
        <v>260</v>
      </c>
      <c r="D94" s="181">
        <v>41326</v>
      </c>
      <c r="E94" s="181">
        <v>41455</v>
      </c>
      <c r="F94" s="173">
        <v>8038</v>
      </c>
      <c r="G94" s="182">
        <v>53192.5</v>
      </c>
      <c r="H94" s="183">
        <v>0.1</v>
      </c>
      <c r="I94" s="182">
        <v>5319.25</v>
      </c>
      <c r="J94" s="182">
        <v>34131.85</v>
      </c>
      <c r="K94" s="182">
        <v>19060.650000000001</v>
      </c>
      <c r="L94" s="182">
        <f t="shared" si="3"/>
        <v>5319.25</v>
      </c>
      <c r="M94" s="182">
        <f t="shared" si="4"/>
        <v>39451.1</v>
      </c>
      <c r="N94" s="182">
        <f t="shared" si="5"/>
        <v>13741.400000000001</v>
      </c>
    </row>
    <row r="95" spans="1:14" ht="12" hidden="1" customHeight="1" x14ac:dyDescent="0.35">
      <c r="A95" s="195" t="s">
        <v>265</v>
      </c>
      <c r="B95" s="196">
        <v>23310001</v>
      </c>
      <c r="C95" s="195" t="s">
        <v>264</v>
      </c>
      <c r="D95" s="197">
        <v>41243</v>
      </c>
      <c r="E95" s="197">
        <v>41455</v>
      </c>
      <c r="F95" s="195">
        <v>8036</v>
      </c>
      <c r="G95" s="198">
        <v>10120</v>
      </c>
      <c r="H95" s="199">
        <v>0.2</v>
      </c>
      <c r="I95" s="182">
        <v>0</v>
      </c>
      <c r="J95" s="182">
        <v>10120</v>
      </c>
      <c r="K95" s="182">
        <v>0</v>
      </c>
      <c r="L95" s="198">
        <f t="shared" si="3"/>
        <v>0</v>
      </c>
      <c r="M95" s="198">
        <f t="shared" si="4"/>
        <v>10120</v>
      </c>
      <c r="N95" s="198">
        <f t="shared" si="5"/>
        <v>0</v>
      </c>
    </row>
    <row r="96" spans="1:14" ht="12" customHeight="1" x14ac:dyDescent="0.35">
      <c r="A96" s="195" t="s">
        <v>265</v>
      </c>
      <c r="B96" s="196">
        <v>23310001</v>
      </c>
      <c r="C96" s="195" t="s">
        <v>264</v>
      </c>
      <c r="D96" s="197">
        <v>41243</v>
      </c>
      <c r="E96" s="197">
        <v>41455</v>
      </c>
      <c r="F96" s="195">
        <v>8038</v>
      </c>
      <c r="G96" s="198">
        <v>63800</v>
      </c>
      <c r="H96" s="199">
        <v>0.2</v>
      </c>
      <c r="I96" s="182">
        <v>0</v>
      </c>
      <c r="J96" s="182">
        <v>63800</v>
      </c>
      <c r="K96" s="182">
        <v>0</v>
      </c>
      <c r="L96" s="198">
        <f t="shared" si="3"/>
        <v>0</v>
      </c>
      <c r="M96" s="198">
        <f t="shared" si="4"/>
        <v>63800</v>
      </c>
      <c r="N96" s="198">
        <f t="shared" si="5"/>
        <v>0</v>
      </c>
    </row>
    <row r="97" spans="1:14" ht="12" hidden="1" customHeight="1" x14ac:dyDescent="0.35">
      <c r="A97" s="195" t="s">
        <v>265</v>
      </c>
      <c r="B97" s="196">
        <v>23310001</v>
      </c>
      <c r="C97" s="195" t="s">
        <v>264</v>
      </c>
      <c r="D97" s="197">
        <v>41293</v>
      </c>
      <c r="E97" s="197">
        <v>41455</v>
      </c>
      <c r="F97" s="195">
        <v>8036</v>
      </c>
      <c r="G97" s="198">
        <v>18000</v>
      </c>
      <c r="H97" s="199">
        <v>0.2</v>
      </c>
      <c r="I97" s="182">
        <v>0</v>
      </c>
      <c r="J97" s="182">
        <v>18000</v>
      </c>
      <c r="K97" s="182">
        <v>0</v>
      </c>
      <c r="L97" s="198">
        <f t="shared" si="3"/>
        <v>0</v>
      </c>
      <c r="M97" s="198">
        <f t="shared" si="4"/>
        <v>18000</v>
      </c>
      <c r="N97" s="198">
        <f t="shared" si="5"/>
        <v>0</v>
      </c>
    </row>
    <row r="98" spans="1:14" ht="12" hidden="1" customHeight="1" x14ac:dyDescent="0.35">
      <c r="A98" s="195" t="s">
        <v>265</v>
      </c>
      <c r="B98" s="196">
        <v>23310001</v>
      </c>
      <c r="C98" s="195" t="s">
        <v>264</v>
      </c>
      <c r="D98" s="197">
        <v>41310</v>
      </c>
      <c r="E98" s="197">
        <v>41455</v>
      </c>
      <c r="F98" s="195">
        <v>8036</v>
      </c>
      <c r="G98" s="198">
        <v>20500</v>
      </c>
      <c r="H98" s="199">
        <v>0.2</v>
      </c>
      <c r="I98" s="182">
        <v>0</v>
      </c>
      <c r="J98" s="182">
        <v>20500</v>
      </c>
      <c r="K98" s="182">
        <v>0</v>
      </c>
      <c r="L98" s="198">
        <f t="shared" si="3"/>
        <v>0</v>
      </c>
      <c r="M98" s="198">
        <f t="shared" si="4"/>
        <v>20500</v>
      </c>
      <c r="N98" s="198">
        <f t="shared" si="5"/>
        <v>0</v>
      </c>
    </row>
    <row r="99" spans="1:14" ht="12" hidden="1" customHeight="1" x14ac:dyDescent="0.35">
      <c r="A99" s="195" t="s">
        <v>265</v>
      </c>
      <c r="B99" s="196">
        <v>23310001</v>
      </c>
      <c r="C99" s="195" t="s">
        <v>264</v>
      </c>
      <c r="D99" s="197">
        <v>41333</v>
      </c>
      <c r="E99" s="197">
        <v>41455</v>
      </c>
      <c r="F99" s="195">
        <v>8036</v>
      </c>
      <c r="G99" s="198">
        <v>4554.5</v>
      </c>
      <c r="H99" s="199">
        <v>0.2</v>
      </c>
      <c r="I99" s="182">
        <v>0</v>
      </c>
      <c r="J99" s="182">
        <v>4554.5</v>
      </c>
      <c r="K99" s="182">
        <v>0</v>
      </c>
      <c r="L99" s="198">
        <f t="shared" si="3"/>
        <v>0</v>
      </c>
      <c r="M99" s="198">
        <f t="shared" si="4"/>
        <v>4554.5</v>
      </c>
      <c r="N99" s="198">
        <f t="shared" si="5"/>
        <v>0</v>
      </c>
    </row>
    <row r="100" spans="1:14" ht="12" customHeight="1" x14ac:dyDescent="0.35">
      <c r="A100" s="195" t="s">
        <v>265</v>
      </c>
      <c r="B100" s="196">
        <v>23310001</v>
      </c>
      <c r="C100" s="195" t="s">
        <v>264</v>
      </c>
      <c r="D100" s="197">
        <v>42035</v>
      </c>
      <c r="E100" s="197">
        <v>42185</v>
      </c>
      <c r="F100" s="195">
        <v>8038</v>
      </c>
      <c r="G100" s="198">
        <v>8802</v>
      </c>
      <c r="H100" s="199">
        <v>0.2</v>
      </c>
      <c r="I100" s="182">
        <v>1760.4</v>
      </c>
      <c r="J100" s="182">
        <v>7775.1</v>
      </c>
      <c r="K100" s="182">
        <v>1026.8999999999992</v>
      </c>
      <c r="L100" s="198">
        <f>+K100</f>
        <v>1026.8999999999992</v>
      </c>
      <c r="M100" s="198">
        <f t="shared" si="4"/>
        <v>8802</v>
      </c>
      <c r="N100" s="198">
        <f t="shared" si="5"/>
        <v>0</v>
      </c>
    </row>
    <row r="101" spans="1:14" ht="12" customHeight="1" x14ac:dyDescent="0.35">
      <c r="A101" s="195" t="s">
        <v>265</v>
      </c>
      <c r="B101" s="195">
        <v>23310002</v>
      </c>
      <c r="C101" s="195" t="s">
        <v>266</v>
      </c>
      <c r="D101" s="197">
        <v>40726</v>
      </c>
      <c r="E101" s="197">
        <v>41090</v>
      </c>
      <c r="F101" s="195">
        <v>8038</v>
      </c>
      <c r="G101" s="198">
        <v>156781.79999999999</v>
      </c>
      <c r="H101" s="199">
        <v>0.25</v>
      </c>
      <c r="I101" s="182">
        <v>0</v>
      </c>
      <c r="J101" s="182">
        <v>156781.79999999999</v>
      </c>
      <c r="K101" s="182">
        <v>0</v>
      </c>
      <c r="L101" s="198">
        <f t="shared" si="3"/>
        <v>0</v>
      </c>
      <c r="M101" s="198">
        <f t="shared" si="4"/>
        <v>156781.79999999999</v>
      </c>
      <c r="N101" s="198">
        <f t="shared" si="5"/>
        <v>0</v>
      </c>
    </row>
    <row r="102" spans="1:14" ht="12" customHeight="1" x14ac:dyDescent="0.35">
      <c r="A102" s="195" t="s">
        <v>265</v>
      </c>
      <c r="B102" s="195">
        <v>23310002</v>
      </c>
      <c r="C102" s="195" t="s">
        <v>266</v>
      </c>
      <c r="D102" s="197">
        <v>40726</v>
      </c>
      <c r="E102" s="197">
        <v>41090</v>
      </c>
      <c r="F102" s="195">
        <v>8038</v>
      </c>
      <c r="G102" s="198">
        <v>4924351.6100000003</v>
      </c>
      <c r="H102" s="199">
        <v>0.25</v>
      </c>
      <c r="I102" s="182">
        <v>0</v>
      </c>
      <c r="J102" s="182">
        <v>4924351.6100000003</v>
      </c>
      <c r="K102" s="182">
        <v>0</v>
      </c>
      <c r="L102" s="198">
        <f t="shared" si="3"/>
        <v>0</v>
      </c>
      <c r="M102" s="198">
        <f t="shared" si="4"/>
        <v>4924351.6100000003</v>
      </c>
      <c r="N102" s="198">
        <f t="shared" si="5"/>
        <v>0</v>
      </c>
    </row>
    <row r="103" spans="1:14" ht="12" customHeight="1" x14ac:dyDescent="0.35">
      <c r="A103" s="195" t="s">
        <v>265</v>
      </c>
      <c r="B103" s="195">
        <v>23310002</v>
      </c>
      <c r="C103" s="195" t="s">
        <v>266</v>
      </c>
      <c r="D103" s="197">
        <v>40731</v>
      </c>
      <c r="E103" s="197">
        <v>41090</v>
      </c>
      <c r="F103" s="195">
        <v>8038</v>
      </c>
      <c r="G103" s="198">
        <v>133648.26</v>
      </c>
      <c r="H103" s="199">
        <v>0.25</v>
      </c>
      <c r="I103" s="182">
        <v>0</v>
      </c>
      <c r="J103" s="182">
        <v>133648.26</v>
      </c>
      <c r="K103" s="182">
        <v>0</v>
      </c>
      <c r="L103" s="198">
        <f t="shared" si="3"/>
        <v>0</v>
      </c>
      <c r="M103" s="198">
        <f t="shared" si="4"/>
        <v>133648.26</v>
      </c>
      <c r="N103" s="198">
        <f t="shared" si="5"/>
        <v>0</v>
      </c>
    </row>
    <row r="104" spans="1:14" ht="12" customHeight="1" x14ac:dyDescent="0.35">
      <c r="A104" s="195" t="s">
        <v>265</v>
      </c>
      <c r="B104" s="195">
        <v>23310002</v>
      </c>
      <c r="C104" s="195" t="s">
        <v>266</v>
      </c>
      <c r="D104" s="197">
        <v>40735</v>
      </c>
      <c r="E104" s="197">
        <v>41090</v>
      </c>
      <c r="F104" s="195">
        <v>8038</v>
      </c>
      <c r="G104" s="198">
        <v>280339.20000000001</v>
      </c>
      <c r="H104" s="199">
        <v>0.25</v>
      </c>
      <c r="I104" s="182">
        <v>0</v>
      </c>
      <c r="J104" s="182">
        <v>280339.20000000001</v>
      </c>
      <c r="K104" s="182">
        <v>0</v>
      </c>
      <c r="L104" s="198">
        <f t="shared" si="3"/>
        <v>0</v>
      </c>
      <c r="M104" s="198">
        <f t="shared" si="4"/>
        <v>280339.20000000001</v>
      </c>
      <c r="N104" s="198">
        <f t="shared" si="5"/>
        <v>0</v>
      </c>
    </row>
    <row r="105" spans="1:14" ht="12" customHeight="1" x14ac:dyDescent="0.35">
      <c r="A105" s="195" t="s">
        <v>265</v>
      </c>
      <c r="B105" s="195">
        <v>23310002</v>
      </c>
      <c r="C105" s="195" t="s">
        <v>266</v>
      </c>
      <c r="D105" s="197">
        <v>40739</v>
      </c>
      <c r="E105" s="197">
        <v>41090</v>
      </c>
      <c r="F105" s="195">
        <v>8038</v>
      </c>
      <c r="G105" s="198">
        <v>281754.3</v>
      </c>
      <c r="H105" s="199">
        <v>0.25</v>
      </c>
      <c r="I105" s="182">
        <v>0</v>
      </c>
      <c r="J105" s="182">
        <v>281754.29500000004</v>
      </c>
      <c r="K105" s="182">
        <v>4.999999946448952E-3</v>
      </c>
      <c r="L105" s="198">
        <f t="shared" si="3"/>
        <v>0</v>
      </c>
      <c r="M105" s="198">
        <f t="shared" si="4"/>
        <v>281754.29500000004</v>
      </c>
      <c r="N105" s="198">
        <f t="shared" si="5"/>
        <v>4.999999946448952E-3</v>
      </c>
    </row>
    <row r="106" spans="1:14" ht="12" customHeight="1" x14ac:dyDescent="0.35">
      <c r="A106" s="195" t="s">
        <v>265</v>
      </c>
      <c r="B106" s="195">
        <v>23310002</v>
      </c>
      <c r="C106" s="195" t="s">
        <v>266</v>
      </c>
      <c r="D106" s="197">
        <v>40744</v>
      </c>
      <c r="E106" s="197">
        <v>41090</v>
      </c>
      <c r="F106" s="195">
        <v>8038</v>
      </c>
      <c r="G106" s="198">
        <v>131179.20000000001</v>
      </c>
      <c r="H106" s="199">
        <v>0.25</v>
      </c>
      <c r="I106" s="182">
        <v>0</v>
      </c>
      <c r="J106" s="182">
        <v>131179.20000000001</v>
      </c>
      <c r="K106" s="182">
        <v>0</v>
      </c>
      <c r="L106" s="198">
        <f t="shared" si="3"/>
        <v>0</v>
      </c>
      <c r="M106" s="198">
        <f t="shared" si="4"/>
        <v>131179.20000000001</v>
      </c>
      <c r="N106" s="198">
        <f t="shared" si="5"/>
        <v>0</v>
      </c>
    </row>
    <row r="107" spans="1:14" ht="12" customHeight="1" x14ac:dyDescent="0.35">
      <c r="A107" s="195" t="s">
        <v>265</v>
      </c>
      <c r="B107" s="195">
        <v>23310002</v>
      </c>
      <c r="C107" s="195" t="s">
        <v>266</v>
      </c>
      <c r="D107" s="197">
        <v>40745</v>
      </c>
      <c r="E107" s="197">
        <v>41090</v>
      </c>
      <c r="F107" s="195">
        <v>8038</v>
      </c>
      <c r="G107" s="198">
        <v>148619.51999999999</v>
      </c>
      <c r="H107" s="199">
        <v>0.25</v>
      </c>
      <c r="I107" s="182">
        <v>0</v>
      </c>
      <c r="J107" s="182">
        <v>148619.51999999999</v>
      </c>
      <c r="K107" s="182">
        <v>0</v>
      </c>
      <c r="L107" s="198">
        <f t="shared" si="3"/>
        <v>0</v>
      </c>
      <c r="M107" s="198">
        <f t="shared" si="4"/>
        <v>148619.51999999999</v>
      </c>
      <c r="N107" s="198">
        <f t="shared" si="5"/>
        <v>0</v>
      </c>
    </row>
    <row r="108" spans="1:14" ht="12" customHeight="1" x14ac:dyDescent="0.35">
      <c r="A108" s="195" t="s">
        <v>265</v>
      </c>
      <c r="B108" s="195">
        <v>23310002</v>
      </c>
      <c r="C108" s="195" t="s">
        <v>266</v>
      </c>
      <c r="D108" s="197">
        <v>40752</v>
      </c>
      <c r="E108" s="197">
        <v>41090</v>
      </c>
      <c r="F108" s="195">
        <v>8038</v>
      </c>
      <c r="G108" s="198">
        <v>451505</v>
      </c>
      <c r="H108" s="199">
        <v>0.25</v>
      </c>
      <c r="I108" s="182">
        <v>0</v>
      </c>
      <c r="J108" s="182">
        <v>451505</v>
      </c>
      <c r="K108" s="182">
        <v>0</v>
      </c>
      <c r="L108" s="198">
        <f t="shared" si="3"/>
        <v>0</v>
      </c>
      <c r="M108" s="198">
        <f t="shared" si="4"/>
        <v>451505</v>
      </c>
      <c r="N108" s="198">
        <f t="shared" si="5"/>
        <v>0</v>
      </c>
    </row>
    <row r="109" spans="1:14" ht="12" customHeight="1" x14ac:dyDescent="0.35">
      <c r="A109" s="195" t="s">
        <v>265</v>
      </c>
      <c r="B109" s="195">
        <v>23310002</v>
      </c>
      <c r="C109" s="195" t="s">
        <v>266</v>
      </c>
      <c r="D109" s="197">
        <v>40755</v>
      </c>
      <c r="E109" s="197">
        <v>41090</v>
      </c>
      <c r="F109" s="195">
        <v>8038</v>
      </c>
      <c r="G109" s="198">
        <v>48000</v>
      </c>
      <c r="H109" s="199">
        <v>0.25</v>
      </c>
      <c r="I109" s="182">
        <v>0</v>
      </c>
      <c r="J109" s="182">
        <v>48000</v>
      </c>
      <c r="K109" s="182">
        <v>0</v>
      </c>
      <c r="L109" s="198">
        <f t="shared" si="3"/>
        <v>0</v>
      </c>
      <c r="M109" s="198">
        <f t="shared" si="4"/>
        <v>48000</v>
      </c>
      <c r="N109" s="198">
        <f t="shared" si="5"/>
        <v>0</v>
      </c>
    </row>
    <row r="110" spans="1:14" ht="12" customHeight="1" x14ac:dyDescent="0.35">
      <c r="A110" s="195" t="s">
        <v>265</v>
      </c>
      <c r="B110" s="195">
        <v>23310002</v>
      </c>
      <c r="C110" s="195" t="s">
        <v>266</v>
      </c>
      <c r="D110" s="197">
        <v>40873</v>
      </c>
      <c r="E110" s="197">
        <v>41090</v>
      </c>
      <c r="F110" s="195">
        <v>8038</v>
      </c>
      <c r="G110" s="198">
        <v>5798.03</v>
      </c>
      <c r="H110" s="199">
        <v>0.25</v>
      </c>
      <c r="I110" s="182">
        <v>0</v>
      </c>
      <c r="J110" s="182">
        <v>5798.03</v>
      </c>
      <c r="K110" s="182">
        <v>0</v>
      </c>
      <c r="L110" s="198">
        <f t="shared" si="3"/>
        <v>0</v>
      </c>
      <c r="M110" s="198">
        <f t="shared" si="4"/>
        <v>5798.03</v>
      </c>
      <c r="N110" s="198">
        <f t="shared" si="5"/>
        <v>0</v>
      </c>
    </row>
    <row r="111" spans="1:14" ht="12" customHeight="1" x14ac:dyDescent="0.35">
      <c r="A111" s="195" t="s">
        <v>265</v>
      </c>
      <c r="B111" s="195">
        <v>23310002</v>
      </c>
      <c r="C111" s="195" t="s">
        <v>266</v>
      </c>
      <c r="D111" s="197">
        <v>41454</v>
      </c>
      <c r="E111" s="197">
        <v>41455</v>
      </c>
      <c r="F111" s="195">
        <v>8038</v>
      </c>
      <c r="G111" s="198">
        <v>3816000.01</v>
      </c>
      <c r="H111" s="199">
        <v>0.1</v>
      </c>
      <c r="I111" s="182">
        <v>381600.00099999999</v>
      </c>
      <c r="J111" s="182">
        <v>2321400.0049999999</v>
      </c>
      <c r="K111" s="182">
        <v>1494600.0050000001</v>
      </c>
      <c r="L111" s="198">
        <f t="shared" si="3"/>
        <v>381600.00099999999</v>
      </c>
      <c r="M111" s="198">
        <f t="shared" si="4"/>
        <v>2703000.0060000001</v>
      </c>
      <c r="N111" s="198">
        <f t="shared" si="5"/>
        <v>1113000.0039999997</v>
      </c>
    </row>
    <row r="112" spans="1:14" ht="12" customHeight="1" x14ac:dyDescent="0.35">
      <c r="A112" s="195" t="s">
        <v>265</v>
      </c>
      <c r="B112" s="195">
        <v>23310002</v>
      </c>
      <c r="C112" s="195" t="s">
        <v>266</v>
      </c>
      <c r="D112" s="197">
        <v>41454</v>
      </c>
      <c r="E112" s="197">
        <v>41455</v>
      </c>
      <c r="F112" s="195">
        <v>8038</v>
      </c>
      <c r="G112" s="198">
        <v>1047636</v>
      </c>
      <c r="H112" s="199">
        <v>0.1</v>
      </c>
      <c r="I112" s="182">
        <v>104763.6</v>
      </c>
      <c r="J112" s="182">
        <v>637311.89</v>
      </c>
      <c r="K112" s="182">
        <v>410324.11</v>
      </c>
      <c r="L112" s="198">
        <f t="shared" si="3"/>
        <v>104763.6</v>
      </c>
      <c r="M112" s="198">
        <f t="shared" si="4"/>
        <v>742075.49</v>
      </c>
      <c r="N112" s="198">
        <f t="shared" si="5"/>
        <v>305560.51</v>
      </c>
    </row>
    <row r="113" spans="1:14" ht="12" customHeight="1" x14ac:dyDescent="0.35">
      <c r="A113" s="195" t="s">
        <v>265</v>
      </c>
      <c r="B113" s="195">
        <v>23310002</v>
      </c>
      <c r="C113" s="195" t="s">
        <v>266</v>
      </c>
      <c r="D113" s="197">
        <v>41822</v>
      </c>
      <c r="E113" s="197">
        <v>42185</v>
      </c>
      <c r="F113" s="195">
        <v>8038</v>
      </c>
      <c r="G113" s="198">
        <v>55809</v>
      </c>
      <c r="H113" s="199">
        <v>0.1</v>
      </c>
      <c r="I113" s="182">
        <v>5580.9000000000005</v>
      </c>
      <c r="J113" s="182">
        <v>27889.490000000005</v>
      </c>
      <c r="K113" s="182">
        <v>27919.509999999995</v>
      </c>
      <c r="L113" s="198">
        <f t="shared" si="3"/>
        <v>5580.9000000000005</v>
      </c>
      <c r="M113" s="198">
        <f t="shared" si="4"/>
        <v>33470.390000000007</v>
      </c>
      <c r="N113" s="198">
        <f t="shared" si="5"/>
        <v>22338.609999999993</v>
      </c>
    </row>
    <row r="114" spans="1:14" ht="12" customHeight="1" x14ac:dyDescent="0.35">
      <c r="A114" s="195" t="s">
        <v>265</v>
      </c>
      <c r="B114" s="195">
        <v>23310002</v>
      </c>
      <c r="C114" s="195" t="s">
        <v>266</v>
      </c>
      <c r="D114" s="197">
        <v>41912</v>
      </c>
      <c r="E114" s="197">
        <v>42185</v>
      </c>
      <c r="F114" s="195">
        <v>8038</v>
      </c>
      <c r="G114" s="198">
        <v>47434.97</v>
      </c>
      <c r="H114" s="199">
        <v>0.1</v>
      </c>
      <c r="I114" s="182">
        <v>4743.4970000000003</v>
      </c>
      <c r="J114" s="182">
        <v>22926.897999999997</v>
      </c>
      <c r="K114" s="182">
        <v>24508.072000000004</v>
      </c>
      <c r="L114" s="198">
        <f t="shared" si="3"/>
        <v>4743.4970000000003</v>
      </c>
      <c r="M114" s="198">
        <f t="shared" si="4"/>
        <v>27670.394999999997</v>
      </c>
      <c r="N114" s="198">
        <f t="shared" si="5"/>
        <v>19764.575000000004</v>
      </c>
    </row>
    <row r="115" spans="1:14" ht="12" customHeight="1" x14ac:dyDescent="0.35">
      <c r="A115" s="195" t="s">
        <v>265</v>
      </c>
      <c r="B115" s="195">
        <v>23310002</v>
      </c>
      <c r="C115" s="195" t="s">
        <v>266</v>
      </c>
      <c r="D115" s="197">
        <v>41912</v>
      </c>
      <c r="E115" s="197">
        <v>42185</v>
      </c>
      <c r="F115" s="195">
        <v>8038</v>
      </c>
      <c r="G115" s="198">
        <v>31157.78</v>
      </c>
      <c r="H115" s="199">
        <v>0.1</v>
      </c>
      <c r="I115" s="182">
        <v>3115.7780000000002</v>
      </c>
      <c r="J115" s="182">
        <v>15059.586000000001</v>
      </c>
      <c r="K115" s="182">
        <v>16098.193999999998</v>
      </c>
      <c r="L115" s="198">
        <f t="shared" si="3"/>
        <v>3115.7780000000002</v>
      </c>
      <c r="M115" s="198">
        <f t="shared" si="4"/>
        <v>18175.364000000001</v>
      </c>
      <c r="N115" s="198">
        <f t="shared" si="5"/>
        <v>12982.415999999997</v>
      </c>
    </row>
    <row r="116" spans="1:14" ht="12" customHeight="1" x14ac:dyDescent="0.35">
      <c r="A116" s="195" t="s">
        <v>265</v>
      </c>
      <c r="B116" s="195">
        <v>23310002</v>
      </c>
      <c r="C116" s="195" t="s">
        <v>266</v>
      </c>
      <c r="D116" s="197">
        <v>41912</v>
      </c>
      <c r="E116" s="197">
        <v>42185</v>
      </c>
      <c r="F116" s="195">
        <v>8038</v>
      </c>
      <c r="G116" s="198">
        <v>17947.05</v>
      </c>
      <c r="H116" s="199">
        <v>0.1</v>
      </c>
      <c r="I116" s="182">
        <v>1794.7049999999999</v>
      </c>
      <c r="J116" s="182">
        <v>8674.4</v>
      </c>
      <c r="K116" s="182">
        <v>9272.65</v>
      </c>
      <c r="L116" s="198">
        <f t="shared" si="3"/>
        <v>1794.7049999999999</v>
      </c>
      <c r="M116" s="198">
        <f t="shared" si="4"/>
        <v>10469.105</v>
      </c>
      <c r="N116" s="198">
        <f t="shared" si="5"/>
        <v>7477.9449999999997</v>
      </c>
    </row>
    <row r="117" spans="1:14" ht="12" customHeight="1" x14ac:dyDescent="0.35">
      <c r="A117" s="195" t="s">
        <v>265</v>
      </c>
      <c r="B117" s="195">
        <v>23310002</v>
      </c>
      <c r="C117" s="195" t="s">
        <v>266</v>
      </c>
      <c r="D117" s="197">
        <v>41912</v>
      </c>
      <c r="E117" s="197">
        <v>42185</v>
      </c>
      <c r="F117" s="195">
        <v>8038</v>
      </c>
      <c r="G117" s="198">
        <v>16967.68</v>
      </c>
      <c r="H117" s="199">
        <v>0.1</v>
      </c>
      <c r="I117" s="182">
        <v>1696.768</v>
      </c>
      <c r="J117" s="182">
        <v>8201.0360000000001</v>
      </c>
      <c r="K117" s="182">
        <v>8766.6440000000002</v>
      </c>
      <c r="L117" s="198">
        <f t="shared" si="3"/>
        <v>1696.768</v>
      </c>
      <c r="M117" s="198">
        <f t="shared" si="4"/>
        <v>9897.8040000000001</v>
      </c>
      <c r="N117" s="198">
        <f t="shared" si="5"/>
        <v>7069.8760000000002</v>
      </c>
    </row>
    <row r="118" spans="1:14" ht="12" hidden="1" customHeight="1" x14ac:dyDescent="0.35">
      <c r="A118" s="173" t="s">
        <v>265</v>
      </c>
      <c r="B118" s="173">
        <v>23310002</v>
      </c>
      <c r="C118" s="173" t="s">
        <v>266</v>
      </c>
      <c r="D118" s="181">
        <v>43435</v>
      </c>
      <c r="E118" s="181">
        <v>43646</v>
      </c>
      <c r="F118" s="173">
        <v>8036</v>
      </c>
      <c r="G118" s="182">
        <v>362078</v>
      </c>
      <c r="H118" s="183">
        <v>0.1</v>
      </c>
      <c r="I118" s="182">
        <v>21121.216666666671</v>
      </c>
      <c r="J118" s="182">
        <v>21121.216666666671</v>
      </c>
      <c r="K118" s="182">
        <v>340956.78333333333</v>
      </c>
      <c r="L118" s="182">
        <f t="shared" si="3"/>
        <v>21121.216666666671</v>
      </c>
      <c r="M118" s="182">
        <f t="shared" si="4"/>
        <v>42242.433333333342</v>
      </c>
      <c r="N118" s="182">
        <f t="shared" si="5"/>
        <v>319835.56666666665</v>
      </c>
    </row>
    <row r="119" spans="1:14" ht="12" hidden="1" customHeight="1" x14ac:dyDescent="0.35">
      <c r="A119" s="173" t="s">
        <v>265</v>
      </c>
      <c r="B119" s="173">
        <v>23310002</v>
      </c>
      <c r="C119" s="173" t="s">
        <v>266</v>
      </c>
      <c r="D119" s="181">
        <v>43435</v>
      </c>
      <c r="E119" s="181">
        <v>43646</v>
      </c>
      <c r="F119" s="173">
        <v>8036</v>
      </c>
      <c r="G119" s="182">
        <v>26160</v>
      </c>
      <c r="H119" s="183">
        <v>0.1</v>
      </c>
      <c r="I119" s="182">
        <v>1526</v>
      </c>
      <c r="J119" s="182">
        <v>1526</v>
      </c>
      <c r="K119" s="182">
        <v>24634</v>
      </c>
      <c r="L119" s="182">
        <f t="shared" si="3"/>
        <v>1526</v>
      </c>
      <c r="M119" s="182">
        <f t="shared" si="4"/>
        <v>3052</v>
      </c>
      <c r="N119" s="182">
        <f t="shared" si="5"/>
        <v>23108</v>
      </c>
    </row>
    <row r="120" spans="1:14" ht="12" hidden="1" customHeight="1" x14ac:dyDescent="0.35">
      <c r="A120" s="173" t="s">
        <v>265</v>
      </c>
      <c r="B120" s="173">
        <v>23310002</v>
      </c>
      <c r="C120" s="173" t="s">
        <v>266</v>
      </c>
      <c r="D120" s="181">
        <v>43435</v>
      </c>
      <c r="E120" s="181">
        <v>43646</v>
      </c>
      <c r="F120" s="173">
        <v>8036</v>
      </c>
      <c r="G120" s="182">
        <v>15000</v>
      </c>
      <c r="H120" s="183">
        <v>0.1</v>
      </c>
      <c r="I120" s="182">
        <v>875</v>
      </c>
      <c r="J120" s="182">
        <v>875</v>
      </c>
      <c r="K120" s="182">
        <v>14125</v>
      </c>
      <c r="L120" s="182">
        <f t="shared" si="3"/>
        <v>875</v>
      </c>
      <c r="M120" s="182">
        <f t="shared" si="4"/>
        <v>1750</v>
      </c>
      <c r="N120" s="182">
        <f t="shared" si="5"/>
        <v>13250</v>
      </c>
    </row>
    <row r="121" spans="1:14" ht="12" hidden="1" customHeight="1" x14ac:dyDescent="0.35">
      <c r="A121" s="173" t="s">
        <v>265</v>
      </c>
      <c r="B121" s="173">
        <v>23310002</v>
      </c>
      <c r="C121" s="173" t="s">
        <v>266</v>
      </c>
      <c r="D121" s="181">
        <v>43435</v>
      </c>
      <c r="E121" s="181">
        <v>43646</v>
      </c>
      <c r="F121" s="173">
        <v>8036</v>
      </c>
      <c r="G121" s="182">
        <v>44100</v>
      </c>
      <c r="H121" s="183">
        <v>0.1</v>
      </c>
      <c r="I121" s="182">
        <v>2572.5</v>
      </c>
      <c r="J121" s="182">
        <v>2572.5</v>
      </c>
      <c r="K121" s="182">
        <v>41527.5</v>
      </c>
      <c r="L121" s="182">
        <f t="shared" si="3"/>
        <v>2572.5</v>
      </c>
      <c r="M121" s="182">
        <f t="shared" si="4"/>
        <v>5145</v>
      </c>
      <c r="N121" s="182">
        <f t="shared" si="5"/>
        <v>38955</v>
      </c>
    </row>
    <row r="122" spans="1:14" ht="12" customHeight="1" x14ac:dyDescent="0.35">
      <c r="A122" s="195" t="s">
        <v>265</v>
      </c>
      <c r="B122" s="195">
        <v>23310002</v>
      </c>
      <c r="C122" s="195" t="s">
        <v>266</v>
      </c>
      <c r="D122" s="197">
        <v>43435</v>
      </c>
      <c r="E122" s="197">
        <v>43646</v>
      </c>
      <c r="F122" s="195">
        <v>8038</v>
      </c>
      <c r="G122" s="198">
        <v>4440</v>
      </c>
      <c r="H122" s="199">
        <v>0.1</v>
      </c>
      <c r="I122" s="182">
        <v>259</v>
      </c>
      <c r="J122" s="182">
        <v>259</v>
      </c>
      <c r="K122" s="182">
        <v>4181</v>
      </c>
      <c r="L122" s="198">
        <f t="shared" si="3"/>
        <v>259</v>
      </c>
      <c r="M122" s="198">
        <f t="shared" si="4"/>
        <v>518</v>
      </c>
      <c r="N122" s="198">
        <f t="shared" si="5"/>
        <v>3922</v>
      </c>
    </row>
    <row r="123" spans="1:14" ht="12" hidden="1" customHeight="1" x14ac:dyDescent="0.35">
      <c r="A123" s="195" t="s">
        <v>265</v>
      </c>
      <c r="B123" s="196">
        <v>23310003</v>
      </c>
      <c r="C123" s="195" t="s">
        <v>269</v>
      </c>
      <c r="D123" s="197">
        <v>41094</v>
      </c>
      <c r="E123" s="197">
        <v>41455</v>
      </c>
      <c r="F123" s="195">
        <v>8036</v>
      </c>
      <c r="G123" s="198">
        <v>120561.41</v>
      </c>
      <c r="H123" s="199">
        <v>0.5</v>
      </c>
      <c r="I123" s="182">
        <v>0</v>
      </c>
      <c r="J123" s="182">
        <v>120561.41</v>
      </c>
      <c r="K123" s="182">
        <v>0</v>
      </c>
      <c r="L123" s="198">
        <f t="shared" si="3"/>
        <v>0</v>
      </c>
      <c r="M123" s="198">
        <f t="shared" si="4"/>
        <v>120561.41</v>
      </c>
      <c r="N123" s="198">
        <f t="shared" si="5"/>
        <v>0</v>
      </c>
    </row>
    <row r="124" spans="1:14" ht="12" hidden="1" customHeight="1" x14ac:dyDescent="0.35">
      <c r="A124" s="195" t="s">
        <v>265</v>
      </c>
      <c r="B124" s="196">
        <v>23310003</v>
      </c>
      <c r="C124" s="195" t="s">
        <v>269</v>
      </c>
      <c r="D124" s="197">
        <v>41094</v>
      </c>
      <c r="E124" s="197">
        <v>41455</v>
      </c>
      <c r="F124" s="195">
        <v>8036</v>
      </c>
      <c r="G124" s="198">
        <v>106553.08</v>
      </c>
      <c r="H124" s="199">
        <v>0.5</v>
      </c>
      <c r="I124" s="182">
        <v>0</v>
      </c>
      <c r="J124" s="182">
        <v>106553.08</v>
      </c>
      <c r="K124" s="182">
        <v>0</v>
      </c>
      <c r="L124" s="198">
        <f t="shared" si="3"/>
        <v>0</v>
      </c>
      <c r="M124" s="198">
        <f t="shared" si="4"/>
        <v>106553.08</v>
      </c>
      <c r="N124" s="198">
        <f t="shared" si="5"/>
        <v>0</v>
      </c>
    </row>
    <row r="125" spans="1:14" ht="12" hidden="1" customHeight="1" x14ac:dyDescent="0.35">
      <c r="A125" s="195" t="s">
        <v>265</v>
      </c>
      <c r="B125" s="196">
        <v>23310003</v>
      </c>
      <c r="C125" s="195" t="s">
        <v>269</v>
      </c>
      <c r="D125" s="197">
        <v>41095</v>
      </c>
      <c r="E125" s="197">
        <v>41455</v>
      </c>
      <c r="F125" s="195">
        <v>8036</v>
      </c>
      <c r="G125" s="198">
        <v>83056.89</v>
      </c>
      <c r="H125" s="199">
        <v>0.5</v>
      </c>
      <c r="I125" s="182">
        <v>0</v>
      </c>
      <c r="J125" s="182">
        <v>83056.885000000009</v>
      </c>
      <c r="K125" s="182">
        <v>4.9999999901046976E-3</v>
      </c>
      <c r="L125" s="198">
        <f t="shared" si="3"/>
        <v>0</v>
      </c>
      <c r="M125" s="198">
        <f t="shared" si="4"/>
        <v>83056.885000000009</v>
      </c>
      <c r="N125" s="198">
        <f t="shared" si="5"/>
        <v>4.9999999901046976E-3</v>
      </c>
    </row>
    <row r="126" spans="1:14" ht="12" customHeight="1" x14ac:dyDescent="0.35">
      <c r="A126" s="195" t="s">
        <v>265</v>
      </c>
      <c r="B126" s="196">
        <v>23310003</v>
      </c>
      <c r="C126" s="195" t="s">
        <v>269</v>
      </c>
      <c r="D126" s="197">
        <v>41481</v>
      </c>
      <c r="E126" s="197">
        <v>41820</v>
      </c>
      <c r="F126" s="195">
        <v>8038</v>
      </c>
      <c r="G126" s="198">
        <v>3510</v>
      </c>
      <c r="H126" s="199">
        <v>0.3333333</v>
      </c>
      <c r="I126" s="182">
        <v>0</v>
      </c>
      <c r="J126" s="182">
        <v>3510</v>
      </c>
      <c r="K126" s="182">
        <v>0</v>
      </c>
      <c r="L126" s="198">
        <f t="shared" si="3"/>
        <v>0</v>
      </c>
      <c r="M126" s="198">
        <f t="shared" si="4"/>
        <v>3510</v>
      </c>
      <c r="N126" s="198">
        <f t="shared" si="5"/>
        <v>0</v>
      </c>
    </row>
    <row r="127" spans="1:14" ht="12" hidden="1" customHeight="1" x14ac:dyDescent="0.35">
      <c r="A127" s="195" t="s">
        <v>265</v>
      </c>
      <c r="B127" s="196">
        <v>23310003</v>
      </c>
      <c r="C127" s="195" t="s">
        <v>269</v>
      </c>
      <c r="D127" s="197">
        <v>41578</v>
      </c>
      <c r="E127" s="197">
        <v>41820</v>
      </c>
      <c r="F127" s="195">
        <v>8036</v>
      </c>
      <c r="G127" s="198">
        <v>41907.24</v>
      </c>
      <c r="H127" s="199">
        <v>0.5</v>
      </c>
      <c r="I127" s="182">
        <v>0</v>
      </c>
      <c r="J127" s="182">
        <v>41907.24</v>
      </c>
      <c r="K127" s="182">
        <v>0</v>
      </c>
      <c r="L127" s="198">
        <f t="shared" si="3"/>
        <v>0</v>
      </c>
      <c r="M127" s="198">
        <f t="shared" si="4"/>
        <v>41907.24</v>
      </c>
      <c r="N127" s="198">
        <f t="shared" si="5"/>
        <v>0</v>
      </c>
    </row>
    <row r="128" spans="1:14" ht="12" hidden="1" customHeight="1" x14ac:dyDescent="0.35">
      <c r="A128" s="195" t="s">
        <v>265</v>
      </c>
      <c r="B128" s="196">
        <v>23310003</v>
      </c>
      <c r="C128" s="195" t="s">
        <v>269</v>
      </c>
      <c r="D128" s="197">
        <v>41639</v>
      </c>
      <c r="E128" s="197">
        <v>41820</v>
      </c>
      <c r="F128" s="195">
        <v>8036</v>
      </c>
      <c r="G128" s="198">
        <v>171248</v>
      </c>
      <c r="H128" s="199">
        <v>0.5</v>
      </c>
      <c r="I128" s="182">
        <v>0</v>
      </c>
      <c r="J128" s="182">
        <v>171248</v>
      </c>
      <c r="K128" s="182">
        <v>0</v>
      </c>
      <c r="L128" s="198">
        <f t="shared" si="3"/>
        <v>0</v>
      </c>
      <c r="M128" s="198">
        <f t="shared" si="4"/>
        <v>171248</v>
      </c>
      <c r="N128" s="198">
        <f t="shared" si="5"/>
        <v>0</v>
      </c>
    </row>
    <row r="129" spans="1:14" ht="12" hidden="1" customHeight="1" x14ac:dyDescent="0.35">
      <c r="A129" s="195" t="s">
        <v>265</v>
      </c>
      <c r="B129" s="196">
        <v>23310003</v>
      </c>
      <c r="C129" s="195" t="s">
        <v>269</v>
      </c>
      <c r="D129" s="197">
        <v>41639</v>
      </c>
      <c r="E129" s="197">
        <v>41820</v>
      </c>
      <c r="F129" s="195">
        <v>8036</v>
      </c>
      <c r="G129" s="198">
        <v>42427.22</v>
      </c>
      <c r="H129" s="199">
        <v>0.5</v>
      </c>
      <c r="I129" s="182">
        <v>0</v>
      </c>
      <c r="J129" s="182">
        <v>42427.22</v>
      </c>
      <c r="K129" s="182">
        <v>0</v>
      </c>
      <c r="L129" s="198">
        <f t="shared" si="3"/>
        <v>0</v>
      </c>
      <c r="M129" s="198">
        <f t="shared" si="4"/>
        <v>42427.22</v>
      </c>
      <c r="N129" s="198">
        <f t="shared" si="5"/>
        <v>0</v>
      </c>
    </row>
    <row r="130" spans="1:14" ht="12" customHeight="1" x14ac:dyDescent="0.35">
      <c r="A130" s="195" t="s">
        <v>265</v>
      </c>
      <c r="B130" s="196">
        <v>23310003</v>
      </c>
      <c r="C130" s="195" t="s">
        <v>269</v>
      </c>
      <c r="D130" s="197">
        <v>41652</v>
      </c>
      <c r="E130" s="197">
        <v>41820</v>
      </c>
      <c r="F130" s="195">
        <v>8038</v>
      </c>
      <c r="G130" s="198">
        <v>31208.799999999999</v>
      </c>
      <c r="H130" s="199">
        <v>0.3333333</v>
      </c>
      <c r="I130" s="182">
        <v>0</v>
      </c>
      <c r="J130" s="182">
        <v>31208.799999999999</v>
      </c>
      <c r="K130" s="182">
        <v>0</v>
      </c>
      <c r="L130" s="198">
        <f t="shared" si="3"/>
        <v>0</v>
      </c>
      <c r="M130" s="198">
        <f t="shared" si="4"/>
        <v>31208.799999999999</v>
      </c>
      <c r="N130" s="198">
        <f t="shared" si="5"/>
        <v>0</v>
      </c>
    </row>
    <row r="131" spans="1:14" ht="12" customHeight="1" x14ac:dyDescent="0.35">
      <c r="A131" s="195" t="s">
        <v>265</v>
      </c>
      <c r="B131" s="196">
        <v>23310003</v>
      </c>
      <c r="C131" s="195" t="s">
        <v>269</v>
      </c>
      <c r="D131" s="197">
        <v>41793</v>
      </c>
      <c r="E131" s="197">
        <v>41820</v>
      </c>
      <c r="F131" s="195">
        <v>8038</v>
      </c>
      <c r="G131" s="198">
        <v>230944</v>
      </c>
      <c r="H131" s="199">
        <v>0.3333333</v>
      </c>
      <c r="I131" s="182">
        <v>0</v>
      </c>
      <c r="J131" s="182">
        <v>230944</v>
      </c>
      <c r="K131" s="182">
        <v>0</v>
      </c>
      <c r="L131" s="198">
        <f t="shared" ref="L131:L194" si="6">+I131</f>
        <v>0</v>
      </c>
      <c r="M131" s="198">
        <f t="shared" ref="M131:M194" si="7">+L131+J131</f>
        <v>230944</v>
      </c>
      <c r="N131" s="198">
        <f t="shared" ref="N131:N194" si="8">+G131-M131</f>
        <v>0</v>
      </c>
    </row>
    <row r="132" spans="1:14" ht="12" customHeight="1" x14ac:dyDescent="0.35">
      <c r="A132" s="195" t="s">
        <v>265</v>
      </c>
      <c r="B132" s="196">
        <v>23310003</v>
      </c>
      <c r="C132" s="195" t="s">
        <v>269</v>
      </c>
      <c r="D132" s="197">
        <v>41794</v>
      </c>
      <c r="E132" s="197">
        <v>41820</v>
      </c>
      <c r="F132" s="195">
        <v>8038</v>
      </c>
      <c r="G132" s="198">
        <v>111672.4</v>
      </c>
      <c r="H132" s="199">
        <v>0.3333333</v>
      </c>
      <c r="I132" s="182">
        <v>-3.2961092074401677E-3</v>
      </c>
      <c r="J132" s="182">
        <v>111672.4</v>
      </c>
      <c r="K132" s="182">
        <v>0</v>
      </c>
      <c r="L132" s="198">
        <f t="shared" si="6"/>
        <v>-3.2961092074401677E-3</v>
      </c>
      <c r="M132" s="198">
        <f t="shared" si="7"/>
        <v>111672.39670389079</v>
      </c>
      <c r="N132" s="198">
        <f t="shared" si="8"/>
        <v>3.2961092074401677E-3</v>
      </c>
    </row>
    <row r="133" spans="1:14" ht="12" hidden="1" customHeight="1" x14ac:dyDescent="0.35">
      <c r="A133" s="195" t="s">
        <v>265</v>
      </c>
      <c r="B133" s="196">
        <v>23310003</v>
      </c>
      <c r="C133" s="195" t="s">
        <v>269</v>
      </c>
      <c r="D133" s="197">
        <v>41834</v>
      </c>
      <c r="E133" s="197">
        <v>42185</v>
      </c>
      <c r="F133" s="195">
        <v>8036</v>
      </c>
      <c r="G133" s="198">
        <v>81405.5</v>
      </c>
      <c r="H133" s="199">
        <v>0.5</v>
      </c>
      <c r="I133" s="182">
        <v>0</v>
      </c>
      <c r="J133" s="182">
        <v>81405.5</v>
      </c>
      <c r="K133" s="182">
        <v>0</v>
      </c>
      <c r="L133" s="198">
        <f t="shared" si="6"/>
        <v>0</v>
      </c>
      <c r="M133" s="198">
        <f t="shared" si="7"/>
        <v>81405.5</v>
      </c>
      <c r="N133" s="198">
        <f t="shared" si="8"/>
        <v>0</v>
      </c>
    </row>
    <row r="134" spans="1:14" ht="12" hidden="1" customHeight="1" x14ac:dyDescent="0.35">
      <c r="A134" s="195" t="s">
        <v>265</v>
      </c>
      <c r="B134" s="196">
        <v>23310003</v>
      </c>
      <c r="C134" s="195" t="s">
        <v>269</v>
      </c>
      <c r="D134" s="197">
        <v>41835</v>
      </c>
      <c r="E134" s="197">
        <v>42185</v>
      </c>
      <c r="F134" s="195">
        <v>8036</v>
      </c>
      <c r="G134" s="198">
        <v>100814</v>
      </c>
      <c r="H134" s="199">
        <v>0.5</v>
      </c>
      <c r="I134" s="182">
        <v>0</v>
      </c>
      <c r="J134" s="182">
        <v>100814</v>
      </c>
      <c r="K134" s="182">
        <v>0</v>
      </c>
      <c r="L134" s="198">
        <f t="shared" si="6"/>
        <v>0</v>
      </c>
      <c r="M134" s="198">
        <f t="shared" si="7"/>
        <v>100814</v>
      </c>
      <c r="N134" s="198">
        <f t="shared" si="8"/>
        <v>0</v>
      </c>
    </row>
    <row r="135" spans="1:14" ht="12" hidden="1" customHeight="1" x14ac:dyDescent="0.35">
      <c r="A135" s="195" t="s">
        <v>265</v>
      </c>
      <c r="B135" s="196">
        <v>23310003</v>
      </c>
      <c r="C135" s="195" t="s">
        <v>269</v>
      </c>
      <c r="D135" s="197">
        <v>41835</v>
      </c>
      <c r="E135" s="197">
        <v>42185</v>
      </c>
      <c r="F135" s="195">
        <v>8036</v>
      </c>
      <c r="G135" s="198">
        <v>85933.2</v>
      </c>
      <c r="H135" s="199">
        <v>0.5</v>
      </c>
      <c r="I135" s="182">
        <v>0</v>
      </c>
      <c r="J135" s="182">
        <v>85933.200000000012</v>
      </c>
      <c r="K135" s="182">
        <v>0</v>
      </c>
      <c r="L135" s="198">
        <f t="shared" si="6"/>
        <v>0</v>
      </c>
      <c r="M135" s="198">
        <f t="shared" si="7"/>
        <v>85933.200000000012</v>
      </c>
      <c r="N135" s="198">
        <f t="shared" si="8"/>
        <v>0</v>
      </c>
    </row>
    <row r="136" spans="1:14" ht="12" customHeight="1" x14ac:dyDescent="0.35">
      <c r="A136" s="195" t="s">
        <v>265</v>
      </c>
      <c r="B136" s="196">
        <v>23310003</v>
      </c>
      <c r="C136" s="195" t="s">
        <v>269</v>
      </c>
      <c r="D136" s="197">
        <v>41922</v>
      </c>
      <c r="E136" s="197">
        <v>42185</v>
      </c>
      <c r="F136" s="195">
        <v>8038</v>
      </c>
      <c r="G136" s="198">
        <v>11844.03</v>
      </c>
      <c r="H136" s="199">
        <v>0.5</v>
      </c>
      <c r="I136" s="182">
        <v>0</v>
      </c>
      <c r="J136" s="182">
        <v>11844.025000000001</v>
      </c>
      <c r="K136" s="182">
        <v>4.9999999991996447E-3</v>
      </c>
      <c r="L136" s="198">
        <f t="shared" si="6"/>
        <v>0</v>
      </c>
      <c r="M136" s="198">
        <f t="shared" si="7"/>
        <v>11844.025000000001</v>
      </c>
      <c r="N136" s="198">
        <f t="shared" si="8"/>
        <v>4.9999999991996447E-3</v>
      </c>
    </row>
    <row r="137" spans="1:14" ht="12" customHeight="1" x14ac:dyDescent="0.35">
      <c r="A137" s="195" t="s">
        <v>265</v>
      </c>
      <c r="B137" s="196">
        <v>23310003</v>
      </c>
      <c r="C137" s="195" t="s">
        <v>269</v>
      </c>
      <c r="D137" s="197">
        <v>42053</v>
      </c>
      <c r="E137" s="197">
        <v>42185</v>
      </c>
      <c r="F137" s="195">
        <v>8038</v>
      </c>
      <c r="G137" s="198">
        <v>140000</v>
      </c>
      <c r="H137" s="199">
        <v>0.5</v>
      </c>
      <c r="I137" s="182">
        <v>0</v>
      </c>
      <c r="J137" s="182">
        <v>140000</v>
      </c>
      <c r="K137" s="182">
        <v>0</v>
      </c>
      <c r="L137" s="198">
        <f t="shared" si="6"/>
        <v>0</v>
      </c>
      <c r="M137" s="198">
        <f t="shared" si="7"/>
        <v>140000</v>
      </c>
      <c r="N137" s="198">
        <f t="shared" si="8"/>
        <v>0</v>
      </c>
    </row>
    <row r="138" spans="1:14" ht="12" hidden="1" customHeight="1" x14ac:dyDescent="0.35">
      <c r="A138" s="195" t="s">
        <v>265</v>
      </c>
      <c r="B138" s="196">
        <v>23310003</v>
      </c>
      <c r="C138" s="195" t="s">
        <v>269</v>
      </c>
      <c r="D138" s="197">
        <v>43315</v>
      </c>
      <c r="E138" s="197">
        <v>43646</v>
      </c>
      <c r="F138" s="195">
        <v>8036</v>
      </c>
      <c r="G138" s="198">
        <v>127776.32000000001</v>
      </c>
      <c r="H138" s="199">
        <v>0.5</v>
      </c>
      <c r="I138" s="182">
        <v>58564.146666666667</v>
      </c>
      <c r="J138" s="182">
        <v>58564.146666666667</v>
      </c>
      <c r="K138" s="182">
        <v>69212.17333333334</v>
      </c>
      <c r="L138" s="198">
        <f t="shared" si="6"/>
        <v>58564.146666666667</v>
      </c>
      <c r="M138" s="198">
        <f t="shared" si="7"/>
        <v>117128.29333333333</v>
      </c>
      <c r="N138" s="198">
        <f t="shared" si="8"/>
        <v>10648.026666666672</v>
      </c>
    </row>
    <row r="139" spans="1:14" ht="12" hidden="1" customHeight="1" x14ac:dyDescent="0.35">
      <c r="A139" s="195" t="s">
        <v>265</v>
      </c>
      <c r="B139" s="196">
        <v>23310003</v>
      </c>
      <c r="C139" s="195" t="s">
        <v>269</v>
      </c>
      <c r="D139" s="197">
        <v>43316</v>
      </c>
      <c r="E139" s="197">
        <v>43646</v>
      </c>
      <c r="F139" s="195">
        <v>8036</v>
      </c>
      <c r="G139" s="198">
        <v>154328.72</v>
      </c>
      <c r="H139" s="199">
        <v>0.5</v>
      </c>
      <c r="I139" s="182">
        <v>70733.996666666659</v>
      </c>
      <c r="J139" s="182">
        <v>70733.996666666659</v>
      </c>
      <c r="K139" s="182">
        <v>83594.723333333342</v>
      </c>
      <c r="L139" s="198">
        <f t="shared" si="6"/>
        <v>70733.996666666659</v>
      </c>
      <c r="M139" s="198">
        <f t="shared" si="7"/>
        <v>141467.99333333332</v>
      </c>
      <c r="N139" s="198">
        <f t="shared" si="8"/>
        <v>12860.726666666684</v>
      </c>
    </row>
    <row r="140" spans="1:14" ht="12" hidden="1" customHeight="1" x14ac:dyDescent="0.35">
      <c r="A140" s="195" t="s">
        <v>265</v>
      </c>
      <c r="B140" s="196">
        <v>23310003</v>
      </c>
      <c r="C140" s="195" t="s">
        <v>269</v>
      </c>
      <c r="D140" s="197">
        <v>43316</v>
      </c>
      <c r="E140" s="197">
        <v>43646</v>
      </c>
      <c r="F140" s="195">
        <v>8036</v>
      </c>
      <c r="G140" s="198">
        <v>17216.72</v>
      </c>
      <c r="H140" s="199">
        <v>0.5</v>
      </c>
      <c r="I140" s="182">
        <v>7890.9966666666669</v>
      </c>
      <c r="J140" s="182">
        <v>7890.9966666666669</v>
      </c>
      <c r="K140" s="182">
        <v>9325.7233333333352</v>
      </c>
      <c r="L140" s="198">
        <f t="shared" si="6"/>
        <v>7890.9966666666669</v>
      </c>
      <c r="M140" s="198">
        <f t="shared" si="7"/>
        <v>15781.993333333334</v>
      </c>
      <c r="N140" s="198">
        <f t="shared" si="8"/>
        <v>1434.7266666666674</v>
      </c>
    </row>
    <row r="141" spans="1:14" ht="12" hidden="1" customHeight="1" x14ac:dyDescent="0.35">
      <c r="A141" s="195" t="s">
        <v>265</v>
      </c>
      <c r="B141" s="196">
        <v>23310003</v>
      </c>
      <c r="C141" s="195" t="s">
        <v>269</v>
      </c>
      <c r="D141" s="197">
        <v>43318</v>
      </c>
      <c r="E141" s="197">
        <v>43646</v>
      </c>
      <c r="F141" s="195">
        <v>8036</v>
      </c>
      <c r="G141" s="198">
        <v>59758.559999999998</v>
      </c>
      <c r="H141" s="199">
        <v>0.5</v>
      </c>
      <c r="I141" s="182">
        <v>27389.339999999997</v>
      </c>
      <c r="J141" s="182">
        <v>27389.339999999997</v>
      </c>
      <c r="K141" s="182">
        <v>32369.22</v>
      </c>
      <c r="L141" s="198">
        <f t="shared" si="6"/>
        <v>27389.339999999997</v>
      </c>
      <c r="M141" s="198">
        <f t="shared" si="7"/>
        <v>54778.679999999993</v>
      </c>
      <c r="N141" s="198">
        <f t="shared" si="8"/>
        <v>4979.8800000000047</v>
      </c>
    </row>
    <row r="142" spans="1:14" ht="12" customHeight="1" x14ac:dyDescent="0.35">
      <c r="A142" s="195" t="s">
        <v>265</v>
      </c>
      <c r="B142" s="196">
        <v>23310003</v>
      </c>
      <c r="C142" s="195" t="s">
        <v>269</v>
      </c>
      <c r="D142" s="197">
        <v>43285</v>
      </c>
      <c r="E142" s="197">
        <v>43646</v>
      </c>
      <c r="F142" s="195">
        <v>8038</v>
      </c>
      <c r="G142" s="198">
        <v>541246.9</v>
      </c>
      <c r="H142" s="199">
        <v>0.5</v>
      </c>
      <c r="I142" s="182">
        <v>270623.45</v>
      </c>
      <c r="J142" s="182">
        <v>270623.45</v>
      </c>
      <c r="K142" s="182">
        <v>270623.45</v>
      </c>
      <c r="L142" s="198">
        <f t="shared" si="6"/>
        <v>270623.45</v>
      </c>
      <c r="M142" s="198">
        <f t="shared" si="7"/>
        <v>541246.9</v>
      </c>
      <c r="N142" s="198">
        <f t="shared" si="8"/>
        <v>0</v>
      </c>
    </row>
    <row r="143" spans="1:14" ht="12" customHeight="1" x14ac:dyDescent="0.35">
      <c r="A143" s="195" t="s">
        <v>265</v>
      </c>
      <c r="B143" s="196">
        <v>23310003</v>
      </c>
      <c r="C143" s="195" t="s">
        <v>269</v>
      </c>
      <c r="D143" s="197">
        <v>43314</v>
      </c>
      <c r="E143" s="197">
        <v>43646</v>
      </c>
      <c r="F143" s="195">
        <v>8038</v>
      </c>
      <c r="G143" s="198">
        <v>100732.34999999999</v>
      </c>
      <c r="H143" s="199">
        <v>0.5</v>
      </c>
      <c r="I143" s="182">
        <v>46168.993749999994</v>
      </c>
      <c r="J143" s="182">
        <v>46168.993749999994</v>
      </c>
      <c r="K143" s="182">
        <v>54563.356249999997</v>
      </c>
      <c r="L143" s="198">
        <f t="shared" si="6"/>
        <v>46168.993749999994</v>
      </c>
      <c r="M143" s="198">
        <f t="shared" si="7"/>
        <v>92337.987499999988</v>
      </c>
      <c r="N143" s="198">
        <f t="shared" si="8"/>
        <v>8394.3625000000029</v>
      </c>
    </row>
    <row r="144" spans="1:14" ht="12" hidden="1" customHeight="1" x14ac:dyDescent="0.35">
      <c r="A144" s="195" t="s">
        <v>265</v>
      </c>
      <c r="B144" s="196">
        <v>23310003</v>
      </c>
      <c r="C144" s="195" t="s">
        <v>269</v>
      </c>
      <c r="D144" s="197">
        <v>43318</v>
      </c>
      <c r="E144" s="197">
        <v>43646</v>
      </c>
      <c r="F144" s="195">
        <v>8039</v>
      </c>
      <c r="G144" s="198">
        <v>123748.8</v>
      </c>
      <c r="H144" s="199">
        <v>0.5</v>
      </c>
      <c r="I144" s="182">
        <v>56718.200000000004</v>
      </c>
      <c r="J144" s="182">
        <v>56718.200000000004</v>
      </c>
      <c r="K144" s="182">
        <v>67030.600000000006</v>
      </c>
      <c r="L144" s="198">
        <f t="shared" si="6"/>
        <v>56718.200000000004</v>
      </c>
      <c r="M144" s="198">
        <f t="shared" si="7"/>
        <v>113436.40000000001</v>
      </c>
      <c r="N144" s="198">
        <f t="shared" si="8"/>
        <v>10312.399999999994</v>
      </c>
    </row>
    <row r="145" spans="1:14" ht="12" customHeight="1" x14ac:dyDescent="0.35">
      <c r="A145" s="195" t="s">
        <v>265</v>
      </c>
      <c r="B145" s="196">
        <v>23310004</v>
      </c>
      <c r="C145" s="195" t="s">
        <v>270</v>
      </c>
      <c r="D145" s="197">
        <v>43312</v>
      </c>
      <c r="E145" s="197">
        <v>43646</v>
      </c>
      <c r="F145" s="195">
        <v>8038</v>
      </c>
      <c r="G145" s="198">
        <v>131718.49655159999</v>
      </c>
      <c r="H145" s="199">
        <v>0.3333333</v>
      </c>
      <c r="I145" s="182">
        <v>40247.314366034821</v>
      </c>
      <c r="J145" s="182">
        <v>40247.314366034821</v>
      </c>
      <c r="K145" s="182">
        <v>91471.18218556518</v>
      </c>
      <c r="L145" s="198">
        <f t="shared" si="6"/>
        <v>40247.314366034821</v>
      </c>
      <c r="M145" s="198">
        <f t="shared" si="7"/>
        <v>80494.628732069643</v>
      </c>
      <c r="N145" s="198">
        <f t="shared" si="8"/>
        <v>51223.867819530351</v>
      </c>
    </row>
    <row r="146" spans="1:14" ht="12" customHeight="1" x14ac:dyDescent="0.35">
      <c r="A146" s="195" t="s">
        <v>265</v>
      </c>
      <c r="B146" s="196">
        <v>23310004</v>
      </c>
      <c r="C146" s="195" t="s">
        <v>270</v>
      </c>
      <c r="D146" s="197">
        <v>43312</v>
      </c>
      <c r="E146" s="197">
        <v>43646</v>
      </c>
      <c r="F146" s="195">
        <v>8038</v>
      </c>
      <c r="G146" s="198">
        <v>131718.49655159999</v>
      </c>
      <c r="H146" s="199">
        <v>0.3333333</v>
      </c>
      <c r="I146" s="182">
        <v>40247.314366034821</v>
      </c>
      <c r="J146" s="182">
        <v>40247.314366034821</v>
      </c>
      <c r="K146" s="182">
        <v>91471.18218556518</v>
      </c>
      <c r="L146" s="198">
        <f t="shared" si="6"/>
        <v>40247.314366034821</v>
      </c>
      <c r="M146" s="198">
        <f t="shared" si="7"/>
        <v>80494.628732069643</v>
      </c>
      <c r="N146" s="198">
        <f t="shared" si="8"/>
        <v>51223.867819530351</v>
      </c>
    </row>
    <row r="147" spans="1:14" ht="12" customHeight="1" x14ac:dyDescent="0.35">
      <c r="A147" s="195" t="s">
        <v>265</v>
      </c>
      <c r="B147" s="196">
        <v>23310004</v>
      </c>
      <c r="C147" s="195" t="s">
        <v>270</v>
      </c>
      <c r="D147" s="197">
        <v>43312</v>
      </c>
      <c r="E147" s="197">
        <v>43646</v>
      </c>
      <c r="F147" s="195">
        <v>8038</v>
      </c>
      <c r="G147" s="198">
        <v>131718.49655159999</v>
      </c>
      <c r="H147" s="199">
        <v>0.3333333</v>
      </c>
      <c r="I147" s="182">
        <v>40247.314366034821</v>
      </c>
      <c r="J147" s="182">
        <v>40247.314366034821</v>
      </c>
      <c r="K147" s="182">
        <v>91471.18218556518</v>
      </c>
      <c r="L147" s="198">
        <f t="shared" si="6"/>
        <v>40247.314366034821</v>
      </c>
      <c r="M147" s="198">
        <f t="shared" si="7"/>
        <v>80494.628732069643</v>
      </c>
      <c r="N147" s="198">
        <f t="shared" si="8"/>
        <v>51223.867819530351</v>
      </c>
    </row>
    <row r="148" spans="1:14" ht="12" hidden="1" customHeight="1" x14ac:dyDescent="0.35">
      <c r="A148" s="195" t="s">
        <v>265</v>
      </c>
      <c r="B148" s="196">
        <v>23310004</v>
      </c>
      <c r="C148" s="195" t="s">
        <v>270</v>
      </c>
      <c r="D148" s="197">
        <v>43314</v>
      </c>
      <c r="E148" s="197">
        <v>43646</v>
      </c>
      <c r="F148" s="195">
        <v>8036</v>
      </c>
      <c r="G148" s="198">
        <v>48735.843724092003</v>
      </c>
      <c r="H148" s="199">
        <v>0.3333333</v>
      </c>
      <c r="I148" s="182">
        <v>14891.506315432887</v>
      </c>
      <c r="J148" s="182">
        <v>14891.506315432887</v>
      </c>
      <c r="K148" s="182">
        <v>33844.337408659114</v>
      </c>
      <c r="L148" s="198">
        <f t="shared" si="6"/>
        <v>14891.506315432887</v>
      </c>
      <c r="M148" s="198">
        <f t="shared" si="7"/>
        <v>29783.012630865775</v>
      </c>
      <c r="N148" s="198">
        <f t="shared" si="8"/>
        <v>18952.831093226228</v>
      </c>
    </row>
    <row r="149" spans="1:14" ht="12" hidden="1" customHeight="1" x14ac:dyDescent="0.35">
      <c r="A149" s="195" t="s">
        <v>265</v>
      </c>
      <c r="B149" s="196">
        <v>23310004</v>
      </c>
      <c r="C149" s="195" t="s">
        <v>270</v>
      </c>
      <c r="D149" s="197">
        <v>43314</v>
      </c>
      <c r="E149" s="197">
        <v>43646</v>
      </c>
      <c r="F149" s="195">
        <v>8036</v>
      </c>
      <c r="G149" s="198">
        <v>48735.843724092003</v>
      </c>
      <c r="H149" s="199">
        <v>0.3333333</v>
      </c>
      <c r="I149" s="182">
        <v>14891.506315432887</v>
      </c>
      <c r="J149" s="182">
        <v>14891.506315432887</v>
      </c>
      <c r="K149" s="182">
        <v>33844.337408659114</v>
      </c>
      <c r="L149" s="198">
        <f t="shared" si="6"/>
        <v>14891.506315432887</v>
      </c>
      <c r="M149" s="198">
        <f t="shared" si="7"/>
        <v>29783.012630865775</v>
      </c>
      <c r="N149" s="198">
        <f t="shared" si="8"/>
        <v>18952.831093226228</v>
      </c>
    </row>
    <row r="150" spans="1:14" ht="12" hidden="1" customHeight="1" x14ac:dyDescent="0.35">
      <c r="A150" s="195" t="s">
        <v>265</v>
      </c>
      <c r="B150" s="196">
        <v>23310004</v>
      </c>
      <c r="C150" s="195" t="s">
        <v>270</v>
      </c>
      <c r="D150" s="197">
        <v>43314</v>
      </c>
      <c r="E150" s="197">
        <v>43646</v>
      </c>
      <c r="F150" s="195">
        <v>8036</v>
      </c>
      <c r="G150" s="198">
        <v>48735.843724092003</v>
      </c>
      <c r="H150" s="199">
        <v>0.3333333</v>
      </c>
      <c r="I150" s="182">
        <v>14891.506315432887</v>
      </c>
      <c r="J150" s="182">
        <v>14891.506315432887</v>
      </c>
      <c r="K150" s="182">
        <v>33844.337408659114</v>
      </c>
      <c r="L150" s="198">
        <f t="shared" si="6"/>
        <v>14891.506315432887</v>
      </c>
      <c r="M150" s="198">
        <f t="shared" si="7"/>
        <v>29783.012630865775</v>
      </c>
      <c r="N150" s="198">
        <f t="shared" si="8"/>
        <v>18952.831093226228</v>
      </c>
    </row>
    <row r="151" spans="1:14" ht="12" hidden="1" customHeight="1" x14ac:dyDescent="0.35">
      <c r="A151" s="195" t="s">
        <v>265</v>
      </c>
      <c r="B151" s="196">
        <v>23310004</v>
      </c>
      <c r="C151" s="195" t="s">
        <v>270</v>
      </c>
      <c r="D151" s="197">
        <v>43316</v>
      </c>
      <c r="E151" s="197">
        <v>43646</v>
      </c>
      <c r="F151" s="195">
        <v>8036</v>
      </c>
      <c r="G151" s="198">
        <v>48735.843724092003</v>
      </c>
      <c r="H151" s="199">
        <v>0.3333333</v>
      </c>
      <c r="I151" s="182">
        <v>14891.506315432887</v>
      </c>
      <c r="J151" s="182">
        <v>14891.506315432887</v>
      </c>
      <c r="K151" s="182">
        <v>33844.337408659114</v>
      </c>
      <c r="L151" s="198">
        <f t="shared" si="6"/>
        <v>14891.506315432887</v>
      </c>
      <c r="M151" s="198">
        <f t="shared" si="7"/>
        <v>29783.012630865775</v>
      </c>
      <c r="N151" s="198">
        <f t="shared" si="8"/>
        <v>18952.831093226228</v>
      </c>
    </row>
    <row r="152" spans="1:14" ht="12" hidden="1" customHeight="1" x14ac:dyDescent="0.35">
      <c r="A152" s="195" t="s">
        <v>265</v>
      </c>
      <c r="B152" s="196">
        <v>23310004</v>
      </c>
      <c r="C152" s="195" t="s">
        <v>270</v>
      </c>
      <c r="D152" s="197">
        <v>43316</v>
      </c>
      <c r="E152" s="197">
        <v>43646</v>
      </c>
      <c r="F152" s="195">
        <v>8036</v>
      </c>
      <c r="G152" s="198">
        <v>48735.843724092003</v>
      </c>
      <c r="H152" s="199">
        <v>0.3333333</v>
      </c>
      <c r="I152" s="182">
        <v>14891.506315432887</v>
      </c>
      <c r="J152" s="182">
        <v>14891.506315432887</v>
      </c>
      <c r="K152" s="182">
        <v>33844.337408659114</v>
      </c>
      <c r="L152" s="198">
        <f t="shared" si="6"/>
        <v>14891.506315432887</v>
      </c>
      <c r="M152" s="198">
        <f t="shared" si="7"/>
        <v>29783.012630865775</v>
      </c>
      <c r="N152" s="198">
        <f t="shared" si="8"/>
        <v>18952.831093226228</v>
      </c>
    </row>
    <row r="153" spans="1:14" ht="12" hidden="1" customHeight="1" x14ac:dyDescent="0.35">
      <c r="A153" s="195" t="s">
        <v>265</v>
      </c>
      <c r="B153" s="196">
        <v>23310004</v>
      </c>
      <c r="C153" s="195" t="s">
        <v>270</v>
      </c>
      <c r="D153" s="197">
        <v>43316</v>
      </c>
      <c r="E153" s="197">
        <v>43646</v>
      </c>
      <c r="F153" s="195">
        <v>8036</v>
      </c>
      <c r="G153" s="198">
        <v>48735.843724092003</v>
      </c>
      <c r="H153" s="199">
        <v>0.3333333</v>
      </c>
      <c r="I153" s="182">
        <v>14891.506315432887</v>
      </c>
      <c r="J153" s="182">
        <v>14891.506315432887</v>
      </c>
      <c r="K153" s="182">
        <v>33844.337408659114</v>
      </c>
      <c r="L153" s="198">
        <f t="shared" si="6"/>
        <v>14891.506315432887</v>
      </c>
      <c r="M153" s="198">
        <f t="shared" si="7"/>
        <v>29783.012630865775</v>
      </c>
      <c r="N153" s="198">
        <f t="shared" si="8"/>
        <v>18952.831093226228</v>
      </c>
    </row>
    <row r="154" spans="1:14" ht="12" hidden="1" customHeight="1" x14ac:dyDescent="0.35">
      <c r="A154" s="195" t="s">
        <v>265</v>
      </c>
      <c r="B154" s="196">
        <v>23310004</v>
      </c>
      <c r="C154" s="195" t="s">
        <v>270</v>
      </c>
      <c r="D154" s="197">
        <v>43339</v>
      </c>
      <c r="E154" s="197">
        <v>43646</v>
      </c>
      <c r="F154" s="195">
        <v>8036</v>
      </c>
      <c r="G154" s="198">
        <v>36881.179034448003</v>
      </c>
      <c r="H154" s="199">
        <v>0.3333333</v>
      </c>
      <c r="I154" s="182">
        <v>10244.77092953614</v>
      </c>
      <c r="J154" s="182">
        <v>10244.77092953614</v>
      </c>
      <c r="K154" s="182">
        <v>26636.408104911861</v>
      </c>
      <c r="L154" s="198">
        <f t="shared" si="6"/>
        <v>10244.77092953614</v>
      </c>
      <c r="M154" s="198">
        <f t="shared" si="7"/>
        <v>20489.54185907228</v>
      </c>
      <c r="N154" s="198">
        <f t="shared" si="8"/>
        <v>16391.637175375723</v>
      </c>
    </row>
    <row r="155" spans="1:14" ht="12" customHeight="1" x14ac:dyDescent="0.35">
      <c r="A155" s="195" t="s">
        <v>265</v>
      </c>
      <c r="B155" s="196">
        <v>23310004</v>
      </c>
      <c r="C155" s="195" t="s">
        <v>270</v>
      </c>
      <c r="D155" s="197">
        <v>43315</v>
      </c>
      <c r="E155" s="197">
        <v>43646</v>
      </c>
      <c r="F155" s="195">
        <v>8038</v>
      </c>
      <c r="G155" s="198">
        <v>131718.49655159999</v>
      </c>
      <c r="H155" s="199">
        <v>0.3333333</v>
      </c>
      <c r="I155" s="182">
        <v>40247.314366034821</v>
      </c>
      <c r="J155" s="182">
        <v>40247.314366034821</v>
      </c>
      <c r="K155" s="182">
        <v>91471.18218556518</v>
      </c>
      <c r="L155" s="198">
        <f t="shared" si="6"/>
        <v>40247.314366034821</v>
      </c>
      <c r="M155" s="198">
        <f t="shared" si="7"/>
        <v>80494.628732069643</v>
      </c>
      <c r="N155" s="198">
        <f t="shared" si="8"/>
        <v>51223.867819530351</v>
      </c>
    </row>
    <row r="156" spans="1:14" ht="12" customHeight="1" x14ac:dyDescent="0.35">
      <c r="A156" s="195" t="s">
        <v>265</v>
      </c>
      <c r="B156" s="196">
        <v>23310004</v>
      </c>
      <c r="C156" s="195" t="s">
        <v>270</v>
      </c>
      <c r="D156" s="197">
        <v>43315</v>
      </c>
      <c r="E156" s="197">
        <v>43646</v>
      </c>
      <c r="F156" s="195">
        <v>8038</v>
      </c>
      <c r="G156" s="198">
        <v>131718.49655159999</v>
      </c>
      <c r="H156" s="199">
        <v>0.3333333</v>
      </c>
      <c r="I156" s="182">
        <v>40247.314366034821</v>
      </c>
      <c r="J156" s="182">
        <v>40247.314366034821</v>
      </c>
      <c r="K156" s="182">
        <v>91471.18218556518</v>
      </c>
      <c r="L156" s="198">
        <f t="shared" si="6"/>
        <v>40247.314366034821</v>
      </c>
      <c r="M156" s="198">
        <f t="shared" si="7"/>
        <v>80494.628732069643</v>
      </c>
      <c r="N156" s="198">
        <f t="shared" si="8"/>
        <v>51223.867819530351</v>
      </c>
    </row>
    <row r="157" spans="1:14" ht="12" customHeight="1" x14ac:dyDescent="0.35">
      <c r="A157" s="195" t="s">
        <v>265</v>
      </c>
      <c r="B157" s="196">
        <v>23310004</v>
      </c>
      <c r="C157" s="195" t="s">
        <v>270</v>
      </c>
      <c r="D157" s="197">
        <v>43318</v>
      </c>
      <c r="E157" s="197">
        <v>43646</v>
      </c>
      <c r="F157" s="195">
        <v>8038</v>
      </c>
      <c r="G157" s="198">
        <v>131718.49655159999</v>
      </c>
      <c r="H157" s="199">
        <v>0.3333333</v>
      </c>
      <c r="I157" s="182">
        <v>40247.314366034821</v>
      </c>
      <c r="J157" s="182">
        <v>40247.314366034821</v>
      </c>
      <c r="K157" s="182">
        <v>91471.18218556518</v>
      </c>
      <c r="L157" s="198">
        <f t="shared" si="6"/>
        <v>40247.314366034821</v>
      </c>
      <c r="M157" s="198">
        <f t="shared" si="7"/>
        <v>80494.628732069643</v>
      </c>
      <c r="N157" s="198">
        <f t="shared" si="8"/>
        <v>51223.867819530351</v>
      </c>
    </row>
    <row r="158" spans="1:14" ht="12" customHeight="1" x14ac:dyDescent="0.35">
      <c r="A158" s="195" t="s">
        <v>265</v>
      </c>
      <c r="B158" s="196">
        <v>23310004</v>
      </c>
      <c r="C158" s="195" t="s">
        <v>270</v>
      </c>
      <c r="D158" s="197">
        <v>43318</v>
      </c>
      <c r="E158" s="197">
        <v>43646</v>
      </c>
      <c r="F158" s="195">
        <v>8038</v>
      </c>
      <c r="G158" s="198">
        <v>153671.5793102</v>
      </c>
      <c r="H158" s="199">
        <v>0.3333333</v>
      </c>
      <c r="I158" s="182">
        <v>46955.200093707295</v>
      </c>
      <c r="J158" s="182">
        <v>46955.200093707295</v>
      </c>
      <c r="K158" s="182">
        <v>106716.3792164927</v>
      </c>
      <c r="L158" s="198">
        <f t="shared" si="6"/>
        <v>46955.200093707295</v>
      </c>
      <c r="M158" s="198">
        <f t="shared" si="7"/>
        <v>93910.400187414591</v>
      </c>
      <c r="N158" s="198">
        <f t="shared" si="8"/>
        <v>59761.179122785412</v>
      </c>
    </row>
    <row r="159" spans="1:14" ht="12" hidden="1" customHeight="1" x14ac:dyDescent="0.35">
      <c r="A159" s="195" t="s">
        <v>265</v>
      </c>
      <c r="B159" s="196">
        <v>23310004</v>
      </c>
      <c r="C159" s="195" t="s">
        <v>270</v>
      </c>
      <c r="D159" s="197">
        <v>42944</v>
      </c>
      <c r="E159" s="197">
        <v>43281</v>
      </c>
      <c r="F159" s="195">
        <v>8036</v>
      </c>
      <c r="G159" s="198">
        <v>296541.99</v>
      </c>
      <c r="H159" s="199">
        <v>0.3333333</v>
      </c>
      <c r="I159" s="182">
        <v>98847.320115266994</v>
      </c>
      <c r="J159" s="182">
        <v>197694.64023053399</v>
      </c>
      <c r="K159" s="182">
        <v>98847.349769465989</v>
      </c>
      <c r="L159" s="198">
        <f t="shared" si="6"/>
        <v>98847.320115266994</v>
      </c>
      <c r="M159" s="198">
        <f t="shared" si="7"/>
        <v>296541.96034580097</v>
      </c>
      <c r="N159" s="198">
        <f t="shared" si="8"/>
        <v>2.9654199024662375E-2</v>
      </c>
    </row>
    <row r="160" spans="1:14" ht="12" hidden="1" customHeight="1" x14ac:dyDescent="0.35">
      <c r="A160" s="195" t="s">
        <v>265</v>
      </c>
      <c r="B160" s="196">
        <v>23310004</v>
      </c>
      <c r="C160" s="195" t="s">
        <v>270</v>
      </c>
      <c r="D160" s="197">
        <v>42944</v>
      </c>
      <c r="E160" s="197">
        <v>43281</v>
      </c>
      <c r="F160" s="195">
        <v>8039</v>
      </c>
      <c r="G160" s="198">
        <v>211815.71</v>
      </c>
      <c r="H160" s="199">
        <v>0.3333333</v>
      </c>
      <c r="I160" s="182">
        <v>70605.229606142995</v>
      </c>
      <c r="J160" s="182">
        <v>141210.45921228599</v>
      </c>
      <c r="K160" s="182">
        <v>70605.250787714001</v>
      </c>
      <c r="L160" s="198">
        <f t="shared" si="6"/>
        <v>70605.229606142995</v>
      </c>
      <c r="M160" s="198">
        <f t="shared" si="7"/>
        <v>211815.68881842899</v>
      </c>
      <c r="N160" s="198">
        <f t="shared" si="8"/>
        <v>2.1181571006309241E-2</v>
      </c>
    </row>
    <row r="161" spans="1:14" ht="12" customHeight="1" x14ac:dyDescent="0.35">
      <c r="A161" s="195" t="s">
        <v>265</v>
      </c>
      <c r="B161" s="196">
        <v>23310004</v>
      </c>
      <c r="C161" s="195" t="s">
        <v>270</v>
      </c>
      <c r="D161" s="197">
        <v>41388</v>
      </c>
      <c r="E161" s="197">
        <v>41455</v>
      </c>
      <c r="F161" s="195">
        <v>8038</v>
      </c>
      <c r="G161" s="198">
        <v>235182.73</v>
      </c>
      <c r="H161" s="199">
        <v>0.3333333</v>
      </c>
      <c r="I161" s="182">
        <v>0</v>
      </c>
      <c r="J161" s="182">
        <v>235182.73</v>
      </c>
      <c r="K161" s="182">
        <v>0</v>
      </c>
      <c r="L161" s="198">
        <f t="shared" si="6"/>
        <v>0</v>
      </c>
      <c r="M161" s="198">
        <f t="shared" si="7"/>
        <v>235182.73</v>
      </c>
      <c r="N161" s="198">
        <f t="shared" si="8"/>
        <v>0</v>
      </c>
    </row>
    <row r="162" spans="1:14" ht="12" customHeight="1" x14ac:dyDescent="0.35">
      <c r="A162" s="195" t="s">
        <v>265</v>
      </c>
      <c r="B162" s="196">
        <v>23310004</v>
      </c>
      <c r="C162" s="195" t="s">
        <v>270</v>
      </c>
      <c r="D162" s="197">
        <v>42108</v>
      </c>
      <c r="E162" s="197">
        <v>42185</v>
      </c>
      <c r="F162" s="195">
        <v>8038</v>
      </c>
      <c r="G162" s="198">
        <v>33600</v>
      </c>
      <c r="H162" s="199">
        <v>0.33333332999999998</v>
      </c>
      <c r="I162" s="182">
        <v>1.1200000000000001</v>
      </c>
      <c r="J162" s="182">
        <v>33599.998879999999</v>
      </c>
      <c r="K162" s="182">
        <v>1.1200000034294888E-3</v>
      </c>
      <c r="L162" s="198">
        <v>0</v>
      </c>
      <c r="M162" s="198">
        <f t="shared" si="7"/>
        <v>33599.998879999999</v>
      </c>
      <c r="N162" s="198">
        <f t="shared" si="8"/>
        <v>1.1200000008102506E-3</v>
      </c>
    </row>
    <row r="163" spans="1:14" ht="12" customHeight="1" x14ac:dyDescent="0.35">
      <c r="A163" s="195" t="s">
        <v>265</v>
      </c>
      <c r="B163" s="196">
        <v>23310005</v>
      </c>
      <c r="C163" s="195" t="s">
        <v>271</v>
      </c>
      <c r="D163" s="197">
        <v>41486</v>
      </c>
      <c r="E163" s="197">
        <v>41820</v>
      </c>
      <c r="F163" s="195">
        <v>8038</v>
      </c>
      <c r="G163" s="198">
        <v>36000</v>
      </c>
      <c r="H163" s="199">
        <v>0.3333333</v>
      </c>
      <c r="I163" s="182">
        <v>0</v>
      </c>
      <c r="J163" s="182">
        <v>35999.998800000001</v>
      </c>
      <c r="K163" s="182">
        <v>1.1999999987892807E-3</v>
      </c>
      <c r="L163" s="198">
        <f t="shared" si="6"/>
        <v>0</v>
      </c>
      <c r="M163" s="198">
        <f t="shared" si="7"/>
        <v>35999.998800000001</v>
      </c>
      <c r="N163" s="198">
        <f t="shared" si="8"/>
        <v>1.1999999987892807E-3</v>
      </c>
    </row>
    <row r="164" spans="1:14" ht="12" customHeight="1" x14ac:dyDescent="0.35">
      <c r="A164" s="195" t="s">
        <v>265</v>
      </c>
      <c r="B164" s="196">
        <v>23310005</v>
      </c>
      <c r="C164" s="195" t="s">
        <v>271</v>
      </c>
      <c r="D164" s="197">
        <v>41486</v>
      </c>
      <c r="E164" s="197">
        <v>41820</v>
      </c>
      <c r="F164" s="195">
        <v>8038</v>
      </c>
      <c r="G164" s="198">
        <v>585792</v>
      </c>
      <c r="H164" s="199">
        <v>0.3333333</v>
      </c>
      <c r="I164" s="182">
        <v>-4.7359999734908342E-4</v>
      </c>
      <c r="J164" s="182">
        <v>585792</v>
      </c>
      <c r="K164" s="182">
        <v>0</v>
      </c>
      <c r="L164" s="198">
        <f t="shared" si="6"/>
        <v>-4.7359999734908342E-4</v>
      </c>
      <c r="M164" s="198">
        <f t="shared" si="7"/>
        <v>585791.9995264</v>
      </c>
      <c r="N164" s="198">
        <f t="shared" si="8"/>
        <v>4.7359999734908342E-4</v>
      </c>
    </row>
    <row r="165" spans="1:14" ht="12" customHeight="1" x14ac:dyDescent="0.35">
      <c r="A165" s="195" t="s">
        <v>265</v>
      </c>
      <c r="B165" s="196">
        <v>23310006</v>
      </c>
      <c r="C165" s="195" t="s">
        <v>272</v>
      </c>
      <c r="D165" s="197">
        <v>43270</v>
      </c>
      <c r="E165" s="197">
        <v>43281</v>
      </c>
      <c r="F165" s="195">
        <v>8038</v>
      </c>
      <c r="G165" s="198">
        <v>44800.02</v>
      </c>
      <c r="H165" s="199">
        <v>0.2</v>
      </c>
      <c r="I165" s="182">
        <v>8960.003999999999</v>
      </c>
      <c r="J165" s="182">
        <v>9706.6709999999985</v>
      </c>
      <c r="K165" s="182">
        <v>35093.348999999995</v>
      </c>
      <c r="L165" s="198">
        <f t="shared" si="6"/>
        <v>8960.003999999999</v>
      </c>
      <c r="M165" s="198">
        <f t="shared" si="7"/>
        <v>18666.674999999996</v>
      </c>
      <c r="N165" s="198">
        <f t="shared" si="8"/>
        <v>26133.345000000001</v>
      </c>
    </row>
    <row r="166" spans="1:14" ht="12" customHeight="1" x14ac:dyDescent="0.35">
      <c r="A166" s="195" t="s">
        <v>265</v>
      </c>
      <c r="B166" s="196">
        <v>23310006</v>
      </c>
      <c r="C166" s="195" t="s">
        <v>272</v>
      </c>
      <c r="D166" s="197">
        <v>43270</v>
      </c>
      <c r="E166" s="197">
        <v>43281</v>
      </c>
      <c r="F166" s="195">
        <v>8038</v>
      </c>
      <c r="G166" s="198">
        <v>76999.965624999997</v>
      </c>
      <c r="H166" s="199">
        <v>0.2</v>
      </c>
      <c r="I166" s="182">
        <v>15399.993125000001</v>
      </c>
      <c r="J166" s="182">
        <v>16683.325885416667</v>
      </c>
      <c r="K166" s="182">
        <v>60316.639739583326</v>
      </c>
      <c r="L166" s="198">
        <f t="shared" si="6"/>
        <v>15399.993125000001</v>
      </c>
      <c r="M166" s="198">
        <f t="shared" si="7"/>
        <v>32083.319010416668</v>
      </c>
      <c r="N166" s="198">
        <f t="shared" si="8"/>
        <v>44916.646614583326</v>
      </c>
    </row>
    <row r="167" spans="1:14" ht="12" customHeight="1" x14ac:dyDescent="0.35">
      <c r="A167" s="195" t="s">
        <v>265</v>
      </c>
      <c r="B167" s="196">
        <v>23310006</v>
      </c>
      <c r="C167" s="195" t="s">
        <v>272</v>
      </c>
      <c r="D167" s="197">
        <v>43270</v>
      </c>
      <c r="E167" s="197">
        <v>43281</v>
      </c>
      <c r="F167" s="195">
        <v>8038</v>
      </c>
      <c r="G167" s="198">
        <v>69299.969062499993</v>
      </c>
      <c r="H167" s="199">
        <v>0.2</v>
      </c>
      <c r="I167" s="182">
        <v>13859.993812499999</v>
      </c>
      <c r="J167" s="182">
        <v>15014.993296874998</v>
      </c>
      <c r="K167" s="182">
        <v>54284.975765624993</v>
      </c>
      <c r="L167" s="198">
        <f t="shared" si="6"/>
        <v>13859.993812499999</v>
      </c>
      <c r="M167" s="198">
        <f t="shared" si="7"/>
        <v>28874.987109374997</v>
      </c>
      <c r="N167" s="198">
        <f t="shared" si="8"/>
        <v>40424.981953124996</v>
      </c>
    </row>
    <row r="168" spans="1:14" ht="12" customHeight="1" x14ac:dyDescent="0.35">
      <c r="A168" s="195" t="s">
        <v>265</v>
      </c>
      <c r="B168" s="196">
        <v>23310006</v>
      </c>
      <c r="C168" s="195" t="s">
        <v>272</v>
      </c>
      <c r="D168" s="197">
        <v>43270</v>
      </c>
      <c r="E168" s="197">
        <v>43281</v>
      </c>
      <c r="F168" s="195">
        <v>8038</v>
      </c>
      <c r="G168" s="198">
        <v>37799.983124999999</v>
      </c>
      <c r="H168" s="199">
        <v>0.2</v>
      </c>
      <c r="I168" s="182">
        <v>7559.9966249999998</v>
      </c>
      <c r="J168" s="182">
        <v>8189.9963437500001</v>
      </c>
      <c r="K168" s="182">
        <v>29609.986781250002</v>
      </c>
      <c r="L168" s="198">
        <f t="shared" si="6"/>
        <v>7559.9966249999998</v>
      </c>
      <c r="M168" s="198">
        <f t="shared" si="7"/>
        <v>15749.992968750001</v>
      </c>
      <c r="N168" s="198">
        <f t="shared" si="8"/>
        <v>22049.990156249998</v>
      </c>
    </row>
    <row r="169" spans="1:14" ht="12" customHeight="1" x14ac:dyDescent="0.35">
      <c r="A169" s="195" t="s">
        <v>265</v>
      </c>
      <c r="B169" s="196">
        <v>23310006</v>
      </c>
      <c r="C169" s="195" t="s">
        <v>272</v>
      </c>
      <c r="D169" s="197">
        <v>43273</v>
      </c>
      <c r="E169" s="197">
        <v>43281</v>
      </c>
      <c r="F169" s="195">
        <v>8038</v>
      </c>
      <c r="G169" s="198">
        <v>20999.990624999999</v>
      </c>
      <c r="H169" s="199">
        <v>0.2</v>
      </c>
      <c r="I169" s="182">
        <v>4199.9981250000001</v>
      </c>
      <c r="J169" s="182">
        <v>4549.9979687499999</v>
      </c>
      <c r="K169" s="182">
        <v>16449.992656249997</v>
      </c>
      <c r="L169" s="198">
        <f t="shared" si="6"/>
        <v>4199.9981250000001</v>
      </c>
      <c r="M169" s="198">
        <f t="shared" si="7"/>
        <v>8749.99609375</v>
      </c>
      <c r="N169" s="198">
        <f t="shared" si="8"/>
        <v>12249.994531249999</v>
      </c>
    </row>
    <row r="170" spans="1:14" ht="12" hidden="1" customHeight="1" x14ac:dyDescent="0.35">
      <c r="A170" s="195" t="s">
        <v>265</v>
      </c>
      <c r="B170" s="196">
        <v>23310006</v>
      </c>
      <c r="C170" s="195" t="s">
        <v>272</v>
      </c>
      <c r="D170" s="197">
        <v>43270</v>
      </c>
      <c r="E170" s="197">
        <v>43281</v>
      </c>
      <c r="F170" s="195">
        <v>8039</v>
      </c>
      <c r="G170" s="198">
        <v>46199.979375000003</v>
      </c>
      <c r="H170" s="199">
        <v>0.2</v>
      </c>
      <c r="I170" s="182">
        <v>9239.9958750000005</v>
      </c>
      <c r="J170" s="182">
        <v>10009.995531250001</v>
      </c>
      <c r="K170" s="182">
        <v>36189.98384375</v>
      </c>
      <c r="L170" s="198">
        <f t="shared" si="6"/>
        <v>9239.9958750000005</v>
      </c>
      <c r="M170" s="198">
        <f t="shared" si="7"/>
        <v>19249.991406250003</v>
      </c>
      <c r="N170" s="198">
        <f t="shared" si="8"/>
        <v>26949.98796875</v>
      </c>
    </row>
    <row r="171" spans="1:14" ht="12" hidden="1" customHeight="1" x14ac:dyDescent="0.35">
      <c r="A171" s="195" t="s">
        <v>265</v>
      </c>
      <c r="B171" s="196">
        <v>23310006</v>
      </c>
      <c r="C171" s="195" t="s">
        <v>272</v>
      </c>
      <c r="D171" s="197">
        <v>43270</v>
      </c>
      <c r="E171" s="197">
        <v>43281</v>
      </c>
      <c r="F171" s="195">
        <v>8039</v>
      </c>
      <c r="G171" s="198">
        <v>36399.983749999999</v>
      </c>
      <c r="H171" s="199">
        <v>0.2</v>
      </c>
      <c r="I171" s="182">
        <v>7279.9967500000002</v>
      </c>
      <c r="J171" s="182">
        <v>7886.6631458333341</v>
      </c>
      <c r="K171" s="182">
        <v>28513.320604166671</v>
      </c>
      <c r="L171" s="198">
        <f t="shared" si="6"/>
        <v>7279.9967500000002</v>
      </c>
      <c r="M171" s="198">
        <f t="shared" si="7"/>
        <v>15166.659895833334</v>
      </c>
      <c r="N171" s="198">
        <f t="shared" si="8"/>
        <v>21233.323854166665</v>
      </c>
    </row>
    <row r="172" spans="1:14" ht="12" customHeight="1" x14ac:dyDescent="0.35">
      <c r="A172" s="195" t="s">
        <v>265</v>
      </c>
      <c r="B172" s="196">
        <v>23310006</v>
      </c>
      <c r="C172" s="195" t="s">
        <v>272</v>
      </c>
      <c r="D172" s="197">
        <v>43270</v>
      </c>
      <c r="E172" s="197">
        <v>43281</v>
      </c>
      <c r="F172" s="195">
        <v>8038</v>
      </c>
      <c r="G172" s="198">
        <v>6299.9971875000001</v>
      </c>
      <c r="H172" s="199">
        <v>0.2</v>
      </c>
      <c r="I172" s="182">
        <v>1259.9994375000001</v>
      </c>
      <c r="J172" s="182">
        <v>1364.9993906250002</v>
      </c>
      <c r="K172" s="182">
        <v>4934.9977968750009</v>
      </c>
      <c r="L172" s="198">
        <f t="shared" si="6"/>
        <v>1259.9994375000001</v>
      </c>
      <c r="M172" s="198">
        <f t="shared" si="7"/>
        <v>2624.9988281250003</v>
      </c>
      <c r="N172" s="198">
        <f t="shared" si="8"/>
        <v>3674.9983593749998</v>
      </c>
    </row>
    <row r="173" spans="1:14" ht="12" hidden="1" customHeight="1" x14ac:dyDescent="0.35">
      <c r="A173" s="195" t="s">
        <v>265</v>
      </c>
      <c r="B173" s="196">
        <v>23310006</v>
      </c>
      <c r="C173" s="195" t="s">
        <v>272</v>
      </c>
      <c r="D173" s="197">
        <v>43270</v>
      </c>
      <c r="E173" s="197">
        <v>43281</v>
      </c>
      <c r="F173" s="195">
        <v>8036</v>
      </c>
      <c r="G173" s="198">
        <v>48299.958437521927</v>
      </c>
      <c r="H173" s="199">
        <v>0.2</v>
      </c>
      <c r="I173" s="182">
        <v>9659.9916875043855</v>
      </c>
      <c r="J173" s="182">
        <v>10464.990994796417</v>
      </c>
      <c r="K173" s="182">
        <v>37834.967442725509</v>
      </c>
      <c r="L173" s="198">
        <f t="shared" si="6"/>
        <v>9659.9916875043855</v>
      </c>
      <c r="M173" s="198">
        <f t="shared" si="7"/>
        <v>20124.982682300804</v>
      </c>
      <c r="N173" s="198">
        <f t="shared" si="8"/>
        <v>28174.975755221123</v>
      </c>
    </row>
    <row r="174" spans="1:14" ht="12" hidden="1" customHeight="1" x14ac:dyDescent="0.35">
      <c r="A174" s="195" t="s">
        <v>265</v>
      </c>
      <c r="B174" s="196">
        <v>23310006</v>
      </c>
      <c r="C174" s="195" t="s">
        <v>272</v>
      </c>
      <c r="D174" s="197">
        <v>43270</v>
      </c>
      <c r="E174" s="197">
        <v>43281</v>
      </c>
      <c r="F174" s="195">
        <v>8036</v>
      </c>
      <c r="G174" s="198">
        <v>89599.959999999992</v>
      </c>
      <c r="H174" s="199">
        <v>0.2</v>
      </c>
      <c r="I174" s="182">
        <v>17919.991999999998</v>
      </c>
      <c r="J174" s="182">
        <v>19413.324666666664</v>
      </c>
      <c r="K174" s="182">
        <v>70186.635333333325</v>
      </c>
      <c r="L174" s="198">
        <f t="shared" si="6"/>
        <v>17919.991999999998</v>
      </c>
      <c r="M174" s="198">
        <f t="shared" si="7"/>
        <v>37333.316666666666</v>
      </c>
      <c r="N174" s="198">
        <f t="shared" si="8"/>
        <v>52266.643333333326</v>
      </c>
    </row>
    <row r="175" spans="1:14" ht="12" hidden="1" customHeight="1" x14ac:dyDescent="0.35">
      <c r="A175" s="195" t="s">
        <v>265</v>
      </c>
      <c r="B175" s="196">
        <v>23310006</v>
      </c>
      <c r="C175" s="195" t="s">
        <v>272</v>
      </c>
      <c r="D175" s="197">
        <v>43270</v>
      </c>
      <c r="E175" s="197">
        <v>43281</v>
      </c>
      <c r="F175" s="195">
        <v>8036</v>
      </c>
      <c r="G175" s="198">
        <v>6299.9971875000001</v>
      </c>
      <c r="H175" s="199">
        <v>0.2</v>
      </c>
      <c r="I175" s="182">
        <v>1259.9994375000001</v>
      </c>
      <c r="J175" s="182">
        <v>1364.9993906250002</v>
      </c>
      <c r="K175" s="182">
        <v>4934.9977968750009</v>
      </c>
      <c r="L175" s="198">
        <f t="shared" si="6"/>
        <v>1259.9994375000001</v>
      </c>
      <c r="M175" s="198">
        <f t="shared" si="7"/>
        <v>2624.9988281250003</v>
      </c>
      <c r="N175" s="198">
        <f t="shared" si="8"/>
        <v>3674.9983593749998</v>
      </c>
    </row>
    <row r="176" spans="1:14" ht="12" hidden="1" customHeight="1" x14ac:dyDescent="0.35">
      <c r="A176" s="195" t="s">
        <v>265</v>
      </c>
      <c r="B176" s="196">
        <v>23310006</v>
      </c>
      <c r="C176" s="195" t="s">
        <v>272</v>
      </c>
      <c r="D176" s="197">
        <v>43050</v>
      </c>
      <c r="E176" s="197">
        <v>43281</v>
      </c>
      <c r="F176" s="195">
        <v>8036</v>
      </c>
      <c r="G176" s="198">
        <v>93720.05999994</v>
      </c>
      <c r="H176" s="199">
        <v>0.2</v>
      </c>
      <c r="I176" s="182">
        <v>18744.011999988001</v>
      </c>
      <c r="J176" s="182">
        <v>31240.019999980002</v>
      </c>
      <c r="K176" s="182">
        <v>62480.039999960005</v>
      </c>
      <c r="L176" s="198">
        <f t="shared" si="6"/>
        <v>18744.011999988001</v>
      </c>
      <c r="M176" s="198">
        <f t="shared" si="7"/>
        <v>49984.031999968007</v>
      </c>
      <c r="N176" s="198">
        <f t="shared" si="8"/>
        <v>43736.027999971993</v>
      </c>
    </row>
    <row r="177" spans="1:14" ht="12" hidden="1" customHeight="1" x14ac:dyDescent="0.35">
      <c r="A177" s="195" t="s">
        <v>265</v>
      </c>
      <c r="B177" s="196">
        <v>23310006</v>
      </c>
      <c r="C177" s="195" t="s">
        <v>272</v>
      </c>
      <c r="D177" s="197">
        <v>42947</v>
      </c>
      <c r="E177" s="197">
        <v>43281</v>
      </c>
      <c r="F177" s="195">
        <v>8036</v>
      </c>
      <c r="G177" s="198">
        <v>54385.75</v>
      </c>
      <c r="H177" s="199">
        <v>0.2</v>
      </c>
      <c r="I177" s="182">
        <v>10877.150000000001</v>
      </c>
      <c r="J177" s="182">
        <v>21754.300000000003</v>
      </c>
      <c r="K177" s="182">
        <v>32631.449999999997</v>
      </c>
      <c r="L177" s="198">
        <f t="shared" si="6"/>
        <v>10877.150000000001</v>
      </c>
      <c r="M177" s="198">
        <f t="shared" si="7"/>
        <v>32631.450000000004</v>
      </c>
      <c r="N177" s="198">
        <f t="shared" si="8"/>
        <v>21754.299999999996</v>
      </c>
    </row>
    <row r="178" spans="1:14" ht="12" customHeight="1" x14ac:dyDescent="0.35">
      <c r="A178" s="195" t="s">
        <v>265</v>
      </c>
      <c r="B178" s="196">
        <v>23310006</v>
      </c>
      <c r="C178" s="195" t="s">
        <v>272</v>
      </c>
      <c r="D178" s="197">
        <v>41394</v>
      </c>
      <c r="E178" s="197">
        <v>41455</v>
      </c>
      <c r="F178" s="195">
        <v>8038</v>
      </c>
      <c r="G178" s="198">
        <v>175000</v>
      </c>
      <c r="H178" s="199">
        <v>0.2</v>
      </c>
      <c r="I178" s="182">
        <v>0</v>
      </c>
      <c r="J178" s="182">
        <v>175000</v>
      </c>
      <c r="K178" s="182">
        <v>0</v>
      </c>
      <c r="L178" s="198">
        <f t="shared" si="6"/>
        <v>0</v>
      </c>
      <c r="M178" s="198">
        <f t="shared" si="7"/>
        <v>175000</v>
      </c>
      <c r="N178" s="198">
        <f t="shared" si="8"/>
        <v>0</v>
      </c>
    </row>
    <row r="179" spans="1:14" ht="12" hidden="1" customHeight="1" x14ac:dyDescent="0.35">
      <c r="A179" s="195" t="s">
        <v>265</v>
      </c>
      <c r="B179" s="196">
        <v>23310006</v>
      </c>
      <c r="C179" s="195" t="s">
        <v>272</v>
      </c>
      <c r="D179" s="197">
        <v>41486</v>
      </c>
      <c r="E179" s="197">
        <v>41820</v>
      </c>
      <c r="F179" s="195">
        <v>8036</v>
      </c>
      <c r="G179" s="198">
        <v>7000</v>
      </c>
      <c r="H179" s="199">
        <v>0.2</v>
      </c>
      <c r="I179" s="182">
        <v>0</v>
      </c>
      <c r="J179" s="182">
        <v>7000</v>
      </c>
      <c r="K179" s="182">
        <v>0</v>
      </c>
      <c r="L179" s="198">
        <f t="shared" si="6"/>
        <v>0</v>
      </c>
      <c r="M179" s="198">
        <f t="shared" si="7"/>
        <v>7000</v>
      </c>
      <c r="N179" s="198">
        <f t="shared" si="8"/>
        <v>0</v>
      </c>
    </row>
    <row r="180" spans="1:14" ht="12" hidden="1" customHeight="1" x14ac:dyDescent="0.35">
      <c r="A180" s="195" t="s">
        <v>265</v>
      </c>
      <c r="B180" s="196">
        <v>23310006</v>
      </c>
      <c r="C180" s="195" t="s">
        <v>272</v>
      </c>
      <c r="D180" s="197">
        <v>41547</v>
      </c>
      <c r="E180" s="197">
        <v>41820</v>
      </c>
      <c r="F180" s="195">
        <v>8036</v>
      </c>
      <c r="G180" s="198">
        <v>2800</v>
      </c>
      <c r="H180" s="199">
        <v>0.2</v>
      </c>
      <c r="I180" s="182">
        <v>93.34</v>
      </c>
      <c r="J180" s="182">
        <v>2800</v>
      </c>
      <c r="K180" s="182">
        <v>1.4210854715202004E-13</v>
      </c>
      <c r="L180" s="198">
        <v>0</v>
      </c>
      <c r="M180" s="198">
        <f t="shared" si="7"/>
        <v>2800</v>
      </c>
      <c r="N180" s="198">
        <f t="shared" si="8"/>
        <v>0</v>
      </c>
    </row>
    <row r="181" spans="1:14" ht="12" hidden="1" customHeight="1" x14ac:dyDescent="0.35">
      <c r="A181" s="195" t="s">
        <v>265</v>
      </c>
      <c r="B181" s="196">
        <v>23310006</v>
      </c>
      <c r="C181" s="195" t="s">
        <v>272</v>
      </c>
      <c r="D181" s="197">
        <v>41608</v>
      </c>
      <c r="E181" s="197">
        <v>41820</v>
      </c>
      <c r="F181" s="195">
        <v>8036</v>
      </c>
      <c r="G181" s="198">
        <v>35840</v>
      </c>
      <c r="H181" s="199">
        <v>0.2</v>
      </c>
      <c r="I181" s="182">
        <v>2389.3399999999965</v>
      </c>
      <c r="J181" s="182">
        <v>35840</v>
      </c>
      <c r="K181" s="182">
        <v>0</v>
      </c>
      <c r="L181" s="198">
        <v>0</v>
      </c>
      <c r="M181" s="198">
        <f t="shared" si="7"/>
        <v>35840</v>
      </c>
      <c r="N181" s="198">
        <f t="shared" si="8"/>
        <v>0</v>
      </c>
    </row>
    <row r="182" spans="1:14" ht="12" hidden="1" customHeight="1" x14ac:dyDescent="0.35">
      <c r="A182" s="195" t="s">
        <v>265</v>
      </c>
      <c r="B182" s="196">
        <v>23310006</v>
      </c>
      <c r="C182" s="195" t="s">
        <v>272</v>
      </c>
      <c r="D182" s="197">
        <v>41790</v>
      </c>
      <c r="E182" s="197">
        <v>41820</v>
      </c>
      <c r="F182" s="195">
        <v>8036</v>
      </c>
      <c r="G182" s="198">
        <v>2000</v>
      </c>
      <c r="H182" s="199">
        <v>0.2</v>
      </c>
      <c r="I182" s="182">
        <v>333.34</v>
      </c>
      <c r="J182" s="182">
        <v>1999.9999999999998</v>
      </c>
      <c r="K182" s="182">
        <v>0</v>
      </c>
      <c r="L182" s="198">
        <v>0</v>
      </c>
      <c r="M182" s="198">
        <f t="shared" si="7"/>
        <v>1999.9999999999998</v>
      </c>
      <c r="N182" s="198">
        <f t="shared" si="8"/>
        <v>0</v>
      </c>
    </row>
    <row r="183" spans="1:14" ht="12" hidden="1" customHeight="1" x14ac:dyDescent="0.35">
      <c r="A183" s="195" t="s">
        <v>265</v>
      </c>
      <c r="B183" s="196">
        <v>23310006</v>
      </c>
      <c r="C183" s="195" t="s">
        <v>272</v>
      </c>
      <c r="D183" s="197">
        <v>41820</v>
      </c>
      <c r="E183" s="197">
        <v>41820</v>
      </c>
      <c r="F183" s="195">
        <v>8036</v>
      </c>
      <c r="G183" s="198">
        <v>101640</v>
      </c>
      <c r="H183" s="199">
        <v>0.2</v>
      </c>
      <c r="I183" s="182">
        <v>20328</v>
      </c>
      <c r="J183" s="182">
        <v>101640</v>
      </c>
      <c r="K183" s="182">
        <v>0</v>
      </c>
      <c r="L183" s="198">
        <v>0</v>
      </c>
      <c r="M183" s="198">
        <f t="shared" si="7"/>
        <v>101640</v>
      </c>
      <c r="N183" s="198">
        <f t="shared" si="8"/>
        <v>0</v>
      </c>
    </row>
    <row r="184" spans="1:14" ht="12" hidden="1" customHeight="1" x14ac:dyDescent="0.35">
      <c r="A184" s="195" t="s">
        <v>265</v>
      </c>
      <c r="B184" s="196">
        <v>23310006</v>
      </c>
      <c r="C184" s="195" t="s">
        <v>272</v>
      </c>
      <c r="D184" s="197">
        <v>41835</v>
      </c>
      <c r="E184" s="197">
        <v>42185</v>
      </c>
      <c r="F184" s="195">
        <v>8036</v>
      </c>
      <c r="G184" s="198">
        <v>5280</v>
      </c>
      <c r="H184" s="199">
        <v>0.2</v>
      </c>
      <c r="I184" s="182">
        <v>1056</v>
      </c>
      <c r="J184" s="182">
        <v>5280</v>
      </c>
      <c r="K184" s="182">
        <v>0</v>
      </c>
      <c r="L184" s="198">
        <v>0</v>
      </c>
      <c r="M184" s="198">
        <f t="shared" si="7"/>
        <v>5280</v>
      </c>
      <c r="N184" s="198">
        <f t="shared" si="8"/>
        <v>0</v>
      </c>
    </row>
    <row r="185" spans="1:14" ht="12" hidden="1" customHeight="1" x14ac:dyDescent="0.35">
      <c r="A185" s="195" t="s">
        <v>265</v>
      </c>
      <c r="B185" s="196">
        <v>23310006</v>
      </c>
      <c r="C185" s="195" t="s">
        <v>272</v>
      </c>
      <c r="D185" s="197">
        <v>41835</v>
      </c>
      <c r="E185" s="197">
        <v>42185</v>
      </c>
      <c r="F185" s="195">
        <v>8036</v>
      </c>
      <c r="G185" s="198">
        <v>16800</v>
      </c>
      <c r="H185" s="199">
        <v>0.2</v>
      </c>
      <c r="I185" s="182">
        <v>3360</v>
      </c>
      <c r="J185" s="182">
        <v>16800</v>
      </c>
      <c r="K185" s="182">
        <v>0</v>
      </c>
      <c r="L185" s="198">
        <v>0</v>
      </c>
      <c r="M185" s="198">
        <f t="shared" si="7"/>
        <v>16800</v>
      </c>
      <c r="N185" s="198">
        <f t="shared" si="8"/>
        <v>0</v>
      </c>
    </row>
    <row r="186" spans="1:14" ht="12" customHeight="1" x14ac:dyDescent="0.35">
      <c r="A186" s="195" t="s">
        <v>265</v>
      </c>
      <c r="B186" s="196">
        <v>23310006</v>
      </c>
      <c r="C186" s="195" t="s">
        <v>272</v>
      </c>
      <c r="D186" s="197">
        <v>41943</v>
      </c>
      <c r="E186" s="197">
        <v>42185</v>
      </c>
      <c r="F186" s="195">
        <v>8038</v>
      </c>
      <c r="G186" s="198">
        <v>24640</v>
      </c>
      <c r="H186" s="199">
        <v>0.2</v>
      </c>
      <c r="I186" s="182">
        <v>4928</v>
      </c>
      <c r="J186" s="182">
        <v>23408</v>
      </c>
      <c r="K186" s="182">
        <v>1232</v>
      </c>
      <c r="L186" s="198">
        <f>+K186</f>
        <v>1232</v>
      </c>
      <c r="M186" s="198">
        <f t="shared" si="7"/>
        <v>24640</v>
      </c>
      <c r="N186" s="198">
        <f t="shared" si="8"/>
        <v>0</v>
      </c>
    </row>
    <row r="187" spans="1:14" ht="12" customHeight="1" x14ac:dyDescent="0.35">
      <c r="A187" s="195" t="s">
        <v>265</v>
      </c>
      <c r="B187" s="196">
        <v>23310006</v>
      </c>
      <c r="C187" s="195" t="s">
        <v>272</v>
      </c>
      <c r="D187" s="197">
        <v>42004</v>
      </c>
      <c r="E187" s="197">
        <v>42185</v>
      </c>
      <c r="F187" s="195">
        <v>8038</v>
      </c>
      <c r="G187" s="198">
        <v>10071.57</v>
      </c>
      <c r="H187" s="199">
        <v>0.2</v>
      </c>
      <c r="I187" s="182">
        <v>2014.3140000000001</v>
      </c>
      <c r="J187" s="182">
        <v>9232.2579999999998</v>
      </c>
      <c r="K187" s="182">
        <v>839.31199999999922</v>
      </c>
      <c r="L187" s="198">
        <f>+K187</f>
        <v>839.31199999999922</v>
      </c>
      <c r="M187" s="198">
        <f t="shared" si="7"/>
        <v>10071.57</v>
      </c>
      <c r="N187" s="198">
        <f t="shared" si="8"/>
        <v>0</v>
      </c>
    </row>
    <row r="188" spans="1:14" ht="12" customHeight="1" x14ac:dyDescent="0.35">
      <c r="A188" s="195" t="s">
        <v>265</v>
      </c>
      <c r="B188" s="196">
        <v>23310006</v>
      </c>
      <c r="C188" s="195" t="s">
        <v>272</v>
      </c>
      <c r="D188" s="197">
        <v>42035</v>
      </c>
      <c r="E188" s="197">
        <v>42185</v>
      </c>
      <c r="F188" s="195">
        <v>8038</v>
      </c>
      <c r="G188" s="198">
        <v>14875</v>
      </c>
      <c r="H188" s="199">
        <v>0.2</v>
      </c>
      <c r="I188" s="182">
        <v>2975</v>
      </c>
      <c r="J188" s="182">
        <v>13379.5</v>
      </c>
      <c r="K188" s="182">
        <v>1495.5</v>
      </c>
      <c r="L188" s="198">
        <f>+K188</f>
        <v>1495.5</v>
      </c>
      <c r="M188" s="198">
        <f t="shared" si="7"/>
        <v>14875</v>
      </c>
      <c r="N188" s="198">
        <f t="shared" si="8"/>
        <v>0</v>
      </c>
    </row>
    <row r="189" spans="1:14" ht="12" hidden="1" customHeight="1" x14ac:dyDescent="0.35">
      <c r="A189" s="173" t="s">
        <v>273</v>
      </c>
      <c r="B189" s="188">
        <v>23560000</v>
      </c>
      <c r="C189" s="173" t="s">
        <v>274</v>
      </c>
      <c r="D189" s="181">
        <v>41486</v>
      </c>
      <c r="E189" s="181">
        <v>41820</v>
      </c>
      <c r="F189" s="173">
        <v>8038</v>
      </c>
      <c r="G189" s="182">
        <v>243600</v>
      </c>
      <c r="H189" s="183">
        <v>0.1</v>
      </c>
      <c r="I189" s="182">
        <v>24360</v>
      </c>
      <c r="J189" s="182">
        <v>146160</v>
      </c>
      <c r="K189" s="182">
        <v>97440</v>
      </c>
      <c r="L189" s="182">
        <f t="shared" si="6"/>
        <v>24360</v>
      </c>
      <c r="M189" s="182">
        <f t="shared" si="7"/>
        <v>170520</v>
      </c>
      <c r="N189" s="182">
        <f t="shared" si="8"/>
        <v>73080</v>
      </c>
    </row>
    <row r="190" spans="1:14" ht="12" hidden="1" customHeight="1" x14ac:dyDescent="0.35">
      <c r="A190" s="173" t="s">
        <v>273</v>
      </c>
      <c r="B190" s="188">
        <v>23560000</v>
      </c>
      <c r="C190" s="173" t="s">
        <v>274</v>
      </c>
      <c r="D190" s="181">
        <v>41486</v>
      </c>
      <c r="E190" s="181">
        <v>41820</v>
      </c>
      <c r="F190" s="173">
        <v>8038</v>
      </c>
      <c r="G190" s="182">
        <v>262345.81</v>
      </c>
      <c r="H190" s="183">
        <v>0.1</v>
      </c>
      <c r="I190" s="182">
        <v>26234.581000000002</v>
      </c>
      <c r="J190" s="182">
        <v>157407.48500000002</v>
      </c>
      <c r="K190" s="182">
        <v>104938.32499999998</v>
      </c>
      <c r="L190" s="182">
        <f t="shared" si="6"/>
        <v>26234.581000000002</v>
      </c>
      <c r="M190" s="182">
        <f t="shared" si="7"/>
        <v>183642.06600000002</v>
      </c>
      <c r="N190" s="182">
        <f t="shared" si="8"/>
        <v>78703.743999999977</v>
      </c>
    </row>
    <row r="191" spans="1:14" ht="12" hidden="1" customHeight="1" x14ac:dyDescent="0.35">
      <c r="A191" s="173" t="s">
        <v>273</v>
      </c>
      <c r="B191" s="188">
        <v>23560000</v>
      </c>
      <c r="C191" s="173" t="s">
        <v>274</v>
      </c>
      <c r="D191" s="181">
        <v>41486</v>
      </c>
      <c r="E191" s="181">
        <v>41820</v>
      </c>
      <c r="F191" s="173">
        <v>8038</v>
      </c>
      <c r="G191" s="182">
        <v>18737.419999999998</v>
      </c>
      <c r="H191" s="183">
        <v>0.1</v>
      </c>
      <c r="I191" s="182">
        <v>1873.742</v>
      </c>
      <c r="J191" s="182">
        <v>11242.45</v>
      </c>
      <c r="K191" s="182">
        <v>7494.9699999999975</v>
      </c>
      <c r="L191" s="182">
        <f t="shared" si="6"/>
        <v>1873.742</v>
      </c>
      <c r="M191" s="182">
        <f t="shared" si="7"/>
        <v>13116.192000000001</v>
      </c>
      <c r="N191" s="182">
        <f t="shared" si="8"/>
        <v>5621.2279999999973</v>
      </c>
    </row>
    <row r="192" spans="1:14" ht="12" hidden="1" customHeight="1" x14ac:dyDescent="0.35">
      <c r="A192" s="173" t="s">
        <v>273</v>
      </c>
      <c r="B192" s="188">
        <v>23560000</v>
      </c>
      <c r="C192" s="173" t="s">
        <v>274</v>
      </c>
      <c r="D192" s="181">
        <v>41536</v>
      </c>
      <c r="E192" s="181">
        <v>41820</v>
      </c>
      <c r="F192" s="173">
        <v>8038</v>
      </c>
      <c r="G192" s="182">
        <v>3390</v>
      </c>
      <c r="H192" s="183">
        <v>0.1</v>
      </c>
      <c r="I192" s="182">
        <v>339</v>
      </c>
      <c r="J192" s="182">
        <v>1977.5</v>
      </c>
      <c r="K192" s="182">
        <v>1412.5</v>
      </c>
      <c r="L192" s="182">
        <f t="shared" si="6"/>
        <v>339</v>
      </c>
      <c r="M192" s="182">
        <f t="shared" si="7"/>
        <v>2316.5</v>
      </c>
      <c r="N192" s="182">
        <f t="shared" si="8"/>
        <v>1073.5</v>
      </c>
    </row>
    <row r="193" spans="1:14" ht="12" hidden="1" customHeight="1" x14ac:dyDescent="0.35">
      <c r="A193" s="173" t="s">
        <v>273</v>
      </c>
      <c r="B193" s="188">
        <v>23560000</v>
      </c>
      <c r="C193" s="173" t="s">
        <v>274</v>
      </c>
      <c r="D193" s="181">
        <v>41881</v>
      </c>
      <c r="E193" s="181">
        <v>42185</v>
      </c>
      <c r="F193" s="173">
        <v>8038</v>
      </c>
      <c r="G193" s="182">
        <v>19250</v>
      </c>
      <c r="H193" s="183">
        <v>0.1</v>
      </c>
      <c r="I193" s="182">
        <v>1925</v>
      </c>
      <c r="J193" s="182">
        <v>9464.58</v>
      </c>
      <c r="K193" s="182">
        <v>9785.42</v>
      </c>
      <c r="L193" s="182">
        <f t="shared" si="6"/>
        <v>1925</v>
      </c>
      <c r="M193" s="182">
        <f t="shared" si="7"/>
        <v>11389.58</v>
      </c>
      <c r="N193" s="182">
        <f t="shared" si="8"/>
        <v>7860.42</v>
      </c>
    </row>
    <row r="194" spans="1:14" ht="12" hidden="1" customHeight="1" x14ac:dyDescent="0.35">
      <c r="A194" s="173" t="s">
        <v>273</v>
      </c>
      <c r="B194" s="188">
        <v>23560000</v>
      </c>
      <c r="C194" s="173" t="s">
        <v>274</v>
      </c>
      <c r="D194" s="181">
        <v>42042</v>
      </c>
      <c r="E194" s="181">
        <v>42185</v>
      </c>
      <c r="F194" s="173">
        <v>8039</v>
      </c>
      <c r="G194" s="182">
        <v>14237</v>
      </c>
      <c r="H194" s="183">
        <v>0.1</v>
      </c>
      <c r="I194" s="182">
        <v>1423.7</v>
      </c>
      <c r="J194" s="182">
        <v>6288</v>
      </c>
      <c r="K194" s="182">
        <v>7949.0000000000009</v>
      </c>
      <c r="L194" s="182">
        <f t="shared" si="6"/>
        <v>1423.7</v>
      </c>
      <c r="M194" s="182">
        <f t="shared" si="7"/>
        <v>7711.7</v>
      </c>
      <c r="N194" s="182">
        <f t="shared" si="8"/>
        <v>6525.3</v>
      </c>
    </row>
    <row r="195" spans="1:14" ht="12" hidden="1" customHeight="1" x14ac:dyDescent="0.35">
      <c r="A195" s="173" t="s">
        <v>273</v>
      </c>
      <c r="B195" s="188">
        <v>23560000</v>
      </c>
      <c r="C195" s="173" t="s">
        <v>274</v>
      </c>
      <c r="D195" s="181">
        <v>42067</v>
      </c>
      <c r="E195" s="181">
        <v>42185</v>
      </c>
      <c r="F195" s="173">
        <v>8038</v>
      </c>
      <c r="G195" s="182">
        <v>43730</v>
      </c>
      <c r="H195" s="183">
        <v>0.1</v>
      </c>
      <c r="I195" s="182">
        <v>4373</v>
      </c>
      <c r="J195" s="182">
        <v>18949.66</v>
      </c>
      <c r="K195" s="182">
        <v>24780.34</v>
      </c>
      <c r="L195" s="182">
        <f t="shared" ref="L195:L240" si="9">+I195</f>
        <v>4373</v>
      </c>
      <c r="M195" s="182">
        <f t="shared" ref="M195:M240" si="10">+L195+J195</f>
        <v>23322.66</v>
      </c>
      <c r="N195" s="182">
        <f t="shared" ref="N195:N240" si="11">+G195-M195</f>
        <v>20407.34</v>
      </c>
    </row>
    <row r="196" spans="1:14" ht="12" hidden="1" customHeight="1" x14ac:dyDescent="0.35">
      <c r="A196" s="173" t="s">
        <v>273</v>
      </c>
      <c r="B196" s="188">
        <v>23560000</v>
      </c>
      <c r="C196" s="173" t="s">
        <v>274</v>
      </c>
      <c r="D196" s="181">
        <v>42103</v>
      </c>
      <c r="E196" s="181">
        <v>42185</v>
      </c>
      <c r="F196" s="173">
        <v>8036</v>
      </c>
      <c r="G196" s="182">
        <v>22167.5</v>
      </c>
      <c r="H196" s="183">
        <v>0.1</v>
      </c>
      <c r="I196" s="182">
        <v>2216.75</v>
      </c>
      <c r="J196" s="182">
        <v>9421.18</v>
      </c>
      <c r="K196" s="182">
        <v>12746.32</v>
      </c>
      <c r="L196" s="182">
        <f t="shared" si="9"/>
        <v>2216.75</v>
      </c>
      <c r="M196" s="182">
        <f t="shared" si="10"/>
        <v>11637.93</v>
      </c>
      <c r="N196" s="182">
        <f t="shared" si="11"/>
        <v>10529.57</v>
      </c>
    </row>
    <row r="197" spans="1:14" ht="11.25" hidden="1" customHeight="1" x14ac:dyDescent="0.35">
      <c r="A197" s="195" t="s">
        <v>265</v>
      </c>
      <c r="B197" s="196">
        <v>23310001</v>
      </c>
      <c r="C197" s="195" t="s">
        <v>264</v>
      </c>
      <c r="D197" s="197">
        <v>42277</v>
      </c>
      <c r="E197" s="197">
        <v>42551</v>
      </c>
      <c r="F197" s="195">
        <v>8039</v>
      </c>
      <c r="G197" s="198">
        <v>47353</v>
      </c>
      <c r="H197" s="199">
        <v>0.2</v>
      </c>
      <c r="I197" s="182">
        <v>9470.6</v>
      </c>
      <c r="J197" s="182">
        <v>36303.966666666667</v>
      </c>
      <c r="K197" s="182">
        <v>11049.033333333331</v>
      </c>
      <c r="L197" s="198">
        <f t="shared" si="9"/>
        <v>9470.6</v>
      </c>
      <c r="M197" s="198">
        <f t="shared" si="10"/>
        <v>45774.566666666666</v>
      </c>
      <c r="N197" s="198">
        <f t="shared" si="11"/>
        <v>1578.4333333333343</v>
      </c>
    </row>
    <row r="198" spans="1:14" ht="11.25" hidden="1" customHeight="1" x14ac:dyDescent="0.35">
      <c r="A198" s="195" t="s">
        <v>265</v>
      </c>
      <c r="B198" s="196">
        <v>23310001</v>
      </c>
      <c r="C198" s="195" t="s">
        <v>264</v>
      </c>
      <c r="D198" s="197">
        <v>42186</v>
      </c>
      <c r="E198" s="197">
        <v>42551</v>
      </c>
      <c r="F198" s="195">
        <v>8036</v>
      </c>
      <c r="G198" s="198">
        <v>11612.08</v>
      </c>
      <c r="H198" s="199">
        <v>0.2</v>
      </c>
      <c r="I198" s="182">
        <v>2322.4160000000002</v>
      </c>
      <c r="J198" s="182">
        <v>9289.6579999999994</v>
      </c>
      <c r="K198" s="182">
        <v>2322.4219999999996</v>
      </c>
      <c r="L198" s="198">
        <f t="shared" si="9"/>
        <v>2322.4160000000002</v>
      </c>
      <c r="M198" s="198">
        <f t="shared" si="10"/>
        <v>11612.074000000001</v>
      </c>
      <c r="N198" s="198">
        <f t="shared" si="11"/>
        <v>5.9999999994033715E-3</v>
      </c>
    </row>
    <row r="199" spans="1:14" ht="11.25" customHeight="1" x14ac:dyDescent="0.35">
      <c r="A199" s="195" t="s">
        <v>265</v>
      </c>
      <c r="B199" s="196">
        <v>23310001</v>
      </c>
      <c r="C199" s="195" t="s">
        <v>264</v>
      </c>
      <c r="D199" s="197">
        <v>42247</v>
      </c>
      <c r="E199" s="197">
        <v>42551</v>
      </c>
      <c r="F199" s="195">
        <v>8038</v>
      </c>
      <c r="G199" s="198">
        <v>19657.78</v>
      </c>
      <c r="H199" s="199">
        <v>0.2</v>
      </c>
      <c r="I199" s="182">
        <v>3931.556</v>
      </c>
      <c r="J199" s="182">
        <v>15398.588000000002</v>
      </c>
      <c r="K199" s="182">
        <v>4259.1919999999973</v>
      </c>
      <c r="L199" s="198">
        <f t="shared" si="9"/>
        <v>3931.556</v>
      </c>
      <c r="M199" s="198">
        <f t="shared" si="10"/>
        <v>19330.144</v>
      </c>
      <c r="N199" s="198">
        <f t="shared" si="11"/>
        <v>327.6359999999986</v>
      </c>
    </row>
    <row r="200" spans="1:14" ht="11.25" customHeight="1" x14ac:dyDescent="0.35">
      <c r="A200" s="195" t="s">
        <v>265</v>
      </c>
      <c r="B200" s="196">
        <v>23310001</v>
      </c>
      <c r="C200" s="195" t="s">
        <v>264</v>
      </c>
      <c r="D200" s="197">
        <v>42247</v>
      </c>
      <c r="E200" s="197">
        <v>42551</v>
      </c>
      <c r="F200" s="195">
        <v>8038</v>
      </c>
      <c r="G200" s="198">
        <v>39563.129999999997</v>
      </c>
      <c r="H200" s="199">
        <v>0.2</v>
      </c>
      <c r="I200" s="182">
        <v>7912.6260000000002</v>
      </c>
      <c r="J200" s="182">
        <v>30991.117999999999</v>
      </c>
      <c r="K200" s="182">
        <v>8572.0119999999988</v>
      </c>
      <c r="L200" s="198">
        <f t="shared" si="9"/>
        <v>7912.6260000000002</v>
      </c>
      <c r="M200" s="198">
        <f t="shared" si="10"/>
        <v>38903.743999999999</v>
      </c>
      <c r="N200" s="198">
        <f t="shared" si="11"/>
        <v>659.3859999999986</v>
      </c>
    </row>
    <row r="201" spans="1:14" ht="11.25" hidden="1" customHeight="1" x14ac:dyDescent="0.35">
      <c r="A201" s="195" t="s">
        <v>265</v>
      </c>
      <c r="B201" s="196">
        <v>23310001</v>
      </c>
      <c r="C201" s="195" t="s">
        <v>264</v>
      </c>
      <c r="D201" s="197">
        <v>42292</v>
      </c>
      <c r="E201" s="197">
        <v>42551</v>
      </c>
      <c r="F201" s="195">
        <v>8039</v>
      </c>
      <c r="G201" s="198">
        <v>6958</v>
      </c>
      <c r="H201" s="199">
        <v>0.2</v>
      </c>
      <c r="I201" s="182">
        <v>1391.6000000000001</v>
      </c>
      <c r="J201" s="182">
        <v>5218.5000000000009</v>
      </c>
      <c r="K201" s="182">
        <v>1739.4999999999993</v>
      </c>
      <c r="L201" s="198">
        <f t="shared" si="9"/>
        <v>1391.6000000000001</v>
      </c>
      <c r="M201" s="198">
        <f t="shared" si="10"/>
        <v>6610.1000000000013</v>
      </c>
      <c r="N201" s="198">
        <f t="shared" si="11"/>
        <v>347.89999999999873</v>
      </c>
    </row>
    <row r="202" spans="1:14" ht="11.25" hidden="1" customHeight="1" x14ac:dyDescent="0.35">
      <c r="A202" s="195" t="s">
        <v>265</v>
      </c>
      <c r="B202" s="196">
        <v>23310001</v>
      </c>
      <c r="C202" s="195" t="s">
        <v>264</v>
      </c>
      <c r="D202" s="197">
        <v>42490</v>
      </c>
      <c r="E202" s="197">
        <v>42551</v>
      </c>
      <c r="F202" s="195">
        <v>8039</v>
      </c>
      <c r="G202" s="198">
        <v>13548.85</v>
      </c>
      <c r="H202" s="199">
        <v>0.2</v>
      </c>
      <c r="I202" s="182">
        <v>2709.7700000000004</v>
      </c>
      <c r="J202" s="182">
        <v>8806.7500000000018</v>
      </c>
      <c r="K202" s="182">
        <v>4742.0999999999985</v>
      </c>
      <c r="L202" s="198">
        <f t="shared" si="9"/>
        <v>2709.7700000000004</v>
      </c>
      <c r="M202" s="198">
        <f t="shared" si="10"/>
        <v>11516.520000000002</v>
      </c>
      <c r="N202" s="198">
        <f t="shared" si="11"/>
        <v>2032.3299999999981</v>
      </c>
    </row>
    <row r="203" spans="1:14" ht="11.25" hidden="1" customHeight="1" x14ac:dyDescent="0.35">
      <c r="A203" s="195" t="s">
        <v>265</v>
      </c>
      <c r="B203" s="196">
        <v>23310001</v>
      </c>
      <c r="C203" s="195" t="s">
        <v>264</v>
      </c>
      <c r="D203" s="197">
        <v>42490</v>
      </c>
      <c r="E203" s="197">
        <v>42551</v>
      </c>
      <c r="F203" s="195">
        <v>8039</v>
      </c>
      <c r="G203" s="198">
        <v>21654.77</v>
      </c>
      <c r="H203" s="199">
        <v>0.2</v>
      </c>
      <c r="I203" s="182">
        <v>4330.9540000000006</v>
      </c>
      <c r="J203" s="182">
        <v>14075.588000000003</v>
      </c>
      <c r="K203" s="182">
        <v>7579.181999999998</v>
      </c>
      <c r="L203" s="198">
        <f t="shared" si="9"/>
        <v>4330.9540000000006</v>
      </c>
      <c r="M203" s="198">
        <f t="shared" si="10"/>
        <v>18406.542000000005</v>
      </c>
      <c r="N203" s="198">
        <f t="shared" si="11"/>
        <v>3248.2279999999955</v>
      </c>
    </row>
    <row r="204" spans="1:14" ht="11.25" hidden="1" customHeight="1" x14ac:dyDescent="0.35">
      <c r="A204" s="195" t="s">
        <v>265</v>
      </c>
      <c r="B204" s="196">
        <v>23310003</v>
      </c>
      <c r="C204" s="195" t="s">
        <v>269</v>
      </c>
      <c r="D204" s="197">
        <v>42466</v>
      </c>
      <c r="E204" s="197">
        <v>42551</v>
      </c>
      <c r="F204" s="195">
        <v>8039</v>
      </c>
      <c r="G204" s="198">
        <v>146022.80000000002</v>
      </c>
      <c r="H204" s="199">
        <v>0.5</v>
      </c>
      <c r="I204" s="182">
        <v>0</v>
      </c>
      <c r="J204" s="182">
        <v>146022.80000000002</v>
      </c>
      <c r="K204" s="182">
        <v>0</v>
      </c>
      <c r="L204" s="198">
        <f t="shared" si="9"/>
        <v>0</v>
      </c>
      <c r="M204" s="198">
        <f t="shared" si="10"/>
        <v>146022.80000000002</v>
      </c>
      <c r="N204" s="198">
        <f t="shared" si="11"/>
        <v>0</v>
      </c>
    </row>
    <row r="205" spans="1:14" ht="11.25" customHeight="1" x14ac:dyDescent="0.35">
      <c r="A205" s="195" t="s">
        <v>265</v>
      </c>
      <c r="B205" s="196">
        <v>23310004</v>
      </c>
      <c r="C205" s="195" t="s">
        <v>270</v>
      </c>
      <c r="D205" s="197">
        <v>42226</v>
      </c>
      <c r="E205" s="197">
        <v>42551</v>
      </c>
      <c r="F205" s="195">
        <v>8038</v>
      </c>
      <c r="G205" s="198">
        <v>144976.09</v>
      </c>
      <c r="H205" s="199">
        <v>0.3333333</v>
      </c>
      <c r="I205" s="182">
        <v>4031.562998406007</v>
      </c>
      <c r="J205" s="182">
        <v>144976.09</v>
      </c>
      <c r="K205" s="182">
        <v>0</v>
      </c>
      <c r="L205" s="198">
        <v>0</v>
      </c>
      <c r="M205" s="198">
        <f t="shared" si="10"/>
        <v>144976.09</v>
      </c>
      <c r="N205" s="198">
        <f t="shared" si="11"/>
        <v>0</v>
      </c>
    </row>
    <row r="206" spans="1:14" ht="11.25" customHeight="1" x14ac:dyDescent="0.35">
      <c r="A206" s="195" t="s">
        <v>265</v>
      </c>
      <c r="B206" s="196">
        <v>23310004</v>
      </c>
      <c r="C206" s="195" t="s">
        <v>270</v>
      </c>
      <c r="D206" s="197">
        <v>42226</v>
      </c>
      <c r="E206" s="197">
        <v>42551</v>
      </c>
      <c r="F206" s="195">
        <v>8038</v>
      </c>
      <c r="G206" s="198">
        <v>284693.68</v>
      </c>
      <c r="H206" s="199">
        <v>0.3333333</v>
      </c>
      <c r="I206" s="182">
        <v>7917.8261564559652</v>
      </c>
      <c r="J206" s="182">
        <v>284693.68</v>
      </c>
      <c r="K206" s="182">
        <v>0</v>
      </c>
      <c r="L206" s="198">
        <v>0</v>
      </c>
      <c r="M206" s="198">
        <f t="shared" si="10"/>
        <v>284693.68</v>
      </c>
      <c r="N206" s="198">
        <f t="shared" si="11"/>
        <v>0</v>
      </c>
    </row>
    <row r="207" spans="1:14" ht="11.25" hidden="1" customHeight="1" x14ac:dyDescent="0.35">
      <c r="A207" s="195" t="s">
        <v>265</v>
      </c>
      <c r="B207" s="196">
        <v>23310004</v>
      </c>
      <c r="C207" s="195" t="s">
        <v>270</v>
      </c>
      <c r="D207" s="197">
        <v>42571</v>
      </c>
      <c r="E207" s="197">
        <v>42916</v>
      </c>
      <c r="F207" s="195">
        <v>8036</v>
      </c>
      <c r="G207" s="198">
        <v>280511.57142857142</v>
      </c>
      <c r="H207" s="199">
        <v>0.5</v>
      </c>
      <c r="I207" s="182">
        <v>0</v>
      </c>
      <c r="J207" s="182">
        <v>280511.57142857101</v>
      </c>
      <c r="K207" s="182">
        <v>0</v>
      </c>
      <c r="L207" s="198">
        <f t="shared" si="9"/>
        <v>0</v>
      </c>
      <c r="M207" s="198">
        <f t="shared" si="10"/>
        <v>280511.57142857101</v>
      </c>
      <c r="N207" s="198">
        <f t="shared" si="11"/>
        <v>0</v>
      </c>
    </row>
    <row r="208" spans="1:14" ht="11.25" customHeight="1" x14ac:dyDescent="0.35">
      <c r="A208" s="195" t="s">
        <v>265</v>
      </c>
      <c r="B208" s="196">
        <v>23310003</v>
      </c>
      <c r="C208" s="195" t="s">
        <v>269</v>
      </c>
      <c r="D208" s="197">
        <v>42356</v>
      </c>
      <c r="E208" s="197">
        <v>42551</v>
      </c>
      <c r="F208" s="195">
        <v>8038</v>
      </c>
      <c r="G208" s="198">
        <v>12882.5</v>
      </c>
      <c r="H208" s="199">
        <v>0.33333333333333337</v>
      </c>
      <c r="I208" s="182">
        <v>0</v>
      </c>
      <c r="J208" s="182">
        <v>12882.5</v>
      </c>
      <c r="K208" s="182">
        <v>0</v>
      </c>
      <c r="L208" s="198">
        <f t="shared" si="9"/>
        <v>0</v>
      </c>
      <c r="M208" s="198">
        <f t="shared" si="10"/>
        <v>12882.5</v>
      </c>
      <c r="N208" s="198">
        <f t="shared" si="11"/>
        <v>0</v>
      </c>
    </row>
    <row r="209" spans="1:14" ht="11.25" hidden="1" customHeight="1" x14ac:dyDescent="0.35">
      <c r="A209" s="195" t="s">
        <v>265</v>
      </c>
      <c r="B209" s="196">
        <v>23310006</v>
      </c>
      <c r="C209" s="195" t="s">
        <v>272</v>
      </c>
      <c r="D209" s="197">
        <v>42308</v>
      </c>
      <c r="E209" s="197">
        <v>42551</v>
      </c>
      <c r="F209" s="195">
        <v>8036</v>
      </c>
      <c r="G209" s="198">
        <v>10976</v>
      </c>
      <c r="H209" s="199">
        <v>0.2</v>
      </c>
      <c r="I209" s="182">
        <v>2195.2000000000003</v>
      </c>
      <c r="J209" s="182">
        <v>8232.0000000000018</v>
      </c>
      <c r="K209" s="182">
        <v>2743.9999999999986</v>
      </c>
      <c r="L209" s="198">
        <f t="shared" si="9"/>
        <v>2195.2000000000003</v>
      </c>
      <c r="M209" s="198">
        <f t="shared" si="10"/>
        <v>10427.200000000003</v>
      </c>
      <c r="N209" s="198">
        <f t="shared" si="11"/>
        <v>548.79999999999745</v>
      </c>
    </row>
    <row r="210" spans="1:14" ht="11.25" customHeight="1" x14ac:dyDescent="0.35">
      <c r="A210" s="195" t="s">
        <v>265</v>
      </c>
      <c r="B210" s="196">
        <v>23310006</v>
      </c>
      <c r="C210" s="195" t="s">
        <v>272</v>
      </c>
      <c r="D210" s="197">
        <v>42216</v>
      </c>
      <c r="E210" s="197">
        <v>42551</v>
      </c>
      <c r="F210" s="195">
        <v>8038</v>
      </c>
      <c r="G210" s="198">
        <v>82320</v>
      </c>
      <c r="H210" s="199">
        <v>0.2</v>
      </c>
      <c r="I210" s="182">
        <v>16464</v>
      </c>
      <c r="J210" s="182">
        <v>65856</v>
      </c>
      <c r="K210" s="182">
        <v>16464</v>
      </c>
      <c r="L210" s="198">
        <f t="shared" si="9"/>
        <v>16464</v>
      </c>
      <c r="M210" s="198">
        <f t="shared" si="10"/>
        <v>82320</v>
      </c>
      <c r="N210" s="198">
        <f t="shared" si="11"/>
        <v>0</v>
      </c>
    </row>
    <row r="211" spans="1:14" ht="11.25" hidden="1" customHeight="1" x14ac:dyDescent="0.35">
      <c r="A211" s="195" t="s">
        <v>265</v>
      </c>
      <c r="B211" s="196">
        <v>23310006</v>
      </c>
      <c r="C211" s="195" t="s">
        <v>272</v>
      </c>
      <c r="D211" s="197">
        <v>42490</v>
      </c>
      <c r="E211" s="197">
        <v>42551</v>
      </c>
      <c r="F211" s="195">
        <v>8039</v>
      </c>
      <c r="G211" s="198">
        <v>21000</v>
      </c>
      <c r="H211" s="199">
        <v>0.2</v>
      </c>
      <c r="I211" s="182">
        <v>4200</v>
      </c>
      <c r="J211" s="182">
        <v>13650</v>
      </c>
      <c r="K211" s="182">
        <v>7350</v>
      </c>
      <c r="L211" s="198">
        <f t="shared" si="9"/>
        <v>4200</v>
      </c>
      <c r="M211" s="198">
        <f t="shared" si="10"/>
        <v>17850</v>
      </c>
      <c r="N211" s="198">
        <f t="shared" si="11"/>
        <v>3150</v>
      </c>
    </row>
    <row r="212" spans="1:14" ht="11.25" hidden="1" customHeight="1" x14ac:dyDescent="0.35">
      <c r="A212" s="195" t="s">
        <v>265</v>
      </c>
      <c r="B212" s="196">
        <v>23310006</v>
      </c>
      <c r="C212" s="195" t="s">
        <v>272</v>
      </c>
      <c r="D212" s="197">
        <v>42490</v>
      </c>
      <c r="E212" s="197">
        <v>42551</v>
      </c>
      <c r="F212" s="195">
        <v>8039</v>
      </c>
      <c r="G212" s="198">
        <v>10500</v>
      </c>
      <c r="H212" s="199">
        <v>0.2</v>
      </c>
      <c r="I212" s="182">
        <v>2100</v>
      </c>
      <c r="J212" s="182">
        <v>8497.34</v>
      </c>
      <c r="K212" s="182">
        <v>2002.6599999999999</v>
      </c>
      <c r="L212" s="198">
        <f>+K212</f>
        <v>2002.6599999999999</v>
      </c>
      <c r="M212" s="198">
        <f t="shared" si="10"/>
        <v>10500</v>
      </c>
      <c r="N212" s="198">
        <f t="shared" si="11"/>
        <v>0</v>
      </c>
    </row>
    <row r="213" spans="1:14" ht="11.25" customHeight="1" x14ac:dyDescent="0.35">
      <c r="A213" s="195" t="s">
        <v>265</v>
      </c>
      <c r="B213" s="196">
        <v>23310004</v>
      </c>
      <c r="C213" s="195" t="s">
        <v>270</v>
      </c>
      <c r="D213" s="197">
        <v>42571</v>
      </c>
      <c r="E213" s="197">
        <v>42916</v>
      </c>
      <c r="F213" s="195">
        <v>8038</v>
      </c>
      <c r="G213" s="198">
        <v>701278.92857142852</v>
      </c>
      <c r="H213" s="199">
        <v>0.5</v>
      </c>
      <c r="I213" s="182">
        <v>0</v>
      </c>
      <c r="J213" s="182">
        <v>701278.92857142899</v>
      </c>
      <c r="K213" s="182">
        <v>0</v>
      </c>
      <c r="L213" s="198">
        <f t="shared" si="9"/>
        <v>0</v>
      </c>
      <c r="M213" s="198">
        <f t="shared" si="10"/>
        <v>701278.92857142899</v>
      </c>
      <c r="N213" s="198">
        <f t="shared" si="11"/>
        <v>0</v>
      </c>
    </row>
    <row r="214" spans="1:14" ht="11.25" hidden="1" customHeight="1" x14ac:dyDescent="0.35">
      <c r="A214" s="195" t="s">
        <v>265</v>
      </c>
      <c r="B214" s="196">
        <v>23310006</v>
      </c>
      <c r="C214" s="195" t="s">
        <v>272</v>
      </c>
      <c r="D214" s="197">
        <v>42579</v>
      </c>
      <c r="E214" s="197">
        <v>42916</v>
      </c>
      <c r="F214" s="195">
        <v>8036</v>
      </c>
      <c r="G214" s="198">
        <v>68870.05</v>
      </c>
      <c r="H214" s="199">
        <v>0.2</v>
      </c>
      <c r="I214" s="182">
        <v>13774.010000000002</v>
      </c>
      <c r="J214" s="182">
        <v>41322.030000000006</v>
      </c>
      <c r="K214" s="182">
        <v>27548.019999999997</v>
      </c>
      <c r="L214" s="198">
        <f t="shared" si="9"/>
        <v>13774.010000000002</v>
      </c>
      <c r="M214" s="198">
        <f t="shared" si="10"/>
        <v>55096.040000000008</v>
      </c>
      <c r="N214" s="198">
        <f t="shared" si="11"/>
        <v>13774.009999999995</v>
      </c>
    </row>
    <row r="215" spans="1:14" ht="11.25" hidden="1" customHeight="1" x14ac:dyDescent="0.35">
      <c r="A215" s="195" t="s">
        <v>265</v>
      </c>
      <c r="B215" s="196">
        <v>23310006</v>
      </c>
      <c r="C215" s="195" t="s">
        <v>272</v>
      </c>
      <c r="D215" s="197">
        <v>42584</v>
      </c>
      <c r="E215" s="197">
        <v>42916</v>
      </c>
      <c r="F215" s="195">
        <v>8036</v>
      </c>
      <c r="G215" s="198">
        <v>10350</v>
      </c>
      <c r="H215" s="199">
        <v>0.2</v>
      </c>
      <c r="I215" s="182">
        <v>2070</v>
      </c>
      <c r="J215" s="182">
        <v>5865.0000000000018</v>
      </c>
      <c r="K215" s="182">
        <v>4484.9999999999982</v>
      </c>
      <c r="L215" s="198">
        <f t="shared" si="9"/>
        <v>2070</v>
      </c>
      <c r="M215" s="198">
        <f t="shared" si="10"/>
        <v>7935.0000000000018</v>
      </c>
      <c r="N215" s="198">
        <f t="shared" si="11"/>
        <v>2414.9999999999982</v>
      </c>
    </row>
    <row r="216" spans="1:14" ht="11.25" hidden="1" customHeight="1" x14ac:dyDescent="0.35">
      <c r="A216" s="195" t="s">
        <v>265</v>
      </c>
      <c r="B216" s="196">
        <v>23310006</v>
      </c>
      <c r="C216" s="195" t="s">
        <v>272</v>
      </c>
      <c r="D216" s="197">
        <v>43595</v>
      </c>
      <c r="E216" s="197">
        <v>43646</v>
      </c>
      <c r="F216" s="195">
        <v>8036</v>
      </c>
      <c r="G216" s="198">
        <v>96000</v>
      </c>
      <c r="H216" s="199">
        <v>0.2</v>
      </c>
      <c r="I216" s="182">
        <v>3200</v>
      </c>
      <c r="J216" s="182">
        <v>3200</v>
      </c>
      <c r="K216" s="182">
        <v>92800</v>
      </c>
      <c r="L216" s="198">
        <f t="shared" si="9"/>
        <v>3200</v>
      </c>
      <c r="M216" s="198">
        <f t="shared" si="10"/>
        <v>6400</v>
      </c>
      <c r="N216" s="198">
        <f t="shared" si="11"/>
        <v>89600</v>
      </c>
    </row>
    <row r="217" spans="1:14" ht="11.25" customHeight="1" x14ac:dyDescent="0.35">
      <c r="A217" s="195" t="s">
        <v>265</v>
      </c>
      <c r="B217" s="195">
        <v>23310002</v>
      </c>
      <c r="C217" s="195" t="s">
        <v>266</v>
      </c>
      <c r="D217" s="197">
        <v>43646</v>
      </c>
      <c r="E217" s="197">
        <v>43646</v>
      </c>
      <c r="F217" s="195">
        <v>8038</v>
      </c>
      <c r="G217" s="198">
        <v>33839</v>
      </c>
      <c r="H217" s="199">
        <v>0.2</v>
      </c>
      <c r="I217" s="182">
        <v>0</v>
      </c>
      <c r="J217" s="182">
        <v>0</v>
      </c>
      <c r="K217" s="182">
        <v>33839</v>
      </c>
      <c r="L217" s="198">
        <f t="shared" si="9"/>
        <v>0</v>
      </c>
      <c r="M217" s="198">
        <f t="shared" si="10"/>
        <v>0</v>
      </c>
      <c r="N217" s="198">
        <f t="shared" si="11"/>
        <v>33839</v>
      </c>
    </row>
    <row r="218" spans="1:14" ht="11.25" hidden="1" customHeight="1" x14ac:dyDescent="0.35">
      <c r="A218" s="195" t="s">
        <v>265</v>
      </c>
      <c r="B218" s="196">
        <v>23310006</v>
      </c>
      <c r="C218" s="195" t="s">
        <v>272</v>
      </c>
      <c r="D218" s="197">
        <v>43437</v>
      </c>
      <c r="E218" s="197">
        <v>43646</v>
      </c>
      <c r="F218" s="195">
        <v>8036</v>
      </c>
      <c r="G218" s="198">
        <v>58800.06</v>
      </c>
      <c r="H218" s="199">
        <v>0.2</v>
      </c>
      <c r="I218" s="182">
        <v>6860.0070000000005</v>
      </c>
      <c r="J218" s="182">
        <v>6860.0070000000005</v>
      </c>
      <c r="K218" s="182">
        <v>51940.053</v>
      </c>
      <c r="L218" s="198">
        <f t="shared" si="9"/>
        <v>6860.0070000000005</v>
      </c>
      <c r="M218" s="198">
        <f t="shared" si="10"/>
        <v>13720.014000000001</v>
      </c>
      <c r="N218" s="198">
        <f t="shared" si="11"/>
        <v>45080.045999999995</v>
      </c>
    </row>
    <row r="219" spans="1:14" ht="11.25" hidden="1" customHeight="1" x14ac:dyDescent="0.35">
      <c r="A219" s="195" t="s">
        <v>265</v>
      </c>
      <c r="B219" s="196">
        <v>23310006</v>
      </c>
      <c r="C219" s="195" t="s">
        <v>272</v>
      </c>
      <c r="D219" s="197">
        <v>43630</v>
      </c>
      <c r="E219" s="197">
        <v>43646</v>
      </c>
      <c r="F219" s="195">
        <v>8036</v>
      </c>
      <c r="G219" s="198">
        <v>14646</v>
      </c>
      <c r="H219" s="199">
        <v>0.2</v>
      </c>
      <c r="I219" s="182">
        <v>244.10000000000002</v>
      </c>
      <c r="J219" s="182">
        <v>244.10000000000002</v>
      </c>
      <c r="K219" s="182">
        <v>14401.9</v>
      </c>
      <c r="L219" s="198">
        <f t="shared" si="9"/>
        <v>244.10000000000002</v>
      </c>
      <c r="M219" s="198">
        <f t="shared" si="10"/>
        <v>488.20000000000005</v>
      </c>
      <c r="N219" s="198">
        <f t="shared" si="11"/>
        <v>14157.8</v>
      </c>
    </row>
    <row r="220" spans="1:14" ht="11.25" hidden="1" customHeight="1" x14ac:dyDescent="0.35">
      <c r="A220" s="195" t="s">
        <v>265</v>
      </c>
      <c r="B220" s="196">
        <v>23310006</v>
      </c>
      <c r="C220" s="195" t="s">
        <v>272</v>
      </c>
      <c r="D220" s="197">
        <v>43318</v>
      </c>
      <c r="E220" s="197">
        <v>43646</v>
      </c>
      <c r="F220" s="195">
        <v>8036</v>
      </c>
      <c r="G220" s="198">
        <v>8400</v>
      </c>
      <c r="H220" s="199">
        <v>0.2</v>
      </c>
      <c r="I220" s="182">
        <v>1540</v>
      </c>
      <c r="J220" s="182">
        <v>1540</v>
      </c>
      <c r="K220" s="182">
        <v>6860</v>
      </c>
      <c r="L220" s="198">
        <f t="shared" si="9"/>
        <v>1540</v>
      </c>
      <c r="M220" s="198">
        <f t="shared" si="10"/>
        <v>3080</v>
      </c>
      <c r="N220" s="198">
        <f t="shared" si="11"/>
        <v>5320</v>
      </c>
    </row>
    <row r="221" spans="1:14" ht="11.25" hidden="1" customHeight="1" x14ac:dyDescent="0.35">
      <c r="A221" s="195" t="s">
        <v>265</v>
      </c>
      <c r="B221" s="196">
        <v>23310006</v>
      </c>
      <c r="C221" s="195" t="s">
        <v>272</v>
      </c>
      <c r="D221" s="197">
        <v>43322</v>
      </c>
      <c r="E221" s="197">
        <v>43646</v>
      </c>
      <c r="F221" s="195">
        <v>8036</v>
      </c>
      <c r="G221" s="198">
        <v>12250</v>
      </c>
      <c r="H221" s="199">
        <v>0.2</v>
      </c>
      <c r="I221" s="182">
        <v>2245.8333333333335</v>
      </c>
      <c r="J221" s="182">
        <v>2245.8333333333335</v>
      </c>
      <c r="K221" s="182">
        <v>10004.166666666666</v>
      </c>
      <c r="L221" s="198">
        <f t="shared" si="9"/>
        <v>2245.8333333333335</v>
      </c>
      <c r="M221" s="198">
        <f t="shared" si="10"/>
        <v>4491.666666666667</v>
      </c>
      <c r="N221" s="198">
        <f t="shared" si="11"/>
        <v>7758.333333333333</v>
      </c>
    </row>
    <row r="222" spans="1:14" ht="11.25" customHeight="1" x14ac:dyDescent="0.35">
      <c r="A222" s="195" t="s">
        <v>265</v>
      </c>
      <c r="B222" s="196">
        <v>23310006</v>
      </c>
      <c r="C222" s="195" t="s">
        <v>272</v>
      </c>
      <c r="D222" s="197">
        <v>43305</v>
      </c>
      <c r="E222" s="197">
        <v>43646</v>
      </c>
      <c r="F222" s="195">
        <v>8038</v>
      </c>
      <c r="G222" s="198">
        <v>69991.95</v>
      </c>
      <c r="H222" s="199">
        <v>0.2</v>
      </c>
      <c r="I222" s="182">
        <v>12831.857499999998</v>
      </c>
      <c r="J222" s="182">
        <v>12831.857499999998</v>
      </c>
      <c r="K222" s="182">
        <v>57160.092499999999</v>
      </c>
      <c r="L222" s="198">
        <f t="shared" si="9"/>
        <v>12831.857499999998</v>
      </c>
      <c r="M222" s="198">
        <f t="shared" si="10"/>
        <v>25663.714999999997</v>
      </c>
      <c r="N222" s="198">
        <f t="shared" si="11"/>
        <v>44328.235000000001</v>
      </c>
    </row>
    <row r="223" spans="1:14" ht="11.25" customHeight="1" x14ac:dyDescent="0.35">
      <c r="A223" s="195" t="s">
        <v>265</v>
      </c>
      <c r="B223" s="196">
        <v>23310006</v>
      </c>
      <c r="C223" s="195" t="s">
        <v>272</v>
      </c>
      <c r="D223" s="197">
        <v>43323</v>
      </c>
      <c r="E223" s="197">
        <v>43646</v>
      </c>
      <c r="F223" s="195">
        <v>8038</v>
      </c>
      <c r="G223" s="198">
        <v>3850</v>
      </c>
      <c r="H223" s="199">
        <v>0.2</v>
      </c>
      <c r="I223" s="182">
        <v>705.83333333333337</v>
      </c>
      <c r="J223" s="182">
        <v>705.83333333333337</v>
      </c>
      <c r="K223" s="182">
        <v>3144.1666666666665</v>
      </c>
      <c r="L223" s="198">
        <f t="shared" si="9"/>
        <v>705.83333333333337</v>
      </c>
      <c r="M223" s="198">
        <f t="shared" si="10"/>
        <v>1411.6666666666667</v>
      </c>
      <c r="N223" s="198">
        <f t="shared" si="11"/>
        <v>2438.333333333333</v>
      </c>
    </row>
    <row r="224" spans="1:14" ht="11.25" customHeight="1" x14ac:dyDescent="0.35">
      <c r="A224" s="195" t="s">
        <v>265</v>
      </c>
      <c r="B224" s="196">
        <v>23310003</v>
      </c>
      <c r="C224" s="195" t="s">
        <v>269</v>
      </c>
      <c r="D224" s="197">
        <v>42585</v>
      </c>
      <c r="E224" s="197">
        <v>42916</v>
      </c>
      <c r="F224" s="195">
        <v>8038</v>
      </c>
      <c r="G224" s="198">
        <v>16385.599999999999</v>
      </c>
      <c r="H224" s="199">
        <v>0.5</v>
      </c>
      <c r="I224" s="182">
        <v>1365.4666666666672</v>
      </c>
      <c r="J224" s="182">
        <v>16385.599999999999</v>
      </c>
      <c r="K224" s="182">
        <v>0</v>
      </c>
      <c r="L224" s="198">
        <v>0</v>
      </c>
      <c r="M224" s="198">
        <f t="shared" si="10"/>
        <v>16385.599999999999</v>
      </c>
      <c r="N224" s="198">
        <f t="shared" si="11"/>
        <v>0</v>
      </c>
    </row>
    <row r="225" spans="1:15" ht="11.25" customHeight="1" x14ac:dyDescent="0.35">
      <c r="A225" s="195" t="s">
        <v>265</v>
      </c>
      <c r="B225" s="196">
        <v>23310003</v>
      </c>
      <c r="C225" s="195" t="s">
        <v>269</v>
      </c>
      <c r="D225" s="197">
        <v>42585</v>
      </c>
      <c r="E225" s="197">
        <v>42916</v>
      </c>
      <c r="F225" s="195">
        <v>8038</v>
      </c>
      <c r="G225" s="198">
        <v>24729.599999999999</v>
      </c>
      <c r="H225" s="199">
        <v>0.5</v>
      </c>
      <c r="I225" s="182">
        <v>2060.7999999999993</v>
      </c>
      <c r="J225" s="182">
        <v>24729.599999999999</v>
      </c>
      <c r="K225" s="182">
        <v>0</v>
      </c>
      <c r="L225" s="198">
        <v>0</v>
      </c>
      <c r="M225" s="198">
        <f t="shared" si="10"/>
        <v>24729.599999999999</v>
      </c>
      <c r="N225" s="198">
        <f t="shared" si="11"/>
        <v>0</v>
      </c>
    </row>
    <row r="226" spans="1:15" ht="11.25" customHeight="1" x14ac:dyDescent="0.35">
      <c r="A226" s="195" t="s">
        <v>265</v>
      </c>
      <c r="B226" s="196">
        <v>23310003</v>
      </c>
      <c r="C226" s="195" t="s">
        <v>269</v>
      </c>
      <c r="D226" s="197">
        <v>42585</v>
      </c>
      <c r="E226" s="197">
        <v>42916</v>
      </c>
      <c r="F226" s="195">
        <v>8038</v>
      </c>
      <c r="G226" s="198">
        <v>60326</v>
      </c>
      <c r="H226" s="199">
        <v>0.5</v>
      </c>
      <c r="I226" s="182">
        <v>5027.1666666666715</v>
      </c>
      <c r="J226" s="182">
        <v>60326</v>
      </c>
      <c r="K226" s="182">
        <v>0</v>
      </c>
      <c r="L226" s="198">
        <v>0</v>
      </c>
      <c r="M226" s="198">
        <f t="shared" si="10"/>
        <v>60326</v>
      </c>
      <c r="N226" s="198">
        <f t="shared" si="11"/>
        <v>0</v>
      </c>
    </row>
    <row r="227" spans="1:15" ht="11.25" customHeight="1" x14ac:dyDescent="0.35">
      <c r="A227" s="195" t="s">
        <v>265</v>
      </c>
      <c r="B227" s="196">
        <v>23310003</v>
      </c>
      <c r="C227" s="195" t="s">
        <v>269</v>
      </c>
      <c r="D227" s="197">
        <v>42585</v>
      </c>
      <c r="E227" s="197">
        <v>42916</v>
      </c>
      <c r="F227" s="195">
        <v>8038</v>
      </c>
      <c r="G227" s="198">
        <v>146320.5</v>
      </c>
      <c r="H227" s="199">
        <v>0.5</v>
      </c>
      <c r="I227" s="182">
        <v>12194.200000000012</v>
      </c>
      <c r="J227" s="182">
        <v>146320.5</v>
      </c>
      <c r="K227" s="182">
        <v>0</v>
      </c>
      <c r="L227" s="198">
        <v>0</v>
      </c>
      <c r="M227" s="198">
        <f t="shared" si="10"/>
        <v>146320.5</v>
      </c>
      <c r="N227" s="198">
        <f t="shared" si="11"/>
        <v>0</v>
      </c>
    </row>
    <row r="228" spans="1:15" ht="11.25" hidden="1" customHeight="1" x14ac:dyDescent="0.35">
      <c r="A228" s="195" t="s">
        <v>265</v>
      </c>
      <c r="B228" s="196">
        <v>23310003</v>
      </c>
      <c r="C228" s="195" t="s">
        <v>269</v>
      </c>
      <c r="D228" s="197">
        <v>42576</v>
      </c>
      <c r="E228" s="197">
        <v>42916</v>
      </c>
      <c r="F228" s="195">
        <v>8036</v>
      </c>
      <c r="G228" s="198">
        <v>181356.75</v>
      </c>
      <c r="H228" s="199">
        <v>0.5</v>
      </c>
      <c r="I228" s="182">
        <v>0</v>
      </c>
      <c r="J228" s="182">
        <v>181356.75</v>
      </c>
      <c r="K228" s="182">
        <v>0</v>
      </c>
      <c r="L228" s="198">
        <f t="shared" si="9"/>
        <v>0</v>
      </c>
      <c r="M228" s="198">
        <f t="shared" si="10"/>
        <v>181356.75</v>
      </c>
      <c r="N228" s="198">
        <f t="shared" si="11"/>
        <v>0</v>
      </c>
    </row>
    <row r="229" spans="1:15" ht="11.25" hidden="1" customHeight="1" x14ac:dyDescent="0.35">
      <c r="A229" s="195" t="s">
        <v>265</v>
      </c>
      <c r="B229" s="196">
        <v>23310003</v>
      </c>
      <c r="C229" s="195" t="s">
        <v>269</v>
      </c>
      <c r="D229" s="197">
        <v>42597</v>
      </c>
      <c r="E229" s="197">
        <v>42916</v>
      </c>
      <c r="F229" s="195">
        <v>8036</v>
      </c>
      <c r="G229" s="198">
        <v>80937</v>
      </c>
      <c r="H229" s="199">
        <v>0.5</v>
      </c>
      <c r="I229" s="182">
        <v>6744.7499999999709</v>
      </c>
      <c r="J229" s="182">
        <v>80937</v>
      </c>
      <c r="K229" s="182">
        <v>0</v>
      </c>
      <c r="L229" s="198">
        <v>0</v>
      </c>
      <c r="M229" s="198">
        <f t="shared" si="10"/>
        <v>80937</v>
      </c>
      <c r="N229" s="198">
        <f t="shared" si="11"/>
        <v>0</v>
      </c>
    </row>
    <row r="230" spans="1:15" ht="11.25" hidden="1" customHeight="1" x14ac:dyDescent="0.35">
      <c r="A230" s="195" t="s">
        <v>265</v>
      </c>
      <c r="B230" s="196">
        <v>23310003</v>
      </c>
      <c r="C230" s="195" t="s">
        <v>269</v>
      </c>
      <c r="D230" s="197">
        <v>42597</v>
      </c>
      <c r="E230" s="197">
        <v>42916</v>
      </c>
      <c r="F230" s="195">
        <v>8036</v>
      </c>
      <c r="G230" s="198">
        <v>84723.75</v>
      </c>
      <c r="H230" s="199">
        <v>0.5</v>
      </c>
      <c r="I230" s="182">
        <v>7060.3124999999709</v>
      </c>
      <c r="J230" s="182">
        <v>84723.75</v>
      </c>
      <c r="K230" s="182">
        <v>0</v>
      </c>
      <c r="L230" s="198">
        <v>0</v>
      </c>
      <c r="M230" s="198">
        <f t="shared" si="10"/>
        <v>84723.75</v>
      </c>
      <c r="N230" s="198">
        <f t="shared" si="11"/>
        <v>0</v>
      </c>
    </row>
    <row r="231" spans="1:15" ht="11.25" customHeight="1" x14ac:dyDescent="0.35">
      <c r="A231" s="195" t="s">
        <v>265</v>
      </c>
      <c r="B231" s="196">
        <v>23310003</v>
      </c>
      <c r="C231" s="195" t="s">
        <v>269</v>
      </c>
      <c r="D231" s="197">
        <v>42867</v>
      </c>
      <c r="E231" s="197">
        <v>42867</v>
      </c>
      <c r="F231" s="195">
        <v>8038</v>
      </c>
      <c r="G231" s="198">
        <v>343752.75</v>
      </c>
      <c r="H231" s="199">
        <v>0.5</v>
      </c>
      <c r="I231" s="182">
        <v>171876.375</v>
      </c>
      <c r="J231" s="182">
        <v>229168.5</v>
      </c>
      <c r="K231" s="182">
        <v>114584.25</v>
      </c>
      <c r="L231" s="198">
        <f>+K231</f>
        <v>114584.25</v>
      </c>
      <c r="M231" s="198">
        <f t="shared" si="10"/>
        <v>343752.75</v>
      </c>
      <c r="N231" s="198">
        <f t="shared" si="11"/>
        <v>0</v>
      </c>
    </row>
    <row r="232" spans="1:15" ht="11.25" hidden="1" customHeight="1" x14ac:dyDescent="0.35">
      <c r="A232" s="195" t="s">
        <v>265</v>
      </c>
      <c r="B232" s="196" t="s">
        <v>267</v>
      </c>
      <c r="C232" s="195" t="s">
        <v>268</v>
      </c>
      <c r="D232" s="197">
        <v>42696</v>
      </c>
      <c r="E232" s="197">
        <v>42916</v>
      </c>
      <c r="F232" s="195">
        <v>8039</v>
      </c>
      <c r="G232" s="198">
        <v>14000</v>
      </c>
      <c r="H232" s="199">
        <v>0.2</v>
      </c>
      <c r="I232" s="182">
        <v>2800</v>
      </c>
      <c r="J232" s="182">
        <v>6533.333333333333</v>
      </c>
      <c r="K232" s="182">
        <v>7466.6666666666679</v>
      </c>
      <c r="L232" s="198">
        <f t="shared" si="9"/>
        <v>2800</v>
      </c>
      <c r="M232" s="198">
        <f t="shared" si="10"/>
        <v>9333.3333333333321</v>
      </c>
      <c r="N232" s="198">
        <f t="shared" si="11"/>
        <v>4666.6666666666679</v>
      </c>
      <c r="O232" s="173">
        <f>+L232/12</f>
        <v>233.33333333333334</v>
      </c>
    </row>
    <row r="233" spans="1:15" ht="11.25" hidden="1" customHeight="1" x14ac:dyDescent="0.35">
      <c r="A233" s="195" t="s">
        <v>265</v>
      </c>
      <c r="B233" s="196" t="s">
        <v>267</v>
      </c>
      <c r="C233" s="195" t="s">
        <v>268</v>
      </c>
      <c r="D233" s="197">
        <v>42719</v>
      </c>
      <c r="E233" s="197">
        <v>42916</v>
      </c>
      <c r="F233" s="195">
        <v>8036</v>
      </c>
      <c r="G233" s="198">
        <v>16000</v>
      </c>
      <c r="H233" s="199">
        <v>0.2</v>
      </c>
      <c r="I233" s="182">
        <v>3200</v>
      </c>
      <c r="J233" s="182">
        <v>7466.6766666666663</v>
      </c>
      <c r="K233" s="182">
        <v>8533.3233333333337</v>
      </c>
      <c r="L233" s="198">
        <f t="shared" si="9"/>
        <v>3200</v>
      </c>
      <c r="M233" s="198">
        <f t="shared" si="10"/>
        <v>10666.676666666666</v>
      </c>
      <c r="N233" s="198">
        <f t="shared" si="11"/>
        <v>5333.3233333333337</v>
      </c>
      <c r="O233" s="173">
        <f>+L233/12</f>
        <v>266.66666666666669</v>
      </c>
    </row>
    <row r="234" spans="1:15" ht="11.25" hidden="1" customHeight="1" x14ac:dyDescent="0.35">
      <c r="A234" s="195" t="s">
        <v>265</v>
      </c>
      <c r="B234" s="196">
        <v>23310003</v>
      </c>
      <c r="C234" s="195" t="s">
        <v>269</v>
      </c>
      <c r="D234" s="197">
        <v>42675</v>
      </c>
      <c r="E234" s="197">
        <v>42916</v>
      </c>
      <c r="F234" s="195">
        <v>8036</v>
      </c>
      <c r="G234" s="198">
        <v>21575</v>
      </c>
      <c r="H234" s="199">
        <v>0.5</v>
      </c>
      <c r="I234" s="182">
        <v>7191.6566666666677</v>
      </c>
      <c r="J234" s="182">
        <v>21575</v>
      </c>
      <c r="K234" s="182">
        <v>0</v>
      </c>
      <c r="L234" s="198">
        <v>0</v>
      </c>
      <c r="M234" s="198">
        <f t="shared" si="10"/>
        <v>21575</v>
      </c>
      <c r="N234" s="198">
        <f t="shared" si="11"/>
        <v>0</v>
      </c>
    </row>
    <row r="235" spans="1:15" ht="11.25" hidden="1" customHeight="1" x14ac:dyDescent="0.35">
      <c r="A235" s="195" t="s">
        <v>265</v>
      </c>
      <c r="B235" s="196">
        <v>23310003</v>
      </c>
      <c r="C235" s="195" t="s">
        <v>269</v>
      </c>
      <c r="D235" s="197">
        <v>42633</v>
      </c>
      <c r="E235" s="197">
        <v>42916</v>
      </c>
      <c r="F235" s="195">
        <v>8036</v>
      </c>
      <c r="G235" s="198">
        <v>14287.71</v>
      </c>
      <c r="H235" s="199">
        <v>0.5</v>
      </c>
      <c r="I235" s="182">
        <v>0</v>
      </c>
      <c r="J235" s="182">
        <v>14287.71</v>
      </c>
      <c r="K235" s="182">
        <v>0</v>
      </c>
      <c r="L235" s="198">
        <f t="shared" si="9"/>
        <v>0</v>
      </c>
      <c r="M235" s="198">
        <f t="shared" si="10"/>
        <v>14287.71</v>
      </c>
      <c r="N235" s="198">
        <f t="shared" si="11"/>
        <v>0</v>
      </c>
    </row>
    <row r="236" spans="1:15" ht="11.25" customHeight="1" x14ac:dyDescent="0.35">
      <c r="A236" s="195" t="s">
        <v>265</v>
      </c>
      <c r="B236" s="196">
        <v>23310002</v>
      </c>
      <c r="C236" s="195" t="s">
        <v>266</v>
      </c>
      <c r="D236" s="197">
        <v>42247</v>
      </c>
      <c r="E236" s="197">
        <v>42551</v>
      </c>
      <c r="F236" s="195">
        <v>8038</v>
      </c>
      <c r="G236" s="198">
        <v>8682.2999999999993</v>
      </c>
      <c r="H236" s="199">
        <v>0.1</v>
      </c>
      <c r="I236" s="182">
        <v>868.23</v>
      </c>
      <c r="J236" s="182">
        <v>3400.5675000000006</v>
      </c>
      <c r="K236" s="182">
        <v>5281.7324999999983</v>
      </c>
      <c r="L236" s="198">
        <f t="shared" si="9"/>
        <v>868.23</v>
      </c>
      <c r="M236" s="198">
        <f t="shared" si="10"/>
        <v>4268.7975000000006</v>
      </c>
      <c r="N236" s="198">
        <f t="shared" si="11"/>
        <v>4413.5024999999987</v>
      </c>
    </row>
    <row r="237" spans="1:15" ht="12" customHeight="1" x14ac:dyDescent="0.35">
      <c r="A237" s="195" t="s">
        <v>265</v>
      </c>
      <c r="B237" s="196">
        <v>23310002</v>
      </c>
      <c r="C237" s="195" t="s">
        <v>266</v>
      </c>
      <c r="D237" s="197">
        <v>42247</v>
      </c>
      <c r="E237" s="197">
        <v>42551</v>
      </c>
      <c r="F237" s="195">
        <v>8038</v>
      </c>
      <c r="G237" s="198">
        <v>7550.93</v>
      </c>
      <c r="H237" s="199">
        <v>0.1</v>
      </c>
      <c r="I237" s="182">
        <v>755.09300000000007</v>
      </c>
      <c r="J237" s="182">
        <v>2957.4475833333336</v>
      </c>
      <c r="K237" s="182">
        <v>4593.4824166666667</v>
      </c>
      <c r="L237" s="198">
        <f t="shared" si="9"/>
        <v>755.09300000000007</v>
      </c>
      <c r="M237" s="198">
        <f t="shared" si="10"/>
        <v>3712.5405833333334</v>
      </c>
      <c r="N237" s="198">
        <f t="shared" si="11"/>
        <v>3838.3894166666669</v>
      </c>
    </row>
    <row r="238" spans="1:15" ht="12" customHeight="1" x14ac:dyDescent="0.35">
      <c r="A238" s="195" t="s">
        <v>265</v>
      </c>
      <c r="B238" s="196">
        <v>23310002</v>
      </c>
      <c r="C238" s="195" t="s">
        <v>266</v>
      </c>
      <c r="D238" s="197">
        <v>42247</v>
      </c>
      <c r="E238" s="197">
        <v>42551</v>
      </c>
      <c r="F238" s="195">
        <v>8038</v>
      </c>
      <c r="G238" s="198">
        <v>633.95000000000005</v>
      </c>
      <c r="H238" s="199">
        <v>0.1</v>
      </c>
      <c r="I238" s="182">
        <v>63.39500000000001</v>
      </c>
      <c r="J238" s="182">
        <v>248.2970833333334</v>
      </c>
      <c r="K238" s="182">
        <v>385.65291666666667</v>
      </c>
      <c r="L238" s="198">
        <f t="shared" si="9"/>
        <v>63.39500000000001</v>
      </c>
      <c r="M238" s="198">
        <f t="shared" si="10"/>
        <v>311.69208333333341</v>
      </c>
      <c r="N238" s="198">
        <f t="shared" si="11"/>
        <v>322.25791666666663</v>
      </c>
    </row>
    <row r="239" spans="1:15" ht="12" customHeight="1" x14ac:dyDescent="0.35">
      <c r="A239" s="195" t="s">
        <v>265</v>
      </c>
      <c r="B239" s="196">
        <v>23310002</v>
      </c>
      <c r="C239" s="195" t="s">
        <v>266</v>
      </c>
      <c r="D239" s="197">
        <v>42247</v>
      </c>
      <c r="E239" s="197">
        <v>42551</v>
      </c>
      <c r="F239" s="195">
        <v>8038</v>
      </c>
      <c r="G239" s="198">
        <v>531.46</v>
      </c>
      <c r="H239" s="199">
        <v>0.1</v>
      </c>
      <c r="I239" s="182">
        <v>53.146000000000008</v>
      </c>
      <c r="J239" s="182">
        <v>208.15516666666673</v>
      </c>
      <c r="K239" s="182">
        <v>323.30483333333331</v>
      </c>
      <c r="L239" s="198">
        <f t="shared" si="9"/>
        <v>53.146000000000008</v>
      </c>
      <c r="M239" s="198">
        <f t="shared" si="10"/>
        <v>261.30116666666675</v>
      </c>
      <c r="N239" s="198">
        <f t="shared" si="11"/>
        <v>270.15883333333329</v>
      </c>
    </row>
    <row r="240" spans="1:15" ht="12" customHeight="1" x14ac:dyDescent="0.35">
      <c r="A240" s="195" t="s">
        <v>265</v>
      </c>
      <c r="B240" s="196">
        <v>23310002</v>
      </c>
      <c r="C240" s="195" t="s">
        <v>266</v>
      </c>
      <c r="D240" s="197">
        <v>42247</v>
      </c>
      <c r="E240" s="197">
        <v>42551</v>
      </c>
      <c r="F240" s="195">
        <v>8038</v>
      </c>
      <c r="G240" s="198">
        <v>9000</v>
      </c>
      <c r="H240" s="199">
        <v>0.1</v>
      </c>
      <c r="I240" s="182">
        <v>900</v>
      </c>
      <c r="J240" s="182">
        <v>3524.9900000000002</v>
      </c>
      <c r="K240" s="182">
        <v>5475.01</v>
      </c>
      <c r="L240" s="198">
        <f t="shared" si="9"/>
        <v>900</v>
      </c>
      <c r="M240" s="198">
        <f t="shared" si="10"/>
        <v>4424.99</v>
      </c>
      <c r="N240" s="198">
        <f t="shared" si="11"/>
        <v>4575.01</v>
      </c>
    </row>
    <row r="241" spans="3:14" ht="12" hidden="1" customHeight="1" x14ac:dyDescent="0.35">
      <c r="D241" s="181"/>
      <c r="E241" s="181"/>
      <c r="G241" s="184">
        <f>SUM(G2:G240)</f>
        <v>30787501.97437375</v>
      </c>
      <c r="H241" s="183"/>
      <c r="I241" s="184">
        <f t="shared" ref="I241:N241" si="12">SUM(I2:I240)</f>
        <v>2668888.2008436066</v>
      </c>
      <c r="J241" s="184">
        <f t="shared" si="12"/>
        <v>24242253.280266076</v>
      </c>
      <c r="K241" s="184">
        <f t="shared" si="12"/>
        <v>6545248.6941076582</v>
      </c>
      <c r="L241" s="184">
        <f t="shared" si="12"/>
        <v>2523259.852188745</v>
      </c>
      <c r="M241" s="184">
        <f t="shared" si="12"/>
        <v>26765513.132454831</v>
      </c>
      <c r="N241" s="184">
        <f t="shared" si="12"/>
        <v>4021988.8419189118</v>
      </c>
    </row>
    <row r="242" spans="3:14" ht="12" customHeight="1" x14ac:dyDescent="0.35">
      <c r="C242" s="185"/>
      <c r="D242" s="186"/>
      <c r="E242" s="181"/>
      <c r="G242" s="184">
        <f>SUBTOTAL(9,G54:G240)</f>
        <v>18205183.702816226</v>
      </c>
      <c r="H242" s="200">
        <f>+M242/G242</f>
        <v>0.86931614577027216</v>
      </c>
      <c r="I242" s="182"/>
      <c r="J242" s="182"/>
      <c r="K242" s="182"/>
      <c r="L242" s="184">
        <f>SUBTOTAL(9,L54:L240)</f>
        <v>1434692.5138952071</v>
      </c>
      <c r="M242" s="184">
        <f>SUBTOTAL(9,M54:M240)</f>
        <v>15826060.129571972</v>
      </c>
      <c r="N242" s="184">
        <f>SUBTOTAL(9,N54:N240)</f>
        <v>2379123.5732442602</v>
      </c>
    </row>
    <row r="243" spans="3:14" ht="12" customHeight="1" x14ac:dyDescent="0.35">
      <c r="D243" s="181"/>
      <c r="E243" s="181"/>
      <c r="G243" s="182"/>
      <c r="H243" s="183"/>
      <c r="I243" s="182"/>
      <c r="J243" s="182"/>
      <c r="K243" s="182"/>
      <c r="L243" s="182"/>
    </row>
    <row r="244" spans="3:14" ht="12" customHeight="1" x14ac:dyDescent="0.35">
      <c r="D244" s="181"/>
      <c r="E244" s="181"/>
      <c r="G244" s="182"/>
      <c r="H244" s="183"/>
      <c r="I244" s="182"/>
      <c r="J244" s="182"/>
      <c r="K244" s="182"/>
      <c r="L244" s="182"/>
    </row>
    <row r="245" spans="3:14" ht="12" customHeight="1" x14ac:dyDescent="0.35">
      <c r="D245" s="181"/>
      <c r="E245" s="181"/>
      <c r="G245" s="182"/>
      <c r="H245" s="183"/>
      <c r="I245" s="182"/>
      <c r="J245" s="182"/>
      <c r="K245" s="182"/>
    </row>
    <row r="246" spans="3:14" ht="12" customHeight="1" x14ac:dyDescent="0.35">
      <c r="D246" s="181"/>
      <c r="E246" s="181"/>
      <c r="G246" s="182"/>
      <c r="H246" s="183"/>
      <c r="I246" s="182"/>
      <c r="J246" s="182"/>
      <c r="K246" s="182"/>
      <c r="M246" s="173" t="s">
        <v>275</v>
      </c>
    </row>
    <row r="247" spans="3:14" ht="12" customHeight="1" x14ac:dyDescent="0.35">
      <c r="D247" s="181"/>
      <c r="E247" s="181"/>
      <c r="G247" s="182"/>
      <c r="H247" s="182"/>
      <c r="I247" s="182"/>
      <c r="J247" s="182"/>
      <c r="K247" s="182"/>
    </row>
    <row r="248" spans="3:14" ht="12" customHeight="1" x14ac:dyDescent="0.35">
      <c r="D248" s="181"/>
      <c r="E248" s="181"/>
      <c r="G248" s="182"/>
      <c r="H248" s="182"/>
      <c r="I248" s="182"/>
      <c r="J248" s="182"/>
      <c r="K248" s="182"/>
    </row>
    <row r="249" spans="3:14" ht="12" customHeight="1" x14ac:dyDescent="0.35">
      <c r="D249" s="181"/>
      <c r="E249" s="181"/>
      <c r="G249" s="182"/>
      <c r="H249" s="182"/>
      <c r="I249" s="182"/>
      <c r="J249" s="182"/>
      <c r="K249" s="182"/>
    </row>
    <row r="250" spans="3:14" ht="12" customHeight="1" x14ac:dyDescent="0.35">
      <c r="D250" s="181"/>
      <c r="E250" s="181"/>
      <c r="G250" s="182"/>
      <c r="H250" s="182"/>
      <c r="I250" s="182"/>
      <c r="J250" s="182"/>
      <c r="K250" s="182"/>
    </row>
    <row r="251" spans="3:14" ht="12" customHeight="1" x14ac:dyDescent="0.35">
      <c r="D251" s="181"/>
      <c r="E251" s="181"/>
      <c r="G251" s="182"/>
      <c r="H251" s="182"/>
      <c r="I251" s="182"/>
      <c r="J251" s="182"/>
      <c r="K251" s="182"/>
    </row>
    <row r="252" spans="3:14" ht="12" customHeight="1" x14ac:dyDescent="0.35">
      <c r="C252" s="185"/>
      <c r="D252" s="181"/>
      <c r="E252" s="181"/>
      <c r="G252" s="182"/>
      <c r="H252" s="182"/>
      <c r="I252" s="182"/>
      <c r="J252" s="182"/>
      <c r="K252" s="182"/>
    </row>
    <row r="253" spans="3:14" ht="12" customHeight="1" x14ac:dyDescent="0.35">
      <c r="D253" s="181"/>
      <c r="E253" s="181"/>
      <c r="G253" s="182"/>
      <c r="H253" s="183"/>
      <c r="I253" s="182"/>
      <c r="J253" s="182"/>
      <c r="K253" s="182"/>
    </row>
    <row r="254" spans="3:14" ht="12" customHeight="1" x14ac:dyDescent="0.35">
      <c r="D254" s="181"/>
      <c r="E254" s="181"/>
      <c r="G254" s="182"/>
      <c r="H254" s="183"/>
      <c r="I254" s="182"/>
      <c r="J254" s="182"/>
      <c r="K254" s="182"/>
    </row>
    <row r="255" spans="3:14" ht="12" customHeight="1" x14ac:dyDescent="0.35">
      <c r="D255" s="181"/>
      <c r="E255" s="181"/>
      <c r="G255" s="182"/>
      <c r="H255" s="183"/>
      <c r="I255" s="182"/>
      <c r="J255" s="182"/>
      <c r="K255" s="182"/>
    </row>
    <row r="256" spans="3:14" ht="12" customHeight="1" x14ac:dyDescent="0.35">
      <c r="D256" s="181"/>
      <c r="E256" s="181"/>
      <c r="G256" s="182"/>
      <c r="H256" s="183"/>
      <c r="I256" s="182"/>
      <c r="J256" s="182"/>
      <c r="K256" s="182"/>
    </row>
    <row r="257" spans="4:11" ht="12" customHeight="1" x14ac:dyDescent="0.35">
      <c r="D257" s="181"/>
      <c r="E257" s="181"/>
      <c r="G257" s="182"/>
      <c r="H257" s="183"/>
      <c r="I257" s="182"/>
      <c r="J257" s="182"/>
      <c r="K257" s="182"/>
    </row>
    <row r="258" spans="4:11" ht="12" customHeight="1" x14ac:dyDescent="0.35">
      <c r="D258" s="181"/>
      <c r="E258" s="181"/>
      <c r="G258" s="182"/>
      <c r="H258" s="183"/>
      <c r="I258" s="182"/>
      <c r="J258" s="182"/>
      <c r="K258" s="182"/>
    </row>
    <row r="259" spans="4:11" ht="12" customHeight="1" x14ac:dyDescent="0.35">
      <c r="D259" s="181"/>
      <c r="E259" s="181"/>
      <c r="G259" s="182"/>
      <c r="H259" s="183"/>
      <c r="I259" s="182"/>
      <c r="J259" s="182"/>
      <c r="K259" s="182"/>
    </row>
    <row r="260" spans="4:11" ht="12" customHeight="1" x14ac:dyDescent="0.35">
      <c r="D260" s="181"/>
      <c r="E260" s="181"/>
      <c r="G260" s="182"/>
      <c r="H260" s="183"/>
      <c r="I260" s="182"/>
      <c r="J260" s="182"/>
      <c r="K260" s="182"/>
    </row>
    <row r="261" spans="4:11" ht="12" customHeight="1" x14ac:dyDescent="0.35">
      <c r="D261" s="181"/>
      <c r="E261" s="181"/>
      <c r="G261" s="182"/>
      <c r="H261" s="183"/>
      <c r="I261" s="182"/>
      <c r="J261" s="182"/>
      <c r="K261" s="182"/>
    </row>
    <row r="262" spans="4:11" ht="12" customHeight="1" x14ac:dyDescent="0.35">
      <c r="D262" s="181"/>
      <c r="E262" s="181"/>
      <c r="G262" s="182"/>
      <c r="H262" s="183"/>
      <c r="I262" s="182"/>
      <c r="J262" s="182"/>
      <c r="K262" s="182"/>
    </row>
    <row r="263" spans="4:11" ht="12" customHeight="1" x14ac:dyDescent="0.35">
      <c r="D263" s="181"/>
      <c r="E263" s="181"/>
      <c r="G263" s="182"/>
      <c r="H263" s="183"/>
      <c r="I263" s="182"/>
      <c r="J263" s="182"/>
      <c r="K263" s="182"/>
    </row>
    <row r="264" spans="4:11" ht="12" customHeight="1" x14ac:dyDescent="0.35">
      <c r="D264" s="181"/>
      <c r="E264" s="181"/>
      <c r="G264" s="182"/>
      <c r="H264" s="183"/>
      <c r="I264" s="182"/>
      <c r="J264" s="182"/>
      <c r="K264" s="182"/>
    </row>
    <row r="265" spans="4:11" ht="12" customHeight="1" x14ac:dyDescent="0.35">
      <c r="D265" s="181"/>
      <c r="E265" s="181"/>
      <c r="G265" s="182"/>
      <c r="H265" s="183"/>
      <c r="I265" s="182"/>
      <c r="J265" s="182"/>
      <c r="K265" s="182"/>
    </row>
    <row r="266" spans="4:11" ht="12" customHeight="1" x14ac:dyDescent="0.35">
      <c r="D266" s="181"/>
      <c r="E266" s="181"/>
      <c r="G266" s="182"/>
      <c r="H266" s="183"/>
      <c r="I266" s="182"/>
      <c r="J266" s="182"/>
      <c r="K266" s="182"/>
    </row>
    <row r="267" spans="4:11" ht="12" customHeight="1" x14ac:dyDescent="0.35">
      <c r="G267" s="184"/>
      <c r="H267" s="184"/>
      <c r="I267" s="184"/>
      <c r="J267" s="184"/>
      <c r="K267" s="184"/>
    </row>
    <row r="268" spans="4:11" ht="12" customHeight="1" x14ac:dyDescent="0.35">
      <c r="G268" s="186"/>
    </row>
    <row r="269" spans="4:11" ht="12" customHeight="1" x14ac:dyDescent="0.35">
      <c r="G269" s="186"/>
    </row>
    <row r="270" spans="4:11" x14ac:dyDescent="0.35">
      <c r="G270" s="182"/>
    </row>
    <row r="271" spans="4:11" x14ac:dyDescent="0.35">
      <c r="G271" s="182"/>
    </row>
    <row r="272" spans="4:11" x14ac:dyDescent="0.35">
      <c r="G272" s="182"/>
    </row>
    <row r="273" spans="7:8" x14ac:dyDescent="0.35">
      <c r="G273" s="182"/>
    </row>
    <row r="274" spans="7:8" x14ac:dyDescent="0.35">
      <c r="G274" s="182"/>
      <c r="H274" s="187"/>
    </row>
    <row r="275" spans="7:8" x14ac:dyDescent="0.35">
      <c r="G275" s="182"/>
      <c r="H275" s="182"/>
    </row>
    <row r="276" spans="7:8" x14ac:dyDescent="0.35">
      <c r="H276" s="182"/>
    </row>
    <row r="277" spans="7:8" x14ac:dyDescent="0.35">
      <c r="H277" s="182"/>
    </row>
    <row r="278" spans="7:8" x14ac:dyDescent="0.35">
      <c r="H278" s="182"/>
    </row>
    <row r="279" spans="7:8" x14ac:dyDescent="0.35">
      <c r="H279" s="184"/>
    </row>
  </sheetData>
  <autoFilter ref="A1:N241" xr:uid="{57C292B6-F346-4AB0-817D-B4C00D0E3571}">
    <filterColumn colId="0">
      <filters blank="1">
        <filter val="ITMO"/>
      </filters>
    </filterColumn>
    <filterColumn colId="5">
      <filters>
        <filter val="8038"/>
      </filters>
    </filterColumn>
  </autoFilter>
  <dataValidations count="1">
    <dataValidation type="list" allowBlank="1" showInputMessage="1" showErrorMessage="1" sqref="F2:F266" xr:uid="{2B596F1E-754D-42DE-A5B1-935228D15DCF}">
      <formula1>"8036,8038,8039,commun"</formula1>
    </dataValidation>
  </dataValidations>
  <pageMargins left="0.7" right="0.7" top="0.75" bottom="0.75" header="0.3" footer="0.3"/>
  <pageSetup paperSize="9" scale="48" orientation="portrait" r:id="rId1"/>
  <rowBreaks count="1" manualBreakCount="1">
    <brk id="186" min="1" max="13" man="1"/>
  </rowBreaks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 tint="-0.14999847407452621"/>
  </sheetPr>
  <dimension ref="A1:M44"/>
  <sheetViews>
    <sheetView topLeftCell="F25" zoomScaleNormal="100" workbookViewId="0">
      <selection activeCell="F31" sqref="A31:XFD32"/>
    </sheetView>
  </sheetViews>
  <sheetFormatPr baseColWidth="10" defaultColWidth="11.46484375" defaultRowHeight="14.25" x14ac:dyDescent="0.45"/>
  <cols>
    <col min="1" max="1" width="29.53125" style="32" bestFit="1" customWidth="1"/>
    <col min="2" max="2" width="6.53125" style="2" bestFit="1" customWidth="1"/>
    <col min="3" max="3" width="6.46484375" style="3" bestFit="1" customWidth="1"/>
    <col min="4" max="4" width="6.73046875" style="2" bestFit="1" customWidth="1"/>
    <col min="5" max="5" width="6.53125" style="3" bestFit="1" customWidth="1"/>
    <col min="6" max="6" width="7.19921875" style="2" bestFit="1" customWidth="1"/>
    <col min="7" max="7" width="7.19921875" style="3" bestFit="1" customWidth="1"/>
    <col min="8" max="8" width="6.73046875" style="2" bestFit="1" customWidth="1"/>
    <col min="9" max="9" width="6.73046875" style="3" bestFit="1" customWidth="1"/>
    <col min="10" max="10" width="6.796875" style="2" bestFit="1" customWidth="1"/>
    <col min="11" max="11" width="6.73046875" style="3" bestFit="1" customWidth="1"/>
    <col min="12" max="12" width="6.73046875" style="2" bestFit="1" customWidth="1"/>
    <col min="13" max="13" width="6.73046875" style="3" bestFit="1" customWidth="1"/>
    <col min="14" max="18" width="11.46484375" style="1"/>
    <col min="19" max="19" width="1.796875" style="1" customWidth="1"/>
    <col min="20" max="16384" width="11.46484375" style="1"/>
  </cols>
  <sheetData>
    <row r="1" spans="1:13" ht="14.65" thickBot="1" x14ac:dyDescent="0.5">
      <c r="A1" s="5" t="s">
        <v>29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 t="e">
        <f>+'104_Synthèse'!B3+#REF!+#REF!</f>
        <v>#REF!</v>
      </c>
      <c r="C2" s="28" t="e">
        <f>+'104_Synthèse'!C3+#REF!+#REF!</f>
        <v>#REF!</v>
      </c>
      <c r="D2" s="27" t="e">
        <f>+'104_Synthèse'!D3+#REF!+#REF!</f>
        <v>#REF!</v>
      </c>
      <c r="E2" s="28" t="e">
        <f>+'104_Synthèse'!E3+#REF!+#REF!</f>
        <v>#REF!</v>
      </c>
      <c r="F2" s="27" t="e">
        <f>+'104_Synthèse'!F3+#REF!+#REF!</f>
        <v>#REF!</v>
      </c>
      <c r="G2" s="28" t="e">
        <f>+'104_Synthèse'!G3+#REF!+#REF!</f>
        <v>#REF!</v>
      </c>
      <c r="H2" s="27" t="e">
        <f>+'104_Synthèse'!H3+#REF!+#REF!</f>
        <v>#REF!</v>
      </c>
      <c r="I2" s="28" t="e">
        <f>+'104_Synthèse'!I3+#REF!+#REF!</f>
        <v>#REF!</v>
      </c>
      <c r="J2" s="27" t="e">
        <f>+'104_Synthèse'!J3+#REF!+#REF!</f>
        <v>#REF!</v>
      </c>
      <c r="K2" s="28" t="e">
        <f>+'104_Synthèse'!K3+#REF!+#REF!</f>
        <v>#REF!</v>
      </c>
      <c r="L2" s="27" t="e">
        <f>+'104_Synthèse'!L3+#REF!+#REF!</f>
        <v>#REF!</v>
      </c>
      <c r="M2" s="28" t="e">
        <f>+'104_Synthèse'!M3+#REF!+#REF!</f>
        <v>#REF!</v>
      </c>
    </row>
    <row r="3" spans="1:13" x14ac:dyDescent="0.45">
      <c r="A3" s="26" t="s">
        <v>23</v>
      </c>
      <c r="B3" s="27" t="e">
        <f>+'104_Synthèse'!B4+#REF!+#REF!</f>
        <v>#REF!</v>
      </c>
      <c r="C3" s="28" t="e">
        <f>+'104_Synthèse'!C4+#REF!+#REF!</f>
        <v>#REF!</v>
      </c>
      <c r="D3" s="27" t="e">
        <f>+'104_Synthèse'!D4+#REF!+#REF!</f>
        <v>#REF!</v>
      </c>
      <c r="E3" s="28" t="e">
        <f>+'104_Synthèse'!E4+#REF!+#REF!</f>
        <v>#REF!</v>
      </c>
      <c r="F3" s="27" t="e">
        <f>+'104_Synthèse'!F4+#REF!+#REF!</f>
        <v>#REF!</v>
      </c>
      <c r="G3" s="28" t="e">
        <f>+'104_Synthèse'!G4+#REF!+#REF!</f>
        <v>#REF!</v>
      </c>
      <c r="H3" s="27" t="e">
        <f>+'104_Synthèse'!H4+#REF!+#REF!</f>
        <v>#REF!</v>
      </c>
      <c r="I3" s="28" t="e">
        <f>+'104_Synthèse'!I4+#REF!+#REF!</f>
        <v>#REF!</v>
      </c>
      <c r="J3" s="27" t="e">
        <f>+'104_Synthèse'!J4+#REF!+#REF!</f>
        <v>#REF!</v>
      </c>
      <c r="K3" s="28" t="e">
        <f>+'104_Synthèse'!K4+#REF!+#REF!</f>
        <v>#REF!</v>
      </c>
      <c r="L3" s="27" t="e">
        <f>+'104_Synthèse'!L4+#REF!+#REF!</f>
        <v>#REF!</v>
      </c>
      <c r="M3" s="28" t="e">
        <f>+'104_Synthèse'!M4+#REF!+#REF!</f>
        <v>#REF!</v>
      </c>
    </row>
    <row r="4" spans="1:13" x14ac:dyDescent="0.45">
      <c r="A4" s="26" t="s">
        <v>0</v>
      </c>
      <c r="B4" s="29" t="e">
        <f>+'104_Synthèse'!B5+#REF!+#REF!</f>
        <v>#REF!</v>
      </c>
      <c r="C4" s="30" t="e">
        <f>+'104_Synthèse'!C5+#REF!+#REF!</f>
        <v>#REF!</v>
      </c>
      <c r="D4" s="29" t="e">
        <f>+'104_Synthèse'!D5+#REF!+#REF!</f>
        <v>#REF!</v>
      </c>
      <c r="E4" s="30" t="e">
        <f>+'104_Synthèse'!E5+#REF!+#REF!</f>
        <v>#REF!</v>
      </c>
      <c r="F4" s="29" t="e">
        <f>+'104_Synthèse'!F5+#REF!+#REF!</f>
        <v>#REF!</v>
      </c>
      <c r="G4" s="30" t="e">
        <f>+'104_Synthèse'!G5+#REF!+#REF!</f>
        <v>#REF!</v>
      </c>
      <c r="H4" s="29" t="e">
        <f>+'104_Synthèse'!H5+#REF!+#REF!</f>
        <v>#REF!</v>
      </c>
      <c r="I4" s="30" t="e">
        <f>+'104_Synthèse'!I5+#REF!+#REF!</f>
        <v>#REF!</v>
      </c>
      <c r="J4" s="29" t="e">
        <f>+'104_Synthèse'!J5+#REF!+#REF!</f>
        <v>#REF!</v>
      </c>
      <c r="K4" s="30" t="e">
        <f>+'104_Synthèse'!K5+#REF!+#REF!</f>
        <v>#REF!</v>
      </c>
      <c r="L4" s="29" t="e">
        <f>+'104_Synthèse'!L5+#REF!+#REF!</f>
        <v>#REF!</v>
      </c>
      <c r="M4" s="30" t="e">
        <f>+'104_Synthèse'!M5+#REF!+#REF!</f>
        <v>#REF!</v>
      </c>
    </row>
    <row r="5" spans="1:13" x14ac:dyDescent="0.45">
      <c r="A5" s="17" t="s">
        <v>1</v>
      </c>
      <c r="B5" s="18" t="e">
        <f t="shared" ref="B5:G5" si="0">+B4/B3/1000</f>
        <v>#REF!</v>
      </c>
      <c r="C5" s="19" t="e">
        <f t="shared" si="0"/>
        <v>#REF!</v>
      </c>
      <c r="D5" s="18" t="e">
        <f t="shared" si="0"/>
        <v>#REF!</v>
      </c>
      <c r="E5" s="19" t="e">
        <f t="shared" si="0"/>
        <v>#REF!</v>
      </c>
      <c r="F5" s="18" t="e">
        <f t="shared" si="0"/>
        <v>#REF!</v>
      </c>
      <c r="G5" s="19" t="e">
        <f t="shared" si="0"/>
        <v>#REF!</v>
      </c>
      <c r="H5" s="18" t="e">
        <f t="shared" ref="H5:I5" si="1">+H4/H3/1000</f>
        <v>#REF!</v>
      </c>
      <c r="I5" s="19" t="e">
        <f t="shared" si="1"/>
        <v>#REF!</v>
      </c>
      <c r="J5" s="18" t="e">
        <f t="shared" ref="J5:L5" si="2">+J4/J3/1000</f>
        <v>#REF!</v>
      </c>
      <c r="K5" s="19" t="e">
        <f t="shared" si="2"/>
        <v>#REF!</v>
      </c>
      <c r="L5" s="18" t="e">
        <f t="shared" si="2"/>
        <v>#REF!</v>
      </c>
      <c r="M5" s="19" t="e">
        <f t="shared" ref="M5" si="3">+M4/M3/1000</f>
        <v>#REF!</v>
      </c>
    </row>
    <row r="6" spans="1:13" x14ac:dyDescent="0.45">
      <c r="A6" s="32" t="s">
        <v>30</v>
      </c>
      <c r="B6" s="33" t="e">
        <f>(#REF!+#REF!)/B3</f>
        <v>#REF!</v>
      </c>
      <c r="C6" s="34" t="e">
        <f>(#REF!+#REF!)/C3</f>
        <v>#REF!</v>
      </c>
      <c r="D6" s="33" t="e">
        <f>(#REF!+#REF!)/D3</f>
        <v>#REF!</v>
      </c>
      <c r="E6" s="34" t="e">
        <f>(#REF!+#REF!)/E3</f>
        <v>#REF!</v>
      </c>
      <c r="F6" s="33" t="e">
        <f>(#REF!+#REF!)/F3</f>
        <v>#REF!</v>
      </c>
      <c r="G6" s="34" t="e">
        <f>(#REF!+#REF!)/G3</f>
        <v>#REF!</v>
      </c>
      <c r="H6" s="33" t="e">
        <f>(#REF!+#REF!)/H3</f>
        <v>#REF!</v>
      </c>
      <c r="I6" s="34" t="e">
        <f>(#REF!+#REF!)/I3</f>
        <v>#REF!</v>
      </c>
      <c r="J6" s="33" t="e">
        <f>(#REF!+#REF!)/J3</f>
        <v>#REF!</v>
      </c>
      <c r="K6" s="34" t="e">
        <f>(#REF!+#REF!)/K3</f>
        <v>#REF!</v>
      </c>
      <c r="L6" s="33" t="e">
        <f>(#REF!+#REF!)/L3</f>
        <v>#REF!</v>
      </c>
      <c r="M6" s="34" t="e">
        <f>(#REF!+#REF!)/M3</f>
        <v>#REF!</v>
      </c>
    </row>
    <row r="7" spans="1:13" x14ac:dyDescent="0.45">
      <c r="A7" s="32" t="s">
        <v>73</v>
      </c>
      <c r="B7" s="33" t="e">
        <f>+#REF!/(B2-B3)</f>
        <v>#REF!</v>
      </c>
      <c r="C7" s="34" t="e">
        <f>+#REF!/(C2-C3)</f>
        <v>#REF!</v>
      </c>
      <c r="D7" s="33" t="e">
        <f>+#REF!/(D2-D3)</f>
        <v>#REF!</v>
      </c>
      <c r="E7" s="34" t="e">
        <f>+#REF!/(E2-E3)</f>
        <v>#REF!</v>
      </c>
      <c r="F7" s="40"/>
      <c r="G7" s="40"/>
      <c r="H7" s="40"/>
      <c r="I7" s="40"/>
      <c r="J7" s="40"/>
      <c r="K7" s="40"/>
      <c r="L7" s="40"/>
      <c r="M7" s="40"/>
    </row>
    <row r="8" spans="1:13" x14ac:dyDescent="0.45">
      <c r="A8" s="26" t="s">
        <v>28</v>
      </c>
      <c r="B8" s="29" t="e">
        <f>+B7+B6</f>
        <v>#REF!</v>
      </c>
      <c r="C8" s="30" t="e">
        <f t="shared" ref="C8" si="4">+C7+C6</f>
        <v>#REF!</v>
      </c>
      <c r="D8" s="29" t="e">
        <f>+D7+D6</f>
        <v>#REF!</v>
      </c>
      <c r="E8" s="30" t="e">
        <f t="shared" ref="E8:G8" si="5">+E7+E6</f>
        <v>#REF!</v>
      </c>
      <c r="F8" s="29" t="e">
        <f>+F7+F6</f>
        <v>#REF!</v>
      </c>
      <c r="G8" s="30" t="e">
        <f t="shared" si="5"/>
        <v>#REF!</v>
      </c>
      <c r="H8" s="29" t="e">
        <f>+H7+H6</f>
        <v>#REF!</v>
      </c>
      <c r="I8" s="30" t="e">
        <f t="shared" ref="I8" si="6">+I7+I6</f>
        <v>#REF!</v>
      </c>
      <c r="J8" s="29" t="e">
        <f>+J7+J6</f>
        <v>#REF!</v>
      </c>
      <c r="K8" s="30" t="e">
        <f t="shared" ref="K8" si="7">+K7+K6</f>
        <v>#REF!</v>
      </c>
      <c r="L8" s="29" t="e">
        <f>+L7+L6</f>
        <v>#REF!</v>
      </c>
      <c r="M8" s="30" t="e">
        <f t="shared" ref="M8" si="8">+M7+M6</f>
        <v>#REF!</v>
      </c>
    </row>
    <row r="9" spans="1:13" x14ac:dyDescent="0.45">
      <c r="A9" s="32" t="s">
        <v>2</v>
      </c>
      <c r="B9" s="33" t="e">
        <f>#REF!/$B$2</f>
        <v>#REF!</v>
      </c>
      <c r="C9" s="34" t="e">
        <f>#REF!/$C$2</f>
        <v>#REF!</v>
      </c>
      <c r="D9" s="33" t="e">
        <f>#REF!/$B$2</f>
        <v>#REF!</v>
      </c>
      <c r="E9" s="34" t="e">
        <f>#REF!/$C$2</f>
        <v>#REF!</v>
      </c>
      <c r="F9" s="33" t="e">
        <f>#REF!/$B$2</f>
        <v>#REF!</v>
      </c>
      <c r="G9" s="34" t="e">
        <f>#REF!/$C$2</f>
        <v>#REF!</v>
      </c>
      <c r="H9" s="33" t="e">
        <f>#REF!/$B$2</f>
        <v>#REF!</v>
      </c>
      <c r="I9" s="34" t="e">
        <f>#REF!/$C$2</f>
        <v>#REF!</v>
      </c>
      <c r="J9" s="33" t="e">
        <f>#REF!/$B$2</f>
        <v>#REF!</v>
      </c>
      <c r="K9" s="34" t="e">
        <f>#REF!/$C$2</f>
        <v>#REF!</v>
      </c>
      <c r="L9" s="33" t="e">
        <f>#REF!/$B$2</f>
        <v>#REF!</v>
      </c>
      <c r="M9" s="34" t="e">
        <f>#REF!/$C$2</f>
        <v>#REF!</v>
      </c>
    </row>
    <row r="10" spans="1:13" x14ac:dyDescent="0.45">
      <c r="A10" s="32" t="s">
        <v>3</v>
      </c>
      <c r="B10" s="33" t="e">
        <f>#REF!/$B$2</f>
        <v>#REF!</v>
      </c>
      <c r="C10" s="34" t="e">
        <f>#REF!/$C$2</f>
        <v>#REF!</v>
      </c>
      <c r="D10" s="33" t="e">
        <f>#REF!/$B$2</f>
        <v>#REF!</v>
      </c>
      <c r="E10" s="34" t="e">
        <f>#REF!/$C$2</f>
        <v>#REF!</v>
      </c>
      <c r="F10" s="33" t="e">
        <f>#REF!/$B$2</f>
        <v>#REF!</v>
      </c>
      <c r="G10" s="34" t="e">
        <f>#REF!/$C$2</f>
        <v>#REF!</v>
      </c>
      <c r="H10" s="33" t="e">
        <f>#REF!/$B$2</f>
        <v>#REF!</v>
      </c>
      <c r="I10" s="34" t="e">
        <f>#REF!/$C$2</f>
        <v>#REF!</v>
      </c>
      <c r="J10" s="33" t="e">
        <f>#REF!/$B$2</f>
        <v>#REF!</v>
      </c>
      <c r="K10" s="34" t="e">
        <f>#REF!/$C$2</f>
        <v>#REF!</v>
      </c>
      <c r="L10" s="33" t="e">
        <f>#REF!/$B$2</f>
        <v>#REF!</v>
      </c>
      <c r="M10" s="34" t="e">
        <f>#REF!/$C$2</f>
        <v>#REF!</v>
      </c>
    </row>
    <row r="11" spans="1:13" x14ac:dyDescent="0.45">
      <c r="A11" s="32" t="s">
        <v>4</v>
      </c>
      <c r="B11" s="33" t="e">
        <f>#REF!/$B$2</f>
        <v>#REF!</v>
      </c>
      <c r="C11" s="34" t="e">
        <f>#REF!/$C$2</f>
        <v>#REF!</v>
      </c>
      <c r="D11" s="33" t="e">
        <f>#REF!/$B$2</f>
        <v>#REF!</v>
      </c>
      <c r="E11" s="34" t="e">
        <f>#REF!/$C$2</f>
        <v>#REF!</v>
      </c>
      <c r="F11" s="33" t="e">
        <f>#REF!/$B$2</f>
        <v>#REF!</v>
      </c>
      <c r="G11" s="34" t="e">
        <f>#REF!/$C$2</f>
        <v>#REF!</v>
      </c>
      <c r="H11" s="33" t="e">
        <f>#REF!/$B$2</f>
        <v>#REF!</v>
      </c>
      <c r="I11" s="34" t="e">
        <f>#REF!/$C$2</f>
        <v>#REF!</v>
      </c>
      <c r="J11" s="33" t="e">
        <f>#REF!/$B$2</f>
        <v>#REF!</v>
      </c>
      <c r="K11" s="34" t="e">
        <f>#REF!/$C$2</f>
        <v>#REF!</v>
      </c>
      <c r="L11" s="33" t="e">
        <f>#REF!/$B$2</f>
        <v>#REF!</v>
      </c>
      <c r="M11" s="34" t="e">
        <f>#REF!/$C$2</f>
        <v>#REF!</v>
      </c>
    </row>
    <row r="12" spans="1:13" x14ac:dyDescent="0.45">
      <c r="A12" s="32" t="s">
        <v>5</v>
      </c>
      <c r="B12" s="33" t="e">
        <f>#REF!/$B$2</f>
        <v>#REF!</v>
      </c>
      <c r="C12" s="34" t="e">
        <f>#REF!/$C$2</f>
        <v>#REF!</v>
      </c>
      <c r="D12" s="33" t="e">
        <f>#REF!/$B$2</f>
        <v>#REF!</v>
      </c>
      <c r="E12" s="34" t="e">
        <f>#REF!/$C$2</f>
        <v>#REF!</v>
      </c>
      <c r="F12" s="33" t="e">
        <f>#REF!/$B$2</f>
        <v>#REF!</v>
      </c>
      <c r="G12" s="34" t="e">
        <f>#REF!/$C$2</f>
        <v>#REF!</v>
      </c>
      <c r="H12" s="33" t="e">
        <f>#REF!/$B$2</f>
        <v>#REF!</v>
      </c>
      <c r="I12" s="34" t="e">
        <f>#REF!/$C$2</f>
        <v>#REF!</v>
      </c>
      <c r="J12" s="33" t="e">
        <f>#REF!/$B$2</f>
        <v>#REF!</v>
      </c>
      <c r="K12" s="34" t="e">
        <f>#REF!/$C$2</f>
        <v>#REF!</v>
      </c>
      <c r="L12" s="33" t="e">
        <f>#REF!/$B$2</f>
        <v>#REF!</v>
      </c>
      <c r="M12" s="34" t="e">
        <f>#REF!/$C$2</f>
        <v>#REF!</v>
      </c>
    </row>
    <row r="13" spans="1:13" x14ac:dyDescent="0.45">
      <c r="A13" s="32" t="s">
        <v>6</v>
      </c>
      <c r="B13" s="33" t="e">
        <f>#REF!/$B$2</f>
        <v>#REF!</v>
      </c>
      <c r="C13" s="34" t="e">
        <f>#REF!/$C$2</f>
        <v>#REF!</v>
      </c>
      <c r="D13" s="33" t="e">
        <f>#REF!/$B$2</f>
        <v>#REF!</v>
      </c>
      <c r="E13" s="34" t="e">
        <f>#REF!/$C$2</f>
        <v>#REF!</v>
      </c>
      <c r="F13" s="33" t="e">
        <f>#REF!/$B$2</f>
        <v>#REF!</v>
      </c>
      <c r="G13" s="34" t="e">
        <f>#REF!/$C$2</f>
        <v>#REF!</v>
      </c>
      <c r="H13" s="33" t="e">
        <f>#REF!/$B$2</f>
        <v>#REF!</v>
      </c>
      <c r="I13" s="34" t="e">
        <f>#REF!/$C$2</f>
        <v>#REF!</v>
      </c>
      <c r="J13" s="33" t="e">
        <f>#REF!/$B$2</f>
        <v>#REF!</v>
      </c>
      <c r="K13" s="34" t="e">
        <f>#REF!/$C$2</f>
        <v>#REF!</v>
      </c>
      <c r="L13" s="33" t="e">
        <f>#REF!/$B$2</f>
        <v>#REF!</v>
      </c>
      <c r="M13" s="34" t="e">
        <f>#REF!/$C$2</f>
        <v>#REF!</v>
      </c>
    </row>
    <row r="14" spans="1:13" x14ac:dyDescent="0.45">
      <c r="A14" s="32" t="s">
        <v>7</v>
      </c>
      <c r="B14" s="33" t="e">
        <f>#REF!/$B$2</f>
        <v>#REF!</v>
      </c>
      <c r="C14" s="34" t="e">
        <f>#REF!/$C$2</f>
        <v>#REF!</v>
      </c>
      <c r="D14" s="33" t="e">
        <f>#REF!/$B$2</f>
        <v>#REF!</v>
      </c>
      <c r="E14" s="34" t="e">
        <f>#REF!/$C$2</f>
        <v>#REF!</v>
      </c>
      <c r="F14" s="33" t="e">
        <f>#REF!/$B$2</f>
        <v>#REF!</v>
      </c>
      <c r="G14" s="34" t="e">
        <f>#REF!/$C$2</f>
        <v>#REF!</v>
      </c>
      <c r="H14" s="33" t="e">
        <f>#REF!/$B$2</f>
        <v>#REF!</v>
      </c>
      <c r="I14" s="34" t="e">
        <f>#REF!/$C$2</f>
        <v>#REF!</v>
      </c>
      <c r="J14" s="33" t="e">
        <f>#REF!/$B$2</f>
        <v>#REF!</v>
      </c>
      <c r="K14" s="34" t="e">
        <f>#REF!/$C$2</f>
        <v>#REF!</v>
      </c>
      <c r="L14" s="33" t="e">
        <f>#REF!/$B$2</f>
        <v>#REF!</v>
      </c>
      <c r="M14" s="34" t="e">
        <f>#REF!/$C$2</f>
        <v>#REF!</v>
      </c>
    </row>
    <row r="15" spans="1:13" x14ac:dyDescent="0.45">
      <c r="A15" s="26" t="s">
        <v>32</v>
      </c>
      <c r="B15" s="29" t="e">
        <f t="shared" ref="B15:G15" si="9">SUM(B9:B14)</f>
        <v>#REF!</v>
      </c>
      <c r="C15" s="30" t="e">
        <f t="shared" si="9"/>
        <v>#REF!</v>
      </c>
      <c r="D15" s="29" t="e">
        <f t="shared" si="9"/>
        <v>#REF!</v>
      </c>
      <c r="E15" s="30" t="e">
        <f t="shared" si="9"/>
        <v>#REF!</v>
      </c>
      <c r="F15" s="29" t="e">
        <f t="shared" si="9"/>
        <v>#REF!</v>
      </c>
      <c r="G15" s="30" t="e">
        <f t="shared" si="9"/>
        <v>#REF!</v>
      </c>
      <c r="H15" s="29" t="e">
        <f t="shared" ref="H15:I15" si="10">SUM(H9:H14)</f>
        <v>#REF!</v>
      </c>
      <c r="I15" s="30" t="e">
        <f t="shared" si="10"/>
        <v>#REF!</v>
      </c>
      <c r="J15" s="29" t="e">
        <f t="shared" ref="J15" si="11">SUM(J9:J14)</f>
        <v>#REF!</v>
      </c>
      <c r="K15" s="30" t="e">
        <f t="shared" ref="K15:L15" si="12">SUM(K9:K14)</f>
        <v>#REF!</v>
      </c>
      <c r="L15" s="29" t="e">
        <f t="shared" si="12"/>
        <v>#REF!</v>
      </c>
      <c r="M15" s="30" t="e">
        <f t="shared" ref="M15" si="13">SUM(M9:M14)</f>
        <v>#REF!</v>
      </c>
    </row>
    <row r="16" spans="1:13" x14ac:dyDescent="0.45">
      <c r="A16" s="32" t="s">
        <v>33</v>
      </c>
      <c r="B16" s="33" t="e">
        <f>+#REF!/B2</f>
        <v>#REF!</v>
      </c>
      <c r="C16" s="34" t="e">
        <f>+#REF!/C2</f>
        <v>#REF!</v>
      </c>
      <c r="D16" s="33" t="e">
        <f>+#REF!/D2</f>
        <v>#REF!</v>
      </c>
      <c r="E16" s="34" t="e">
        <f>+#REF!/E2</f>
        <v>#REF!</v>
      </c>
      <c r="F16" s="33" t="e">
        <f>+#REF!/F2</f>
        <v>#REF!</v>
      </c>
      <c r="G16" s="34" t="e">
        <f>+#REF!/G2</f>
        <v>#REF!</v>
      </c>
      <c r="H16" s="33" t="e">
        <f>+#REF!/H2</f>
        <v>#REF!</v>
      </c>
      <c r="I16" s="34" t="e">
        <f>+#REF!/I2</f>
        <v>#REF!</v>
      </c>
      <c r="J16" s="33" t="e">
        <f>+#REF!/J2</f>
        <v>#REF!</v>
      </c>
      <c r="K16" s="34" t="e">
        <f>+#REF!/K2</f>
        <v>#REF!</v>
      </c>
      <c r="L16" s="33" t="e">
        <f>+#REF!/L2</f>
        <v>#REF!</v>
      </c>
      <c r="M16" s="34" t="e">
        <f>+#REF!/M2</f>
        <v>#REF!</v>
      </c>
    </row>
    <row r="17" spans="1:13" x14ac:dyDescent="0.45">
      <c r="A17" s="32" t="s">
        <v>34</v>
      </c>
      <c r="B17" s="33" t="e">
        <f>#REF!/'TOM NATURE_ à l''ha'!B2</f>
        <v>#REF!</v>
      </c>
      <c r="C17" s="34" t="e">
        <f>#REF!/'TOM NATURE_ à l''ha'!C2</f>
        <v>#REF!</v>
      </c>
      <c r="D17" s="33" t="e">
        <f>#REF!/'TOM NATURE_ à l''ha'!D2</f>
        <v>#REF!</v>
      </c>
      <c r="E17" s="34" t="e">
        <f>#REF!/'TOM NATURE_ à l''ha'!E2</f>
        <v>#REF!</v>
      </c>
      <c r="F17" s="33" t="e">
        <f>#REF!/'TOM NATURE_ à l''ha'!F2</f>
        <v>#REF!</v>
      </c>
      <c r="G17" s="34" t="e">
        <f>#REF!/'TOM NATURE_ à l''ha'!G2</f>
        <v>#REF!</v>
      </c>
      <c r="H17" s="33" t="e">
        <f>#REF!/'TOM NATURE_ à l''ha'!H2</f>
        <v>#REF!</v>
      </c>
      <c r="I17" s="34" t="e">
        <f>#REF!/'TOM NATURE_ à l''ha'!I2</f>
        <v>#REF!</v>
      </c>
      <c r="J17" s="33" t="e">
        <f>#REF!/'TOM NATURE_ à l''ha'!J2</f>
        <v>#REF!</v>
      </c>
      <c r="K17" s="34" t="e">
        <f>#REF!/'TOM NATURE_ à l''ha'!K2</f>
        <v>#REF!</v>
      </c>
      <c r="L17" s="33" t="e">
        <f>#REF!/'TOM NATURE_ à l''ha'!L2</f>
        <v>#REF!</v>
      </c>
      <c r="M17" s="34" t="e">
        <f>#REF!/'TOM NATURE_ à l''ha'!M2</f>
        <v>#REF!</v>
      </c>
    </row>
    <row r="18" spans="1:13" x14ac:dyDescent="0.45">
      <c r="A18" s="26" t="s">
        <v>35</v>
      </c>
      <c r="B18" s="29" t="e">
        <f>SUM(B16:B17)</f>
        <v>#REF!</v>
      </c>
      <c r="C18" s="30" t="e">
        <f t="shared" ref="C18" si="14">SUM(C16:C17)</f>
        <v>#REF!</v>
      </c>
      <c r="D18" s="29" t="e">
        <f>SUM(D16:D17)</f>
        <v>#REF!</v>
      </c>
      <c r="E18" s="30" t="e">
        <f t="shared" ref="E18:G18" si="15">SUM(E16:E17)</f>
        <v>#REF!</v>
      </c>
      <c r="F18" s="29" t="e">
        <f>SUM(F16:F17)</f>
        <v>#REF!</v>
      </c>
      <c r="G18" s="30" t="e">
        <f t="shared" si="15"/>
        <v>#REF!</v>
      </c>
      <c r="H18" s="29" t="e">
        <f>SUM(H16:H17)</f>
        <v>#REF!</v>
      </c>
      <c r="I18" s="30" t="e">
        <f t="shared" ref="I18" si="16">SUM(I16:I17)</f>
        <v>#REF!</v>
      </c>
      <c r="J18" s="29" t="e">
        <f>SUM(J16:J17)</f>
        <v>#REF!</v>
      </c>
      <c r="K18" s="30" t="e">
        <f t="shared" ref="K18" si="17">SUM(K16:K17)</f>
        <v>#REF!</v>
      </c>
      <c r="L18" s="29" t="e">
        <f>SUM(L16:L17)</f>
        <v>#REF!</v>
      </c>
      <c r="M18" s="30" t="e">
        <f t="shared" ref="M18" si="18">SUM(M16:M17)</f>
        <v>#REF!</v>
      </c>
    </row>
    <row r="19" spans="1:13" x14ac:dyDescent="0.45">
      <c r="A19" s="32" t="s">
        <v>36</v>
      </c>
      <c r="B19" s="33" t="e">
        <f>+#REF!/$B$2</f>
        <v>#REF!</v>
      </c>
      <c r="C19" s="34" t="e">
        <f>+#REF!/$C$2</f>
        <v>#REF!</v>
      </c>
      <c r="D19" s="33" t="e">
        <f>+#REF!/$B$2</f>
        <v>#REF!</v>
      </c>
      <c r="E19" s="34" t="e">
        <f>+#REF!/$C$2</f>
        <v>#REF!</v>
      </c>
      <c r="F19" s="33" t="e">
        <f>+#REF!/$B$2</f>
        <v>#REF!</v>
      </c>
      <c r="G19" s="34" t="e">
        <f>+#REF!/$C$2</f>
        <v>#REF!</v>
      </c>
      <c r="H19" s="33" t="e">
        <f>+#REF!/$B$2</f>
        <v>#REF!</v>
      </c>
      <c r="I19" s="34" t="e">
        <f>+#REF!/$C$2</f>
        <v>#REF!</v>
      </c>
      <c r="J19" s="33" t="e">
        <f>+#REF!/$B$2</f>
        <v>#REF!</v>
      </c>
      <c r="K19" s="34" t="e">
        <f>+#REF!/$C$2</f>
        <v>#REF!</v>
      </c>
      <c r="L19" s="33" t="e">
        <f>+#REF!/$B$2</f>
        <v>#REF!</v>
      </c>
      <c r="M19" s="34" t="e">
        <f>+#REF!/$C$2</f>
        <v>#REF!</v>
      </c>
    </row>
    <row r="20" spans="1:13" x14ac:dyDescent="0.45">
      <c r="A20" s="32" t="s">
        <v>37</v>
      </c>
      <c r="B20" s="33" t="e">
        <f>+#REF!/$B$2</f>
        <v>#REF!</v>
      </c>
      <c r="C20" s="34" t="e">
        <f>+#REF!/$C$2</f>
        <v>#REF!</v>
      </c>
      <c r="D20" s="33" t="e">
        <f>+#REF!/$B$2</f>
        <v>#REF!</v>
      </c>
      <c r="E20" s="34" t="e">
        <f>+#REF!/$C$2</f>
        <v>#REF!</v>
      </c>
      <c r="F20" s="33" t="e">
        <f>+#REF!/$B$2</f>
        <v>#REF!</v>
      </c>
      <c r="G20" s="34" t="e">
        <f>+#REF!/$C$2</f>
        <v>#REF!</v>
      </c>
      <c r="H20" s="33" t="e">
        <f>+#REF!/$B$2</f>
        <v>#REF!</v>
      </c>
      <c r="I20" s="34" t="e">
        <f>+#REF!/$C$2</f>
        <v>#REF!</v>
      </c>
      <c r="J20" s="33" t="e">
        <f>+#REF!/$B$2</f>
        <v>#REF!</v>
      </c>
      <c r="K20" s="34" t="e">
        <f>+#REF!/$C$2</f>
        <v>#REF!</v>
      </c>
      <c r="L20" s="33" t="e">
        <f>+#REF!/$B$2</f>
        <v>#REF!</v>
      </c>
      <c r="M20" s="34" t="e">
        <f>+#REF!/$C$2</f>
        <v>#REF!</v>
      </c>
    </row>
    <row r="21" spans="1:13" x14ac:dyDescent="0.45">
      <c r="A21" s="32" t="s">
        <v>38</v>
      </c>
      <c r="B21" s="33" t="e">
        <f>+#REF!/$B$2</f>
        <v>#REF!</v>
      </c>
      <c r="C21" s="34" t="e">
        <f>+#REF!/$C$2</f>
        <v>#REF!</v>
      </c>
      <c r="D21" s="33" t="e">
        <f>+#REF!/$B$2</f>
        <v>#REF!</v>
      </c>
      <c r="E21" s="34" t="e">
        <f>+#REF!/$C$2</f>
        <v>#REF!</v>
      </c>
      <c r="F21" s="33" t="e">
        <f>+#REF!/$B$2</f>
        <v>#REF!</v>
      </c>
      <c r="G21" s="34" t="e">
        <f>+#REF!/$C$2</f>
        <v>#REF!</v>
      </c>
      <c r="H21" s="33" t="e">
        <f>+#REF!/$B$2</f>
        <v>#REF!</v>
      </c>
      <c r="I21" s="34" t="e">
        <f>+#REF!/$C$2</f>
        <v>#REF!</v>
      </c>
      <c r="J21" s="33" t="e">
        <f>+#REF!/$B$2</f>
        <v>#REF!</v>
      </c>
      <c r="K21" s="34" t="e">
        <f>+#REF!/$C$2</f>
        <v>#REF!</v>
      </c>
      <c r="L21" s="33" t="e">
        <f>+#REF!/$B$2</f>
        <v>#REF!</v>
      </c>
      <c r="M21" s="34" t="e">
        <f>+#REF!/$C$2</f>
        <v>#REF!</v>
      </c>
    </row>
    <row r="22" spans="1:13" x14ac:dyDescent="0.45">
      <c r="A22" s="32" t="s">
        <v>39</v>
      </c>
      <c r="B22" s="33" t="e">
        <f>+#REF!/$B$2</f>
        <v>#REF!</v>
      </c>
      <c r="C22" s="34" t="e">
        <f>+#REF!/$C$2</f>
        <v>#REF!</v>
      </c>
      <c r="D22" s="33" t="e">
        <f>+#REF!/$B$2</f>
        <v>#REF!</v>
      </c>
      <c r="E22" s="34" t="e">
        <f>+#REF!/$C$2</f>
        <v>#REF!</v>
      </c>
      <c r="F22" s="33" t="e">
        <f>+#REF!/$B$2</f>
        <v>#REF!</v>
      </c>
      <c r="G22" s="34" t="e">
        <f>+#REF!/$C$2</f>
        <v>#REF!</v>
      </c>
      <c r="H22" s="33" t="e">
        <f>+#REF!/$B$2</f>
        <v>#REF!</v>
      </c>
      <c r="I22" s="34" t="e">
        <f>+#REF!/$C$2</f>
        <v>#REF!</v>
      </c>
      <c r="J22" s="33" t="e">
        <f>+#REF!/$B$2</f>
        <v>#REF!</v>
      </c>
      <c r="K22" s="34" t="e">
        <f>+#REF!/$C$2</f>
        <v>#REF!</v>
      </c>
      <c r="L22" s="33" t="e">
        <f>+#REF!/$B$2</f>
        <v>#REF!</v>
      </c>
      <c r="M22" s="34" t="e">
        <f>+#REF!/$C$2</f>
        <v>#REF!</v>
      </c>
    </row>
    <row r="23" spans="1:13" x14ac:dyDescent="0.45">
      <c r="A23" s="32" t="s">
        <v>40</v>
      </c>
      <c r="B23" s="33" t="e">
        <f>+#REF!/$B$2</f>
        <v>#REF!</v>
      </c>
      <c r="C23" s="34" t="e">
        <f>+#REF!/$C$2</f>
        <v>#REF!</v>
      </c>
      <c r="D23" s="33" t="e">
        <f>+#REF!/$B$2</f>
        <v>#REF!</v>
      </c>
      <c r="E23" s="34" t="e">
        <f>+#REF!/$C$2</f>
        <v>#REF!</v>
      </c>
      <c r="F23" s="33" t="e">
        <f>+#REF!/$B$2</f>
        <v>#REF!</v>
      </c>
      <c r="G23" s="34" t="e">
        <f>+#REF!/$C$2</f>
        <v>#REF!</v>
      </c>
      <c r="H23" s="33" t="e">
        <f>+#REF!/$B$2</f>
        <v>#REF!</v>
      </c>
      <c r="I23" s="34" t="e">
        <f>+#REF!/$C$2</f>
        <v>#REF!</v>
      </c>
      <c r="J23" s="33" t="e">
        <f>+#REF!/$B$2</f>
        <v>#REF!</v>
      </c>
      <c r="K23" s="34" t="e">
        <f>+#REF!/$C$2</f>
        <v>#REF!</v>
      </c>
      <c r="L23" s="33" t="e">
        <f>+#REF!/$B$2</f>
        <v>#REF!</v>
      </c>
      <c r="M23" s="34" t="e">
        <f>+#REF!/$C$2</f>
        <v>#REF!</v>
      </c>
    </row>
    <row r="24" spans="1:13" x14ac:dyDescent="0.45">
      <c r="A24" s="32" t="s">
        <v>41</v>
      </c>
      <c r="B24" s="33" t="e">
        <f>+#REF!/$B$2</f>
        <v>#REF!</v>
      </c>
      <c r="C24" s="34" t="e">
        <f>+#REF!/$C$2</f>
        <v>#REF!</v>
      </c>
      <c r="D24" s="33" t="e">
        <f>+#REF!/$B$2</f>
        <v>#REF!</v>
      </c>
      <c r="E24" s="34" t="e">
        <f>+#REF!/$C$2</f>
        <v>#REF!</v>
      </c>
      <c r="F24" s="33" t="e">
        <f>+#REF!/$B$2</f>
        <v>#REF!</v>
      </c>
      <c r="G24" s="34" t="e">
        <f>+#REF!/$C$2</f>
        <v>#REF!</v>
      </c>
      <c r="H24" s="33" t="e">
        <f>+#REF!/$B$2</f>
        <v>#REF!</v>
      </c>
      <c r="I24" s="34" t="e">
        <f>+#REF!/$C$2</f>
        <v>#REF!</v>
      </c>
      <c r="J24" s="33" t="e">
        <f>+#REF!/$B$2</f>
        <v>#REF!</v>
      </c>
      <c r="K24" s="34" t="e">
        <f>+#REF!/$C$2</f>
        <v>#REF!</v>
      </c>
      <c r="L24" s="33" t="e">
        <f>+#REF!/$B$2</f>
        <v>#REF!</v>
      </c>
      <c r="M24" s="34" t="e">
        <f>+#REF!/$C$2</f>
        <v>#REF!</v>
      </c>
    </row>
    <row r="25" spans="1:13" x14ac:dyDescent="0.45">
      <c r="A25" s="26" t="s">
        <v>42</v>
      </c>
      <c r="B25" s="29" t="e">
        <f>+#REF!/B2</f>
        <v>#REF!</v>
      </c>
      <c r="C25" s="30" t="e">
        <f>+#REF!/C2</f>
        <v>#REF!</v>
      </c>
      <c r="D25" s="29" t="e">
        <f>+#REF!/D2</f>
        <v>#REF!</v>
      </c>
      <c r="E25" s="30" t="e">
        <f>+#REF!/E2</f>
        <v>#REF!</v>
      </c>
      <c r="F25" s="29" t="e">
        <f>+#REF!/F2</f>
        <v>#REF!</v>
      </c>
      <c r="G25" s="30" t="e">
        <f>+#REF!/G2</f>
        <v>#REF!</v>
      </c>
      <c r="H25" s="29" t="e">
        <f>+#REF!/H2</f>
        <v>#REF!</v>
      </c>
      <c r="I25" s="30" t="e">
        <f>+#REF!/I2</f>
        <v>#REF!</v>
      </c>
      <c r="J25" s="29" t="e">
        <f>+#REF!/J2</f>
        <v>#REF!</v>
      </c>
      <c r="K25" s="30" t="e">
        <f>+#REF!/K2</f>
        <v>#REF!</v>
      </c>
      <c r="L25" s="29" t="e">
        <f>+#REF!/L2</f>
        <v>#REF!</v>
      </c>
      <c r="M25" s="30" t="e">
        <f>+#REF!/M2</f>
        <v>#REF!</v>
      </c>
    </row>
    <row r="26" spans="1:13" x14ac:dyDescent="0.45">
      <c r="A26" s="26" t="s">
        <v>43</v>
      </c>
      <c r="B26" s="29" t="e">
        <f>+#REF!/B3</f>
        <v>#REF!</v>
      </c>
      <c r="C26" s="30" t="e">
        <f>+#REF!/C3</f>
        <v>#REF!</v>
      </c>
      <c r="D26" s="29" t="e">
        <f>+#REF!/D3</f>
        <v>#REF!</v>
      </c>
      <c r="E26" s="30" t="e">
        <f>+#REF!/E3</f>
        <v>#REF!</v>
      </c>
      <c r="F26" s="29" t="e">
        <f>+#REF!/F3</f>
        <v>#REF!</v>
      </c>
      <c r="G26" s="30" t="e">
        <f>+#REF!/G3</f>
        <v>#REF!</v>
      </c>
      <c r="H26" s="29" t="e">
        <f>+#REF!/H3</f>
        <v>#REF!</v>
      </c>
      <c r="I26" s="30" t="e">
        <f>+#REF!/I3</f>
        <v>#REF!</v>
      </c>
      <c r="J26" s="29" t="e">
        <f>+#REF!/J3</f>
        <v>#REF!</v>
      </c>
      <c r="K26" s="30" t="e">
        <f>+#REF!/K3</f>
        <v>#REF!</v>
      </c>
      <c r="L26" s="29" t="e">
        <f>+#REF!/L3</f>
        <v>#REF!</v>
      </c>
      <c r="M26" s="30" t="e">
        <f>+#REF!/M3</f>
        <v>#REF!</v>
      </c>
    </row>
    <row r="27" spans="1:13" x14ac:dyDescent="0.45">
      <c r="A27" s="32" t="s">
        <v>44</v>
      </c>
      <c r="B27" s="33" t="e">
        <f>+#REF!/B2</f>
        <v>#REF!</v>
      </c>
      <c r="C27" s="34" t="e">
        <f>+#REF!/C2</f>
        <v>#REF!</v>
      </c>
      <c r="D27" s="33" t="e">
        <f>+#REF!/D2</f>
        <v>#REF!</v>
      </c>
      <c r="E27" s="34" t="e">
        <f>+#REF!/E2</f>
        <v>#REF!</v>
      </c>
      <c r="F27" s="33" t="e">
        <f>+#REF!/F2</f>
        <v>#REF!</v>
      </c>
      <c r="G27" s="34" t="e">
        <f>+#REF!/G2</f>
        <v>#REF!</v>
      </c>
      <c r="H27" s="33" t="e">
        <f>+#REF!/H2</f>
        <v>#REF!</v>
      </c>
      <c r="I27" s="34" t="e">
        <f>+#REF!/I2</f>
        <v>#REF!</v>
      </c>
      <c r="J27" s="33" t="e">
        <f>+#REF!/J2</f>
        <v>#REF!</v>
      </c>
      <c r="K27" s="34" t="e">
        <f>+#REF!/K2</f>
        <v>#REF!</v>
      </c>
      <c r="L27" s="33" t="e">
        <f>+#REF!/L2</f>
        <v>#REF!</v>
      </c>
      <c r="M27" s="34" t="e">
        <f>+#REF!/M2</f>
        <v>#REF!</v>
      </c>
    </row>
    <row r="28" spans="1:13" x14ac:dyDescent="0.45">
      <c r="A28" s="26" t="s">
        <v>45</v>
      </c>
      <c r="B28" s="29" t="e">
        <f>#REF!/B3</f>
        <v>#REF!</v>
      </c>
      <c r="C28" s="30" t="e">
        <f>#REF!/C3</f>
        <v>#REF!</v>
      </c>
      <c r="D28" s="29" t="e">
        <f>#REF!/D3</f>
        <v>#REF!</v>
      </c>
      <c r="E28" s="30" t="e">
        <f>#REF!/E3</f>
        <v>#REF!</v>
      </c>
      <c r="F28" s="29" t="e">
        <f>#REF!/F3</f>
        <v>#REF!</v>
      </c>
      <c r="G28" s="30" t="e">
        <f>#REF!/G3</f>
        <v>#REF!</v>
      </c>
      <c r="H28" s="29" t="e">
        <f>#REF!/H3</f>
        <v>#REF!</v>
      </c>
      <c r="I28" s="30" t="e">
        <f>#REF!/I3</f>
        <v>#REF!</v>
      </c>
      <c r="J28" s="29" t="e">
        <f>#REF!/J3</f>
        <v>#REF!</v>
      </c>
      <c r="K28" s="30" t="e">
        <f>#REF!/K3</f>
        <v>#REF!</v>
      </c>
      <c r="L28" s="29" t="e">
        <f>#REF!/L3</f>
        <v>#REF!</v>
      </c>
      <c r="M28" s="30" t="e">
        <f>#REF!/M3</f>
        <v>#REF!</v>
      </c>
    </row>
    <row r="29" spans="1:13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3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idden="1" x14ac:dyDescent="0.45">
      <c r="A31" s="17" t="s">
        <v>21</v>
      </c>
      <c r="B31" s="18" t="e">
        <f t="shared" ref="B31:G31" si="19">+B27+B25</f>
        <v>#REF!</v>
      </c>
      <c r="C31" s="19" t="e">
        <f t="shared" si="19"/>
        <v>#REF!</v>
      </c>
      <c r="D31" s="18" t="e">
        <f t="shared" si="19"/>
        <v>#REF!</v>
      </c>
      <c r="E31" s="19" t="e">
        <f t="shared" si="19"/>
        <v>#REF!</v>
      </c>
      <c r="F31" s="18" t="e">
        <f t="shared" si="19"/>
        <v>#REF!</v>
      </c>
      <c r="G31" s="19" t="e">
        <f t="shared" si="19"/>
        <v>#REF!</v>
      </c>
      <c r="H31" s="18" t="e">
        <f t="shared" ref="H31:I31" si="20">+H27+H25</f>
        <v>#REF!</v>
      </c>
      <c r="I31" s="19" t="e">
        <f t="shared" si="20"/>
        <v>#REF!</v>
      </c>
      <c r="J31" s="18" t="e">
        <f t="shared" ref="J31:L31" si="21">+J27+J25</f>
        <v>#REF!</v>
      </c>
      <c r="K31" s="19" t="e">
        <f t="shared" si="21"/>
        <v>#REF!</v>
      </c>
      <c r="L31" s="18" t="e">
        <f t="shared" si="21"/>
        <v>#REF!</v>
      </c>
      <c r="M31" s="19" t="e">
        <f t="shared" ref="M31" si="22">+M27+M25</f>
        <v>#REF!</v>
      </c>
    </row>
    <row r="32" spans="1:13" hidden="1" x14ac:dyDescent="0.45">
      <c r="A32" s="17" t="s">
        <v>22</v>
      </c>
      <c r="B32" s="18" t="e">
        <f t="shared" ref="B32:G32" si="23">+B24+B23+B21+B20+B19</f>
        <v>#REF!</v>
      </c>
      <c r="C32" s="19" t="e">
        <f t="shared" si="23"/>
        <v>#REF!</v>
      </c>
      <c r="D32" s="18" t="e">
        <f t="shared" si="23"/>
        <v>#REF!</v>
      </c>
      <c r="E32" s="19" t="e">
        <f t="shared" si="23"/>
        <v>#REF!</v>
      </c>
      <c r="F32" s="18" t="e">
        <f t="shared" si="23"/>
        <v>#REF!</v>
      </c>
      <c r="G32" s="19" t="e">
        <f t="shared" si="23"/>
        <v>#REF!</v>
      </c>
      <c r="H32" s="18" t="e">
        <f t="shared" ref="H32:I32" si="24">+H24+H23+H21+H20+H19</f>
        <v>#REF!</v>
      </c>
      <c r="I32" s="19" t="e">
        <f t="shared" si="24"/>
        <v>#REF!</v>
      </c>
      <c r="J32" s="18" t="e">
        <f t="shared" ref="J32:L32" si="25">+J24+J23+J21+J20+J19</f>
        <v>#REF!</v>
      </c>
      <c r="K32" s="19" t="e">
        <f t="shared" si="25"/>
        <v>#REF!</v>
      </c>
      <c r="L32" s="18" t="e">
        <f t="shared" si="25"/>
        <v>#REF!</v>
      </c>
      <c r="M32" s="19" t="e">
        <f t="shared" ref="M32" si="26">+M24+M23+M21+M20+M19</f>
        <v>#REF!</v>
      </c>
    </row>
    <row r="33" spans="1:13" x14ac:dyDescent="0.45">
      <c r="B33" s="35"/>
      <c r="C33" s="36"/>
      <c r="D33" s="35"/>
      <c r="E33" s="36"/>
      <c r="F33" s="35"/>
      <c r="G33" s="36"/>
      <c r="H33" s="35"/>
      <c r="I33" s="36"/>
      <c r="J33" s="35"/>
      <c r="K33" s="36"/>
      <c r="L33" s="35"/>
      <c r="M33" s="36"/>
    </row>
    <row r="34" spans="1:13" x14ac:dyDescent="0.45">
      <c r="A34" s="4" t="s">
        <v>46</v>
      </c>
      <c r="B34" s="15" t="e">
        <f>(B6*B3)-#REF!-#REF!</f>
        <v>#REF!</v>
      </c>
      <c r="C34" s="16" t="e">
        <f>(C6*C3)-#REF!-#REF!</f>
        <v>#REF!</v>
      </c>
      <c r="D34" s="15" t="e">
        <f>(D6*D3)-#REF!-#REF!</f>
        <v>#REF!</v>
      </c>
      <c r="E34" s="16" t="e">
        <f>(E6*E3)-#REF!-#REF!</f>
        <v>#REF!</v>
      </c>
      <c r="F34" s="15" t="e">
        <f>(F6*F3)-#REF!-#REF!</f>
        <v>#REF!</v>
      </c>
      <c r="G34" s="16" t="e">
        <f>(G6*G3)-#REF!-#REF!</f>
        <v>#REF!</v>
      </c>
      <c r="H34" s="15" t="e">
        <f>(H6*H3)-#REF!-#REF!</f>
        <v>#REF!</v>
      </c>
      <c r="I34" s="16" t="e">
        <f>(I6*I3)-#REF!-#REF!</f>
        <v>#REF!</v>
      </c>
      <c r="J34" s="15" t="e">
        <f>(J6*J3)-#REF!-#REF!</f>
        <v>#REF!</v>
      </c>
      <c r="K34" s="16" t="e">
        <f>(K6*K3)-#REF!-#REF!</f>
        <v>#REF!</v>
      </c>
      <c r="L34" s="15" t="e">
        <f>(L6*L3)-#REF!-#REF!</f>
        <v>#REF!</v>
      </c>
      <c r="M34" s="16" t="e">
        <f>(M6*M3)-#REF!-#REF!</f>
        <v>#REF!</v>
      </c>
    </row>
    <row r="35" spans="1:13" x14ac:dyDescent="0.45">
      <c r="A35" s="4" t="s">
        <v>47</v>
      </c>
      <c r="B35" s="15" t="e">
        <f>(B7*(B2-B3))-#REF!</f>
        <v>#REF!</v>
      </c>
      <c r="C35" s="16" t="e">
        <f>(C7*(C2-C3))-#REF!</f>
        <v>#REF!</v>
      </c>
      <c r="D35" s="15" t="e">
        <f>(D7*(D2-D3))-#REF!</f>
        <v>#REF!</v>
      </c>
      <c r="E35" s="16" t="e">
        <f>(E7*(E2-E3))-#REF!</f>
        <v>#REF!</v>
      </c>
      <c r="F35" s="15" t="s">
        <v>26</v>
      </c>
      <c r="G35" s="16" t="s">
        <v>26</v>
      </c>
      <c r="H35" s="15" t="s">
        <v>26</v>
      </c>
      <c r="I35" s="16" t="s">
        <v>26</v>
      </c>
      <c r="J35" s="15" t="s">
        <v>26</v>
      </c>
      <c r="K35" s="16" t="s">
        <v>26</v>
      </c>
      <c r="L35" s="15" t="s">
        <v>26</v>
      </c>
      <c r="M35" s="16" t="s">
        <v>26</v>
      </c>
    </row>
    <row r="36" spans="1:13" x14ac:dyDescent="0.45">
      <c r="A36" s="4" t="s">
        <v>48</v>
      </c>
      <c r="B36" s="15" t="e">
        <f>(B15*B2)-#REF!</f>
        <v>#REF!</v>
      </c>
      <c r="C36" s="16" t="e">
        <f>(C15*C2)-#REF!</f>
        <v>#REF!</v>
      </c>
      <c r="D36" s="15" t="e">
        <f>(D15*D2)-#REF!</f>
        <v>#REF!</v>
      </c>
      <c r="E36" s="16" t="e">
        <f>(E15*E2)-#REF!</f>
        <v>#REF!</v>
      </c>
      <c r="F36" s="15" t="e">
        <f>(F15*F2)-#REF!</f>
        <v>#REF!</v>
      </c>
      <c r="G36" s="16" t="e">
        <f>(G15*G2)-#REF!</f>
        <v>#REF!</v>
      </c>
      <c r="H36" s="15" t="e">
        <f>(H15*H2)-#REF!</f>
        <v>#REF!</v>
      </c>
      <c r="I36" s="16" t="e">
        <f>(I15*I2)-#REF!</f>
        <v>#REF!</v>
      </c>
      <c r="J36" s="15" t="e">
        <f>(J15*J2)-#REF!</f>
        <v>#REF!</v>
      </c>
      <c r="K36" s="16" t="e">
        <f>(K15*K2)-#REF!</f>
        <v>#REF!</v>
      </c>
      <c r="L36" s="15" t="e">
        <f>(L15*L2)-#REF!</f>
        <v>#REF!</v>
      </c>
      <c r="M36" s="16" t="e">
        <f>(M15*M2)-#REF!</f>
        <v>#REF!</v>
      </c>
    </row>
    <row r="37" spans="1:13" x14ac:dyDescent="0.45">
      <c r="A37" s="4" t="s">
        <v>49</v>
      </c>
      <c r="B37" s="15" t="e">
        <f>(B18*B2)-#REF!</f>
        <v>#REF!</v>
      </c>
      <c r="C37" s="16" t="e">
        <f>(C18*C2)-#REF!</f>
        <v>#REF!</v>
      </c>
      <c r="D37" s="15" t="e">
        <f>(D18*D2)-#REF!</f>
        <v>#REF!</v>
      </c>
      <c r="E37" s="16" t="e">
        <f>(E18*E2)-#REF!</f>
        <v>#REF!</v>
      </c>
      <c r="F37" s="15" t="e">
        <f>(F18*F2)-#REF!</f>
        <v>#REF!</v>
      </c>
      <c r="G37" s="16" t="e">
        <f>(G18*G2)-#REF!</f>
        <v>#REF!</v>
      </c>
      <c r="H37" s="15" t="e">
        <f>(H18*H2)-#REF!</f>
        <v>#REF!</v>
      </c>
      <c r="I37" s="16" t="e">
        <f>(I18*I2)-#REF!</f>
        <v>#REF!</v>
      </c>
      <c r="J37" s="15" t="e">
        <f>(J18*J2)-#REF!</f>
        <v>#REF!</v>
      </c>
      <c r="K37" s="16" t="e">
        <f>(K18*K2)-#REF!</f>
        <v>#REF!</v>
      </c>
      <c r="L37" s="15" t="e">
        <f>(L18*L2)-#REF!</f>
        <v>#REF!</v>
      </c>
      <c r="M37" s="16" t="e">
        <f>(M18*M2)-#REF!</f>
        <v>#REF!</v>
      </c>
    </row>
    <row r="38" spans="1:13" x14ac:dyDescent="0.45">
      <c r="A38" s="4" t="s">
        <v>50</v>
      </c>
      <c r="B38" s="15" t="e">
        <f>(B25*B2)-#REF!</f>
        <v>#REF!</v>
      </c>
      <c r="C38" s="16" t="e">
        <f>(C25*C2)-#REF!</f>
        <v>#REF!</v>
      </c>
      <c r="D38" s="15" t="e">
        <f>(D25*D2)-#REF!</f>
        <v>#REF!</v>
      </c>
      <c r="E38" s="16" t="e">
        <f>(E25*E2)-#REF!</f>
        <v>#REF!</v>
      </c>
      <c r="F38" s="15" t="e">
        <f>(F25*F2)-#REF!</f>
        <v>#REF!</v>
      </c>
      <c r="G38" s="16" t="e">
        <f>(G25*G2)-#REF!</f>
        <v>#REF!</v>
      </c>
      <c r="H38" s="15" t="e">
        <f>(H25*H2)-#REF!</f>
        <v>#REF!</v>
      </c>
      <c r="I38" s="16" t="e">
        <f>(I25*I2)-#REF!</f>
        <v>#REF!</v>
      </c>
      <c r="J38" s="15" t="e">
        <f>(J25*J2)-#REF!</f>
        <v>#REF!</v>
      </c>
      <c r="K38" s="16" t="e">
        <f>(K25*K2)-#REF!</f>
        <v>#REF!</v>
      </c>
      <c r="L38" s="15" t="e">
        <f>(L25*L2)-#REF!</f>
        <v>#REF!</v>
      </c>
      <c r="M38" s="16" t="e">
        <f>(M25*M2)-#REF!</f>
        <v>#REF!</v>
      </c>
    </row>
    <row r="39" spans="1:13" x14ac:dyDescent="0.45">
      <c r="A39" s="4" t="s">
        <v>51</v>
      </c>
      <c r="B39" s="15" t="e">
        <f>(B26*B3)-#REF!</f>
        <v>#REF!</v>
      </c>
      <c r="C39" s="16" t="e">
        <f>(C26*C3)-#REF!</f>
        <v>#REF!</v>
      </c>
      <c r="D39" s="15" t="e">
        <f>(D26*D3)-#REF!</f>
        <v>#REF!</v>
      </c>
      <c r="E39" s="16" t="e">
        <f>(E26*E3)-#REF!</f>
        <v>#REF!</v>
      </c>
      <c r="F39" s="15" t="e">
        <f>(F26*F3)-#REF!</f>
        <v>#REF!</v>
      </c>
      <c r="G39" s="16" t="e">
        <f>(G26*G3)-#REF!</f>
        <v>#REF!</v>
      </c>
      <c r="H39" s="15" t="e">
        <f>(H26*H3)-#REF!</f>
        <v>#REF!</v>
      </c>
      <c r="I39" s="16" t="e">
        <f>(I26*I3)-#REF!</f>
        <v>#REF!</v>
      </c>
      <c r="J39" s="15" t="e">
        <f>(J26*J3)-#REF!</f>
        <v>#REF!</v>
      </c>
      <c r="K39" s="16" t="e">
        <f>(K26*K3)-#REF!</f>
        <v>#REF!</v>
      </c>
      <c r="L39" s="15" t="e">
        <f>(L26*L3)-#REF!</f>
        <v>#REF!</v>
      </c>
      <c r="M39" s="16" t="e">
        <f>(M26*M3)-#REF!</f>
        <v>#REF!</v>
      </c>
    </row>
    <row r="40" spans="1:13" x14ac:dyDescent="0.45">
      <c r="A40" s="4" t="s">
        <v>52</v>
      </c>
      <c r="B40" s="15" t="e">
        <f>(B27*B2)-#REF!</f>
        <v>#REF!</v>
      </c>
      <c r="C40" s="16" t="e">
        <f>(C27*C2)-#REF!</f>
        <v>#REF!</v>
      </c>
      <c r="D40" s="15" t="e">
        <f>(D27*D2)-#REF!</f>
        <v>#REF!</v>
      </c>
      <c r="E40" s="16" t="e">
        <f>(E27*E2)-#REF!</f>
        <v>#REF!</v>
      </c>
      <c r="F40" s="15" t="e">
        <f>(F27*F2)-#REF!</f>
        <v>#REF!</v>
      </c>
      <c r="G40" s="16" t="e">
        <f>(G27*G2)-#REF!</f>
        <v>#REF!</v>
      </c>
      <c r="H40" s="15" t="e">
        <f>(H27*H2)-#REF!</f>
        <v>#REF!</v>
      </c>
      <c r="I40" s="16" t="e">
        <f>(I27*I2)-#REF!</f>
        <v>#REF!</v>
      </c>
      <c r="J40" s="15" t="e">
        <f>(J27*J2)-#REF!</f>
        <v>#REF!</v>
      </c>
      <c r="K40" s="16" t="e">
        <f>(K27*K2)-#REF!</f>
        <v>#REF!</v>
      </c>
      <c r="L40" s="15" t="e">
        <f>(L27*L2)-#REF!</f>
        <v>#REF!</v>
      </c>
      <c r="M40" s="16" t="e">
        <f>(M27*M2)-#REF!</f>
        <v>#REF!</v>
      </c>
    </row>
    <row r="41" spans="1:13" x14ac:dyDescent="0.45">
      <c r="A41" s="4" t="s">
        <v>53</v>
      </c>
      <c r="B41" s="15" t="e">
        <f>(B28*B3)-#REF!</f>
        <v>#REF!</v>
      </c>
      <c r="C41" s="16" t="e">
        <f>(C28*C3)-#REF!</f>
        <v>#REF!</v>
      </c>
      <c r="D41" s="15" t="e">
        <f>(D28*D3)-#REF!</f>
        <v>#REF!</v>
      </c>
      <c r="E41" s="16" t="e">
        <f>(E28*E3)-#REF!</f>
        <v>#REF!</v>
      </c>
      <c r="F41" s="15" t="e">
        <f>(F28*F3)-#REF!</f>
        <v>#REF!</v>
      </c>
      <c r="G41" s="16" t="e">
        <f>(G28*G3)-#REF!</f>
        <v>#REF!</v>
      </c>
      <c r="H41" s="15" t="e">
        <f>(H28*H3)-#REF!</f>
        <v>#REF!</v>
      </c>
      <c r="I41" s="16" t="e">
        <f>(I28*I3)-#REF!</f>
        <v>#REF!</v>
      </c>
      <c r="J41" s="15" t="e">
        <f>(J28*J3)-#REF!</f>
        <v>#REF!</v>
      </c>
      <c r="K41" s="16" t="e">
        <f>(K28*K3)-#REF!</f>
        <v>#REF!</v>
      </c>
      <c r="L41" s="15" t="e">
        <f>(L28*L3)-#REF!</f>
        <v>#REF!</v>
      </c>
      <c r="M41" s="16" t="e">
        <f>(M28*M3)-#REF!</f>
        <v>#REF!</v>
      </c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x14ac:dyDescent="0.45">
      <c r="A43" s="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x14ac:dyDescent="0.45">
      <c r="A44" s="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 tint="-0.14999847407452621"/>
  </sheetPr>
  <dimension ref="A1:N44"/>
  <sheetViews>
    <sheetView topLeftCell="B19" zoomScaleNormal="100" workbookViewId="0">
      <selection activeCell="B31" sqref="A31:XFD32"/>
    </sheetView>
  </sheetViews>
  <sheetFormatPr baseColWidth="10" defaultColWidth="11.46484375" defaultRowHeight="14.25" x14ac:dyDescent="0.45"/>
  <cols>
    <col min="1" max="1" width="28.46484375" style="32" bestFit="1" customWidth="1"/>
    <col min="2" max="2" width="5.796875" style="2" bestFit="1" customWidth="1"/>
    <col min="3" max="3" width="6.46484375" style="3" bestFit="1" customWidth="1"/>
    <col min="4" max="4" width="6.73046875" style="2" bestFit="1" customWidth="1"/>
    <col min="5" max="5" width="6.53125" style="3" bestFit="1" customWidth="1"/>
    <col min="6" max="6" width="6.53125" style="2" bestFit="1" customWidth="1"/>
    <col min="7" max="7" width="6.53125" style="3" bestFit="1" customWidth="1"/>
    <col min="8" max="8" width="6.73046875" style="2" bestFit="1" customWidth="1"/>
    <col min="9" max="9" width="6.53125" style="3" bestFit="1" customWidth="1"/>
    <col min="10" max="10" width="6.796875" style="2" bestFit="1" customWidth="1"/>
    <col min="11" max="11" width="6.53125" style="3" bestFit="1" customWidth="1"/>
    <col min="12" max="12" width="6.53125" style="2" bestFit="1" customWidth="1"/>
    <col min="13" max="13" width="6.53125" style="3" bestFit="1" customWidth="1"/>
    <col min="14" max="14" width="0.796875" style="14" customWidth="1"/>
    <col min="15" max="16384" width="11.46484375" style="1"/>
  </cols>
  <sheetData>
    <row r="1" spans="1:13" ht="14.65" thickBot="1" x14ac:dyDescent="0.5">
      <c r="A1" s="5" t="s">
        <v>55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 t="e">
        <f>+#REF!</f>
        <v>#REF!</v>
      </c>
      <c r="C2" s="28" t="e">
        <f>+#REF!</f>
        <v>#REF!</v>
      </c>
      <c r="D2" s="27" t="e">
        <f>+#REF!</f>
        <v>#REF!</v>
      </c>
      <c r="E2" s="28" t="e">
        <f>+#REF!</f>
        <v>#REF!</v>
      </c>
      <c r="F2" s="27" t="e">
        <f>+#REF!</f>
        <v>#REF!</v>
      </c>
      <c r="G2" s="28" t="e">
        <f>+#REF!</f>
        <v>#REF!</v>
      </c>
      <c r="H2" s="27" t="e">
        <f>+#REF!</f>
        <v>#REF!</v>
      </c>
      <c r="I2" s="28" t="e">
        <f>+#REF!</f>
        <v>#REF!</v>
      </c>
      <c r="J2" s="27" t="e">
        <f>+#REF!</f>
        <v>#REF!</v>
      </c>
      <c r="K2" s="28" t="e">
        <f>+#REF!</f>
        <v>#REF!</v>
      </c>
      <c r="L2" s="27" t="e">
        <f>+#REF!</f>
        <v>#REF!</v>
      </c>
      <c r="M2" s="28" t="e">
        <f>+#REF!</f>
        <v>#REF!</v>
      </c>
    </row>
    <row r="3" spans="1:13" x14ac:dyDescent="0.45">
      <c r="A3" s="26" t="s">
        <v>23</v>
      </c>
      <c r="B3" s="27" t="e">
        <f>+#REF!</f>
        <v>#REF!</v>
      </c>
      <c r="C3" s="28" t="e">
        <f>+#REF!</f>
        <v>#REF!</v>
      </c>
      <c r="D3" s="27" t="e">
        <f>+#REF!</f>
        <v>#REF!</v>
      </c>
      <c r="E3" s="28" t="e">
        <f>+#REF!</f>
        <v>#REF!</v>
      </c>
      <c r="F3" s="27" t="e">
        <f>+#REF!</f>
        <v>#REF!</v>
      </c>
      <c r="G3" s="28" t="e">
        <f>+#REF!</f>
        <v>#REF!</v>
      </c>
      <c r="H3" s="27" t="e">
        <f>+#REF!</f>
        <v>#REF!</v>
      </c>
      <c r="I3" s="28" t="e">
        <f>+#REF!</f>
        <v>#REF!</v>
      </c>
      <c r="J3" s="27" t="e">
        <f>+#REF!</f>
        <v>#REF!</v>
      </c>
      <c r="K3" s="28" t="e">
        <f>+#REF!</f>
        <v>#REF!</v>
      </c>
      <c r="L3" s="27" t="e">
        <f>+#REF!</f>
        <v>#REF!</v>
      </c>
      <c r="M3" s="28" t="e">
        <f>+#REF!</f>
        <v>#REF!</v>
      </c>
    </row>
    <row r="4" spans="1:13" x14ac:dyDescent="0.45">
      <c r="A4" s="26" t="s">
        <v>0</v>
      </c>
      <c r="B4" s="29" t="e">
        <f>+#REF!</f>
        <v>#REF!</v>
      </c>
      <c r="C4" s="30" t="e">
        <f>+#REF!</f>
        <v>#REF!</v>
      </c>
      <c r="D4" s="29" t="e">
        <f>+#REF!</f>
        <v>#REF!</v>
      </c>
      <c r="E4" s="30" t="e">
        <f>+#REF!</f>
        <v>#REF!</v>
      </c>
      <c r="F4" s="29" t="e">
        <f>+#REF!</f>
        <v>#REF!</v>
      </c>
      <c r="G4" s="30" t="e">
        <f>+#REF!</f>
        <v>#REF!</v>
      </c>
      <c r="H4" s="29" t="e">
        <f>+#REF!</f>
        <v>#REF!</v>
      </c>
      <c r="I4" s="30" t="e">
        <f>+#REF!</f>
        <v>#REF!</v>
      </c>
      <c r="J4" s="29" t="e">
        <f>+#REF!</f>
        <v>#REF!</v>
      </c>
      <c r="K4" s="30" t="e">
        <f>+#REF!</f>
        <v>#REF!</v>
      </c>
      <c r="L4" s="29" t="e">
        <f>+#REF!</f>
        <v>#REF!</v>
      </c>
      <c r="M4" s="30" t="e">
        <f>+#REF!</f>
        <v>#REF!</v>
      </c>
    </row>
    <row r="5" spans="1:13" x14ac:dyDescent="0.45">
      <c r="A5" s="17" t="s">
        <v>1</v>
      </c>
      <c r="B5" s="18" t="e">
        <f t="shared" ref="B5:G5" si="0">+B4/B3/1000</f>
        <v>#REF!</v>
      </c>
      <c r="C5" s="19" t="e">
        <f t="shared" si="0"/>
        <v>#REF!</v>
      </c>
      <c r="D5" s="18" t="e">
        <f t="shared" si="0"/>
        <v>#REF!</v>
      </c>
      <c r="E5" s="19" t="e">
        <f t="shared" si="0"/>
        <v>#REF!</v>
      </c>
      <c r="F5" s="18" t="e">
        <f t="shared" si="0"/>
        <v>#REF!</v>
      </c>
      <c r="G5" s="19" t="e">
        <f t="shared" si="0"/>
        <v>#REF!</v>
      </c>
      <c r="H5" s="18" t="e">
        <f t="shared" ref="H5:I5" si="1">+H4/H3/1000</f>
        <v>#REF!</v>
      </c>
      <c r="I5" s="19" t="e">
        <f t="shared" si="1"/>
        <v>#REF!</v>
      </c>
      <c r="J5" s="18" t="e">
        <f t="shared" ref="J5:L5" si="2">+J4/J3/1000</f>
        <v>#REF!</v>
      </c>
      <c r="K5" s="19" t="e">
        <f t="shared" si="2"/>
        <v>#REF!</v>
      </c>
      <c r="L5" s="18" t="e">
        <f t="shared" si="2"/>
        <v>#REF!</v>
      </c>
      <c r="M5" s="19" t="e">
        <f t="shared" ref="M5" si="3">+M4/M3/1000</f>
        <v>#REF!</v>
      </c>
    </row>
    <row r="6" spans="1:13" x14ac:dyDescent="0.45">
      <c r="A6" s="32" t="s">
        <v>58</v>
      </c>
      <c r="B6" s="38" t="e">
        <f>(#REF!+#REF!)/B4</f>
        <v>#REF!</v>
      </c>
      <c r="C6" s="39" t="e">
        <f>(#REF!+#REF!)/C4</f>
        <v>#REF!</v>
      </c>
      <c r="D6" s="38" t="e">
        <f>(#REF!+#REF!)/D4</f>
        <v>#REF!</v>
      </c>
      <c r="E6" s="39" t="e">
        <f>(#REF!+#REF!)/E4</f>
        <v>#REF!</v>
      </c>
      <c r="F6" s="38" t="e">
        <f>(#REF!+#REF!)/F4</f>
        <v>#REF!</v>
      </c>
      <c r="G6" s="39" t="e">
        <f>(#REF!+#REF!)/G4</f>
        <v>#REF!</v>
      </c>
      <c r="H6" s="38" t="e">
        <f>(#REF!+#REF!)/H4</f>
        <v>#REF!</v>
      </c>
      <c r="I6" s="39" t="e">
        <f>(#REF!+#REF!)/I4</f>
        <v>#REF!</v>
      </c>
      <c r="J6" s="38" t="e">
        <f>(#REF!+#REF!)/J4</f>
        <v>#REF!</v>
      </c>
      <c r="K6" s="39" t="e">
        <f>(#REF!+#REF!)/K4</f>
        <v>#REF!</v>
      </c>
      <c r="L6" s="38" t="e">
        <f>(#REF!+#REF!)/L4</f>
        <v>#REF!</v>
      </c>
      <c r="M6" s="39" t="e">
        <f>(#REF!+#REF!)/M4</f>
        <v>#REF!</v>
      </c>
    </row>
    <row r="7" spans="1:13" x14ac:dyDescent="0.45">
      <c r="A7" s="32" t="s">
        <v>59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3" x14ac:dyDescent="0.45">
      <c r="A8" s="26" t="s">
        <v>58</v>
      </c>
      <c r="B8" s="41" t="e">
        <f>+B7+B6</f>
        <v>#REF!</v>
      </c>
      <c r="C8" s="42" t="e">
        <f>+C7+C6</f>
        <v>#REF!</v>
      </c>
      <c r="D8" s="41" t="e">
        <f t="shared" ref="D8:G8" si="4">+D7+D6</f>
        <v>#REF!</v>
      </c>
      <c r="E8" s="42" t="e">
        <f t="shared" si="4"/>
        <v>#REF!</v>
      </c>
      <c r="F8" s="41" t="e">
        <f t="shared" si="4"/>
        <v>#REF!</v>
      </c>
      <c r="G8" s="42" t="e">
        <f t="shared" si="4"/>
        <v>#REF!</v>
      </c>
      <c r="H8" s="41" t="e">
        <f t="shared" ref="H8:I8" si="5">+H7+H6</f>
        <v>#REF!</v>
      </c>
      <c r="I8" s="42" t="e">
        <f t="shared" si="5"/>
        <v>#REF!</v>
      </c>
      <c r="J8" s="41" t="e">
        <f t="shared" ref="J8:L8" si="6">+J7+J6</f>
        <v>#REF!</v>
      </c>
      <c r="K8" s="42" t="e">
        <f t="shared" si="6"/>
        <v>#REF!</v>
      </c>
      <c r="L8" s="41" t="e">
        <f t="shared" si="6"/>
        <v>#REF!</v>
      </c>
      <c r="M8" s="42" t="e">
        <f t="shared" ref="M8" si="7">+M7+M6</f>
        <v>#REF!</v>
      </c>
    </row>
    <row r="9" spans="1:13" x14ac:dyDescent="0.45">
      <c r="A9" s="32" t="s">
        <v>2</v>
      </c>
      <c r="B9" s="38" t="e">
        <f>#REF!/B4</f>
        <v>#REF!</v>
      </c>
      <c r="C9" s="39" t="e">
        <f>#REF!/C4</f>
        <v>#REF!</v>
      </c>
      <c r="D9" s="38" t="e">
        <f>#REF!/D4</f>
        <v>#REF!</v>
      </c>
      <c r="E9" s="39" t="e">
        <f>#REF!/E4</f>
        <v>#REF!</v>
      </c>
      <c r="F9" s="38" t="e">
        <f>#REF!/F4</f>
        <v>#REF!</v>
      </c>
      <c r="G9" s="39" t="e">
        <f>#REF!/G4</f>
        <v>#REF!</v>
      </c>
      <c r="H9" s="38" t="e">
        <f>#REF!/H4</f>
        <v>#REF!</v>
      </c>
      <c r="I9" s="39" t="e">
        <f>#REF!/I4</f>
        <v>#REF!</v>
      </c>
      <c r="J9" s="38" t="e">
        <f>#REF!/J4</f>
        <v>#REF!</v>
      </c>
      <c r="K9" s="39" t="e">
        <f>#REF!/K4</f>
        <v>#REF!</v>
      </c>
      <c r="L9" s="38" t="e">
        <f>#REF!/L4</f>
        <v>#REF!</v>
      </c>
      <c r="M9" s="39" t="e">
        <f>#REF!/M4</f>
        <v>#REF!</v>
      </c>
    </row>
    <row r="10" spans="1:13" x14ac:dyDescent="0.45">
      <c r="A10" s="32" t="s">
        <v>3</v>
      </c>
      <c r="B10" s="38" t="e">
        <f>#REF!/B4</f>
        <v>#REF!</v>
      </c>
      <c r="C10" s="39" t="e">
        <f>#REF!/C4</f>
        <v>#REF!</v>
      </c>
      <c r="D10" s="38" t="e">
        <f>#REF!/D4</f>
        <v>#REF!</v>
      </c>
      <c r="E10" s="39" t="e">
        <f>#REF!/E4</f>
        <v>#REF!</v>
      </c>
      <c r="F10" s="38" t="e">
        <f>#REF!/F4</f>
        <v>#REF!</v>
      </c>
      <c r="G10" s="39" t="e">
        <f>#REF!/G4</f>
        <v>#REF!</v>
      </c>
      <c r="H10" s="38" t="e">
        <f>#REF!/H4</f>
        <v>#REF!</v>
      </c>
      <c r="I10" s="39" t="e">
        <f>#REF!/I4</f>
        <v>#REF!</v>
      </c>
      <c r="J10" s="38" t="e">
        <f>#REF!/J4</f>
        <v>#REF!</v>
      </c>
      <c r="K10" s="39" t="e">
        <f>#REF!/K4</f>
        <v>#REF!</v>
      </c>
      <c r="L10" s="38" t="e">
        <f>#REF!/L4</f>
        <v>#REF!</v>
      </c>
      <c r="M10" s="39" t="e">
        <f>#REF!/M4</f>
        <v>#REF!</v>
      </c>
    </row>
    <row r="11" spans="1:13" x14ac:dyDescent="0.45">
      <c r="A11" s="32" t="s">
        <v>4</v>
      </c>
      <c r="B11" s="38" t="e">
        <f>#REF!/B4</f>
        <v>#REF!</v>
      </c>
      <c r="C11" s="39" t="e">
        <f>#REF!/C4</f>
        <v>#REF!</v>
      </c>
      <c r="D11" s="38" t="e">
        <f>#REF!/D4</f>
        <v>#REF!</v>
      </c>
      <c r="E11" s="39" t="e">
        <f>#REF!/E4</f>
        <v>#REF!</v>
      </c>
      <c r="F11" s="38" t="e">
        <f>#REF!/F4</f>
        <v>#REF!</v>
      </c>
      <c r="G11" s="39" t="e">
        <f>#REF!/G4</f>
        <v>#REF!</v>
      </c>
      <c r="H11" s="38" t="e">
        <f>#REF!/H4</f>
        <v>#REF!</v>
      </c>
      <c r="I11" s="39" t="e">
        <f>#REF!/I4</f>
        <v>#REF!</v>
      </c>
      <c r="J11" s="38" t="e">
        <f>#REF!/J4</f>
        <v>#REF!</v>
      </c>
      <c r="K11" s="39" t="e">
        <f>#REF!/K4</f>
        <v>#REF!</v>
      </c>
      <c r="L11" s="38" t="e">
        <f>#REF!/L4</f>
        <v>#REF!</v>
      </c>
      <c r="M11" s="39" t="e">
        <f>#REF!/M4</f>
        <v>#REF!</v>
      </c>
    </row>
    <row r="12" spans="1:13" x14ac:dyDescent="0.45">
      <c r="A12" s="32" t="s">
        <v>5</v>
      </c>
      <c r="B12" s="38" t="e">
        <f>#REF!/B4</f>
        <v>#REF!</v>
      </c>
      <c r="C12" s="39" t="e">
        <f>#REF!/C4</f>
        <v>#REF!</v>
      </c>
      <c r="D12" s="38" t="e">
        <f>#REF!/D4</f>
        <v>#REF!</v>
      </c>
      <c r="E12" s="39" t="e">
        <f>#REF!/E4</f>
        <v>#REF!</v>
      </c>
      <c r="F12" s="38" t="e">
        <f>#REF!/F4</f>
        <v>#REF!</v>
      </c>
      <c r="G12" s="39" t="e">
        <f>#REF!/G4</f>
        <v>#REF!</v>
      </c>
      <c r="H12" s="38" t="e">
        <f>#REF!/H4</f>
        <v>#REF!</v>
      </c>
      <c r="I12" s="39" t="e">
        <f>#REF!/I4</f>
        <v>#REF!</v>
      </c>
      <c r="J12" s="38" t="e">
        <f>#REF!/J4</f>
        <v>#REF!</v>
      </c>
      <c r="K12" s="39" t="e">
        <f>#REF!/K4</f>
        <v>#REF!</v>
      </c>
      <c r="L12" s="38" t="e">
        <f>#REF!/L4</f>
        <v>#REF!</v>
      </c>
      <c r="M12" s="39" t="e">
        <f>#REF!/M4</f>
        <v>#REF!</v>
      </c>
    </row>
    <row r="13" spans="1:13" x14ac:dyDescent="0.45">
      <c r="A13" s="32" t="s">
        <v>6</v>
      </c>
      <c r="B13" s="38" t="e">
        <f>#REF!/B4</f>
        <v>#REF!</v>
      </c>
      <c r="C13" s="39" t="e">
        <f>#REF!/C4</f>
        <v>#REF!</v>
      </c>
      <c r="D13" s="38" t="e">
        <f>#REF!/D4</f>
        <v>#REF!</v>
      </c>
      <c r="E13" s="39" t="e">
        <f>#REF!/E4</f>
        <v>#REF!</v>
      </c>
      <c r="F13" s="38" t="e">
        <f>#REF!/F4</f>
        <v>#REF!</v>
      </c>
      <c r="G13" s="39" t="e">
        <f>#REF!/G4</f>
        <v>#REF!</v>
      </c>
      <c r="H13" s="38" t="e">
        <f>#REF!/H4</f>
        <v>#REF!</v>
      </c>
      <c r="I13" s="39" t="e">
        <f>#REF!/I4</f>
        <v>#REF!</v>
      </c>
      <c r="J13" s="38" t="e">
        <f>#REF!/J4</f>
        <v>#REF!</v>
      </c>
      <c r="K13" s="39" t="e">
        <f>#REF!/K4</f>
        <v>#REF!</v>
      </c>
      <c r="L13" s="38" t="e">
        <f>#REF!/L4</f>
        <v>#REF!</v>
      </c>
      <c r="M13" s="39" t="e">
        <f>#REF!/M4</f>
        <v>#REF!</v>
      </c>
    </row>
    <row r="14" spans="1:13" x14ac:dyDescent="0.45">
      <c r="A14" s="32" t="s">
        <v>7</v>
      </c>
      <c r="B14" s="38" t="e">
        <f>#REF!/B4</f>
        <v>#REF!</v>
      </c>
      <c r="C14" s="39" t="e">
        <f>#REF!/C4</f>
        <v>#REF!</v>
      </c>
      <c r="D14" s="38" t="e">
        <f>#REF!/D4</f>
        <v>#REF!</v>
      </c>
      <c r="E14" s="39" t="e">
        <f>#REF!/E4</f>
        <v>#REF!</v>
      </c>
      <c r="F14" s="38" t="e">
        <f>#REF!/F4</f>
        <v>#REF!</v>
      </c>
      <c r="G14" s="39" t="e">
        <f>#REF!/G4</f>
        <v>#REF!</v>
      </c>
      <c r="H14" s="38" t="e">
        <f>#REF!/H4</f>
        <v>#REF!</v>
      </c>
      <c r="I14" s="39" t="e">
        <f>#REF!/I4</f>
        <v>#REF!</v>
      </c>
      <c r="J14" s="38" t="e">
        <f>#REF!/J4</f>
        <v>#REF!</v>
      </c>
      <c r="K14" s="39" t="e">
        <f>#REF!/K4</f>
        <v>#REF!</v>
      </c>
      <c r="L14" s="38" t="e">
        <f>#REF!/L4</f>
        <v>#REF!</v>
      </c>
      <c r="M14" s="39" t="e">
        <f>#REF!/M4</f>
        <v>#REF!</v>
      </c>
    </row>
    <row r="15" spans="1:13" x14ac:dyDescent="0.45">
      <c r="A15" s="26" t="s">
        <v>60</v>
      </c>
      <c r="B15" s="41" t="e">
        <f>(#REF!-#REF!)/B4</f>
        <v>#REF!</v>
      </c>
      <c r="C15" s="42" t="e">
        <f>(#REF!-#REF!)/C4</f>
        <v>#REF!</v>
      </c>
      <c r="D15" s="41" t="e">
        <f>(#REF!-#REF!)/D4</f>
        <v>#REF!</v>
      </c>
      <c r="E15" s="42" t="e">
        <f>(#REF!-#REF!)/E4</f>
        <v>#REF!</v>
      </c>
      <c r="F15" s="41" t="e">
        <f>(#REF!-#REF!)/F4</f>
        <v>#REF!</v>
      </c>
      <c r="G15" s="42" t="e">
        <f>(#REF!-#REF!)/G4</f>
        <v>#REF!</v>
      </c>
      <c r="H15" s="41" t="e">
        <f>(#REF!-#REF!)/H4</f>
        <v>#REF!</v>
      </c>
      <c r="I15" s="42" t="e">
        <f>(#REF!-#REF!)/I4</f>
        <v>#REF!</v>
      </c>
      <c r="J15" s="41" t="e">
        <f>(#REF!-#REF!)/J4</f>
        <v>#REF!</v>
      </c>
      <c r="K15" s="42" t="e">
        <f>(#REF!-#REF!)/K4</f>
        <v>#REF!</v>
      </c>
      <c r="L15" s="41" t="e">
        <f>(#REF!-#REF!)/L4</f>
        <v>#REF!</v>
      </c>
      <c r="M15" s="42" t="e">
        <f>(#REF!-#REF!)/M4</f>
        <v>#REF!</v>
      </c>
    </row>
    <row r="16" spans="1:13" x14ac:dyDescent="0.45">
      <c r="A16" s="32" t="s">
        <v>63</v>
      </c>
      <c r="B16" s="38" t="e">
        <f>#REF!/B4</f>
        <v>#REF!</v>
      </c>
      <c r="C16" s="39" t="e">
        <f>#REF!/C4</f>
        <v>#REF!</v>
      </c>
      <c r="D16" s="38" t="e">
        <f>#REF!/D4</f>
        <v>#REF!</v>
      </c>
      <c r="E16" s="39" t="e">
        <f>#REF!/E4</f>
        <v>#REF!</v>
      </c>
      <c r="F16" s="38" t="e">
        <f>#REF!/F4</f>
        <v>#REF!</v>
      </c>
      <c r="G16" s="39" t="e">
        <f>#REF!/G4</f>
        <v>#REF!</v>
      </c>
      <c r="H16" s="38" t="e">
        <f>#REF!/H4</f>
        <v>#REF!</v>
      </c>
      <c r="I16" s="39" t="e">
        <f>#REF!/I4</f>
        <v>#REF!</v>
      </c>
      <c r="J16" s="38" t="e">
        <f>#REF!/J4</f>
        <v>#REF!</v>
      </c>
      <c r="K16" s="39" t="e">
        <f>#REF!/K4</f>
        <v>#REF!</v>
      </c>
      <c r="L16" s="38" t="e">
        <f>#REF!/L4</f>
        <v>#REF!</v>
      </c>
      <c r="M16" s="39" t="e">
        <f>#REF!/M4</f>
        <v>#REF!</v>
      </c>
    </row>
    <row r="17" spans="1:13" x14ac:dyDescent="0.45">
      <c r="A17" s="32" t="s">
        <v>64</v>
      </c>
      <c r="B17" s="38" t="e">
        <f>#REF!/B4</f>
        <v>#REF!</v>
      </c>
      <c r="C17" s="39" t="e">
        <f>#REF!/C4</f>
        <v>#REF!</v>
      </c>
      <c r="D17" s="38" t="e">
        <f>#REF!/D4</f>
        <v>#REF!</v>
      </c>
      <c r="E17" s="39" t="e">
        <f>#REF!/E4</f>
        <v>#REF!</v>
      </c>
      <c r="F17" s="38" t="e">
        <f>#REF!/F4</f>
        <v>#REF!</v>
      </c>
      <c r="G17" s="39" t="e">
        <f>#REF!/G4</f>
        <v>#REF!</v>
      </c>
      <c r="H17" s="38" t="e">
        <f>#REF!/H4</f>
        <v>#REF!</v>
      </c>
      <c r="I17" s="39" t="e">
        <f>#REF!/I4</f>
        <v>#REF!</v>
      </c>
      <c r="J17" s="38" t="e">
        <f>#REF!/J4</f>
        <v>#REF!</v>
      </c>
      <c r="K17" s="39" t="e">
        <f>#REF!/K4</f>
        <v>#REF!</v>
      </c>
      <c r="L17" s="38" t="e">
        <f>#REF!/L4</f>
        <v>#REF!</v>
      </c>
      <c r="M17" s="39" t="e">
        <f>#REF!/M4</f>
        <v>#REF!</v>
      </c>
    </row>
    <row r="18" spans="1:13" x14ac:dyDescent="0.45">
      <c r="A18" s="26" t="s">
        <v>65</v>
      </c>
      <c r="B18" s="41" t="e">
        <f>#REF!/B4</f>
        <v>#REF!</v>
      </c>
      <c r="C18" s="42" t="e">
        <f>#REF!/C4</f>
        <v>#REF!</v>
      </c>
      <c r="D18" s="41" t="e">
        <f>#REF!/D4</f>
        <v>#REF!</v>
      </c>
      <c r="E18" s="42" t="e">
        <f>#REF!/E4</f>
        <v>#REF!</v>
      </c>
      <c r="F18" s="41" t="e">
        <f>#REF!/F4</f>
        <v>#REF!</v>
      </c>
      <c r="G18" s="42" t="e">
        <f>#REF!/G4</f>
        <v>#REF!</v>
      </c>
      <c r="H18" s="41" t="e">
        <f>#REF!/H4</f>
        <v>#REF!</v>
      </c>
      <c r="I18" s="42" t="e">
        <f>#REF!/I4</f>
        <v>#REF!</v>
      </c>
      <c r="J18" s="41" t="e">
        <f>#REF!/J4</f>
        <v>#REF!</v>
      </c>
      <c r="K18" s="42" t="e">
        <f>#REF!/K4</f>
        <v>#REF!</v>
      </c>
      <c r="L18" s="41" t="e">
        <f>#REF!/L4</f>
        <v>#REF!</v>
      </c>
      <c r="M18" s="42" t="e">
        <f>#REF!/M4</f>
        <v>#REF!</v>
      </c>
    </row>
    <row r="19" spans="1:13" x14ac:dyDescent="0.45">
      <c r="A19" s="32" t="s">
        <v>66</v>
      </c>
      <c r="B19" s="38" t="e">
        <f>#REF!/B4</f>
        <v>#REF!</v>
      </c>
      <c r="C19" s="39" t="e">
        <f>#REF!/C4</f>
        <v>#REF!</v>
      </c>
      <c r="D19" s="38" t="e">
        <f>#REF!/D4</f>
        <v>#REF!</v>
      </c>
      <c r="E19" s="39" t="e">
        <f>#REF!/E4</f>
        <v>#REF!</v>
      </c>
      <c r="F19" s="38" t="e">
        <f>#REF!/F4</f>
        <v>#REF!</v>
      </c>
      <c r="G19" s="39" t="e">
        <f>#REF!/G4</f>
        <v>#REF!</v>
      </c>
      <c r="H19" s="38" t="e">
        <f>#REF!/H4</f>
        <v>#REF!</v>
      </c>
      <c r="I19" s="39" t="e">
        <f>#REF!/I4</f>
        <v>#REF!</v>
      </c>
      <c r="J19" s="38" t="e">
        <f>#REF!/J4</f>
        <v>#REF!</v>
      </c>
      <c r="K19" s="39" t="e">
        <f>#REF!/K4</f>
        <v>#REF!</v>
      </c>
      <c r="L19" s="38" t="e">
        <f>#REF!/L4</f>
        <v>#REF!</v>
      </c>
      <c r="M19" s="39" t="e">
        <f>#REF!/M4</f>
        <v>#REF!</v>
      </c>
    </row>
    <row r="20" spans="1:13" x14ac:dyDescent="0.45">
      <c r="A20" s="32" t="s">
        <v>69</v>
      </c>
      <c r="B20" s="38" t="e">
        <f>#REF!/B4</f>
        <v>#REF!</v>
      </c>
      <c r="C20" s="39" t="e">
        <f>#REF!/C4</f>
        <v>#REF!</v>
      </c>
      <c r="D20" s="38" t="e">
        <f>#REF!/D4</f>
        <v>#REF!</v>
      </c>
      <c r="E20" s="39" t="e">
        <f>#REF!/E4</f>
        <v>#REF!</v>
      </c>
      <c r="F20" s="38" t="e">
        <f>#REF!/F4</f>
        <v>#REF!</v>
      </c>
      <c r="G20" s="39" t="e">
        <f>#REF!/G4</f>
        <v>#REF!</v>
      </c>
      <c r="H20" s="38" t="e">
        <f>#REF!/H4</f>
        <v>#REF!</v>
      </c>
      <c r="I20" s="39" t="e">
        <f>#REF!/I4</f>
        <v>#REF!</v>
      </c>
      <c r="J20" s="38" t="e">
        <f>#REF!/J4</f>
        <v>#REF!</v>
      </c>
      <c r="K20" s="39" t="e">
        <f>#REF!/K4</f>
        <v>#REF!</v>
      </c>
      <c r="L20" s="38" t="e">
        <f>#REF!/L4</f>
        <v>#REF!</v>
      </c>
      <c r="M20" s="39" t="e">
        <f>#REF!/M4</f>
        <v>#REF!</v>
      </c>
    </row>
    <row r="21" spans="1:13" x14ac:dyDescent="0.45">
      <c r="A21" s="32" t="s">
        <v>67</v>
      </c>
      <c r="B21" s="38" t="e">
        <f>#REF!/B4</f>
        <v>#REF!</v>
      </c>
      <c r="C21" s="39" t="e">
        <f>#REF!/C4</f>
        <v>#REF!</v>
      </c>
      <c r="D21" s="38" t="e">
        <f>#REF!/D4</f>
        <v>#REF!</v>
      </c>
      <c r="E21" s="39" t="e">
        <f>#REF!/E4</f>
        <v>#REF!</v>
      </c>
      <c r="F21" s="38" t="e">
        <f>#REF!/F4</f>
        <v>#REF!</v>
      </c>
      <c r="G21" s="39" t="e">
        <f>#REF!/G4</f>
        <v>#REF!</v>
      </c>
      <c r="H21" s="38" t="e">
        <f>#REF!/H4</f>
        <v>#REF!</v>
      </c>
      <c r="I21" s="39" t="e">
        <f>#REF!/I4</f>
        <v>#REF!</v>
      </c>
      <c r="J21" s="38" t="e">
        <f>#REF!/J4</f>
        <v>#REF!</v>
      </c>
      <c r="K21" s="39" t="e">
        <f>#REF!/K4</f>
        <v>#REF!</v>
      </c>
      <c r="L21" s="38" t="e">
        <f>#REF!/L4</f>
        <v>#REF!</v>
      </c>
      <c r="M21" s="39" t="e">
        <f>#REF!/M4</f>
        <v>#REF!</v>
      </c>
    </row>
    <row r="22" spans="1:13" x14ac:dyDescent="0.45">
      <c r="A22" s="32" t="s">
        <v>68</v>
      </c>
      <c r="B22" s="38" t="e">
        <f>#REF!/B4</f>
        <v>#REF!</v>
      </c>
      <c r="C22" s="39" t="e">
        <f>#REF!/C4</f>
        <v>#REF!</v>
      </c>
      <c r="D22" s="38" t="e">
        <f>#REF!/D4</f>
        <v>#REF!</v>
      </c>
      <c r="E22" s="39" t="e">
        <f>#REF!/E4</f>
        <v>#REF!</v>
      </c>
      <c r="F22" s="38" t="e">
        <f>#REF!/F4</f>
        <v>#REF!</v>
      </c>
      <c r="G22" s="39" t="e">
        <f>#REF!/G4</f>
        <v>#REF!</v>
      </c>
      <c r="H22" s="38" t="e">
        <f>#REF!/H4</f>
        <v>#REF!</v>
      </c>
      <c r="I22" s="39" t="e">
        <f>#REF!/I4</f>
        <v>#REF!</v>
      </c>
      <c r="J22" s="38" t="e">
        <f>#REF!/J4</f>
        <v>#REF!</v>
      </c>
      <c r="K22" s="39" t="e">
        <f>#REF!/K4</f>
        <v>#REF!</v>
      </c>
      <c r="L22" s="38" t="e">
        <f>#REF!/L4</f>
        <v>#REF!</v>
      </c>
      <c r="M22" s="39" t="e">
        <f>#REF!/M4</f>
        <v>#REF!</v>
      </c>
    </row>
    <row r="23" spans="1:13" x14ac:dyDescent="0.45">
      <c r="A23" s="32" t="s">
        <v>70</v>
      </c>
      <c r="B23" s="38" t="e">
        <f>#REF!/B4</f>
        <v>#REF!</v>
      </c>
      <c r="C23" s="39" t="e">
        <f>#REF!/C4</f>
        <v>#REF!</v>
      </c>
      <c r="D23" s="38" t="e">
        <f>#REF!/D4</f>
        <v>#REF!</v>
      </c>
      <c r="E23" s="39" t="e">
        <f>#REF!/E4</f>
        <v>#REF!</v>
      </c>
      <c r="F23" s="38" t="e">
        <f>#REF!/F4</f>
        <v>#REF!</v>
      </c>
      <c r="G23" s="39" t="e">
        <f>#REF!/G4</f>
        <v>#REF!</v>
      </c>
      <c r="H23" s="38" t="e">
        <f>#REF!/H4</f>
        <v>#REF!</v>
      </c>
      <c r="I23" s="39" t="e">
        <f>#REF!/I4</f>
        <v>#REF!</v>
      </c>
      <c r="J23" s="38" t="e">
        <f>#REF!/J4</f>
        <v>#REF!</v>
      </c>
      <c r="K23" s="39" t="e">
        <f>#REF!/K4</f>
        <v>#REF!</v>
      </c>
      <c r="L23" s="38" t="e">
        <f>#REF!/L4</f>
        <v>#REF!</v>
      </c>
      <c r="M23" s="39" t="e">
        <f>#REF!/M4</f>
        <v>#REF!</v>
      </c>
    </row>
    <row r="24" spans="1:13" x14ac:dyDescent="0.45">
      <c r="A24" s="32" t="s">
        <v>71</v>
      </c>
      <c r="B24" s="38" t="e">
        <f>#REF!/B4</f>
        <v>#REF!</v>
      </c>
      <c r="C24" s="39" t="e">
        <f>#REF!/C4</f>
        <v>#REF!</v>
      </c>
      <c r="D24" s="38" t="e">
        <f>#REF!/D4</f>
        <v>#REF!</v>
      </c>
      <c r="E24" s="39" t="e">
        <f>#REF!/E4</f>
        <v>#REF!</v>
      </c>
      <c r="F24" s="38" t="e">
        <f>#REF!/F4</f>
        <v>#REF!</v>
      </c>
      <c r="G24" s="39" t="e">
        <f>#REF!/G4</f>
        <v>#REF!</v>
      </c>
      <c r="H24" s="38" t="e">
        <f>#REF!/H4</f>
        <v>#REF!</v>
      </c>
      <c r="I24" s="39" t="e">
        <f>#REF!/I4</f>
        <v>#REF!</v>
      </c>
      <c r="J24" s="38" t="e">
        <f>#REF!/J4</f>
        <v>#REF!</v>
      </c>
      <c r="K24" s="39" t="e">
        <f>#REF!/K4</f>
        <v>#REF!</v>
      </c>
      <c r="L24" s="38" t="e">
        <f>#REF!/L4</f>
        <v>#REF!</v>
      </c>
      <c r="M24" s="39" t="e">
        <f>#REF!/M4</f>
        <v>#REF!</v>
      </c>
    </row>
    <row r="25" spans="1:13" x14ac:dyDescent="0.45">
      <c r="A25" s="26" t="s">
        <v>61</v>
      </c>
      <c r="B25" s="41" t="e">
        <f>#REF!/B4</f>
        <v>#REF!</v>
      </c>
      <c r="C25" s="42" t="e">
        <f>#REF!/C4</f>
        <v>#REF!</v>
      </c>
      <c r="D25" s="41" t="e">
        <f>#REF!/D4</f>
        <v>#REF!</v>
      </c>
      <c r="E25" s="42" t="e">
        <f>#REF!/E4</f>
        <v>#REF!</v>
      </c>
      <c r="F25" s="41" t="e">
        <f>#REF!/F4</f>
        <v>#REF!</v>
      </c>
      <c r="G25" s="42" t="e">
        <f>#REF!/G4</f>
        <v>#REF!</v>
      </c>
      <c r="H25" s="41" t="e">
        <f>#REF!/H4</f>
        <v>#REF!</v>
      </c>
      <c r="I25" s="42" t="e">
        <f>#REF!/I4</f>
        <v>#REF!</v>
      </c>
      <c r="J25" s="41" t="e">
        <f>#REF!/J4</f>
        <v>#REF!</v>
      </c>
      <c r="K25" s="42" t="e">
        <f>#REF!/K4</f>
        <v>#REF!</v>
      </c>
      <c r="L25" s="41" t="e">
        <f>#REF!/L4</f>
        <v>#REF!</v>
      </c>
      <c r="M25" s="42" t="e">
        <f>#REF!/M4</f>
        <v>#REF!</v>
      </c>
    </row>
    <row r="26" spans="1:13" x14ac:dyDescent="0.45">
      <c r="A26" s="26" t="s">
        <v>62</v>
      </c>
      <c r="B26" s="41" t="e">
        <f>#REF!/B4</f>
        <v>#REF!</v>
      </c>
      <c r="C26" s="42" t="e">
        <f>#REF!/C4</f>
        <v>#REF!</v>
      </c>
      <c r="D26" s="41" t="e">
        <f>#REF!/D4</f>
        <v>#REF!</v>
      </c>
      <c r="E26" s="42" t="e">
        <f>#REF!/E4</f>
        <v>#REF!</v>
      </c>
      <c r="F26" s="41" t="e">
        <f>#REF!/F4</f>
        <v>#REF!</v>
      </c>
      <c r="G26" s="42" t="e">
        <f>#REF!/G4</f>
        <v>#REF!</v>
      </c>
      <c r="H26" s="41" t="e">
        <f>#REF!/H4</f>
        <v>#REF!</v>
      </c>
      <c r="I26" s="42" t="e">
        <f>#REF!/I4</f>
        <v>#REF!</v>
      </c>
      <c r="J26" s="41" t="e">
        <f>#REF!/J4</f>
        <v>#REF!</v>
      </c>
      <c r="K26" s="42" t="e">
        <f>#REF!/K4</f>
        <v>#REF!</v>
      </c>
      <c r="L26" s="41" t="e">
        <f>#REF!/L4</f>
        <v>#REF!</v>
      </c>
      <c r="M26" s="42" t="e">
        <f>#REF!/M4</f>
        <v>#REF!</v>
      </c>
    </row>
    <row r="27" spans="1:13" x14ac:dyDescent="0.45">
      <c r="A27" s="32" t="s">
        <v>72</v>
      </c>
      <c r="B27" s="38" t="e">
        <f>#REF!/B4</f>
        <v>#REF!</v>
      </c>
      <c r="C27" s="39" t="e">
        <f>#REF!/C4</f>
        <v>#REF!</v>
      </c>
      <c r="D27" s="38" t="e">
        <f>#REF!/D4</f>
        <v>#REF!</v>
      </c>
      <c r="E27" s="39" t="e">
        <f>#REF!/E4</f>
        <v>#REF!</v>
      </c>
      <c r="F27" s="38" t="e">
        <f>#REF!/F4</f>
        <v>#REF!</v>
      </c>
      <c r="G27" s="39" t="e">
        <f>#REF!/G4</f>
        <v>#REF!</v>
      </c>
      <c r="H27" s="38" t="e">
        <f>#REF!/H4</f>
        <v>#REF!</v>
      </c>
      <c r="I27" s="39" t="e">
        <f>#REF!/I4</f>
        <v>#REF!</v>
      </c>
      <c r="J27" s="38" t="e">
        <f>#REF!/J4</f>
        <v>#REF!</v>
      </c>
      <c r="K27" s="39" t="e">
        <f>#REF!/K4</f>
        <v>#REF!</v>
      </c>
      <c r="L27" s="38" t="e">
        <f>#REF!/L4</f>
        <v>#REF!</v>
      </c>
      <c r="M27" s="39" t="e">
        <f>#REF!/M4</f>
        <v>#REF!</v>
      </c>
    </row>
    <row r="28" spans="1:13" x14ac:dyDescent="0.45">
      <c r="A28" s="26" t="s">
        <v>45</v>
      </c>
      <c r="B28" s="41" t="e">
        <f>#REF!/B4</f>
        <v>#REF!</v>
      </c>
      <c r="C28" s="42" t="e">
        <f>#REF!/C4</f>
        <v>#REF!</v>
      </c>
      <c r="D28" s="41" t="e">
        <f>#REF!/D4</f>
        <v>#REF!</v>
      </c>
      <c r="E28" s="42" t="e">
        <f>#REF!/E4</f>
        <v>#REF!</v>
      </c>
      <c r="F28" s="41" t="e">
        <f>#REF!/F4</f>
        <v>#REF!</v>
      </c>
      <c r="G28" s="42" t="e">
        <f>#REF!/G4</f>
        <v>#REF!</v>
      </c>
      <c r="H28" s="41" t="e">
        <f>#REF!/H4</f>
        <v>#REF!</v>
      </c>
      <c r="I28" s="42" t="e">
        <f>#REF!/I4</f>
        <v>#REF!</v>
      </c>
      <c r="J28" s="41" t="e">
        <f>#REF!/J4</f>
        <v>#REF!</v>
      </c>
      <c r="K28" s="42" t="e">
        <f>#REF!/K4</f>
        <v>#REF!</v>
      </c>
      <c r="L28" s="41" t="e">
        <f>#REF!/L4</f>
        <v>#REF!</v>
      </c>
      <c r="M28" s="42" t="e">
        <f>#REF!/M4</f>
        <v>#REF!</v>
      </c>
    </row>
    <row r="29" spans="1:13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3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idden="1" x14ac:dyDescent="0.45">
      <c r="A31" s="17" t="s">
        <v>21</v>
      </c>
      <c r="B31" s="18" t="e">
        <f t="shared" ref="B31:G31" si="8">+B27+B25</f>
        <v>#REF!</v>
      </c>
      <c r="C31" s="19" t="e">
        <f t="shared" si="8"/>
        <v>#REF!</v>
      </c>
      <c r="D31" s="18" t="e">
        <f t="shared" si="8"/>
        <v>#REF!</v>
      </c>
      <c r="E31" s="19" t="e">
        <f t="shared" si="8"/>
        <v>#REF!</v>
      </c>
      <c r="F31" s="18" t="e">
        <f t="shared" si="8"/>
        <v>#REF!</v>
      </c>
      <c r="G31" s="19" t="e">
        <f t="shared" si="8"/>
        <v>#REF!</v>
      </c>
      <c r="H31" s="18" t="e">
        <f t="shared" ref="H31:I31" si="9">+H27+H25</f>
        <v>#REF!</v>
      </c>
      <c r="I31" s="19" t="e">
        <f t="shared" si="9"/>
        <v>#REF!</v>
      </c>
      <c r="J31" s="18" t="e">
        <f t="shared" ref="J31:K31" si="10">+J27+J25</f>
        <v>#REF!</v>
      </c>
      <c r="K31" s="19" t="e">
        <f t="shared" si="10"/>
        <v>#REF!</v>
      </c>
      <c r="L31" s="18" t="e">
        <f t="shared" ref="L31:M31" si="11">+L27+L25</f>
        <v>#REF!</v>
      </c>
      <c r="M31" s="19" t="e">
        <f t="shared" si="11"/>
        <v>#REF!</v>
      </c>
    </row>
    <row r="32" spans="1:13" hidden="1" x14ac:dyDescent="0.45">
      <c r="A32" s="17" t="s">
        <v>22</v>
      </c>
      <c r="B32" s="18" t="e">
        <f t="shared" ref="B32:G32" si="12">+B24+B23+B21+B20+B19</f>
        <v>#REF!</v>
      </c>
      <c r="C32" s="19" t="e">
        <f t="shared" si="12"/>
        <v>#REF!</v>
      </c>
      <c r="D32" s="18" t="e">
        <f t="shared" si="12"/>
        <v>#REF!</v>
      </c>
      <c r="E32" s="19" t="e">
        <f t="shared" si="12"/>
        <v>#REF!</v>
      </c>
      <c r="F32" s="18" t="e">
        <f t="shared" si="12"/>
        <v>#REF!</v>
      </c>
      <c r="G32" s="19" t="e">
        <f t="shared" si="12"/>
        <v>#REF!</v>
      </c>
      <c r="H32" s="18" t="e">
        <f t="shared" ref="H32:I32" si="13">+H24+H23+H21+H20+H19</f>
        <v>#REF!</v>
      </c>
      <c r="I32" s="19" t="e">
        <f t="shared" si="13"/>
        <v>#REF!</v>
      </c>
      <c r="J32" s="18" t="e">
        <f t="shared" ref="J32:K32" si="14">+J24+J23+J21+J20+J19</f>
        <v>#REF!</v>
      </c>
      <c r="K32" s="19" t="e">
        <f t="shared" si="14"/>
        <v>#REF!</v>
      </c>
      <c r="L32" s="18" t="e">
        <f t="shared" ref="L32:M32" si="15">+L24+L23+L21+L20+L19</f>
        <v>#REF!</v>
      </c>
      <c r="M32" s="19" t="e">
        <f t="shared" si="15"/>
        <v>#REF!</v>
      </c>
    </row>
    <row r="33" spans="1:13" x14ac:dyDescent="0.45">
      <c r="B33" s="35"/>
      <c r="C33" s="36"/>
      <c r="D33" s="35"/>
      <c r="E33" s="36"/>
      <c r="F33" s="35"/>
      <c r="G33" s="36"/>
      <c r="H33" s="35"/>
      <c r="I33" s="36"/>
      <c r="J33" s="35"/>
      <c r="K33" s="36"/>
      <c r="L33" s="35"/>
      <c r="M33" s="36"/>
    </row>
    <row r="34" spans="1:13" x14ac:dyDescent="0.45">
      <c r="A34" s="4" t="s">
        <v>46</v>
      </c>
      <c r="B34" s="15" t="e">
        <f>(B6*B4)-#REF!-#REF!</f>
        <v>#REF!</v>
      </c>
      <c r="C34" s="16" t="e">
        <f>(C6*C4)-#REF!-#REF!</f>
        <v>#REF!</v>
      </c>
      <c r="D34" s="15" t="e">
        <f>(D6*D4)-#REF!-#REF!</f>
        <v>#REF!</v>
      </c>
      <c r="E34" s="16" t="e">
        <f>(E6*E4)-#REF!-#REF!</f>
        <v>#REF!</v>
      </c>
      <c r="F34" s="15" t="e">
        <f>(F6*F4)-#REF!-#REF!</f>
        <v>#REF!</v>
      </c>
      <c r="G34" s="16" t="e">
        <f>(G6*G4)-#REF!-#REF!</f>
        <v>#REF!</v>
      </c>
      <c r="H34" s="15" t="e">
        <f>(H6*H4)-#REF!-#REF!</f>
        <v>#REF!</v>
      </c>
      <c r="I34" s="16" t="e">
        <f>(I6*I4)-#REF!-#REF!</f>
        <v>#REF!</v>
      </c>
      <c r="J34" s="15" t="e">
        <f>(J6*J4)-#REF!-#REF!</f>
        <v>#REF!</v>
      </c>
      <c r="K34" s="16" t="e">
        <f>(K6*K4)-#REF!-#REF!</f>
        <v>#REF!</v>
      </c>
      <c r="L34" s="15" t="e">
        <f>(L6*L4)-#REF!-#REF!</f>
        <v>#REF!</v>
      </c>
      <c r="M34" s="16" t="e">
        <f>(M6*M4)-#REF!-#REF!</f>
        <v>#REF!</v>
      </c>
    </row>
    <row r="35" spans="1:13" x14ac:dyDescent="0.45">
      <c r="A35" s="4" t="s">
        <v>47</v>
      </c>
      <c r="B35" s="15" t="e">
        <f>(B7*(B4))-#REF!+#REF!</f>
        <v>#REF!</v>
      </c>
      <c r="C35" s="16" t="e">
        <f>(C7*(C4))-#REF!+#REF!</f>
        <v>#REF!</v>
      </c>
      <c r="D35" s="15" t="e">
        <f>(D7*(D4))-#REF!+#REF!</f>
        <v>#REF!</v>
      </c>
      <c r="E35" s="16" t="e">
        <f>(E7*(E4))-#REF!+#REF!</f>
        <v>#REF!</v>
      </c>
      <c r="F35" s="15" t="e">
        <f>(F7*(F4))-#REF!+#REF!</f>
        <v>#REF!</v>
      </c>
      <c r="G35" s="16" t="e">
        <f>(G7*(G4))-#REF!+#REF!</f>
        <v>#REF!</v>
      </c>
      <c r="H35" s="15" t="e">
        <f>(H7*(H4))-#REF!+#REF!</f>
        <v>#REF!</v>
      </c>
      <c r="I35" s="16" t="e">
        <f>(I7*(I4))-#REF!+#REF!</f>
        <v>#REF!</v>
      </c>
      <c r="J35" s="15" t="e">
        <f>(J7*(J4))-#REF!+#REF!</f>
        <v>#REF!</v>
      </c>
      <c r="K35" s="16" t="e">
        <f>(K7*(K4))-#REF!+#REF!</f>
        <v>#REF!</v>
      </c>
      <c r="L35" s="15" t="e">
        <f>(L7*(L4))-#REF!+#REF!</f>
        <v>#REF!</v>
      </c>
      <c r="M35" s="16" t="e">
        <f>(M7*(M4))-#REF!+#REF!</f>
        <v>#REF!</v>
      </c>
    </row>
    <row r="36" spans="1:13" x14ac:dyDescent="0.45">
      <c r="A36" s="4" t="s">
        <v>48</v>
      </c>
      <c r="B36" s="15" t="e">
        <f>(B15*B4)-#REF!+#REF!</f>
        <v>#REF!</v>
      </c>
      <c r="C36" s="16" t="e">
        <f>(C15*C4)-#REF!+#REF!</f>
        <v>#REF!</v>
      </c>
      <c r="D36" s="15" t="e">
        <f>(D15*D4)-#REF!+#REF!</f>
        <v>#REF!</v>
      </c>
      <c r="E36" s="16" t="e">
        <f>(E15*E4)-#REF!+#REF!</f>
        <v>#REF!</v>
      </c>
      <c r="F36" s="15" t="e">
        <f>(F15*F4)-#REF!+#REF!</f>
        <v>#REF!</v>
      </c>
      <c r="G36" s="16" t="e">
        <f>(G15*G4)-#REF!+#REF!</f>
        <v>#REF!</v>
      </c>
      <c r="H36" s="15" t="e">
        <f>(H15*H4)-#REF!+#REF!</f>
        <v>#REF!</v>
      </c>
      <c r="I36" s="16" t="e">
        <f>(I15*I4)-#REF!+#REF!</f>
        <v>#REF!</v>
      </c>
      <c r="J36" s="15" t="e">
        <f>(J15*J4)-#REF!+#REF!</f>
        <v>#REF!</v>
      </c>
      <c r="K36" s="16" t="e">
        <f>(K15*K4)-#REF!+#REF!</f>
        <v>#REF!</v>
      </c>
      <c r="L36" s="15" t="e">
        <f>(L15*L4)-#REF!+#REF!</f>
        <v>#REF!</v>
      </c>
      <c r="M36" s="16" t="e">
        <f>(M15*M4)-#REF!+#REF!</f>
        <v>#REF!</v>
      </c>
    </row>
    <row r="37" spans="1:13" x14ac:dyDescent="0.45">
      <c r="A37" s="4" t="s">
        <v>49</v>
      </c>
      <c r="B37" s="15" t="e">
        <f>(B18*B4)-#REF!</f>
        <v>#REF!</v>
      </c>
      <c r="C37" s="16" t="e">
        <f>(C18*C4)-#REF!</f>
        <v>#REF!</v>
      </c>
      <c r="D37" s="15" t="e">
        <f>(D18*D4)-#REF!</f>
        <v>#REF!</v>
      </c>
      <c r="E37" s="16" t="e">
        <f>(E18*E4)-#REF!</f>
        <v>#REF!</v>
      </c>
      <c r="F37" s="15" t="e">
        <f>(F18*F4)-#REF!</f>
        <v>#REF!</v>
      </c>
      <c r="G37" s="16" t="e">
        <f>(G18*G4)-#REF!</f>
        <v>#REF!</v>
      </c>
      <c r="H37" s="15" t="e">
        <f>(H18*H4)-#REF!</f>
        <v>#REF!</v>
      </c>
      <c r="I37" s="16" t="e">
        <f>(I18*I4)-#REF!</f>
        <v>#REF!</v>
      </c>
      <c r="J37" s="15" t="e">
        <f>(J18*J4)-#REF!</f>
        <v>#REF!</v>
      </c>
      <c r="K37" s="16" t="e">
        <f>(K18*K4)-#REF!</f>
        <v>#REF!</v>
      </c>
      <c r="L37" s="15" t="e">
        <f>(L18*L4)-#REF!</f>
        <v>#REF!</v>
      </c>
      <c r="M37" s="16" t="e">
        <f>(M18*M4)-#REF!</f>
        <v>#REF!</v>
      </c>
    </row>
    <row r="38" spans="1:13" x14ac:dyDescent="0.45">
      <c r="A38" s="4" t="s">
        <v>50</v>
      </c>
      <c r="B38" s="15" t="e">
        <f>(B25*B4)-#REF!</f>
        <v>#REF!</v>
      </c>
      <c r="C38" s="16" t="e">
        <f>(C25*C4)-#REF!</f>
        <v>#REF!</v>
      </c>
      <c r="D38" s="15" t="e">
        <f>(D25*D4)-#REF!</f>
        <v>#REF!</v>
      </c>
      <c r="E38" s="16" t="e">
        <f>(E25*E4)-#REF!</f>
        <v>#REF!</v>
      </c>
      <c r="F38" s="15" t="e">
        <f>(F25*F4)-#REF!</f>
        <v>#REF!</v>
      </c>
      <c r="G38" s="16" t="e">
        <f>(G25*G4)-#REF!</f>
        <v>#REF!</v>
      </c>
      <c r="H38" s="15" t="e">
        <f>(H25*H4)-#REF!</f>
        <v>#REF!</v>
      </c>
      <c r="I38" s="16" t="e">
        <f>(I25*I4)-#REF!</f>
        <v>#REF!</v>
      </c>
      <c r="J38" s="15" t="e">
        <f>(J25*J4)-#REF!</f>
        <v>#REF!</v>
      </c>
      <c r="K38" s="16" t="e">
        <f>(K25*K4)-#REF!</f>
        <v>#REF!</v>
      </c>
      <c r="L38" s="15" t="e">
        <f>(L25*L4)-#REF!</f>
        <v>#REF!</v>
      </c>
      <c r="M38" s="16" t="e">
        <f>(M25*M4)-#REF!</f>
        <v>#REF!</v>
      </c>
    </row>
    <row r="39" spans="1:13" x14ac:dyDescent="0.45">
      <c r="A39" s="4" t="s">
        <v>51</v>
      </c>
      <c r="B39" s="15" t="e">
        <f>(B26*B4)-#REF!</f>
        <v>#REF!</v>
      </c>
      <c r="C39" s="16" t="e">
        <f>(C26*C4)-#REF!</f>
        <v>#REF!</v>
      </c>
      <c r="D39" s="15" t="e">
        <f>(D26*D4)-#REF!</f>
        <v>#REF!</v>
      </c>
      <c r="E39" s="16" t="e">
        <f>(E26*E4)-#REF!</f>
        <v>#REF!</v>
      </c>
      <c r="F39" s="15" t="e">
        <f>(F26*F4)-#REF!</f>
        <v>#REF!</v>
      </c>
      <c r="G39" s="16" t="e">
        <f>(G26*G4)-#REF!</f>
        <v>#REF!</v>
      </c>
      <c r="H39" s="15" t="e">
        <f>(H26*H4)-#REF!</f>
        <v>#REF!</v>
      </c>
      <c r="I39" s="16" t="e">
        <f>(I26*I4)-#REF!</f>
        <v>#REF!</v>
      </c>
      <c r="J39" s="15" t="e">
        <f>(J26*J4)-#REF!</f>
        <v>#REF!</v>
      </c>
      <c r="K39" s="16" t="e">
        <f>(K26*K4)-#REF!</f>
        <v>#REF!</v>
      </c>
      <c r="L39" s="15" t="e">
        <f>(L26*L4)-#REF!</f>
        <v>#REF!</v>
      </c>
      <c r="M39" s="16" t="e">
        <f>(M26*M4)-#REF!</f>
        <v>#REF!</v>
      </c>
    </row>
    <row r="40" spans="1:13" x14ac:dyDescent="0.45">
      <c r="A40" s="4" t="s">
        <v>52</v>
      </c>
      <c r="B40" s="15" t="e">
        <f>(B27*B4)-#REF!</f>
        <v>#REF!</v>
      </c>
      <c r="C40" s="16" t="e">
        <f>(C27*C4)-#REF!</f>
        <v>#REF!</v>
      </c>
      <c r="D40" s="15" t="e">
        <f>(D27*D4)-#REF!</f>
        <v>#REF!</v>
      </c>
      <c r="E40" s="16" t="e">
        <f>(E27*E4)-#REF!</f>
        <v>#REF!</v>
      </c>
      <c r="F40" s="15" t="e">
        <f>(F27*F4)-#REF!</f>
        <v>#REF!</v>
      </c>
      <c r="G40" s="16" t="e">
        <f>(G27*G4)-#REF!</f>
        <v>#REF!</v>
      </c>
      <c r="H40" s="15" t="e">
        <f>(H27*H4)-#REF!</f>
        <v>#REF!</v>
      </c>
      <c r="I40" s="16" t="e">
        <f>(I27*I4)-#REF!</f>
        <v>#REF!</v>
      </c>
      <c r="J40" s="15" t="e">
        <f>(J27*J4)-#REF!</f>
        <v>#REF!</v>
      </c>
      <c r="K40" s="16" t="e">
        <f>(K27*K4)-#REF!</f>
        <v>#REF!</v>
      </c>
      <c r="L40" s="15" t="e">
        <f>(L27*L4)-#REF!</f>
        <v>#REF!</v>
      </c>
      <c r="M40" s="16" t="e">
        <f>(M27*M4)-#REF!</f>
        <v>#REF!</v>
      </c>
    </row>
    <row r="41" spans="1:13" x14ac:dyDescent="0.45">
      <c r="A41" s="4" t="s">
        <v>53</v>
      </c>
      <c r="B41" s="15" t="e">
        <f>(B28*B4)-#REF!</f>
        <v>#REF!</v>
      </c>
      <c r="C41" s="16" t="e">
        <f>(C28*C4)-#REF!</f>
        <v>#REF!</v>
      </c>
      <c r="D41" s="15" t="e">
        <f>(D28*D4)-#REF!</f>
        <v>#REF!</v>
      </c>
      <c r="E41" s="16" t="e">
        <f>(E28*E4)-#REF!</f>
        <v>#REF!</v>
      </c>
      <c r="F41" s="15" t="e">
        <f>(F28*F4)-#REF!</f>
        <v>#REF!</v>
      </c>
      <c r="G41" s="16" t="e">
        <f>(G28*G4)-#REF!</f>
        <v>#REF!</v>
      </c>
      <c r="H41" s="15" t="e">
        <f>(H28*H4)-#REF!</f>
        <v>#REF!</v>
      </c>
      <c r="I41" s="16" t="e">
        <f>(I28*I4)-#REF!</f>
        <v>#REF!</v>
      </c>
      <c r="J41" s="15" t="e">
        <f>(J28*J4)-#REF!</f>
        <v>#REF!</v>
      </c>
      <c r="K41" s="16" t="e">
        <f>(K28*K4)-#REF!</f>
        <v>#REF!</v>
      </c>
      <c r="L41" s="15" t="e">
        <f>(L28*L4)-#REF!</f>
        <v>#REF!</v>
      </c>
      <c r="M41" s="16" t="e">
        <f>(M28*M4)-#REF!</f>
        <v>#REF!</v>
      </c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x14ac:dyDescent="0.45">
      <c r="A43" s="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x14ac:dyDescent="0.45">
      <c r="A44" s="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</row>
  </sheetData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4" tint="0.59999389629810485"/>
  </sheetPr>
  <dimension ref="A1:N44"/>
  <sheetViews>
    <sheetView topLeftCell="G13" zoomScaleNormal="100" workbookViewId="0">
      <selection activeCell="G31" sqref="A31:XFD32"/>
    </sheetView>
  </sheetViews>
  <sheetFormatPr baseColWidth="10" defaultColWidth="11.46484375" defaultRowHeight="14.25" x14ac:dyDescent="0.45"/>
  <cols>
    <col min="1" max="1" width="32.46484375" style="32" bestFit="1" customWidth="1"/>
    <col min="2" max="2" width="6.73046875" style="2" bestFit="1" customWidth="1"/>
    <col min="3" max="3" width="6.73046875" style="3" bestFit="1" customWidth="1"/>
    <col min="4" max="4" width="6.73046875" style="2" bestFit="1" customWidth="1"/>
    <col min="5" max="5" width="6.265625" style="3" bestFit="1" customWidth="1"/>
    <col min="6" max="6" width="6.53125" style="2" bestFit="1" customWidth="1"/>
    <col min="7" max="7" width="6.53125" style="3" bestFit="1" customWidth="1"/>
    <col min="8" max="8" width="6.73046875" style="2" bestFit="1" customWidth="1"/>
    <col min="9" max="9" width="6.53125" style="3" bestFit="1" customWidth="1"/>
    <col min="10" max="10" width="6.796875" style="2" bestFit="1" customWidth="1"/>
    <col min="11" max="11" width="6.53125" style="3" bestFit="1" customWidth="1"/>
    <col min="12" max="12" width="6.265625" style="2" bestFit="1" customWidth="1"/>
    <col min="13" max="13" width="6.53125" style="3" bestFit="1" customWidth="1"/>
    <col min="14" max="14" width="0.796875" style="14" customWidth="1"/>
    <col min="15" max="19" width="11.46484375" style="1"/>
    <col min="20" max="20" width="1.796875" style="1" customWidth="1"/>
    <col min="21" max="16384" width="11.46484375" style="1"/>
  </cols>
  <sheetData>
    <row r="1" spans="1:13" ht="14.65" thickBot="1" x14ac:dyDescent="0.5">
      <c r="A1" s="5" t="s">
        <v>54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>
        <f>'104_Synthèse'!B3</f>
        <v>0</v>
      </c>
      <c r="C2" s="28">
        <f>'104_Synthèse'!C3</f>
        <v>0</v>
      </c>
      <c r="D2" s="27">
        <f>'104_Synthèse'!D3</f>
        <v>0</v>
      </c>
      <c r="E2" s="28">
        <f>'104_Synthèse'!E3</f>
        <v>0</v>
      </c>
      <c r="F2" s="27">
        <f>'104_Synthèse'!F3</f>
        <v>0</v>
      </c>
      <c r="G2" s="28">
        <f>'104_Synthèse'!G3</f>
        <v>0</v>
      </c>
      <c r="H2" s="27">
        <f>'104_Synthèse'!H3</f>
        <v>0</v>
      </c>
      <c r="I2" s="28">
        <f>'104_Synthèse'!I3</f>
        <v>0</v>
      </c>
      <c r="J2" s="27">
        <f>'104_Synthèse'!J3</f>
        <v>0</v>
      </c>
      <c r="K2" s="28">
        <f>'104_Synthèse'!K3</f>
        <v>0</v>
      </c>
      <c r="L2" s="27">
        <f>'104_Synthèse'!L3</f>
        <v>0</v>
      </c>
      <c r="M2" s="28">
        <f>'104_Synthèse'!M3</f>
        <v>0</v>
      </c>
    </row>
    <row r="3" spans="1:13" x14ac:dyDescent="0.45">
      <c r="A3" s="26" t="s">
        <v>23</v>
      </c>
      <c r="B3" s="27">
        <f>'104_Synthèse'!B4</f>
        <v>15.350000000000003</v>
      </c>
      <c r="C3" s="28">
        <f>'104_Synthèse'!C4</f>
        <v>15.350000000000003</v>
      </c>
      <c r="D3" s="27">
        <f>'104_Synthèse'!D4</f>
        <v>15.350000000000003</v>
      </c>
      <c r="E3" s="28">
        <f>'104_Synthèse'!E4</f>
        <v>15.350000000000003</v>
      </c>
      <c r="F3" s="27">
        <f>'104_Synthèse'!F4</f>
        <v>15.350000000000003</v>
      </c>
      <c r="G3" s="28">
        <f>'104_Synthèse'!G4</f>
        <v>15.350000000000003</v>
      </c>
      <c r="H3" s="27">
        <f>'104_Synthèse'!H4</f>
        <v>15.350000000000003</v>
      </c>
      <c r="I3" s="28">
        <f>'104_Synthèse'!I4</f>
        <v>15.350000000000003</v>
      </c>
      <c r="J3" s="27">
        <f>'104_Synthèse'!J4</f>
        <v>15.350000000000003</v>
      </c>
      <c r="K3" s="28">
        <f>'104_Synthèse'!K4</f>
        <v>15.350000000000003</v>
      </c>
      <c r="L3" s="27">
        <f>'104_Synthèse'!L4</f>
        <v>15.350000000000003</v>
      </c>
      <c r="M3" s="28">
        <f>'104_Synthèse'!M4</f>
        <v>15.350000000000003</v>
      </c>
    </row>
    <row r="4" spans="1:13" x14ac:dyDescent="0.45">
      <c r="A4" s="26" t="s">
        <v>0</v>
      </c>
      <c r="B4" s="29">
        <f>'104_Synthèse'!B5</f>
        <v>0</v>
      </c>
      <c r="C4" s="30">
        <f>'104_Synthèse'!C5</f>
        <v>0</v>
      </c>
      <c r="D4" s="29">
        <f>'104_Synthèse'!D5</f>
        <v>0</v>
      </c>
      <c r="E4" s="30">
        <f>'104_Synthèse'!E5</f>
        <v>30700.000000000007</v>
      </c>
      <c r="F4" s="29">
        <f>'104_Synthèse'!F5</f>
        <v>337700.00000000006</v>
      </c>
      <c r="G4" s="30">
        <f>'104_Synthèse'!G5</f>
        <v>253275.00000000006</v>
      </c>
      <c r="H4" s="29">
        <f>'104_Synthèse'!H5</f>
        <v>253275.00000000006</v>
      </c>
      <c r="I4" s="30">
        <f>'104_Synthèse'!I5</f>
        <v>337700.00000000006</v>
      </c>
      <c r="J4" s="29">
        <f>'104_Synthèse'!J5</f>
        <v>253275.00000000006</v>
      </c>
      <c r="K4" s="30">
        <f>'104_Synthèse'!K5</f>
        <v>253275.00000000006</v>
      </c>
      <c r="L4" s="29">
        <f>'104_Synthèse'!L5</f>
        <v>168850.00000000003</v>
      </c>
      <c r="M4" s="30">
        <f>'104_Synthèse'!M5</f>
        <v>84425.000000000015</v>
      </c>
    </row>
    <row r="5" spans="1:13" x14ac:dyDescent="0.45">
      <c r="A5" s="17" t="s">
        <v>1</v>
      </c>
      <c r="B5" s="46"/>
      <c r="C5" s="46"/>
      <c r="D5" s="46"/>
      <c r="E5" s="19">
        <f t="shared" ref="E5:G5" si="0">+E4/E3/1000</f>
        <v>2</v>
      </c>
      <c r="F5" s="18">
        <f t="shared" si="0"/>
        <v>22</v>
      </c>
      <c r="G5" s="19">
        <f t="shared" si="0"/>
        <v>16.5</v>
      </c>
      <c r="H5" s="18">
        <f t="shared" ref="H5:I5" si="1">+H4/H3/1000</f>
        <v>16.5</v>
      </c>
      <c r="I5" s="19">
        <f t="shared" si="1"/>
        <v>22</v>
      </c>
      <c r="J5" s="18">
        <f t="shared" ref="J5:L5" si="2">+J4/J3/1000</f>
        <v>16.5</v>
      </c>
      <c r="K5" s="19">
        <f t="shared" si="2"/>
        <v>16.5</v>
      </c>
      <c r="L5" s="18">
        <f t="shared" si="2"/>
        <v>11</v>
      </c>
      <c r="M5" s="19">
        <f t="shared" ref="M5" si="3">+M4/M3/1000</f>
        <v>5.5</v>
      </c>
    </row>
    <row r="6" spans="1:13" x14ac:dyDescent="0.45">
      <c r="A6" s="32" t="s">
        <v>30</v>
      </c>
      <c r="B6" s="33">
        <f>'104_Synthèse'!B7/B3</f>
        <v>0</v>
      </c>
      <c r="C6" s="34">
        <f>'104_Synthèse'!C7/C3</f>
        <v>0</v>
      </c>
      <c r="D6" s="33">
        <f>'104_Synthèse'!D7/D3</f>
        <v>0</v>
      </c>
      <c r="E6" s="34">
        <f>'104_Synthèse'!E7/E3</f>
        <v>0</v>
      </c>
      <c r="F6" s="33">
        <f>'104_Synthèse'!F7/F3</f>
        <v>200000</v>
      </c>
      <c r="G6" s="34">
        <f>'104_Synthèse'!G7/G3</f>
        <v>150000</v>
      </c>
      <c r="H6" s="33">
        <f>'104_Synthèse'!H7/H3</f>
        <v>150000</v>
      </c>
      <c r="I6" s="34">
        <f>'104_Synthèse'!I7/I3</f>
        <v>200000</v>
      </c>
      <c r="J6" s="33">
        <f>'104_Synthèse'!J7/J3</f>
        <v>150000</v>
      </c>
      <c r="K6" s="34">
        <f>'104_Synthèse'!K7/K3</f>
        <v>150000</v>
      </c>
      <c r="L6" s="33">
        <f>'104_Synthèse'!L7/L3</f>
        <v>100000</v>
      </c>
      <c r="M6" s="34">
        <f>'104_Synthèse'!M7/M3</f>
        <v>50000</v>
      </c>
    </row>
    <row r="7" spans="1:13" x14ac:dyDescent="0.45">
      <c r="A7" s="32" t="s">
        <v>31</v>
      </c>
      <c r="B7" s="33" t="e">
        <f>'104_Synthèse'!B10/(B2-B3)</f>
        <v>#DIV/0!</v>
      </c>
      <c r="C7" s="34" t="e">
        <f>'104_Synthèse'!C10/(C2-C3)</f>
        <v>#DIV/0!</v>
      </c>
      <c r="D7" s="33" t="e">
        <f>'104_Synthèse'!D10/(D2-D3)</f>
        <v>#DIV/0!</v>
      </c>
      <c r="E7" s="34" t="e">
        <f>'104_Synthèse'!E10/(E3)</f>
        <v>#DIV/0!</v>
      </c>
      <c r="F7" s="33" t="e">
        <f>'104_Synthèse'!F10/(F3)</f>
        <v>#DIV/0!</v>
      </c>
      <c r="G7" s="34" t="e">
        <f>'104_Synthèse'!G10/(G3)</f>
        <v>#DIV/0!</v>
      </c>
      <c r="H7" s="33" t="e">
        <f>'104_Synthèse'!H10/(H3)</f>
        <v>#DIV/0!</v>
      </c>
      <c r="I7" s="34" t="e">
        <f>'104_Synthèse'!I10/(I3)</f>
        <v>#DIV/0!</v>
      </c>
      <c r="J7" s="33" t="e">
        <f>'104_Synthèse'!J10/(J3)</f>
        <v>#DIV/0!</v>
      </c>
      <c r="K7" s="34" t="e">
        <f>'104_Synthèse'!K10/(K3)</f>
        <v>#DIV/0!</v>
      </c>
      <c r="L7" s="33" t="e">
        <f>'104_Synthèse'!L10/(L3)</f>
        <v>#DIV/0!</v>
      </c>
      <c r="M7" s="34" t="e">
        <f>'104_Synthèse'!M10/(M3)</f>
        <v>#DIV/0!</v>
      </c>
    </row>
    <row r="8" spans="1:13" x14ac:dyDescent="0.45">
      <c r="A8" s="26" t="s">
        <v>28</v>
      </c>
      <c r="B8" s="29" t="e">
        <f>+'104_Synthèse'!B11/'8036_à l''ha'!B2</f>
        <v>#DIV/0!</v>
      </c>
      <c r="C8" s="30" t="e">
        <f>+'104_Synthèse'!C11/'8036_à l''ha'!C2</f>
        <v>#DIV/0!</v>
      </c>
      <c r="D8" s="29" t="e">
        <f>+'104_Synthèse'!D11/'8036_à l''ha'!D2</f>
        <v>#DIV/0!</v>
      </c>
      <c r="E8" s="30" t="e">
        <f>+'104_Synthèse'!E11/'8036_à l''ha'!E2</f>
        <v>#DIV/0!</v>
      </c>
      <c r="F8" s="29" t="e">
        <f>+'104_Synthèse'!F11/'8036_à l''ha'!F2</f>
        <v>#DIV/0!</v>
      </c>
      <c r="G8" s="30" t="e">
        <f>+'104_Synthèse'!G11/'8036_à l''ha'!G2</f>
        <v>#DIV/0!</v>
      </c>
      <c r="H8" s="29" t="e">
        <f>+'104_Synthèse'!H11/'8036_à l''ha'!H2</f>
        <v>#DIV/0!</v>
      </c>
      <c r="I8" s="30" t="e">
        <f>+'104_Synthèse'!I11/'8036_à l''ha'!I2</f>
        <v>#DIV/0!</v>
      </c>
      <c r="J8" s="29" t="e">
        <f>+'104_Synthèse'!J11/'8036_à l''ha'!J2</f>
        <v>#DIV/0!</v>
      </c>
      <c r="K8" s="30" t="e">
        <f>+'104_Synthèse'!K11/'8036_à l''ha'!K2</f>
        <v>#DIV/0!</v>
      </c>
      <c r="L8" s="29" t="e">
        <f>+'104_Synthèse'!L11/'8036_à l''ha'!L2</f>
        <v>#DIV/0!</v>
      </c>
      <c r="M8" s="30" t="e">
        <f>+'104_Synthèse'!M11/'8036_à l''ha'!M2</f>
        <v>#DIV/0!</v>
      </c>
    </row>
    <row r="9" spans="1:13" x14ac:dyDescent="0.45">
      <c r="A9" s="32" t="s">
        <v>2</v>
      </c>
      <c r="B9" s="33" t="e">
        <f>'104_Synthèse'!B12/$B$2</f>
        <v>#DIV/0!</v>
      </c>
      <c r="C9" s="34" t="e">
        <f>'104_Synthèse'!C12/$C$2</f>
        <v>#DIV/0!</v>
      </c>
      <c r="D9" s="33" t="e">
        <f>'104_Synthèse'!D12/$B$2</f>
        <v>#DIV/0!</v>
      </c>
      <c r="E9" s="34" t="e">
        <f>'104_Synthèse'!E12/$C$2</f>
        <v>#DIV/0!</v>
      </c>
      <c r="F9" s="33" t="e">
        <f>'104_Synthèse'!F12/$B$2</f>
        <v>#DIV/0!</v>
      </c>
      <c r="G9" s="34" t="e">
        <f>'104_Synthèse'!G12/$C$2</f>
        <v>#DIV/0!</v>
      </c>
      <c r="H9" s="33" t="e">
        <f>'104_Synthèse'!H12/$B$2</f>
        <v>#DIV/0!</v>
      </c>
      <c r="I9" s="34" t="e">
        <f>'104_Synthèse'!I12/$C$2</f>
        <v>#DIV/0!</v>
      </c>
      <c r="J9" s="33" t="e">
        <f>'104_Synthèse'!J12/$B$2</f>
        <v>#DIV/0!</v>
      </c>
      <c r="K9" s="34" t="e">
        <f>'104_Synthèse'!K12/$C$2</f>
        <v>#DIV/0!</v>
      </c>
      <c r="L9" s="33" t="e">
        <f>'104_Synthèse'!L12/$B$2</f>
        <v>#DIV/0!</v>
      </c>
      <c r="M9" s="34" t="e">
        <f>'104_Synthèse'!M12/$C$2</f>
        <v>#DIV/0!</v>
      </c>
    </row>
    <row r="10" spans="1:13" x14ac:dyDescent="0.45">
      <c r="A10" s="32" t="s">
        <v>3</v>
      </c>
      <c r="B10" s="33" t="e">
        <f>'104_Synthèse'!B13/$B$2</f>
        <v>#DIV/0!</v>
      </c>
      <c r="C10" s="34" t="e">
        <f>'104_Synthèse'!C13/$C$2</f>
        <v>#DIV/0!</v>
      </c>
      <c r="D10" s="33" t="e">
        <f>'104_Synthèse'!D13/$B$2</f>
        <v>#DIV/0!</v>
      </c>
      <c r="E10" s="34" t="e">
        <f>'104_Synthèse'!E13/$C$2</f>
        <v>#DIV/0!</v>
      </c>
      <c r="F10" s="33" t="e">
        <f>'104_Synthèse'!F13/$B$2</f>
        <v>#DIV/0!</v>
      </c>
      <c r="G10" s="34" t="e">
        <f>'104_Synthèse'!G13/$C$2</f>
        <v>#DIV/0!</v>
      </c>
      <c r="H10" s="33" t="e">
        <f>'104_Synthèse'!H13/$B$2</f>
        <v>#DIV/0!</v>
      </c>
      <c r="I10" s="34" t="e">
        <f>'104_Synthèse'!I13/$C$2</f>
        <v>#DIV/0!</v>
      </c>
      <c r="J10" s="33" t="e">
        <f>'104_Synthèse'!J13/$B$2</f>
        <v>#DIV/0!</v>
      </c>
      <c r="K10" s="34" t="e">
        <f>'104_Synthèse'!K13/$C$2</f>
        <v>#DIV/0!</v>
      </c>
      <c r="L10" s="33" t="e">
        <f>'104_Synthèse'!L13/$B$2</f>
        <v>#DIV/0!</v>
      </c>
      <c r="M10" s="34" t="e">
        <f>'104_Synthèse'!M13/$C$2</f>
        <v>#DIV/0!</v>
      </c>
    </row>
    <row r="11" spans="1:13" x14ac:dyDescent="0.45">
      <c r="A11" s="32" t="s">
        <v>4</v>
      </c>
      <c r="B11" s="33" t="e">
        <f>'104_Synthèse'!B14/$B$2</f>
        <v>#DIV/0!</v>
      </c>
      <c r="C11" s="34" t="e">
        <f>'104_Synthèse'!C14/$C$2</f>
        <v>#DIV/0!</v>
      </c>
      <c r="D11" s="33" t="e">
        <f>'104_Synthèse'!D14/$B$2</f>
        <v>#DIV/0!</v>
      </c>
      <c r="E11" s="34" t="e">
        <f>'104_Synthèse'!E14/$C$2</f>
        <v>#DIV/0!</v>
      </c>
      <c r="F11" s="33" t="e">
        <f>'104_Synthèse'!F14/$B$2</f>
        <v>#DIV/0!</v>
      </c>
      <c r="G11" s="34" t="e">
        <f>'104_Synthèse'!G14/$C$2</f>
        <v>#DIV/0!</v>
      </c>
      <c r="H11" s="33" t="e">
        <f>'104_Synthèse'!H14/$B$2</f>
        <v>#DIV/0!</v>
      </c>
      <c r="I11" s="34" t="e">
        <f>'104_Synthèse'!I14/$C$2</f>
        <v>#DIV/0!</v>
      </c>
      <c r="J11" s="33" t="e">
        <f>'104_Synthèse'!J14/$B$2</f>
        <v>#DIV/0!</v>
      </c>
      <c r="K11" s="34" t="e">
        <f>'104_Synthèse'!K14/$C$2</f>
        <v>#DIV/0!</v>
      </c>
      <c r="L11" s="33" t="e">
        <f>'104_Synthèse'!L14/$B$2</f>
        <v>#DIV/0!</v>
      </c>
      <c r="M11" s="34" t="e">
        <f>'104_Synthèse'!M14/$C$2</f>
        <v>#DIV/0!</v>
      </c>
    </row>
    <row r="12" spans="1:13" x14ac:dyDescent="0.45">
      <c r="A12" s="32" t="s">
        <v>5</v>
      </c>
      <c r="B12" s="33" t="e">
        <f>'104_Synthèse'!B15/$B$2</f>
        <v>#DIV/0!</v>
      </c>
      <c r="C12" s="34" t="e">
        <f>'104_Synthèse'!C15/$C$2</f>
        <v>#DIV/0!</v>
      </c>
      <c r="D12" s="33" t="e">
        <f>'104_Synthèse'!D15/$B$2</f>
        <v>#DIV/0!</v>
      </c>
      <c r="E12" s="34" t="e">
        <f>'104_Synthèse'!E15/$C$2</f>
        <v>#DIV/0!</v>
      </c>
      <c r="F12" s="33" t="e">
        <f>'104_Synthèse'!F15/$B$2</f>
        <v>#DIV/0!</v>
      </c>
      <c r="G12" s="34" t="e">
        <f>'104_Synthèse'!G15/$C$2</f>
        <v>#DIV/0!</v>
      </c>
      <c r="H12" s="33" t="e">
        <f>'104_Synthèse'!H15/$B$2</f>
        <v>#DIV/0!</v>
      </c>
      <c r="I12" s="34" t="e">
        <f>'104_Synthèse'!I15/$C$2</f>
        <v>#DIV/0!</v>
      </c>
      <c r="J12" s="33" t="e">
        <f>'104_Synthèse'!J15/$B$2</f>
        <v>#DIV/0!</v>
      </c>
      <c r="K12" s="34" t="e">
        <f>'104_Synthèse'!K15/$C$2</f>
        <v>#DIV/0!</v>
      </c>
      <c r="L12" s="33" t="e">
        <f>'104_Synthèse'!L15/$B$2</f>
        <v>#DIV/0!</v>
      </c>
      <c r="M12" s="34" t="e">
        <f>'104_Synthèse'!M15/$C$2</f>
        <v>#DIV/0!</v>
      </c>
    </row>
    <row r="13" spans="1:13" x14ac:dyDescent="0.45">
      <c r="A13" s="32" t="s">
        <v>6</v>
      </c>
      <c r="B13" s="33" t="e">
        <f>'104_Synthèse'!B16/$B$2</f>
        <v>#DIV/0!</v>
      </c>
      <c r="C13" s="34" t="e">
        <f>'104_Synthèse'!C16/$C$2</f>
        <v>#DIV/0!</v>
      </c>
      <c r="D13" s="33" t="e">
        <f>'104_Synthèse'!D16/$B$2</f>
        <v>#DIV/0!</v>
      </c>
      <c r="E13" s="34" t="e">
        <f>'104_Synthèse'!E16/$C$2</f>
        <v>#DIV/0!</v>
      </c>
      <c r="F13" s="33" t="e">
        <f>'104_Synthèse'!F16/$B$2</f>
        <v>#DIV/0!</v>
      </c>
      <c r="G13" s="34" t="e">
        <f>'104_Synthèse'!G16/$C$2</f>
        <v>#DIV/0!</v>
      </c>
      <c r="H13" s="33" t="e">
        <f>'104_Synthèse'!H16/$B$2</f>
        <v>#DIV/0!</v>
      </c>
      <c r="I13" s="34" t="e">
        <f>'104_Synthèse'!I16/$C$2</f>
        <v>#DIV/0!</v>
      </c>
      <c r="J13" s="33" t="e">
        <f>'104_Synthèse'!J16/$B$2</f>
        <v>#DIV/0!</v>
      </c>
      <c r="K13" s="34" t="e">
        <f>'104_Synthèse'!K16/$C$2</f>
        <v>#DIV/0!</v>
      </c>
      <c r="L13" s="33" t="e">
        <f>'104_Synthèse'!L16/$B$2</f>
        <v>#DIV/0!</v>
      </c>
      <c r="M13" s="34" t="e">
        <f>'104_Synthèse'!M16/$C$2</f>
        <v>#DIV/0!</v>
      </c>
    </row>
    <row r="14" spans="1:13" x14ac:dyDescent="0.45">
      <c r="A14" s="32" t="s">
        <v>7</v>
      </c>
      <c r="B14" s="33" t="e">
        <f>'104_Synthèse'!B17/$B$2</f>
        <v>#DIV/0!</v>
      </c>
      <c r="C14" s="34" t="e">
        <f>'104_Synthèse'!C17/$C$2</f>
        <v>#DIV/0!</v>
      </c>
      <c r="D14" s="33" t="e">
        <f>'104_Synthèse'!D17/$B$2</f>
        <v>#DIV/0!</v>
      </c>
      <c r="E14" s="34" t="e">
        <f>'104_Synthèse'!E17/$C$2</f>
        <v>#DIV/0!</v>
      </c>
      <c r="F14" s="33" t="e">
        <f>'104_Synthèse'!F17/$B$2</f>
        <v>#DIV/0!</v>
      </c>
      <c r="G14" s="34" t="e">
        <f>'104_Synthèse'!G17/$C$2</f>
        <v>#DIV/0!</v>
      </c>
      <c r="H14" s="33" t="e">
        <f>'104_Synthèse'!H17/$B$2</f>
        <v>#DIV/0!</v>
      </c>
      <c r="I14" s="34" t="e">
        <f>'104_Synthèse'!I17/$C$2</f>
        <v>#DIV/0!</v>
      </c>
      <c r="J14" s="33" t="e">
        <f>'104_Synthèse'!J17/$B$2</f>
        <v>#DIV/0!</v>
      </c>
      <c r="K14" s="34" t="e">
        <f>'104_Synthèse'!K17/$C$2</f>
        <v>#DIV/0!</v>
      </c>
      <c r="L14" s="33" t="e">
        <f>'104_Synthèse'!L17/$B$2</f>
        <v>#DIV/0!</v>
      </c>
      <c r="M14" s="34" t="e">
        <f>'104_Synthèse'!M17/$C$2</f>
        <v>#DIV/0!</v>
      </c>
    </row>
    <row r="15" spans="1:13" x14ac:dyDescent="0.45">
      <c r="A15" s="26" t="s">
        <v>32</v>
      </c>
      <c r="B15" s="29" t="e">
        <f>'104_Synthèse'!B18/'8036_à l''ha'!B2</f>
        <v>#DIV/0!</v>
      </c>
      <c r="C15" s="30" t="e">
        <f>'104_Synthèse'!C18/'8036_à l''ha'!C2</f>
        <v>#DIV/0!</v>
      </c>
      <c r="D15" s="29" t="e">
        <f>'104_Synthèse'!D18/'8036_à l''ha'!D2</f>
        <v>#DIV/0!</v>
      </c>
      <c r="E15" s="30" t="e">
        <f>'104_Synthèse'!E18/'8036_à l''ha'!E2</f>
        <v>#DIV/0!</v>
      </c>
      <c r="F15" s="29" t="e">
        <f>'104_Synthèse'!F18/'8036_à l''ha'!F2</f>
        <v>#DIV/0!</v>
      </c>
      <c r="G15" s="30" t="e">
        <f>'104_Synthèse'!G18/'8036_à l''ha'!G2</f>
        <v>#DIV/0!</v>
      </c>
      <c r="H15" s="29" t="e">
        <f>'104_Synthèse'!H18/'8036_à l''ha'!H2</f>
        <v>#DIV/0!</v>
      </c>
      <c r="I15" s="30" t="e">
        <f>'104_Synthèse'!I18/'8036_à l''ha'!I2</f>
        <v>#DIV/0!</v>
      </c>
      <c r="J15" s="29" t="e">
        <f>'104_Synthèse'!J18/'8036_à l''ha'!J2</f>
        <v>#DIV/0!</v>
      </c>
      <c r="K15" s="30" t="e">
        <f>'104_Synthèse'!K18/'8036_à l''ha'!K2</f>
        <v>#DIV/0!</v>
      </c>
      <c r="L15" s="29" t="e">
        <f>'104_Synthèse'!L18/'8036_à l''ha'!L2</f>
        <v>#DIV/0!</v>
      </c>
      <c r="M15" s="30" t="e">
        <f>'104_Synthèse'!M18/'8036_à l''ha'!M2</f>
        <v>#DIV/0!</v>
      </c>
    </row>
    <row r="16" spans="1:13" x14ac:dyDescent="0.45">
      <c r="A16" s="32" t="s">
        <v>33</v>
      </c>
      <c r="B16" s="33" t="e">
        <f>'104_Synthèse'!B19/B2</f>
        <v>#DIV/0!</v>
      </c>
      <c r="C16" s="34" t="e">
        <f>'104_Synthèse'!C19/C2</f>
        <v>#DIV/0!</v>
      </c>
      <c r="D16" s="33" t="e">
        <f>'104_Synthèse'!D19/D2</f>
        <v>#DIV/0!</v>
      </c>
      <c r="E16" s="34" t="e">
        <f>'104_Synthèse'!E19/E2</f>
        <v>#DIV/0!</v>
      </c>
      <c r="F16" s="33" t="e">
        <f>'104_Synthèse'!F19/F2</f>
        <v>#DIV/0!</v>
      </c>
      <c r="G16" s="34" t="e">
        <f>'104_Synthèse'!G19/G2</f>
        <v>#DIV/0!</v>
      </c>
      <c r="H16" s="33" t="e">
        <f>'104_Synthèse'!H19/H2</f>
        <v>#DIV/0!</v>
      </c>
      <c r="I16" s="34" t="e">
        <f>'104_Synthèse'!I19/I2</f>
        <v>#DIV/0!</v>
      </c>
      <c r="J16" s="33" t="e">
        <f>'104_Synthèse'!J19/J2</f>
        <v>#DIV/0!</v>
      </c>
      <c r="K16" s="34" t="e">
        <f>'104_Synthèse'!K19/K2</f>
        <v>#DIV/0!</v>
      </c>
      <c r="L16" s="33" t="e">
        <f>'104_Synthèse'!L19/L2</f>
        <v>#DIV/0!</v>
      </c>
      <c r="M16" s="34" t="e">
        <f>'104_Synthèse'!M19/M2</f>
        <v>#DIV/0!</v>
      </c>
    </row>
    <row r="17" spans="1:13" x14ac:dyDescent="0.45">
      <c r="A17" s="32" t="s">
        <v>34</v>
      </c>
      <c r="B17" s="33" t="e">
        <f>'104_Synthèse'!B20/'8036_à l''ha'!B2</f>
        <v>#DIV/0!</v>
      </c>
      <c r="C17" s="34" t="e">
        <f>'104_Synthèse'!C20/'8036_à l''ha'!C2</f>
        <v>#DIV/0!</v>
      </c>
      <c r="D17" s="33" t="e">
        <f>'104_Synthèse'!D20/'8036_à l''ha'!D2</f>
        <v>#DIV/0!</v>
      </c>
      <c r="E17" s="34" t="e">
        <f>'104_Synthèse'!E20/'8036_à l''ha'!E2</f>
        <v>#DIV/0!</v>
      </c>
      <c r="F17" s="33" t="e">
        <f>'104_Synthèse'!F20/'8036_à l''ha'!F2</f>
        <v>#DIV/0!</v>
      </c>
      <c r="G17" s="34" t="e">
        <f>'104_Synthèse'!G20/'8036_à l''ha'!G2</f>
        <v>#DIV/0!</v>
      </c>
      <c r="H17" s="33" t="e">
        <f>'104_Synthèse'!H20/'8036_à l''ha'!H2</f>
        <v>#DIV/0!</v>
      </c>
      <c r="I17" s="34" t="e">
        <f>'104_Synthèse'!I20/'8036_à l''ha'!I2</f>
        <v>#DIV/0!</v>
      </c>
      <c r="J17" s="33" t="e">
        <f>'104_Synthèse'!J20/'8036_à l''ha'!J2</f>
        <v>#DIV/0!</v>
      </c>
      <c r="K17" s="34" t="e">
        <f>'104_Synthèse'!K20/'8036_à l''ha'!K2</f>
        <v>#DIV/0!</v>
      </c>
      <c r="L17" s="33" t="e">
        <f>'104_Synthèse'!L20/'8036_à l''ha'!L2</f>
        <v>#DIV/0!</v>
      </c>
      <c r="M17" s="34" t="e">
        <f>'104_Synthèse'!M20/'8036_à l''ha'!M2</f>
        <v>#DIV/0!</v>
      </c>
    </row>
    <row r="18" spans="1:13" x14ac:dyDescent="0.45">
      <c r="A18" s="26" t="s">
        <v>35</v>
      </c>
      <c r="B18" s="29" t="e">
        <f>SUM(B16:B17)</f>
        <v>#DIV/0!</v>
      </c>
      <c r="C18" s="30" t="e">
        <f t="shared" ref="C18" si="4">SUM(C16:C17)</f>
        <v>#DIV/0!</v>
      </c>
      <c r="D18" s="29" t="e">
        <f>SUM(D16:D17)</f>
        <v>#DIV/0!</v>
      </c>
      <c r="E18" s="30" t="e">
        <f t="shared" ref="E18:G18" si="5">SUM(E16:E17)</f>
        <v>#DIV/0!</v>
      </c>
      <c r="F18" s="29" t="e">
        <f>SUM(F16:F17)</f>
        <v>#DIV/0!</v>
      </c>
      <c r="G18" s="30" t="e">
        <f t="shared" si="5"/>
        <v>#DIV/0!</v>
      </c>
      <c r="H18" s="29" t="e">
        <f>SUM(H16:H17)</f>
        <v>#DIV/0!</v>
      </c>
      <c r="I18" s="30" t="e">
        <f t="shared" ref="I18:K18" si="6">SUM(I16:I17)</f>
        <v>#DIV/0!</v>
      </c>
      <c r="J18" s="29" t="e">
        <f>SUM(J16:J17)</f>
        <v>#DIV/0!</v>
      </c>
      <c r="K18" s="30" t="e">
        <f t="shared" si="6"/>
        <v>#DIV/0!</v>
      </c>
      <c r="L18" s="29" t="e">
        <f>SUM(L16:L17)</f>
        <v>#DIV/0!</v>
      </c>
      <c r="M18" s="30" t="e">
        <f t="shared" ref="M18" si="7">SUM(M16:M17)</f>
        <v>#DIV/0!</v>
      </c>
    </row>
    <row r="19" spans="1:13" x14ac:dyDescent="0.45">
      <c r="A19" s="32" t="s">
        <v>36</v>
      </c>
      <c r="B19" s="33" t="e">
        <f>'104_Synthèse'!B22/$B$2</f>
        <v>#DIV/0!</v>
      </c>
      <c r="C19" s="34" t="e">
        <f>'104_Synthèse'!C22/$C$2</f>
        <v>#DIV/0!</v>
      </c>
      <c r="D19" s="33" t="e">
        <f>'104_Synthèse'!D22/$B$2</f>
        <v>#DIV/0!</v>
      </c>
      <c r="E19" s="34" t="e">
        <f>'104_Synthèse'!E22/$C$2</f>
        <v>#DIV/0!</v>
      </c>
      <c r="F19" s="33" t="e">
        <f>'104_Synthèse'!F22/$B$2</f>
        <v>#DIV/0!</v>
      </c>
      <c r="G19" s="34" t="e">
        <f>'104_Synthèse'!G22/$C$2</f>
        <v>#DIV/0!</v>
      </c>
      <c r="H19" s="33" t="e">
        <f>'104_Synthèse'!H22/$B$2</f>
        <v>#DIV/0!</v>
      </c>
      <c r="I19" s="34" t="e">
        <f>'104_Synthèse'!I22/$C$2</f>
        <v>#DIV/0!</v>
      </c>
      <c r="J19" s="33" t="e">
        <f>'104_Synthèse'!J22/$B$2</f>
        <v>#DIV/0!</v>
      </c>
      <c r="K19" s="34" t="e">
        <f>'104_Synthèse'!K22/$C$2</f>
        <v>#DIV/0!</v>
      </c>
      <c r="L19" s="33" t="e">
        <f>'104_Synthèse'!L22/$B$2</f>
        <v>#DIV/0!</v>
      </c>
      <c r="M19" s="34" t="e">
        <f>'104_Synthèse'!M22/$C$2</f>
        <v>#DIV/0!</v>
      </c>
    </row>
    <row r="20" spans="1:13" x14ac:dyDescent="0.45">
      <c r="A20" s="32" t="s">
        <v>37</v>
      </c>
      <c r="B20" s="33" t="e">
        <f>'104_Synthèse'!B23/$B$2</f>
        <v>#DIV/0!</v>
      </c>
      <c r="C20" s="34" t="e">
        <f>'104_Synthèse'!C23/$C$2</f>
        <v>#DIV/0!</v>
      </c>
      <c r="D20" s="33" t="e">
        <f>'104_Synthèse'!D23/$B$2</f>
        <v>#DIV/0!</v>
      </c>
      <c r="E20" s="34" t="e">
        <f>'104_Synthèse'!E23/$C$2</f>
        <v>#DIV/0!</v>
      </c>
      <c r="F20" s="33" t="e">
        <f>'104_Synthèse'!F23/$B$2</f>
        <v>#DIV/0!</v>
      </c>
      <c r="G20" s="34" t="e">
        <f>'104_Synthèse'!G23/$C$2</f>
        <v>#DIV/0!</v>
      </c>
      <c r="H20" s="33" t="e">
        <f>'104_Synthèse'!H23/$B$2</f>
        <v>#DIV/0!</v>
      </c>
      <c r="I20" s="34" t="e">
        <f>'104_Synthèse'!I23/$C$2</f>
        <v>#DIV/0!</v>
      </c>
      <c r="J20" s="33" t="e">
        <f>'104_Synthèse'!J23/$B$2</f>
        <v>#DIV/0!</v>
      </c>
      <c r="K20" s="34" t="e">
        <f>'104_Synthèse'!K23/$C$2</f>
        <v>#DIV/0!</v>
      </c>
      <c r="L20" s="33" t="e">
        <f>'104_Synthèse'!L23/$B$2</f>
        <v>#DIV/0!</v>
      </c>
      <c r="M20" s="34" t="e">
        <f>'104_Synthèse'!M23/$C$2</f>
        <v>#DIV/0!</v>
      </c>
    </row>
    <row r="21" spans="1:13" x14ac:dyDescent="0.45">
      <c r="A21" s="32" t="s">
        <v>38</v>
      </c>
      <c r="B21" s="33" t="e">
        <f>'104_Synthèse'!B24/$B$2</f>
        <v>#DIV/0!</v>
      </c>
      <c r="C21" s="34" t="e">
        <f>'104_Synthèse'!C24/$C$2</f>
        <v>#DIV/0!</v>
      </c>
      <c r="D21" s="33" t="e">
        <f>'104_Synthèse'!D24/$B$2</f>
        <v>#DIV/0!</v>
      </c>
      <c r="E21" s="34" t="e">
        <f>'104_Synthèse'!E24/$C$2</f>
        <v>#DIV/0!</v>
      </c>
      <c r="F21" s="33" t="e">
        <f>'104_Synthèse'!F24/$B$2</f>
        <v>#DIV/0!</v>
      </c>
      <c r="G21" s="34" t="e">
        <f>'104_Synthèse'!G24/$C$2</f>
        <v>#DIV/0!</v>
      </c>
      <c r="H21" s="33" t="e">
        <f>'104_Synthèse'!H24/$B$2</f>
        <v>#DIV/0!</v>
      </c>
      <c r="I21" s="34" t="e">
        <f>'104_Synthèse'!I24/$C$2</f>
        <v>#DIV/0!</v>
      </c>
      <c r="J21" s="33" t="e">
        <f>'104_Synthèse'!J24/$B$2</f>
        <v>#DIV/0!</v>
      </c>
      <c r="K21" s="34" t="e">
        <f>'104_Synthèse'!K24/$C$2</f>
        <v>#DIV/0!</v>
      </c>
      <c r="L21" s="33" t="e">
        <f>'104_Synthèse'!L24/$B$2</f>
        <v>#DIV/0!</v>
      </c>
      <c r="M21" s="34" t="e">
        <f>'104_Synthèse'!M24/$C$2</f>
        <v>#DIV/0!</v>
      </c>
    </row>
    <row r="22" spans="1:13" x14ac:dyDescent="0.45">
      <c r="A22" s="32" t="s">
        <v>39</v>
      </c>
      <c r="B22" s="33" t="e">
        <f>'104_Synthèse'!B25/$B$2</f>
        <v>#DIV/0!</v>
      </c>
      <c r="C22" s="34" t="e">
        <f>'104_Synthèse'!C25/$C$2</f>
        <v>#DIV/0!</v>
      </c>
      <c r="D22" s="33" t="e">
        <f>'104_Synthèse'!D25/$B$2</f>
        <v>#DIV/0!</v>
      </c>
      <c r="E22" s="34" t="e">
        <f>'104_Synthèse'!E25/$C$2</f>
        <v>#DIV/0!</v>
      </c>
      <c r="F22" s="33" t="e">
        <f>'104_Synthèse'!F25/$B$2</f>
        <v>#DIV/0!</v>
      </c>
      <c r="G22" s="34" t="e">
        <f>'104_Synthèse'!G25/$C$2</f>
        <v>#DIV/0!</v>
      </c>
      <c r="H22" s="33" t="e">
        <f>'104_Synthèse'!H25/$B$2</f>
        <v>#DIV/0!</v>
      </c>
      <c r="I22" s="34" t="e">
        <f>'104_Synthèse'!I25/$C$2</f>
        <v>#DIV/0!</v>
      </c>
      <c r="J22" s="33" t="e">
        <f>'104_Synthèse'!J25/$B$2</f>
        <v>#DIV/0!</v>
      </c>
      <c r="K22" s="34" t="e">
        <f>'104_Synthèse'!K25/$C$2</f>
        <v>#DIV/0!</v>
      </c>
      <c r="L22" s="33" t="e">
        <f>'104_Synthèse'!L25/$B$2</f>
        <v>#DIV/0!</v>
      </c>
      <c r="M22" s="34" t="e">
        <f>'104_Synthèse'!M25/$C$2</f>
        <v>#DIV/0!</v>
      </c>
    </row>
    <row r="23" spans="1:13" x14ac:dyDescent="0.45">
      <c r="A23" s="32" t="s">
        <v>40</v>
      </c>
      <c r="B23" s="33" t="e">
        <f>'104_Synthèse'!B28/$B$2</f>
        <v>#DIV/0!</v>
      </c>
      <c r="C23" s="34" t="e">
        <f>'104_Synthèse'!C28/$C$2</f>
        <v>#DIV/0!</v>
      </c>
      <c r="D23" s="33" t="e">
        <f>'104_Synthèse'!D28/$B$2</f>
        <v>#DIV/0!</v>
      </c>
      <c r="E23" s="34" t="e">
        <f>'104_Synthèse'!E28/$C$2</f>
        <v>#DIV/0!</v>
      </c>
      <c r="F23" s="33" t="e">
        <f>'104_Synthèse'!F28/$B$2</f>
        <v>#DIV/0!</v>
      </c>
      <c r="G23" s="34" t="e">
        <f>'104_Synthèse'!G28/$C$2</f>
        <v>#DIV/0!</v>
      </c>
      <c r="H23" s="33" t="e">
        <f>'104_Synthèse'!H28/$B$2</f>
        <v>#DIV/0!</v>
      </c>
      <c r="I23" s="34" t="e">
        <f>'104_Synthèse'!I28/$C$2</f>
        <v>#DIV/0!</v>
      </c>
      <c r="J23" s="33" t="e">
        <f>'104_Synthèse'!J28/$B$2</f>
        <v>#DIV/0!</v>
      </c>
      <c r="K23" s="34" t="e">
        <f>'104_Synthèse'!K28/$C$2</f>
        <v>#DIV/0!</v>
      </c>
      <c r="L23" s="33" t="e">
        <f>'104_Synthèse'!L28/$B$2</f>
        <v>#DIV/0!</v>
      </c>
      <c r="M23" s="34" t="e">
        <f>'104_Synthèse'!M28/$C$2</f>
        <v>#DIV/0!</v>
      </c>
    </row>
    <row r="24" spans="1:13" x14ac:dyDescent="0.45">
      <c r="A24" s="32" t="s">
        <v>41</v>
      </c>
      <c r="B24" s="29" t="e">
        <f>'104_Synthèse'!B29/$C$2</f>
        <v>#DIV/0!</v>
      </c>
      <c r="C24" s="34" t="e">
        <f>'104_Synthèse'!C29/$C$2</f>
        <v>#DIV/0!</v>
      </c>
      <c r="D24" s="29" t="e">
        <f>+'104_Synthèse'!D29/'8036_à l''ha'!D18</f>
        <v>#DIV/0!</v>
      </c>
      <c r="E24" s="34" t="e">
        <f>'104_Synthèse'!E29/$C$2</f>
        <v>#DIV/0!</v>
      </c>
      <c r="F24" s="29" t="e">
        <f>+'104_Synthèse'!F29/'8036_à l''ha'!F18</f>
        <v>#DIV/0!</v>
      </c>
      <c r="G24" s="34" t="e">
        <f>'104_Synthèse'!G29/$C$2</f>
        <v>#DIV/0!</v>
      </c>
      <c r="H24" s="29" t="e">
        <f>+'104_Synthèse'!H29/'8036_à l''ha'!H18</f>
        <v>#DIV/0!</v>
      </c>
      <c r="I24" s="34" t="e">
        <f>'104_Synthèse'!I29/$C$2</f>
        <v>#DIV/0!</v>
      </c>
      <c r="J24" s="29" t="e">
        <f>+'104_Synthèse'!J29/'8036_à l''ha'!J18</f>
        <v>#DIV/0!</v>
      </c>
      <c r="K24" s="34" t="e">
        <f>'104_Synthèse'!K29/$C$2</f>
        <v>#DIV/0!</v>
      </c>
      <c r="L24" s="29" t="e">
        <f>+'104_Synthèse'!L29/'8036_à l''ha'!L18</f>
        <v>#DIV/0!</v>
      </c>
      <c r="M24" s="34" t="e">
        <f>'104_Synthèse'!M29/$C$2</f>
        <v>#DIV/0!</v>
      </c>
    </row>
    <row r="25" spans="1:13" x14ac:dyDescent="0.45">
      <c r="A25" s="26" t="s">
        <v>42</v>
      </c>
      <c r="B25" s="29" t="e">
        <f>'104_Synthèse'!B30/B2</f>
        <v>#DIV/0!</v>
      </c>
      <c r="C25" s="30" t="e">
        <f>'104_Synthèse'!C30/C2</f>
        <v>#DIV/0!</v>
      </c>
      <c r="D25" s="29" t="e">
        <f>'104_Synthèse'!D30/D2</f>
        <v>#DIV/0!</v>
      </c>
      <c r="E25" s="30" t="e">
        <f>'104_Synthèse'!E30/E2</f>
        <v>#DIV/0!</v>
      </c>
      <c r="F25" s="29" t="e">
        <f>'104_Synthèse'!F30/F2</f>
        <v>#DIV/0!</v>
      </c>
      <c r="G25" s="30" t="e">
        <f>'104_Synthèse'!G30/G2</f>
        <v>#DIV/0!</v>
      </c>
      <c r="H25" s="29" t="e">
        <f>'104_Synthèse'!H30/H2</f>
        <v>#DIV/0!</v>
      </c>
      <c r="I25" s="30" t="e">
        <f>'104_Synthèse'!I30/I2</f>
        <v>#DIV/0!</v>
      </c>
      <c r="J25" s="29" t="e">
        <f>'104_Synthèse'!J30/J2</f>
        <v>#DIV/0!</v>
      </c>
      <c r="K25" s="30" t="e">
        <f>'104_Synthèse'!K30/K2</f>
        <v>#DIV/0!</v>
      </c>
      <c r="L25" s="29" t="e">
        <f>'104_Synthèse'!L30/L2</f>
        <v>#DIV/0!</v>
      </c>
      <c r="M25" s="30" t="e">
        <f>'104_Synthèse'!M30/M2</f>
        <v>#DIV/0!</v>
      </c>
    </row>
    <row r="26" spans="1:13" x14ac:dyDescent="0.45">
      <c r="A26" s="26" t="s">
        <v>43</v>
      </c>
      <c r="B26" s="29" t="e">
        <f>'104_Synthèse'!B31/B3</f>
        <v>#DIV/0!</v>
      </c>
      <c r="C26" s="30" t="e">
        <f>'104_Synthèse'!C31/C3</f>
        <v>#DIV/0!</v>
      </c>
      <c r="D26" s="29" t="e">
        <f>'104_Synthèse'!D31/D3</f>
        <v>#DIV/0!</v>
      </c>
      <c r="E26" s="30" t="e">
        <f>'104_Synthèse'!E31/E3</f>
        <v>#DIV/0!</v>
      </c>
      <c r="F26" s="29" t="e">
        <f>'104_Synthèse'!F31/F3</f>
        <v>#DIV/0!</v>
      </c>
      <c r="G26" s="30" t="e">
        <f>'104_Synthèse'!G31/G3</f>
        <v>#DIV/0!</v>
      </c>
      <c r="H26" s="29" t="e">
        <f>'104_Synthèse'!H31/H3</f>
        <v>#DIV/0!</v>
      </c>
      <c r="I26" s="30" t="e">
        <f>'104_Synthèse'!I31/I3</f>
        <v>#DIV/0!</v>
      </c>
      <c r="J26" s="29" t="e">
        <f>'104_Synthèse'!J31/J3</f>
        <v>#DIV/0!</v>
      </c>
      <c r="K26" s="30" t="e">
        <f>'104_Synthèse'!K31/K3</f>
        <v>#DIV/0!</v>
      </c>
      <c r="L26" s="29" t="e">
        <f>'104_Synthèse'!L31/L3</f>
        <v>#DIV/0!</v>
      </c>
      <c r="M26" s="30" t="e">
        <f>'104_Synthèse'!M31/M3</f>
        <v>#DIV/0!</v>
      </c>
    </row>
    <row r="27" spans="1:13" x14ac:dyDescent="0.45">
      <c r="A27" s="32" t="s">
        <v>44</v>
      </c>
      <c r="B27" s="33" t="e">
        <f>'104_Synthèse'!B32/B2</f>
        <v>#DIV/0!</v>
      </c>
      <c r="C27" s="34" t="e">
        <f>'104_Synthèse'!C32/C2</f>
        <v>#DIV/0!</v>
      </c>
      <c r="D27" s="33" t="e">
        <f>'104_Synthèse'!D32/D2</f>
        <v>#DIV/0!</v>
      </c>
      <c r="E27" s="34" t="e">
        <f>'104_Synthèse'!E32/E2</f>
        <v>#DIV/0!</v>
      </c>
      <c r="F27" s="33" t="e">
        <f>'104_Synthèse'!F32/F2</f>
        <v>#DIV/0!</v>
      </c>
      <c r="G27" s="34" t="e">
        <f>'104_Synthèse'!G32/G2</f>
        <v>#DIV/0!</v>
      </c>
      <c r="H27" s="33" t="e">
        <f>'104_Synthèse'!H32/H2</f>
        <v>#DIV/0!</v>
      </c>
      <c r="I27" s="34" t="e">
        <f>'104_Synthèse'!I32/I2</f>
        <v>#DIV/0!</v>
      </c>
      <c r="J27" s="33" t="e">
        <f>'104_Synthèse'!J32/J2</f>
        <v>#DIV/0!</v>
      </c>
      <c r="K27" s="34" t="e">
        <f>'104_Synthèse'!K32/K2</f>
        <v>#DIV/0!</v>
      </c>
      <c r="L27" s="33" t="e">
        <f>'104_Synthèse'!L32/L2</f>
        <v>#DIV/0!</v>
      </c>
      <c r="M27" s="34" t="e">
        <f>'104_Synthèse'!M32/M2</f>
        <v>#DIV/0!</v>
      </c>
    </row>
    <row r="28" spans="1:13" x14ac:dyDescent="0.45">
      <c r="A28" s="26" t="s">
        <v>45</v>
      </c>
      <c r="B28" s="29" t="e">
        <f>'104_Synthèse'!B33/B3</f>
        <v>#DIV/0!</v>
      </c>
      <c r="C28" s="30" t="e">
        <f>'104_Synthèse'!C33/C3</f>
        <v>#DIV/0!</v>
      </c>
      <c r="D28" s="29" t="e">
        <f>'104_Synthèse'!D33/D3</f>
        <v>#DIV/0!</v>
      </c>
      <c r="E28" s="30" t="e">
        <f>'104_Synthèse'!E33/E3</f>
        <v>#DIV/0!</v>
      </c>
      <c r="F28" s="29" t="e">
        <f>'104_Synthèse'!F33/F3</f>
        <v>#DIV/0!</v>
      </c>
      <c r="G28" s="30" t="e">
        <f>'104_Synthèse'!G33/G3</f>
        <v>#DIV/0!</v>
      </c>
      <c r="H28" s="29" t="e">
        <f>'104_Synthèse'!H33/H3</f>
        <v>#DIV/0!</v>
      </c>
      <c r="I28" s="30" t="e">
        <f>'104_Synthèse'!I33/I3</f>
        <v>#DIV/0!</v>
      </c>
      <c r="J28" s="29" t="e">
        <f>'104_Synthèse'!J33/J3</f>
        <v>#DIV/0!</v>
      </c>
      <c r="K28" s="30" t="e">
        <f>'104_Synthèse'!K33/K3</f>
        <v>#DIV/0!</v>
      </c>
      <c r="L28" s="29" t="e">
        <f>'104_Synthèse'!L33/L3</f>
        <v>#DIV/0!</v>
      </c>
      <c r="M28" s="30" t="e">
        <f>'104_Synthèse'!M33/M3</f>
        <v>#DIV/0!</v>
      </c>
    </row>
    <row r="29" spans="1:13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3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idden="1" x14ac:dyDescent="0.45">
      <c r="A31" s="17" t="s">
        <v>21</v>
      </c>
      <c r="B31" s="18" t="e">
        <f t="shared" ref="B31:G31" si="8">+B27+B25</f>
        <v>#DIV/0!</v>
      </c>
      <c r="C31" s="19" t="e">
        <f t="shared" si="8"/>
        <v>#DIV/0!</v>
      </c>
      <c r="D31" s="18" t="e">
        <f t="shared" si="8"/>
        <v>#DIV/0!</v>
      </c>
      <c r="E31" s="19" t="e">
        <f t="shared" si="8"/>
        <v>#DIV/0!</v>
      </c>
      <c r="F31" s="18" t="e">
        <f t="shared" si="8"/>
        <v>#DIV/0!</v>
      </c>
      <c r="G31" s="19" t="e">
        <f t="shared" si="8"/>
        <v>#DIV/0!</v>
      </c>
      <c r="H31" s="18" t="e">
        <f t="shared" ref="H31:I31" si="9">+H27+H25</f>
        <v>#DIV/0!</v>
      </c>
      <c r="I31" s="19" t="e">
        <f t="shared" si="9"/>
        <v>#DIV/0!</v>
      </c>
      <c r="J31" s="18" t="e">
        <f t="shared" ref="J31:L31" si="10">+J27+J25</f>
        <v>#DIV/0!</v>
      </c>
      <c r="K31" s="19" t="e">
        <f t="shared" si="10"/>
        <v>#DIV/0!</v>
      </c>
      <c r="L31" s="18" t="e">
        <f t="shared" si="10"/>
        <v>#DIV/0!</v>
      </c>
      <c r="M31" s="19" t="e">
        <f t="shared" ref="M31" si="11">+M27+M25</f>
        <v>#DIV/0!</v>
      </c>
    </row>
    <row r="32" spans="1:13" hidden="1" x14ac:dyDescent="0.45">
      <c r="A32" s="17" t="s">
        <v>22</v>
      </c>
      <c r="B32" s="18" t="e">
        <f t="shared" ref="B32:G32" si="12">+B24+B23+B21+B20+B19</f>
        <v>#DIV/0!</v>
      </c>
      <c r="C32" s="19" t="e">
        <f t="shared" si="12"/>
        <v>#DIV/0!</v>
      </c>
      <c r="D32" s="18" t="e">
        <f t="shared" si="12"/>
        <v>#DIV/0!</v>
      </c>
      <c r="E32" s="19" t="e">
        <f t="shared" si="12"/>
        <v>#DIV/0!</v>
      </c>
      <c r="F32" s="18" t="e">
        <f t="shared" si="12"/>
        <v>#DIV/0!</v>
      </c>
      <c r="G32" s="19" t="e">
        <f t="shared" si="12"/>
        <v>#DIV/0!</v>
      </c>
      <c r="H32" s="18" t="e">
        <f t="shared" ref="H32:I32" si="13">+H24+H23+H21+H20+H19</f>
        <v>#DIV/0!</v>
      </c>
      <c r="I32" s="19" t="e">
        <f t="shared" si="13"/>
        <v>#DIV/0!</v>
      </c>
      <c r="J32" s="18" t="e">
        <f t="shared" ref="J32:L32" si="14">+J24+J23+J21+J20+J19</f>
        <v>#DIV/0!</v>
      </c>
      <c r="K32" s="19" t="e">
        <f t="shared" si="14"/>
        <v>#DIV/0!</v>
      </c>
      <c r="L32" s="18" t="e">
        <f t="shared" si="14"/>
        <v>#DIV/0!</v>
      </c>
      <c r="M32" s="19" t="e">
        <f t="shared" ref="M32" si="15">+M24+M23+M21+M20+M19</f>
        <v>#DIV/0!</v>
      </c>
    </row>
    <row r="33" spans="1:13" x14ac:dyDescent="0.45">
      <c r="B33" s="35"/>
      <c r="C33" s="36"/>
      <c r="D33" s="35"/>
      <c r="E33" s="36"/>
      <c r="F33" s="35"/>
      <c r="G33" s="36"/>
      <c r="H33" s="35"/>
      <c r="I33" s="36"/>
      <c r="J33" s="35"/>
      <c r="K33" s="36"/>
      <c r="L33" s="35"/>
      <c r="M33" s="36"/>
    </row>
    <row r="34" spans="1:13" x14ac:dyDescent="0.45">
      <c r="A34" s="4" t="s">
        <v>46</v>
      </c>
      <c r="B34" s="15" t="s">
        <v>26</v>
      </c>
      <c r="C34" s="16" t="s">
        <v>26</v>
      </c>
      <c r="D34" s="15" t="s">
        <v>26</v>
      </c>
      <c r="E34" s="16">
        <f>+(E3*E6)-'104_Synthèse'!E7</f>
        <v>0</v>
      </c>
      <c r="F34" s="15">
        <f>+(F3*F6)-'104_Synthèse'!F7</f>
        <v>0</v>
      </c>
      <c r="G34" s="16">
        <f>+(G3*G6)-'104_Synthèse'!G7</f>
        <v>0</v>
      </c>
      <c r="H34" s="15">
        <f>+(H3*H6)-'104_Synthèse'!H7</f>
        <v>0</v>
      </c>
      <c r="I34" s="16">
        <f>+(I3*I6)-'104_Synthèse'!I7</f>
        <v>0</v>
      </c>
      <c r="J34" s="15">
        <f>+(J3*J6)-'104_Synthèse'!J7</f>
        <v>0</v>
      </c>
      <c r="K34" s="16">
        <f>+(K3*K6)-'104_Synthèse'!K7</f>
        <v>0</v>
      </c>
      <c r="L34" s="15">
        <f>+(L3*L6)-'104_Synthèse'!L7</f>
        <v>0</v>
      </c>
      <c r="M34" s="16">
        <f>+(M3*M6)-'104_Synthèse'!M7</f>
        <v>0</v>
      </c>
    </row>
    <row r="35" spans="1:13" x14ac:dyDescent="0.45">
      <c r="A35" s="4" t="s">
        <v>47</v>
      </c>
      <c r="B35" s="15" t="e">
        <f>(B7*(B2-B3))-'104_Synthèse'!B10</f>
        <v>#DIV/0!</v>
      </c>
      <c r="C35" s="16" t="e">
        <f>(C7*(C2-C3))-'104_Synthèse'!C10</f>
        <v>#DIV/0!</v>
      </c>
      <c r="D35" s="15" t="e">
        <f>(D7*(D2-D3))-'104_Synthèse'!D10</f>
        <v>#DIV/0!</v>
      </c>
      <c r="E35" s="16" t="e">
        <f>(E7*(E3))-'104_Synthèse'!E10</f>
        <v>#DIV/0!</v>
      </c>
      <c r="F35" s="15" t="e">
        <f>(F7*(F3))-'104_Synthèse'!F10</f>
        <v>#DIV/0!</v>
      </c>
      <c r="G35" s="16" t="e">
        <f>(G7*(G3))-'104_Synthèse'!G10</f>
        <v>#DIV/0!</v>
      </c>
      <c r="H35" s="15" t="e">
        <f>(H7*(H3))-'104_Synthèse'!H10</f>
        <v>#DIV/0!</v>
      </c>
      <c r="I35" s="16" t="e">
        <f>(I7*(I3))-'104_Synthèse'!I10</f>
        <v>#DIV/0!</v>
      </c>
      <c r="J35" s="15" t="e">
        <f>(J7*(J3))-'104_Synthèse'!J10</f>
        <v>#DIV/0!</v>
      </c>
      <c r="K35" s="16" t="e">
        <f>(K7*(K3))-'104_Synthèse'!K10</f>
        <v>#DIV/0!</v>
      </c>
      <c r="L35" s="15" t="e">
        <f>(L7*(L3))-'104_Synthèse'!L10</f>
        <v>#DIV/0!</v>
      </c>
      <c r="M35" s="16" t="e">
        <f>(M7*(M3))-'104_Synthèse'!M10</f>
        <v>#DIV/0!</v>
      </c>
    </row>
    <row r="36" spans="1:13" x14ac:dyDescent="0.45">
      <c r="A36" s="4" t="s">
        <v>48</v>
      </c>
      <c r="B36" s="15" t="e">
        <f>(B15*B2)-'104_Synthèse'!B18</f>
        <v>#DIV/0!</v>
      </c>
      <c r="C36" s="16" t="e">
        <f>(C15*C2)-'104_Synthèse'!C18</f>
        <v>#DIV/0!</v>
      </c>
      <c r="D36" s="15" t="e">
        <f>(D15*D2)-'104_Synthèse'!D18</f>
        <v>#DIV/0!</v>
      </c>
      <c r="E36" s="16" t="e">
        <f>(E15*E2)-'104_Synthèse'!E18</f>
        <v>#DIV/0!</v>
      </c>
      <c r="F36" s="15" t="e">
        <f>(F15*F2)-'104_Synthèse'!F18</f>
        <v>#DIV/0!</v>
      </c>
      <c r="G36" s="16" t="e">
        <f>(G15*G2)-'104_Synthèse'!G18</f>
        <v>#DIV/0!</v>
      </c>
      <c r="H36" s="15" t="e">
        <f>(H15*H2)-'104_Synthèse'!H18</f>
        <v>#DIV/0!</v>
      </c>
      <c r="I36" s="16" t="e">
        <f>(I15*I2)-'104_Synthèse'!I18</f>
        <v>#DIV/0!</v>
      </c>
      <c r="J36" s="15" t="e">
        <f>(J15*J2)-'104_Synthèse'!J18</f>
        <v>#DIV/0!</v>
      </c>
      <c r="K36" s="16" t="e">
        <f>(K15*K2)-'104_Synthèse'!K18</f>
        <v>#DIV/0!</v>
      </c>
      <c r="L36" s="15" t="e">
        <f>(L15*L2)-'104_Synthèse'!L18</f>
        <v>#DIV/0!</v>
      </c>
      <c r="M36" s="16" t="e">
        <f>(M15*M2)-'104_Synthèse'!M18</f>
        <v>#DIV/0!</v>
      </c>
    </row>
    <row r="37" spans="1:13" x14ac:dyDescent="0.45">
      <c r="A37" s="4" t="s">
        <v>49</v>
      </c>
      <c r="B37" s="15" t="e">
        <f>(B18*B2)-'104_Synthèse'!B21</f>
        <v>#DIV/0!</v>
      </c>
      <c r="C37" s="16" t="e">
        <f>(C18*C2)-'104_Synthèse'!C21</f>
        <v>#DIV/0!</v>
      </c>
      <c r="D37" s="15" t="e">
        <f>(D18*D2)-'104_Synthèse'!D21</f>
        <v>#DIV/0!</v>
      </c>
      <c r="E37" s="16" t="e">
        <f>(E18*E2)-'104_Synthèse'!E21</f>
        <v>#DIV/0!</v>
      </c>
      <c r="F37" s="15" t="e">
        <f>(F18*F2)-'104_Synthèse'!F21</f>
        <v>#DIV/0!</v>
      </c>
      <c r="G37" s="16" t="e">
        <f>(G18*G2)-'104_Synthèse'!G21</f>
        <v>#DIV/0!</v>
      </c>
      <c r="H37" s="15" t="e">
        <f>(H18*H2)-'104_Synthèse'!H21</f>
        <v>#DIV/0!</v>
      </c>
      <c r="I37" s="16" t="e">
        <f>(I18*I2)-'104_Synthèse'!I21</f>
        <v>#DIV/0!</v>
      </c>
      <c r="J37" s="15" t="e">
        <f>(J18*J2)-'104_Synthèse'!J21</f>
        <v>#DIV/0!</v>
      </c>
      <c r="K37" s="16" t="e">
        <f>(K18*K2)-'104_Synthèse'!K21</f>
        <v>#DIV/0!</v>
      </c>
      <c r="L37" s="15" t="e">
        <f>(L18*L2)-'104_Synthèse'!L21</f>
        <v>#DIV/0!</v>
      </c>
      <c r="M37" s="16" t="e">
        <f>(M18*M2)-'104_Synthèse'!M21</f>
        <v>#DIV/0!</v>
      </c>
    </row>
    <row r="38" spans="1:13" x14ac:dyDescent="0.45">
      <c r="A38" s="4" t="s">
        <v>50</v>
      </c>
      <c r="B38" s="15" t="e">
        <f>(B25*B2)-'104_Synthèse'!B30</f>
        <v>#DIV/0!</v>
      </c>
      <c r="C38" s="16" t="e">
        <f>(C25*C2)-'104_Synthèse'!C30</f>
        <v>#DIV/0!</v>
      </c>
      <c r="D38" s="15" t="e">
        <f>(D25*D2)-'104_Synthèse'!D30</f>
        <v>#DIV/0!</v>
      </c>
      <c r="E38" s="16" t="e">
        <f>(E25*E2)-'104_Synthèse'!E30</f>
        <v>#DIV/0!</v>
      </c>
      <c r="F38" s="15" t="e">
        <f>(F25*F2)-'104_Synthèse'!F30</f>
        <v>#DIV/0!</v>
      </c>
      <c r="G38" s="16" t="e">
        <f>(G25*G2)-'104_Synthèse'!G30</f>
        <v>#DIV/0!</v>
      </c>
      <c r="H38" s="15" t="e">
        <f>(H25*H2)-'104_Synthèse'!H30</f>
        <v>#DIV/0!</v>
      </c>
      <c r="I38" s="16" t="e">
        <f>(I25*I2)-'104_Synthèse'!I30</f>
        <v>#DIV/0!</v>
      </c>
      <c r="J38" s="15" t="e">
        <f>(J25*J2)-'104_Synthèse'!J30</f>
        <v>#DIV/0!</v>
      </c>
      <c r="K38" s="16" t="e">
        <f>(K25*K2)-'104_Synthèse'!K30</f>
        <v>#DIV/0!</v>
      </c>
      <c r="L38" s="15" t="e">
        <f>(L25*L2)-'104_Synthèse'!L30</f>
        <v>#DIV/0!</v>
      </c>
      <c r="M38" s="16" t="e">
        <f>(M25*M2)-'104_Synthèse'!M30</f>
        <v>#DIV/0!</v>
      </c>
    </row>
    <row r="39" spans="1:13" x14ac:dyDescent="0.45">
      <c r="A39" s="4" t="s">
        <v>51</v>
      </c>
      <c r="B39" s="15" t="s">
        <v>26</v>
      </c>
      <c r="C39" s="16" t="s">
        <v>26</v>
      </c>
      <c r="D39" s="15" t="s">
        <v>26</v>
      </c>
      <c r="E39" s="16" t="e">
        <f>(E26*E3)-'104_Synthèse'!E31</f>
        <v>#DIV/0!</v>
      </c>
      <c r="F39" s="15" t="e">
        <f>(F26*F3)-'104_Synthèse'!F31</f>
        <v>#DIV/0!</v>
      </c>
      <c r="G39" s="16" t="e">
        <f>(G26*G3)-'104_Synthèse'!G31</f>
        <v>#DIV/0!</v>
      </c>
      <c r="H39" s="15" t="e">
        <f>(H26*H3)-'104_Synthèse'!H31</f>
        <v>#DIV/0!</v>
      </c>
      <c r="I39" s="16" t="e">
        <f>(I26*I3)-'104_Synthèse'!I31</f>
        <v>#DIV/0!</v>
      </c>
      <c r="J39" s="15" t="e">
        <f>(J26*J3)-'104_Synthèse'!J31</f>
        <v>#DIV/0!</v>
      </c>
      <c r="K39" s="16" t="e">
        <f>(K26*K3)-'104_Synthèse'!K31</f>
        <v>#DIV/0!</v>
      </c>
      <c r="L39" s="15" t="e">
        <f>(L26*L3)-'104_Synthèse'!L31</f>
        <v>#DIV/0!</v>
      </c>
      <c r="M39" s="16" t="e">
        <f>(M26*M3)-'104_Synthèse'!M31</f>
        <v>#DIV/0!</v>
      </c>
    </row>
    <row r="40" spans="1:13" x14ac:dyDescent="0.45">
      <c r="A40" s="4" t="s">
        <v>52</v>
      </c>
      <c r="B40" s="15" t="e">
        <f>(B27*B2)-'104_Synthèse'!B32</f>
        <v>#DIV/0!</v>
      </c>
      <c r="C40" s="16" t="e">
        <f>(C27*C2)-'104_Synthèse'!C32</f>
        <v>#DIV/0!</v>
      </c>
      <c r="D40" s="15" t="e">
        <f>(D27*D2)-'104_Synthèse'!D32</f>
        <v>#DIV/0!</v>
      </c>
      <c r="E40" s="16" t="e">
        <f>(E27*E2)-'104_Synthèse'!E32</f>
        <v>#DIV/0!</v>
      </c>
      <c r="F40" s="15" t="e">
        <f>(F27*F2)-'104_Synthèse'!F32</f>
        <v>#DIV/0!</v>
      </c>
      <c r="G40" s="16" t="e">
        <f>(G27*G2)-'104_Synthèse'!G32</f>
        <v>#DIV/0!</v>
      </c>
      <c r="H40" s="15" t="e">
        <f>(H27*H2)-'104_Synthèse'!H32</f>
        <v>#DIV/0!</v>
      </c>
      <c r="I40" s="16" t="e">
        <f>(I27*I2)-'104_Synthèse'!I32</f>
        <v>#DIV/0!</v>
      </c>
      <c r="J40" s="15" t="e">
        <f>(J27*J2)-'104_Synthèse'!J32</f>
        <v>#DIV/0!</v>
      </c>
      <c r="K40" s="16" t="e">
        <f>(K27*K2)-'104_Synthèse'!K32</f>
        <v>#DIV/0!</v>
      </c>
      <c r="L40" s="15" t="e">
        <f>(L27*L2)-'104_Synthèse'!L32</f>
        <v>#DIV/0!</v>
      </c>
      <c r="M40" s="16" t="e">
        <f>(M27*M2)-'104_Synthèse'!M32</f>
        <v>#DIV/0!</v>
      </c>
    </row>
    <row r="41" spans="1:13" x14ac:dyDescent="0.45">
      <c r="A41" s="4" t="s">
        <v>53</v>
      </c>
      <c r="B41" s="15" t="s">
        <v>26</v>
      </c>
      <c r="C41" s="16" t="s">
        <v>26</v>
      </c>
      <c r="D41" s="15" t="s">
        <v>26</v>
      </c>
      <c r="E41" s="16" t="e">
        <f>(E28*E3)-'104_Synthèse'!E33</f>
        <v>#DIV/0!</v>
      </c>
      <c r="F41" s="15" t="e">
        <f>(F28*F3)-'104_Synthèse'!F33</f>
        <v>#DIV/0!</v>
      </c>
      <c r="G41" s="16" t="e">
        <f>(G28*G3)-'104_Synthèse'!G33</f>
        <v>#DIV/0!</v>
      </c>
      <c r="H41" s="15" t="e">
        <f>(H28*H3)-'104_Synthèse'!H33</f>
        <v>#DIV/0!</v>
      </c>
      <c r="I41" s="16" t="e">
        <f>(I28*I3)-'104_Synthèse'!I33</f>
        <v>#DIV/0!</v>
      </c>
      <c r="J41" s="15" t="e">
        <f>(J28*J3)-'104_Synthèse'!J33</f>
        <v>#DIV/0!</v>
      </c>
      <c r="K41" s="16" t="e">
        <f>(K28*K3)-'104_Synthèse'!K33</f>
        <v>#DIV/0!</v>
      </c>
      <c r="L41" s="15" t="e">
        <f>(L28*L3)-'104_Synthèse'!L33</f>
        <v>#DIV/0!</v>
      </c>
      <c r="M41" s="16" t="e">
        <f>(M28*M3)-'104_Synthèse'!M33</f>
        <v>#DIV/0!</v>
      </c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x14ac:dyDescent="0.45">
      <c r="A43" s="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x14ac:dyDescent="0.45">
      <c r="A44" s="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</row>
  </sheetData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 tint="0.59999389629810485"/>
  </sheetPr>
  <dimension ref="A1:N44"/>
  <sheetViews>
    <sheetView topLeftCell="B19" zoomScaleNormal="100" workbookViewId="0">
      <selection activeCell="B31" sqref="A31:XFD32"/>
    </sheetView>
  </sheetViews>
  <sheetFormatPr baseColWidth="10" defaultColWidth="11.46484375" defaultRowHeight="14.25" x14ac:dyDescent="0.45"/>
  <cols>
    <col min="1" max="1" width="28.46484375" style="32" bestFit="1" customWidth="1"/>
    <col min="2" max="2" width="5.796875" style="2" bestFit="1" customWidth="1"/>
    <col min="3" max="3" width="6.46484375" style="3" bestFit="1" customWidth="1"/>
    <col min="4" max="4" width="6.73046875" style="2" bestFit="1" customWidth="1"/>
    <col min="5" max="5" width="5.796875" style="3" bestFit="1" customWidth="1"/>
    <col min="6" max="6" width="7" style="2" bestFit="1" customWidth="1"/>
    <col min="7" max="7" width="6.19921875" style="3" bestFit="1" customWidth="1"/>
    <col min="8" max="8" width="7" style="2" bestFit="1" customWidth="1"/>
    <col min="9" max="9" width="6.53125" style="3" bestFit="1" customWidth="1"/>
    <col min="10" max="10" width="7" style="2" bestFit="1" customWidth="1"/>
    <col min="11" max="11" width="6" style="3" bestFit="1" customWidth="1"/>
    <col min="12" max="12" width="7" style="2" bestFit="1" customWidth="1"/>
    <col min="13" max="13" width="5.796875" style="3" bestFit="1" customWidth="1"/>
    <col min="14" max="14" width="0.796875" style="14" customWidth="1"/>
    <col min="15" max="16384" width="11.46484375" style="1"/>
  </cols>
  <sheetData>
    <row r="1" spans="1:13" ht="14.65" thickBot="1" x14ac:dyDescent="0.5">
      <c r="A1" s="5" t="s">
        <v>55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>
        <f>+'104_Synthèse'!B3</f>
        <v>0</v>
      </c>
      <c r="C2" s="28">
        <f>+'104_Synthèse'!C3</f>
        <v>0</v>
      </c>
      <c r="D2" s="27">
        <f>+'104_Synthèse'!D3</f>
        <v>0</v>
      </c>
      <c r="E2" s="28">
        <f>+'104_Synthèse'!E3</f>
        <v>0</v>
      </c>
      <c r="F2" s="27">
        <f>+'104_Synthèse'!F3</f>
        <v>0</v>
      </c>
      <c r="G2" s="28">
        <f>+'104_Synthèse'!G3</f>
        <v>0</v>
      </c>
      <c r="H2" s="27">
        <f>+'104_Synthèse'!H3</f>
        <v>0</v>
      </c>
      <c r="I2" s="28">
        <f>+'104_Synthèse'!I3</f>
        <v>0</v>
      </c>
      <c r="J2" s="27">
        <f>+'104_Synthèse'!J3</f>
        <v>0</v>
      </c>
      <c r="K2" s="28">
        <f>+'104_Synthèse'!K3</f>
        <v>0</v>
      </c>
      <c r="L2" s="27">
        <f>+'104_Synthèse'!L3</f>
        <v>0</v>
      </c>
      <c r="M2" s="28">
        <f>+'104_Synthèse'!M3</f>
        <v>0</v>
      </c>
    </row>
    <row r="3" spans="1:13" x14ac:dyDescent="0.45">
      <c r="A3" s="26" t="s">
        <v>23</v>
      </c>
      <c r="B3" s="27">
        <f>+'104_Synthèse'!B4</f>
        <v>15.350000000000003</v>
      </c>
      <c r="C3" s="28">
        <f>+'104_Synthèse'!C4</f>
        <v>15.350000000000003</v>
      </c>
      <c r="D3" s="27">
        <f>+'104_Synthèse'!D4</f>
        <v>15.350000000000003</v>
      </c>
      <c r="E3" s="28">
        <f>+'104_Synthèse'!E4</f>
        <v>15.350000000000003</v>
      </c>
      <c r="F3" s="27">
        <f>+'104_Synthèse'!F4</f>
        <v>15.350000000000003</v>
      </c>
      <c r="G3" s="28">
        <f>+'104_Synthèse'!G4</f>
        <v>15.350000000000003</v>
      </c>
      <c r="H3" s="27">
        <f>+'104_Synthèse'!H4</f>
        <v>15.350000000000003</v>
      </c>
      <c r="I3" s="28">
        <f>+'104_Synthèse'!I4</f>
        <v>15.350000000000003</v>
      </c>
      <c r="J3" s="27">
        <f>+'104_Synthèse'!J4</f>
        <v>15.350000000000003</v>
      </c>
      <c r="K3" s="28">
        <f>+'104_Synthèse'!K4</f>
        <v>15.350000000000003</v>
      </c>
      <c r="L3" s="27">
        <f>+'104_Synthèse'!L4</f>
        <v>15.350000000000003</v>
      </c>
      <c r="M3" s="28">
        <f>+'104_Synthèse'!M4</f>
        <v>15.350000000000003</v>
      </c>
    </row>
    <row r="4" spans="1:13" x14ac:dyDescent="0.45">
      <c r="A4" s="26" t="s">
        <v>0</v>
      </c>
      <c r="B4" s="27">
        <f>+'104_Synthèse'!B5</f>
        <v>0</v>
      </c>
      <c r="C4" s="30">
        <f>+'104_Synthèse'!C5</f>
        <v>0</v>
      </c>
      <c r="D4" s="27">
        <f>+'104_Synthèse'!D5</f>
        <v>0</v>
      </c>
      <c r="E4" s="30">
        <f>+'104_Synthèse'!E5</f>
        <v>30700.000000000007</v>
      </c>
      <c r="F4" s="27">
        <f>+'104_Synthèse'!F5</f>
        <v>337700.00000000006</v>
      </c>
      <c r="G4" s="30">
        <f>+'104_Synthèse'!G5</f>
        <v>253275.00000000006</v>
      </c>
      <c r="H4" s="27">
        <f>+'104_Synthèse'!H5</f>
        <v>253275.00000000006</v>
      </c>
      <c r="I4" s="30">
        <f>+'104_Synthèse'!I5</f>
        <v>337700.00000000006</v>
      </c>
      <c r="J4" s="27">
        <f>+'104_Synthèse'!J5</f>
        <v>253275.00000000006</v>
      </c>
      <c r="K4" s="30">
        <f>+'104_Synthèse'!K5</f>
        <v>253275.00000000006</v>
      </c>
      <c r="L4" s="27">
        <f>+'104_Synthèse'!L5</f>
        <v>168850.00000000003</v>
      </c>
      <c r="M4" s="30">
        <f>+'104_Synthèse'!M5</f>
        <v>84425.000000000015</v>
      </c>
    </row>
    <row r="5" spans="1:13" x14ac:dyDescent="0.45">
      <c r="A5" s="17" t="s">
        <v>1</v>
      </c>
      <c r="B5" s="18" t="s">
        <v>26</v>
      </c>
      <c r="C5" s="19" t="s">
        <v>26</v>
      </c>
      <c r="D5" s="18" t="s">
        <v>26</v>
      </c>
      <c r="E5" s="19">
        <f t="shared" ref="E5:G5" si="0">+E4/E3/1000</f>
        <v>2</v>
      </c>
      <c r="F5" s="18">
        <f t="shared" si="0"/>
        <v>22</v>
      </c>
      <c r="G5" s="19">
        <f t="shared" si="0"/>
        <v>16.5</v>
      </c>
      <c r="H5" s="18">
        <f t="shared" ref="H5:I5" si="1">+H4/H3/1000</f>
        <v>16.5</v>
      </c>
      <c r="I5" s="19">
        <f t="shared" si="1"/>
        <v>22</v>
      </c>
      <c r="J5" s="18">
        <f t="shared" ref="J5:K5" si="2">+J4/J3/1000</f>
        <v>16.5</v>
      </c>
      <c r="K5" s="19">
        <f t="shared" si="2"/>
        <v>16.5</v>
      </c>
      <c r="L5" s="18">
        <f t="shared" ref="L5:M5" si="3">+L4/L3/1000</f>
        <v>11</v>
      </c>
      <c r="M5" s="19">
        <f t="shared" si="3"/>
        <v>5.5</v>
      </c>
    </row>
    <row r="6" spans="1:13" x14ac:dyDescent="0.45">
      <c r="A6" s="32" t="s">
        <v>58</v>
      </c>
      <c r="B6" s="38" t="s">
        <v>26</v>
      </c>
      <c r="C6" s="39" t="s">
        <v>26</v>
      </c>
      <c r="D6" s="38" t="s">
        <v>26</v>
      </c>
      <c r="E6" s="39">
        <f>('104_Synthèse'!E7+'104_Synthèse'!E9)/E4</f>
        <v>0</v>
      </c>
      <c r="F6" s="38">
        <f>('104_Synthèse'!F7+'104_Synthèse'!F9)/F4</f>
        <v>9.0909090909090899</v>
      </c>
      <c r="G6" s="39">
        <f>('104_Synthèse'!G7+'104_Synthèse'!G9)/G4</f>
        <v>9.0909090909090899</v>
      </c>
      <c r="H6" s="38">
        <f>('104_Synthèse'!H7+'104_Synthèse'!H9)/H4</f>
        <v>9.0909090909090899</v>
      </c>
      <c r="I6" s="39">
        <f>('104_Synthèse'!I7+'104_Synthèse'!I9)/I4</f>
        <v>9.0909090909090899</v>
      </c>
      <c r="J6" s="38">
        <f>('104_Synthèse'!J7+'104_Synthèse'!J9)/J4</f>
        <v>9.0909090909090899</v>
      </c>
      <c r="K6" s="39">
        <f>('104_Synthèse'!K7+'104_Synthèse'!K9)/K4</f>
        <v>9.0909090909090899</v>
      </c>
      <c r="L6" s="38">
        <f>('104_Synthèse'!L7+'104_Synthèse'!L9)/L4</f>
        <v>9.0909090909090899</v>
      </c>
      <c r="M6" s="39">
        <f>('104_Synthèse'!M7+'104_Synthèse'!M9)/M4</f>
        <v>9.0909090909090899</v>
      </c>
    </row>
    <row r="7" spans="1:13" x14ac:dyDescent="0.45">
      <c r="A7" s="32" t="s">
        <v>59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3" x14ac:dyDescent="0.45">
      <c r="A8" s="26" t="s">
        <v>58</v>
      </c>
      <c r="B8" s="41" t="s">
        <v>26</v>
      </c>
      <c r="C8" s="42" t="s">
        <v>26</v>
      </c>
      <c r="D8" s="41" t="s">
        <v>26</v>
      </c>
      <c r="E8" s="42">
        <f t="shared" ref="E8" si="4">+E7+E6</f>
        <v>0</v>
      </c>
      <c r="F8" s="41">
        <f t="shared" ref="F8:H8" si="5">+F7+F6</f>
        <v>9.0909090909090899</v>
      </c>
      <c r="G8" s="42">
        <f t="shared" ref="G8:J8" si="6">+G7+G6</f>
        <v>9.0909090909090899</v>
      </c>
      <c r="H8" s="41">
        <f t="shared" si="5"/>
        <v>9.0909090909090899</v>
      </c>
      <c r="I8" s="42">
        <f t="shared" si="6"/>
        <v>9.0909090909090899</v>
      </c>
      <c r="J8" s="41">
        <f t="shared" si="6"/>
        <v>9.0909090909090899</v>
      </c>
      <c r="K8" s="42">
        <f t="shared" ref="K8:L8" si="7">+K7+K6</f>
        <v>9.0909090909090899</v>
      </c>
      <c r="L8" s="41">
        <f t="shared" si="7"/>
        <v>9.0909090909090899</v>
      </c>
      <c r="M8" s="42">
        <f t="shared" ref="M8" si="8">+M7+M6</f>
        <v>9.0909090909090899</v>
      </c>
    </row>
    <row r="9" spans="1:13" x14ac:dyDescent="0.45">
      <c r="A9" s="32" t="s">
        <v>2</v>
      </c>
      <c r="B9" s="38" t="s">
        <v>26</v>
      </c>
      <c r="C9" s="39" t="s">
        <v>26</v>
      </c>
      <c r="D9" s="38" t="s">
        <v>26</v>
      </c>
      <c r="E9" s="39">
        <f>'104_Synthèse'!E12/E4</f>
        <v>0</v>
      </c>
      <c r="F9" s="38">
        <f>'104_Synthèse'!F12/F4</f>
        <v>0</v>
      </c>
      <c r="G9" s="39">
        <f>'104_Synthèse'!G12/G4</f>
        <v>0</v>
      </c>
      <c r="H9" s="38">
        <f>'104_Synthèse'!H12/H4</f>
        <v>0</v>
      </c>
      <c r="I9" s="39">
        <f>'104_Synthèse'!I12/I4</f>
        <v>0</v>
      </c>
      <c r="J9" s="38">
        <f>'104_Synthèse'!J12/J4</f>
        <v>0</v>
      </c>
      <c r="K9" s="39">
        <f>'104_Synthèse'!K12/K4</f>
        <v>0</v>
      </c>
      <c r="L9" s="38">
        <f>'104_Synthèse'!L12/L4</f>
        <v>0</v>
      </c>
      <c r="M9" s="39">
        <f>'104_Synthèse'!M12/M4</f>
        <v>0</v>
      </c>
    </row>
    <row r="10" spans="1:13" x14ac:dyDescent="0.45">
      <c r="A10" s="32" t="s">
        <v>3</v>
      </c>
      <c r="B10" s="38" t="s">
        <v>26</v>
      </c>
      <c r="C10" s="39" t="s">
        <v>26</v>
      </c>
      <c r="D10" s="38" t="s">
        <v>26</v>
      </c>
      <c r="E10" s="39">
        <f>'104_Synthèse'!E13/E4</f>
        <v>0</v>
      </c>
      <c r="F10" s="38">
        <f>'104_Synthèse'!F13/F4</f>
        <v>0</v>
      </c>
      <c r="G10" s="39">
        <f>'104_Synthèse'!G13/G4</f>
        <v>0</v>
      </c>
      <c r="H10" s="38">
        <f>'104_Synthèse'!H13/H4</f>
        <v>0</v>
      </c>
      <c r="I10" s="39">
        <f>'104_Synthèse'!I13/I4</f>
        <v>0</v>
      </c>
      <c r="J10" s="38">
        <f>'104_Synthèse'!J13/J4</f>
        <v>0</v>
      </c>
      <c r="K10" s="39">
        <f>'104_Synthèse'!K13/K4</f>
        <v>0</v>
      </c>
      <c r="L10" s="38">
        <f>'104_Synthèse'!L13/L4</f>
        <v>0</v>
      </c>
      <c r="M10" s="39">
        <f>'104_Synthèse'!M13/M4</f>
        <v>0</v>
      </c>
    </row>
    <row r="11" spans="1:13" x14ac:dyDescent="0.45">
      <c r="A11" s="32" t="s">
        <v>4</v>
      </c>
      <c r="B11" s="38" t="s">
        <v>26</v>
      </c>
      <c r="C11" s="39" t="s">
        <v>26</v>
      </c>
      <c r="D11" s="38" t="s">
        <v>26</v>
      </c>
      <c r="E11" s="39">
        <f>'104_Synthèse'!E14/E4</f>
        <v>0</v>
      </c>
      <c r="F11" s="38">
        <f>'104_Synthèse'!F14/F4</f>
        <v>0</v>
      </c>
      <c r="G11" s="39">
        <f>'104_Synthèse'!G14/G4</f>
        <v>0</v>
      </c>
      <c r="H11" s="38">
        <f>'104_Synthèse'!H14/H4</f>
        <v>0</v>
      </c>
      <c r="I11" s="39">
        <f>'104_Synthèse'!I14/I4</f>
        <v>0</v>
      </c>
      <c r="J11" s="38">
        <f>'104_Synthèse'!J14/J4</f>
        <v>0</v>
      </c>
      <c r="K11" s="39">
        <f>'104_Synthèse'!K14/K4</f>
        <v>0</v>
      </c>
      <c r="L11" s="38">
        <f>'104_Synthèse'!L14/L4</f>
        <v>0</v>
      </c>
      <c r="M11" s="39">
        <f>'104_Synthèse'!M14/M4</f>
        <v>0</v>
      </c>
    </row>
    <row r="12" spans="1:13" x14ac:dyDescent="0.45">
      <c r="A12" s="32" t="s">
        <v>5</v>
      </c>
      <c r="B12" s="38" t="s">
        <v>26</v>
      </c>
      <c r="C12" s="39" t="s">
        <v>26</v>
      </c>
      <c r="D12" s="38" t="s">
        <v>26</v>
      </c>
      <c r="E12" s="39">
        <f>'104_Synthèse'!E15/E4</f>
        <v>0</v>
      </c>
      <c r="F12" s="38">
        <f>'104_Synthèse'!F15/F4</f>
        <v>0</v>
      </c>
      <c r="G12" s="39">
        <f>'104_Synthèse'!G15/G4</f>
        <v>0</v>
      </c>
      <c r="H12" s="38">
        <f>'104_Synthèse'!H15/H4</f>
        <v>0</v>
      </c>
      <c r="I12" s="39">
        <f>'104_Synthèse'!I15/I4</f>
        <v>0</v>
      </c>
      <c r="J12" s="38">
        <f>'104_Synthèse'!J15/J4</f>
        <v>0</v>
      </c>
      <c r="K12" s="39">
        <f>'104_Synthèse'!K15/K4</f>
        <v>0</v>
      </c>
      <c r="L12" s="38">
        <f>'104_Synthèse'!L15/L4</f>
        <v>0</v>
      </c>
      <c r="M12" s="39">
        <f>'104_Synthèse'!M15/M4</f>
        <v>0</v>
      </c>
    </row>
    <row r="13" spans="1:13" x14ac:dyDescent="0.45">
      <c r="A13" s="32" t="s">
        <v>6</v>
      </c>
      <c r="B13" s="38" t="s">
        <v>26</v>
      </c>
      <c r="C13" s="39" t="s">
        <v>26</v>
      </c>
      <c r="D13" s="38" t="s">
        <v>26</v>
      </c>
      <c r="E13" s="39">
        <f>'104_Synthèse'!E16/E4</f>
        <v>0</v>
      </c>
      <c r="F13" s="38">
        <f>'104_Synthèse'!F16/F4</f>
        <v>0</v>
      </c>
      <c r="G13" s="39">
        <f>'104_Synthèse'!G16/G4</f>
        <v>0</v>
      </c>
      <c r="H13" s="38">
        <f>'104_Synthèse'!H16/H4</f>
        <v>0</v>
      </c>
      <c r="I13" s="39">
        <f>'104_Synthèse'!I16/I4</f>
        <v>0</v>
      </c>
      <c r="J13" s="38">
        <f>'104_Synthèse'!J16/J4</f>
        <v>0</v>
      </c>
      <c r="K13" s="39">
        <f>'104_Synthèse'!K16/K4</f>
        <v>0</v>
      </c>
      <c r="L13" s="38">
        <f>'104_Synthèse'!L16/L4</f>
        <v>0</v>
      </c>
      <c r="M13" s="39">
        <f>'104_Synthèse'!M16/M4</f>
        <v>0</v>
      </c>
    </row>
    <row r="14" spans="1:13" x14ac:dyDescent="0.45">
      <c r="A14" s="32" t="s">
        <v>7</v>
      </c>
      <c r="B14" s="38" t="s">
        <v>26</v>
      </c>
      <c r="C14" s="39" t="s">
        <v>26</v>
      </c>
      <c r="D14" s="38" t="s">
        <v>26</v>
      </c>
      <c r="E14" s="39">
        <f>'104_Synthèse'!E17/E4</f>
        <v>0.5</v>
      </c>
      <c r="F14" s="38">
        <f>'104_Synthèse'!F17/F4</f>
        <v>4.5454545454545456E-2</v>
      </c>
      <c r="G14" s="39">
        <f>'104_Synthèse'!G17/G4</f>
        <v>6.0606060606060608E-2</v>
      </c>
      <c r="H14" s="38">
        <f>'104_Synthèse'!H17/H4</f>
        <v>6.0606060606060608E-2</v>
      </c>
      <c r="I14" s="39">
        <f>'104_Synthèse'!I17/I4</f>
        <v>4.5454545454545456E-2</v>
      </c>
      <c r="J14" s="38">
        <f>'104_Synthèse'!J17/J4</f>
        <v>6.0606060606060608E-2</v>
      </c>
      <c r="K14" s="39">
        <f>'104_Synthèse'!K17/K4</f>
        <v>6.0606060606060608E-2</v>
      </c>
      <c r="L14" s="38">
        <f>'104_Synthèse'!L17/L4</f>
        <v>9.0909090909090912E-2</v>
      </c>
      <c r="M14" s="39">
        <f>'104_Synthèse'!M17/M4</f>
        <v>0.18181818181818182</v>
      </c>
    </row>
    <row r="15" spans="1:13" x14ac:dyDescent="0.45">
      <c r="A15" s="26" t="s">
        <v>60</v>
      </c>
      <c r="B15" s="41" t="s">
        <v>26</v>
      </c>
      <c r="C15" s="42" t="s">
        <v>26</v>
      </c>
      <c r="D15" s="41" t="s">
        <v>26</v>
      </c>
      <c r="E15" s="42" t="e">
        <f>('104_Synthèse'!E18-'104_Synthèse'!E10)/E4</f>
        <v>#DIV/0!</v>
      </c>
      <c r="F15" s="41" t="e">
        <f>('104_Synthèse'!F18-'104_Synthèse'!F10)/F4</f>
        <v>#DIV/0!</v>
      </c>
      <c r="G15" s="42" t="e">
        <f>('104_Synthèse'!G18-'104_Synthèse'!G10)/G4</f>
        <v>#DIV/0!</v>
      </c>
      <c r="H15" s="41" t="e">
        <f>('104_Synthèse'!H18-'104_Synthèse'!H10)/H4</f>
        <v>#DIV/0!</v>
      </c>
      <c r="I15" s="42" t="e">
        <f>('104_Synthèse'!I18-'104_Synthèse'!I10)/I4</f>
        <v>#DIV/0!</v>
      </c>
      <c r="J15" s="41" t="e">
        <f>('104_Synthèse'!J18-'104_Synthèse'!J10)/J4</f>
        <v>#DIV/0!</v>
      </c>
      <c r="K15" s="42" t="e">
        <f>('104_Synthèse'!K18-'104_Synthèse'!K10)/K4</f>
        <v>#DIV/0!</v>
      </c>
      <c r="L15" s="41" t="e">
        <f>('104_Synthèse'!L18-'104_Synthèse'!L10)/L4</f>
        <v>#DIV/0!</v>
      </c>
      <c r="M15" s="42" t="e">
        <f>('104_Synthèse'!M18-'104_Synthèse'!M10)/M4</f>
        <v>#DIV/0!</v>
      </c>
    </row>
    <row r="16" spans="1:13" x14ac:dyDescent="0.45">
      <c r="A16" s="32" t="s">
        <v>63</v>
      </c>
      <c r="B16" s="38" t="s">
        <v>26</v>
      </c>
      <c r="C16" s="39" t="s">
        <v>26</v>
      </c>
      <c r="D16" s="38" t="s">
        <v>26</v>
      </c>
      <c r="E16" s="39">
        <f>'104_Synthèse'!E19/E4</f>
        <v>0</v>
      </c>
      <c r="F16" s="38">
        <f>'104_Synthèse'!F19/F4</f>
        <v>0</v>
      </c>
      <c r="G16" s="39">
        <f>'104_Synthèse'!G19/G4</f>
        <v>0</v>
      </c>
      <c r="H16" s="38">
        <f>'104_Synthèse'!H19/H4</f>
        <v>0</v>
      </c>
      <c r="I16" s="39">
        <f>'104_Synthèse'!I19/I4</f>
        <v>0</v>
      </c>
      <c r="J16" s="38">
        <f>'104_Synthèse'!J19/J4</f>
        <v>0</v>
      </c>
      <c r="K16" s="39">
        <f>'104_Synthèse'!K19/K4</f>
        <v>0</v>
      </c>
      <c r="L16" s="38">
        <f>'104_Synthèse'!L19/L4</f>
        <v>0</v>
      </c>
      <c r="M16" s="39">
        <f>'104_Synthèse'!M19/M4</f>
        <v>0</v>
      </c>
    </row>
    <row r="17" spans="1:13" x14ac:dyDescent="0.45">
      <c r="A17" s="32" t="s">
        <v>64</v>
      </c>
      <c r="B17" s="38" t="s">
        <v>26</v>
      </c>
      <c r="C17" s="39" t="s">
        <v>26</v>
      </c>
      <c r="D17" s="38" t="s">
        <v>26</v>
      </c>
      <c r="E17" s="39">
        <f>'104_Synthèse'!E20/E4</f>
        <v>0</v>
      </c>
      <c r="F17" s="38">
        <f>'104_Synthèse'!F20/F4</f>
        <v>0</v>
      </c>
      <c r="G17" s="39">
        <f>'104_Synthèse'!G20/G4</f>
        <v>0</v>
      </c>
      <c r="H17" s="38">
        <f>'104_Synthèse'!H20/H4</f>
        <v>0</v>
      </c>
      <c r="I17" s="39">
        <f>'104_Synthèse'!I20/I4</f>
        <v>0</v>
      </c>
      <c r="J17" s="38">
        <f>'104_Synthèse'!J20/J4</f>
        <v>0</v>
      </c>
      <c r="K17" s="39">
        <f>'104_Synthèse'!K20/K4</f>
        <v>0</v>
      </c>
      <c r="L17" s="38">
        <f>'104_Synthèse'!L20/L4</f>
        <v>0</v>
      </c>
      <c r="M17" s="39">
        <f>'104_Synthèse'!M20/M4</f>
        <v>0</v>
      </c>
    </row>
    <row r="18" spans="1:13" x14ac:dyDescent="0.45">
      <c r="A18" s="26" t="s">
        <v>65</v>
      </c>
      <c r="B18" s="41" t="s">
        <v>26</v>
      </c>
      <c r="C18" s="42" t="s">
        <v>26</v>
      </c>
      <c r="D18" s="41" t="s">
        <v>26</v>
      </c>
      <c r="E18" s="42">
        <f>'104_Synthèse'!E21/E4</f>
        <v>0</v>
      </c>
      <c r="F18" s="41">
        <f>'104_Synthèse'!F21/F4</f>
        <v>0</v>
      </c>
      <c r="G18" s="42">
        <f>'104_Synthèse'!G21/G4</f>
        <v>0</v>
      </c>
      <c r="H18" s="41">
        <f>'104_Synthèse'!H21/H4</f>
        <v>0</v>
      </c>
      <c r="I18" s="42">
        <f>'104_Synthèse'!I21/I4</f>
        <v>0</v>
      </c>
      <c r="J18" s="41">
        <f>'104_Synthèse'!J21/J4</f>
        <v>0</v>
      </c>
      <c r="K18" s="42">
        <f>'104_Synthèse'!K21/K4</f>
        <v>0</v>
      </c>
      <c r="L18" s="41">
        <f>'104_Synthèse'!L21/L4</f>
        <v>0</v>
      </c>
      <c r="M18" s="42">
        <f>'104_Synthèse'!M21/M4</f>
        <v>0</v>
      </c>
    </row>
    <row r="19" spans="1:13" x14ac:dyDescent="0.45">
      <c r="A19" s="32" t="s">
        <v>66</v>
      </c>
      <c r="B19" s="38" t="s">
        <v>26</v>
      </c>
      <c r="C19" s="39" t="s">
        <v>26</v>
      </c>
      <c r="D19" s="38" t="s">
        <v>26</v>
      </c>
      <c r="E19" s="39">
        <f>'104_Synthèse'!E22/E4</f>
        <v>0</v>
      </c>
      <c r="F19" s="38">
        <f>'104_Synthèse'!F22/F4</f>
        <v>0</v>
      </c>
      <c r="G19" s="39">
        <f>'104_Synthèse'!G22/G4</f>
        <v>0</v>
      </c>
      <c r="H19" s="38">
        <f>'104_Synthèse'!H22/H4</f>
        <v>0</v>
      </c>
      <c r="I19" s="39">
        <f>'104_Synthèse'!I22/I4</f>
        <v>0</v>
      </c>
      <c r="J19" s="38">
        <f>'104_Synthèse'!J22/J4</f>
        <v>0</v>
      </c>
      <c r="K19" s="39">
        <f>'104_Synthèse'!K22/K4</f>
        <v>0</v>
      </c>
      <c r="L19" s="38">
        <f>'104_Synthèse'!L22/L4</f>
        <v>0</v>
      </c>
      <c r="M19" s="39">
        <f>'104_Synthèse'!M22/M4</f>
        <v>0</v>
      </c>
    </row>
    <row r="20" spans="1:13" x14ac:dyDescent="0.45">
      <c r="A20" s="32" t="s">
        <v>69</v>
      </c>
      <c r="B20" s="38" t="s">
        <v>26</v>
      </c>
      <c r="C20" s="39" t="s">
        <v>26</v>
      </c>
      <c r="D20" s="38" t="s">
        <v>26</v>
      </c>
      <c r="E20" s="39">
        <f>'104_Synthèse'!E23/E4</f>
        <v>1.2254901960784315</v>
      </c>
      <c r="F20" s="38">
        <f>'104_Synthèse'!F23/F4</f>
        <v>0.11140819964349377</v>
      </c>
      <c r="G20" s="39">
        <f>'104_Synthèse'!G23/G4</f>
        <v>0.14854426619132502</v>
      </c>
      <c r="H20" s="38">
        <f>'104_Synthèse'!H23/H4</f>
        <v>0.14854426619132502</v>
      </c>
      <c r="I20" s="39">
        <f>'104_Synthèse'!I23/I4</f>
        <v>0.11140819964349377</v>
      </c>
      <c r="J20" s="38">
        <f>'104_Synthèse'!J23/J4</f>
        <v>0.14854426619132502</v>
      </c>
      <c r="K20" s="39">
        <f>'104_Synthèse'!K23/K4</f>
        <v>0.14854426619132502</v>
      </c>
      <c r="L20" s="38">
        <f>'104_Synthèse'!L23/L4</f>
        <v>0.22281639928698754</v>
      </c>
      <c r="M20" s="39">
        <f>'104_Synthèse'!M23/M4</f>
        <v>0.44563279857397509</v>
      </c>
    </row>
    <row r="21" spans="1:13" x14ac:dyDescent="0.45">
      <c r="A21" s="32" t="s">
        <v>67</v>
      </c>
      <c r="B21" s="38" t="s">
        <v>26</v>
      </c>
      <c r="C21" s="39" t="s">
        <v>26</v>
      </c>
      <c r="D21" s="38" t="s">
        <v>26</v>
      </c>
      <c r="E21" s="39">
        <f>'104_Synthèse'!E24/E4</f>
        <v>0.33535190450189217</v>
      </c>
      <c r="F21" s="38">
        <f>'104_Synthèse'!F24/F4</f>
        <v>3.0486536772899291E-2</v>
      </c>
      <c r="G21" s="39">
        <f>'104_Synthèse'!G24/G4</f>
        <v>5.5800230848714209E-2</v>
      </c>
      <c r="H21" s="38">
        <f>'104_Synthèse'!H24/H4</f>
        <v>5.5800230848714209E-2</v>
      </c>
      <c r="I21" s="39">
        <f>'104_Synthèse'!I24/I4</f>
        <v>3.0486536772899291E-2</v>
      </c>
      <c r="J21" s="38">
        <f>'104_Synthèse'!J24/J4</f>
        <v>5.5800230848714209E-2</v>
      </c>
      <c r="K21" s="39">
        <f>'104_Synthèse'!K24/K4</f>
        <v>2.4707545032901356E-2</v>
      </c>
      <c r="L21" s="38">
        <f>'104_Synthèse'!L24/L4</f>
        <v>3.7061317549352039E-2</v>
      </c>
      <c r="M21" s="39">
        <f>'104_Synthèse'!M24/M4</f>
        <v>1.4898471640012937E-2</v>
      </c>
    </row>
    <row r="22" spans="1:13" x14ac:dyDescent="0.45">
      <c r="A22" s="32" t="s">
        <v>68</v>
      </c>
      <c r="B22" s="38" t="s">
        <v>26</v>
      </c>
      <c r="C22" s="39" t="s">
        <v>26</v>
      </c>
      <c r="D22" s="38" t="s">
        <v>26</v>
      </c>
      <c r="E22" s="39">
        <f>'104_Synthèse'!E25/E4</f>
        <v>9.0362783570588245</v>
      </c>
      <c r="F22" s="38">
        <f>'104_Synthèse'!F25/F4</f>
        <v>0.8026396679144383</v>
      </c>
      <c r="G22" s="39">
        <f>'104_Synthèse'!G25/G4</f>
        <v>1.0312698892335119</v>
      </c>
      <c r="H22" s="38">
        <f>'104_Synthèse'!H25/H4</f>
        <v>1.0251265220677364</v>
      </c>
      <c r="I22" s="39">
        <f>'104_Synthèse'!I25/I4</f>
        <v>0.7692717806417112</v>
      </c>
      <c r="J22" s="38">
        <f>'104_Synthèse'!J25/J4</f>
        <v>1.0710382292335117</v>
      </c>
      <c r="K22" s="39">
        <f>'104_Synthèse'!K25/K4</f>
        <v>0</v>
      </c>
      <c r="L22" s="38">
        <f>'104_Synthèse'!L25/L4</f>
        <v>0</v>
      </c>
      <c r="M22" s="39">
        <f>'104_Synthèse'!M25/M4</f>
        <v>7.2727272727272724E-2</v>
      </c>
    </row>
    <row r="23" spans="1:13" x14ac:dyDescent="0.45">
      <c r="A23" s="32" t="s">
        <v>70</v>
      </c>
      <c r="B23" s="38" t="s">
        <v>26</v>
      </c>
      <c r="C23" s="39" t="s">
        <v>26</v>
      </c>
      <c r="D23" s="38" t="s">
        <v>26</v>
      </c>
      <c r="E23" s="39">
        <f>'104_Synthèse'!E28/E4</f>
        <v>0</v>
      </c>
      <c r="F23" s="38">
        <f>'104_Synthèse'!F28/F4</f>
        <v>68.181818181818187</v>
      </c>
      <c r="G23" s="39">
        <f>'104_Synthèse'!G28/G4</f>
        <v>68.181818181818187</v>
      </c>
      <c r="H23" s="38">
        <f>'104_Synthèse'!H28/H4</f>
        <v>68.181818181818187</v>
      </c>
      <c r="I23" s="39">
        <f>'104_Synthèse'!I28/I4</f>
        <v>68.181818181818187</v>
      </c>
      <c r="J23" s="38">
        <f>'104_Synthèse'!J28/J4</f>
        <v>68.181818181818187</v>
      </c>
      <c r="K23" s="39">
        <f>'104_Synthèse'!K28/K4</f>
        <v>68.181818181818187</v>
      </c>
      <c r="L23" s="38">
        <f>'104_Synthèse'!L28/L4</f>
        <v>68.181818181818187</v>
      </c>
      <c r="M23" s="39">
        <f>'104_Synthèse'!M28/M4</f>
        <v>68.181818181818187</v>
      </c>
    </row>
    <row r="24" spans="1:13" x14ac:dyDescent="0.45">
      <c r="A24" s="32" t="s">
        <v>71</v>
      </c>
      <c r="B24" s="38" t="s">
        <v>26</v>
      </c>
      <c r="C24" s="39" t="s">
        <v>26</v>
      </c>
      <c r="D24" s="38" t="s">
        <v>26</v>
      </c>
      <c r="E24" s="39">
        <f>'104_Synthèse'!E29/E4</f>
        <v>0.12227222232682491</v>
      </c>
      <c r="F24" s="38">
        <f>'104_Synthèse'!F29/F4</f>
        <v>1.1115656575165903E-2</v>
      </c>
      <c r="G24" s="39">
        <f>'104_Synthèse'!G29/G4</f>
        <v>1.4820875433554537E-2</v>
      </c>
      <c r="H24" s="38">
        <f>'104_Synthèse'!H29/H4</f>
        <v>2.1338956776060194E-2</v>
      </c>
      <c r="I24" s="39">
        <f>'104_Synthèse'!I29/I4</f>
        <v>1.1115656575165903E-2</v>
      </c>
      <c r="J24" s="38">
        <f>'104_Synthèse'!J29/J4</f>
        <v>3.8099737371074749E-2</v>
      </c>
      <c r="K24" s="39">
        <f>'104_Synthèse'!K29/K4</f>
        <v>1.4820875433554537E-2</v>
      </c>
      <c r="L24" s="38">
        <f>'104_Synthèse'!L29/L4</f>
        <v>2.2231313150331805E-2</v>
      </c>
      <c r="M24" s="39">
        <f>'104_Synthèse'!M29/M4</f>
        <v>4.446262630066361E-2</v>
      </c>
    </row>
    <row r="25" spans="1:13" x14ac:dyDescent="0.45">
      <c r="A25" s="26" t="s">
        <v>61</v>
      </c>
      <c r="B25" s="41" t="s">
        <v>26</v>
      </c>
      <c r="C25" s="42" t="s">
        <v>26</v>
      </c>
      <c r="D25" s="41" t="s">
        <v>26</v>
      </c>
      <c r="E25" s="42">
        <f>'104_Synthèse'!E30/E4</f>
        <v>12.209605630202269</v>
      </c>
      <c r="F25" s="41">
        <f>'104_Synthèse'!F30/F4</f>
        <v>69.272942147291118</v>
      </c>
      <c r="G25" s="42">
        <f>'104_Synthèse'!G30/G4</f>
        <v>69.612885316281208</v>
      </c>
      <c r="H25" s="41">
        <f>'104_Synthèse'!H30/H4</f>
        <v>69.613260030457937</v>
      </c>
      <c r="I25" s="42">
        <f>'104_Synthèse'!I30/I4</f>
        <v>69.239574260018387</v>
      </c>
      <c r="J25" s="41">
        <f>'104_Synthèse'!J30/J4</f>
        <v>69.675932518218715</v>
      </c>
      <c r="K25" s="42">
        <f>'104_Synthèse'!K30/K4</f>
        <v>68.550522741231887</v>
      </c>
      <c r="L25" s="41">
        <f>'104_Synthèse'!L30/L4</f>
        <v>68.73487502093873</v>
      </c>
      <c r="M25" s="42">
        <f>'104_Synthèse'!M30/M4</f>
        <v>69.301434969327843</v>
      </c>
    </row>
    <row r="26" spans="1:13" x14ac:dyDescent="0.45">
      <c r="A26" s="26" t="s">
        <v>62</v>
      </c>
      <c r="B26" s="41" t="s">
        <v>26</v>
      </c>
      <c r="C26" s="42" t="s">
        <v>26</v>
      </c>
      <c r="D26" s="41" t="s">
        <v>26</v>
      </c>
      <c r="E26" s="42" t="e">
        <f>'104_Synthèse'!E31/E4</f>
        <v>#DIV/0!</v>
      </c>
      <c r="F26" s="41" t="e">
        <f>'104_Synthèse'!F31/F4</f>
        <v>#DIV/0!</v>
      </c>
      <c r="G26" s="42" t="e">
        <f>'104_Synthèse'!G31/G4</f>
        <v>#DIV/0!</v>
      </c>
      <c r="H26" s="41" t="e">
        <f>'104_Synthèse'!H31/H4</f>
        <v>#DIV/0!</v>
      </c>
      <c r="I26" s="42" t="e">
        <f>'104_Synthèse'!I31/I4</f>
        <v>#DIV/0!</v>
      </c>
      <c r="J26" s="41" t="e">
        <f>'104_Synthèse'!J31/J4</f>
        <v>#DIV/0!</v>
      </c>
      <c r="K26" s="42" t="e">
        <f>'104_Synthèse'!K31/K4</f>
        <v>#DIV/0!</v>
      </c>
      <c r="L26" s="41" t="e">
        <f>'104_Synthèse'!L31/L4</f>
        <v>#DIV/0!</v>
      </c>
      <c r="M26" s="42" t="e">
        <f>'104_Synthèse'!M31/M4</f>
        <v>#DIV/0!</v>
      </c>
    </row>
    <row r="27" spans="1:13" x14ac:dyDescent="0.45">
      <c r="A27" s="32" t="s">
        <v>72</v>
      </c>
      <c r="B27" s="38" t="s">
        <v>26</v>
      </c>
      <c r="C27" s="39" t="s">
        <v>26</v>
      </c>
      <c r="D27" s="38" t="s">
        <v>26</v>
      </c>
      <c r="E27" s="39">
        <f>'104_Synthèse'!E32/E4</f>
        <v>2.7437031147783877</v>
      </c>
      <c r="F27" s="38">
        <f>'104_Synthèse'!F32/F4</f>
        <v>0.24942755588894436</v>
      </c>
      <c r="G27" s="39">
        <f>'104_Synthèse'!G32/G4</f>
        <v>0.33257007451859244</v>
      </c>
      <c r="H27" s="38">
        <f>'104_Synthèse'!H32/H4</f>
        <v>0.33257007451859244</v>
      </c>
      <c r="I27" s="39">
        <f>'104_Synthèse'!I32/I4</f>
        <v>0.24942755588894436</v>
      </c>
      <c r="J27" s="38">
        <f>'104_Synthèse'!J32/J4</f>
        <v>0.33257007451859244</v>
      </c>
      <c r="K27" s="39">
        <f>'104_Synthèse'!K32/K4</f>
        <v>0.34447742160509259</v>
      </c>
      <c r="L27" s="38">
        <f>'104_Synthèse'!L32/L4</f>
        <v>0.51671613240763892</v>
      </c>
      <c r="M27" s="39">
        <f>'104_Synthèse'!M32/M4</f>
        <v>1.0334322648152778</v>
      </c>
    </row>
    <row r="28" spans="1:13" x14ac:dyDescent="0.45">
      <c r="A28" s="26" t="s">
        <v>45</v>
      </c>
      <c r="B28" s="41" t="s">
        <v>26</v>
      </c>
      <c r="C28" s="42" t="s">
        <v>26</v>
      </c>
      <c r="D28" s="41" t="s">
        <v>26</v>
      </c>
      <c r="E28" s="42" t="e">
        <f>'104_Synthèse'!E33/E4</f>
        <v>#DIV/0!</v>
      </c>
      <c r="F28" s="41" t="e">
        <f>'104_Synthèse'!F33/F4</f>
        <v>#DIV/0!</v>
      </c>
      <c r="G28" s="42" t="e">
        <f>'104_Synthèse'!G33/G4</f>
        <v>#DIV/0!</v>
      </c>
      <c r="H28" s="41" t="e">
        <f>'104_Synthèse'!H33/H4</f>
        <v>#DIV/0!</v>
      </c>
      <c r="I28" s="42" t="e">
        <f>'104_Synthèse'!I33/I4</f>
        <v>#DIV/0!</v>
      </c>
      <c r="J28" s="41" t="e">
        <f>'104_Synthèse'!J33/J4</f>
        <v>#DIV/0!</v>
      </c>
      <c r="K28" s="42" t="e">
        <f>'104_Synthèse'!K33/K4</f>
        <v>#DIV/0!</v>
      </c>
      <c r="L28" s="41" t="e">
        <f>'104_Synthèse'!L33/L4</f>
        <v>#DIV/0!</v>
      </c>
      <c r="M28" s="42" t="e">
        <f>'104_Synthèse'!M33/M4</f>
        <v>#DIV/0!</v>
      </c>
    </row>
    <row r="29" spans="1:13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3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idden="1" x14ac:dyDescent="0.45">
      <c r="A31" s="17" t="s">
        <v>21</v>
      </c>
      <c r="B31" s="18" t="s">
        <v>26</v>
      </c>
      <c r="C31" s="19" t="s">
        <v>26</v>
      </c>
      <c r="D31" s="18" t="s">
        <v>26</v>
      </c>
      <c r="E31" s="19">
        <f t="shared" ref="E31:G31" si="9">+E27+E25</f>
        <v>14.953308744980657</v>
      </c>
      <c r="F31" s="18">
        <f t="shared" si="9"/>
        <v>69.522369703180061</v>
      </c>
      <c r="G31" s="19">
        <f t="shared" si="9"/>
        <v>69.945455390799793</v>
      </c>
      <c r="H31" s="18">
        <f t="shared" ref="H31:I31" si="10">+H27+H25</f>
        <v>69.945830104976523</v>
      </c>
      <c r="I31" s="19">
        <f t="shared" si="10"/>
        <v>69.489001815907329</v>
      </c>
      <c r="J31" s="18">
        <f t="shared" ref="J31:K31" si="11">+J27+J25</f>
        <v>70.008502592737301</v>
      </c>
      <c r="K31" s="19">
        <f t="shared" si="11"/>
        <v>68.895000162836979</v>
      </c>
      <c r="L31" s="18">
        <f t="shared" ref="L31:M31" si="12">+L27+L25</f>
        <v>69.251591153346368</v>
      </c>
      <c r="M31" s="19">
        <f t="shared" si="12"/>
        <v>70.334867234143118</v>
      </c>
    </row>
    <row r="32" spans="1:13" hidden="1" x14ac:dyDescent="0.45">
      <c r="A32" s="17" t="s">
        <v>22</v>
      </c>
      <c r="B32" s="18" t="s">
        <v>26</v>
      </c>
      <c r="C32" s="19" t="s">
        <v>26</v>
      </c>
      <c r="D32" s="18" t="s">
        <v>26</v>
      </c>
      <c r="E32" s="19">
        <f t="shared" ref="E32:G32" si="13">+E24+E23+E21+E20+E19</f>
        <v>1.6831143229071486</v>
      </c>
      <c r="F32" s="18">
        <f t="shared" si="13"/>
        <v>68.334828574809748</v>
      </c>
      <c r="G32" s="19">
        <f t="shared" si="13"/>
        <v>68.400983554291784</v>
      </c>
      <c r="H32" s="18">
        <f t="shared" ref="H32:I32" si="14">+H24+H23+H21+H20+H19</f>
        <v>68.40750163563429</v>
      </c>
      <c r="I32" s="19">
        <f t="shared" si="14"/>
        <v>68.334828574809748</v>
      </c>
      <c r="J32" s="18">
        <f t="shared" ref="J32:K32" si="15">+J24+J23+J21+J20+J19</f>
        <v>68.424262416229297</v>
      </c>
      <c r="K32" s="19">
        <f t="shared" si="15"/>
        <v>68.369890868475963</v>
      </c>
      <c r="L32" s="18">
        <f t="shared" ref="L32:M32" si="16">+L24+L23+L21+L20+L19</f>
        <v>68.463927211804858</v>
      </c>
      <c r="M32" s="19">
        <f t="shared" si="16"/>
        <v>68.686812078332835</v>
      </c>
    </row>
    <row r="33" spans="1:13" x14ac:dyDescent="0.45">
      <c r="B33" s="35"/>
      <c r="C33" s="36"/>
      <c r="D33" s="35"/>
      <c r="E33" s="36"/>
      <c r="F33" s="35"/>
      <c r="G33" s="36"/>
      <c r="H33" s="35"/>
      <c r="I33" s="36"/>
      <c r="J33" s="35"/>
      <c r="K33" s="36"/>
      <c r="L33" s="35"/>
      <c r="M33" s="36"/>
    </row>
    <row r="34" spans="1:13" x14ac:dyDescent="0.45">
      <c r="A34" s="4" t="s">
        <v>46</v>
      </c>
      <c r="B34" s="15" t="s">
        <v>26</v>
      </c>
      <c r="C34" s="16" t="s">
        <v>26</v>
      </c>
      <c r="D34" s="15" t="s">
        <v>26</v>
      </c>
      <c r="E34" s="16">
        <f>(E6*E4)-'104_Synthèse'!E7-'104_Synthèse'!E9</f>
        <v>0</v>
      </c>
      <c r="F34" s="15">
        <f>(F6*F4)-'104_Synthèse'!F7-'104_Synthèse'!F9</f>
        <v>-4.6566128730773926E-10</v>
      </c>
      <c r="G34" s="16">
        <f>(G6*G4)-'104_Synthèse'!G7-'104_Synthèse'!G9</f>
        <v>0</v>
      </c>
      <c r="H34" s="15">
        <f>(H6*H4)-'104_Synthèse'!H7-'104_Synthèse'!H9</f>
        <v>0</v>
      </c>
      <c r="I34" s="16">
        <f>(I6*I4)-'104_Synthèse'!I7-'104_Synthèse'!I9</f>
        <v>-4.6566128730773926E-10</v>
      </c>
      <c r="J34" s="15">
        <f>(J6*J4)-'104_Synthèse'!J7-'104_Synthèse'!J9</f>
        <v>0</v>
      </c>
      <c r="K34" s="16">
        <f>(K6*K4)-'104_Synthèse'!K7-'104_Synthèse'!K9</f>
        <v>0</v>
      </c>
      <c r="L34" s="15">
        <f>(L6*L4)-'104_Synthèse'!L7-'104_Synthèse'!L9</f>
        <v>-2.3283064365386963E-10</v>
      </c>
      <c r="M34" s="16">
        <f>(M6*M4)-'104_Synthèse'!M7-'104_Synthèse'!M9</f>
        <v>-1.1641532182693481E-10</v>
      </c>
    </row>
    <row r="35" spans="1:13" x14ac:dyDescent="0.45">
      <c r="A35" s="4" t="s">
        <v>47</v>
      </c>
      <c r="B35" s="15" t="e">
        <f>(B7*(B4))-#REF!+#REF!</f>
        <v>#REF!</v>
      </c>
      <c r="C35" s="16" t="e">
        <f>(C7*(C4))-#REF!+#REF!</f>
        <v>#REF!</v>
      </c>
      <c r="D35" s="15" t="e">
        <f>(D7*(D4))-#REF!+#REF!</f>
        <v>#REF!</v>
      </c>
      <c r="E35" s="16" t="e">
        <f>(E7*(E4))-'104_Synthèse'!E10+'104_Synthèse'!E10</f>
        <v>#DIV/0!</v>
      </c>
      <c r="F35" s="15" t="e">
        <f>(F7*(F4))-'104_Synthèse'!F10+'104_Synthèse'!F10</f>
        <v>#DIV/0!</v>
      </c>
      <c r="G35" s="16" t="e">
        <f>(G7*(G4))-'104_Synthèse'!G10+'104_Synthèse'!G10</f>
        <v>#DIV/0!</v>
      </c>
      <c r="H35" s="15" t="e">
        <f>(H7*(H4))-'104_Synthèse'!H10+'104_Synthèse'!H10</f>
        <v>#DIV/0!</v>
      </c>
      <c r="I35" s="16" t="e">
        <f>(I7*(I4))-'104_Synthèse'!I10+'104_Synthèse'!I10</f>
        <v>#DIV/0!</v>
      </c>
      <c r="J35" s="15" t="e">
        <f>(J7*(J4))-'104_Synthèse'!J10+'104_Synthèse'!J10</f>
        <v>#DIV/0!</v>
      </c>
      <c r="K35" s="16" t="e">
        <f>(K7*(K4))-'104_Synthèse'!K10+'104_Synthèse'!K10</f>
        <v>#DIV/0!</v>
      </c>
      <c r="L35" s="15" t="e">
        <f>(L7*(L4))-'104_Synthèse'!L10+'104_Synthèse'!L10</f>
        <v>#DIV/0!</v>
      </c>
      <c r="M35" s="16" t="e">
        <f>(M7*(M4))-'104_Synthèse'!M10+'104_Synthèse'!M10</f>
        <v>#DIV/0!</v>
      </c>
    </row>
    <row r="36" spans="1:13" x14ac:dyDescent="0.45">
      <c r="A36" s="4" t="s">
        <v>48</v>
      </c>
      <c r="B36" s="15" t="s">
        <v>26</v>
      </c>
      <c r="C36" s="16" t="s">
        <v>26</v>
      </c>
      <c r="D36" s="15" t="s">
        <v>26</v>
      </c>
      <c r="E36" s="16" t="e">
        <f>(E15*E4)-'104_Synthèse'!E18+'104_Synthèse'!E10</f>
        <v>#DIV/0!</v>
      </c>
      <c r="F36" s="15" t="e">
        <f>(F15*F4)-'104_Synthèse'!F18+'104_Synthèse'!F10</f>
        <v>#DIV/0!</v>
      </c>
      <c r="G36" s="16" t="e">
        <f>(G15*G4)-'104_Synthèse'!G18+'104_Synthèse'!G10</f>
        <v>#DIV/0!</v>
      </c>
      <c r="H36" s="15" t="e">
        <f>(H15*H4)-'104_Synthèse'!H18+'104_Synthèse'!H10</f>
        <v>#DIV/0!</v>
      </c>
      <c r="I36" s="16" t="e">
        <f>(I15*I4)-'104_Synthèse'!I18+'104_Synthèse'!I10</f>
        <v>#DIV/0!</v>
      </c>
      <c r="J36" s="15" t="e">
        <f>(J15*J4)-'104_Synthèse'!J18+'104_Synthèse'!J10</f>
        <v>#DIV/0!</v>
      </c>
      <c r="K36" s="16" t="e">
        <f>(K15*K4)-'104_Synthèse'!K18+'104_Synthèse'!K10</f>
        <v>#DIV/0!</v>
      </c>
      <c r="L36" s="15" t="e">
        <f>(L15*L4)-'104_Synthèse'!L18+'104_Synthèse'!L10</f>
        <v>#DIV/0!</v>
      </c>
      <c r="M36" s="16" t="e">
        <f>(M15*M4)-'104_Synthèse'!M18+'104_Synthèse'!M10</f>
        <v>#DIV/0!</v>
      </c>
    </row>
    <row r="37" spans="1:13" x14ac:dyDescent="0.45">
      <c r="A37" s="4" t="s">
        <v>49</v>
      </c>
      <c r="B37" s="15" t="s">
        <v>26</v>
      </c>
      <c r="C37" s="16" t="s">
        <v>26</v>
      </c>
      <c r="D37" s="15" t="s">
        <v>26</v>
      </c>
      <c r="E37" s="16">
        <f>(E18*E4)-'104_Synthèse'!E21</f>
        <v>0</v>
      </c>
      <c r="F37" s="15">
        <f>(F18*F4)-'104_Synthèse'!F21</f>
        <v>0</v>
      </c>
      <c r="G37" s="16">
        <f>(G18*G4)-'104_Synthèse'!G21</f>
        <v>0</v>
      </c>
      <c r="H37" s="15">
        <f>(H18*H4)-'104_Synthèse'!H21</f>
        <v>0</v>
      </c>
      <c r="I37" s="16">
        <f>(I18*I4)-'104_Synthèse'!I21</f>
        <v>0</v>
      </c>
      <c r="J37" s="15">
        <f>(J18*J4)-'104_Synthèse'!J21</f>
        <v>0</v>
      </c>
      <c r="K37" s="16">
        <f>(K18*K4)-'104_Synthèse'!K21</f>
        <v>0</v>
      </c>
      <c r="L37" s="15">
        <f>(L18*L4)-'104_Synthèse'!L21</f>
        <v>0</v>
      </c>
      <c r="M37" s="16">
        <f>(M18*M4)-'104_Synthèse'!M21</f>
        <v>0</v>
      </c>
    </row>
    <row r="38" spans="1:13" x14ac:dyDescent="0.45">
      <c r="A38" s="4" t="s">
        <v>50</v>
      </c>
      <c r="B38" s="15" t="s">
        <v>26</v>
      </c>
      <c r="C38" s="16" t="s">
        <v>26</v>
      </c>
      <c r="D38" s="15" t="s">
        <v>26</v>
      </c>
      <c r="E38" s="16">
        <f>(E25*E4)-'104_Synthèse'!E30</f>
        <v>0</v>
      </c>
      <c r="F38" s="15">
        <f>(F25*F4)-'104_Synthèse'!F30</f>
        <v>0</v>
      </c>
      <c r="G38" s="16">
        <f>(G25*G4)-'104_Synthèse'!G30</f>
        <v>0</v>
      </c>
      <c r="H38" s="15">
        <f>(H25*H4)-'104_Synthèse'!H30</f>
        <v>0</v>
      </c>
      <c r="I38" s="16">
        <f>(I25*I4)-'104_Synthèse'!I30</f>
        <v>0</v>
      </c>
      <c r="J38" s="15">
        <f>(J25*J4)-'104_Synthèse'!J30</f>
        <v>0</v>
      </c>
      <c r="K38" s="16">
        <f>(K25*K4)-'104_Synthèse'!K30</f>
        <v>0</v>
      </c>
      <c r="L38" s="15">
        <f>(L25*L4)-'104_Synthèse'!L30</f>
        <v>0</v>
      </c>
      <c r="M38" s="16">
        <f>(M25*M4)-'104_Synthèse'!M30</f>
        <v>0</v>
      </c>
    </row>
    <row r="39" spans="1:13" x14ac:dyDescent="0.45">
      <c r="A39" s="4" t="s">
        <v>51</v>
      </c>
      <c r="B39" s="15" t="s">
        <v>26</v>
      </c>
      <c r="C39" s="16" t="s">
        <v>26</v>
      </c>
      <c r="D39" s="15" t="s">
        <v>26</v>
      </c>
      <c r="E39" s="16" t="e">
        <f>(E26*E4)-'104_Synthèse'!E31</f>
        <v>#DIV/0!</v>
      </c>
      <c r="F39" s="15" t="e">
        <f>(F26*F4)-'104_Synthèse'!F31</f>
        <v>#DIV/0!</v>
      </c>
      <c r="G39" s="16" t="e">
        <f>(G26*G4)-'104_Synthèse'!G31</f>
        <v>#DIV/0!</v>
      </c>
      <c r="H39" s="15" t="e">
        <f>(H26*H4)-'104_Synthèse'!H31</f>
        <v>#DIV/0!</v>
      </c>
      <c r="I39" s="16" t="e">
        <f>(I26*I4)-'104_Synthèse'!I31</f>
        <v>#DIV/0!</v>
      </c>
      <c r="J39" s="15" t="e">
        <f>(J26*J4)-'104_Synthèse'!J31</f>
        <v>#DIV/0!</v>
      </c>
      <c r="K39" s="16" t="e">
        <f>(K26*K4)-'104_Synthèse'!K31</f>
        <v>#DIV/0!</v>
      </c>
      <c r="L39" s="15" t="e">
        <f>(L26*L4)-'104_Synthèse'!L31</f>
        <v>#DIV/0!</v>
      </c>
      <c r="M39" s="16" t="e">
        <f>(M26*M4)-'104_Synthèse'!M31</f>
        <v>#DIV/0!</v>
      </c>
    </row>
    <row r="40" spans="1:13" x14ac:dyDescent="0.45">
      <c r="A40" s="4" t="s">
        <v>52</v>
      </c>
      <c r="B40" s="15" t="s">
        <v>26</v>
      </c>
      <c r="C40" s="16" t="s">
        <v>26</v>
      </c>
      <c r="D40" s="15" t="s">
        <v>26</v>
      </c>
      <c r="E40" s="16">
        <f>(E27*E4)-'104_Synthèse'!E32</f>
        <v>0</v>
      </c>
      <c r="F40" s="15">
        <f>(F27*F4)-'104_Synthèse'!F32</f>
        <v>0</v>
      </c>
      <c r="G40" s="16">
        <f>(G27*G4)-'104_Synthèse'!G32</f>
        <v>0</v>
      </c>
      <c r="H40" s="15">
        <f>(H27*H4)-'104_Synthèse'!H32</f>
        <v>0</v>
      </c>
      <c r="I40" s="16">
        <f>(I27*I4)-'104_Synthèse'!I32</f>
        <v>0</v>
      </c>
      <c r="J40" s="15">
        <f>(J27*J4)-'104_Synthèse'!J32</f>
        <v>0</v>
      </c>
      <c r="K40" s="16">
        <f>(K27*K4)-'104_Synthèse'!K32</f>
        <v>0</v>
      </c>
      <c r="L40" s="15">
        <f>(L27*L4)-'104_Synthèse'!L32</f>
        <v>0</v>
      </c>
      <c r="M40" s="16">
        <f>(M27*M4)-'104_Synthèse'!M32</f>
        <v>0</v>
      </c>
    </row>
    <row r="41" spans="1:13" x14ac:dyDescent="0.45">
      <c r="A41" s="4" t="s">
        <v>53</v>
      </c>
      <c r="B41" s="15" t="s">
        <v>26</v>
      </c>
      <c r="C41" s="16" t="s">
        <v>26</v>
      </c>
      <c r="D41" s="15" t="s">
        <v>26</v>
      </c>
      <c r="E41" s="16" t="e">
        <f>(E28*E4)-'104_Synthèse'!E33</f>
        <v>#DIV/0!</v>
      </c>
      <c r="F41" s="15" t="e">
        <f>(F28*F4)-'104_Synthèse'!F33</f>
        <v>#DIV/0!</v>
      </c>
      <c r="G41" s="16" t="e">
        <f>(G28*G4)-'104_Synthèse'!G33</f>
        <v>#DIV/0!</v>
      </c>
      <c r="H41" s="15" t="e">
        <f>(H28*H4)-'104_Synthèse'!H33</f>
        <v>#DIV/0!</v>
      </c>
      <c r="I41" s="16" t="e">
        <f>(I28*I4)-'104_Synthèse'!I33</f>
        <v>#DIV/0!</v>
      </c>
      <c r="J41" s="15" t="e">
        <f>(J28*J4)-'104_Synthèse'!J33</f>
        <v>#DIV/0!</v>
      </c>
      <c r="K41" s="16" t="e">
        <f>(K28*K4)-'104_Synthèse'!K33</f>
        <v>#DIV/0!</v>
      </c>
      <c r="L41" s="15" t="e">
        <f>(L28*L4)-'104_Synthèse'!L33</f>
        <v>#DIV/0!</v>
      </c>
      <c r="M41" s="16" t="e">
        <f>(M28*M4)-'104_Synthèse'!M33</f>
        <v>#DIV/0!</v>
      </c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x14ac:dyDescent="0.45">
      <c r="A43" s="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x14ac:dyDescent="0.45">
      <c r="A44" s="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</row>
  </sheetData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 tint="0.59999389629810485"/>
  </sheetPr>
  <dimension ref="A1:N44"/>
  <sheetViews>
    <sheetView topLeftCell="A16" zoomScaleNormal="100" workbookViewId="0">
      <selection activeCell="A31" sqref="A31:XFD32"/>
    </sheetView>
  </sheetViews>
  <sheetFormatPr baseColWidth="10" defaultColWidth="11.46484375" defaultRowHeight="14.25" x14ac:dyDescent="0.45"/>
  <cols>
    <col min="1" max="1" width="32.46484375" style="32" bestFit="1" customWidth="1"/>
    <col min="2" max="2" width="6.73046875" style="2" bestFit="1" customWidth="1"/>
    <col min="3" max="3" width="6.73046875" style="3" bestFit="1" customWidth="1"/>
    <col min="4" max="4" width="6.73046875" style="2" bestFit="1" customWidth="1"/>
    <col min="5" max="5" width="7.19921875" style="3" bestFit="1" customWidth="1"/>
    <col min="6" max="6" width="7.796875" style="2" bestFit="1" customWidth="1"/>
    <col min="7" max="7" width="6.73046875" style="3" bestFit="1" customWidth="1"/>
    <col min="8" max="8" width="7" style="2" bestFit="1" customWidth="1"/>
    <col min="9" max="9" width="6.53125" style="3" bestFit="1" customWidth="1"/>
    <col min="10" max="10" width="7" style="2" bestFit="1" customWidth="1"/>
    <col min="11" max="11" width="6.53125" style="3" bestFit="1" customWidth="1"/>
    <col min="12" max="12" width="7" style="2" bestFit="1" customWidth="1"/>
    <col min="13" max="13" width="6.73046875" style="3" bestFit="1" customWidth="1"/>
    <col min="14" max="14" width="0.796875" style="14" customWidth="1"/>
    <col min="15" max="16" width="11.46484375" style="1"/>
    <col min="17" max="17" width="1.796875" style="1" customWidth="1"/>
    <col min="18" max="16384" width="11.46484375" style="1"/>
  </cols>
  <sheetData>
    <row r="1" spans="1:13" ht="14.65" thickBot="1" x14ac:dyDescent="0.5">
      <c r="A1" s="5" t="s">
        <v>55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 t="e">
        <f>+#REF!</f>
        <v>#REF!</v>
      </c>
      <c r="C2" s="28" t="e">
        <f>+#REF!</f>
        <v>#REF!</v>
      </c>
      <c r="D2" s="27" t="e">
        <f>+#REF!</f>
        <v>#REF!</v>
      </c>
      <c r="E2" s="28" t="e">
        <f>+#REF!</f>
        <v>#REF!</v>
      </c>
      <c r="F2" s="27" t="e">
        <f>+#REF!</f>
        <v>#REF!</v>
      </c>
      <c r="G2" s="28" t="e">
        <f>+#REF!</f>
        <v>#REF!</v>
      </c>
      <c r="H2" s="27" t="e">
        <f>+#REF!</f>
        <v>#REF!</v>
      </c>
      <c r="I2" s="28" t="e">
        <f>+#REF!</f>
        <v>#REF!</v>
      </c>
      <c r="J2" s="27" t="e">
        <f>+#REF!</f>
        <v>#REF!</v>
      </c>
      <c r="K2" s="28" t="e">
        <f>+#REF!</f>
        <v>#REF!</v>
      </c>
      <c r="L2" s="27" t="e">
        <f>+#REF!</f>
        <v>#REF!</v>
      </c>
      <c r="M2" s="28" t="e">
        <f>+#REF!</f>
        <v>#REF!</v>
      </c>
    </row>
    <row r="3" spans="1:13" x14ac:dyDescent="0.45">
      <c r="A3" s="26" t="s">
        <v>23</v>
      </c>
      <c r="B3" s="27" t="e">
        <f>+#REF!</f>
        <v>#REF!</v>
      </c>
      <c r="C3" s="28" t="e">
        <f>+#REF!</f>
        <v>#REF!</v>
      </c>
      <c r="D3" s="27" t="e">
        <f>+#REF!</f>
        <v>#REF!</v>
      </c>
      <c r="E3" s="28" t="e">
        <f>+#REF!</f>
        <v>#REF!</v>
      </c>
      <c r="F3" s="27" t="e">
        <f>+#REF!</f>
        <v>#REF!</v>
      </c>
      <c r="G3" s="28" t="e">
        <f>+#REF!</f>
        <v>#REF!</v>
      </c>
      <c r="H3" s="27" t="e">
        <f>+#REF!</f>
        <v>#REF!</v>
      </c>
      <c r="I3" s="28" t="e">
        <f>+#REF!</f>
        <v>#REF!</v>
      </c>
      <c r="J3" s="27" t="e">
        <f>+#REF!</f>
        <v>#REF!</v>
      </c>
      <c r="K3" s="28" t="e">
        <f>+#REF!</f>
        <v>#REF!</v>
      </c>
      <c r="L3" s="27" t="e">
        <f>+#REF!</f>
        <v>#REF!</v>
      </c>
      <c r="M3" s="28" t="e">
        <f>+#REF!</f>
        <v>#REF!</v>
      </c>
    </row>
    <row r="4" spans="1:13" x14ac:dyDescent="0.45">
      <c r="A4" s="26" t="s">
        <v>0</v>
      </c>
      <c r="B4" s="27" t="e">
        <f>+#REF!</f>
        <v>#REF!</v>
      </c>
      <c r="C4" s="30" t="e">
        <f>+#REF!</f>
        <v>#REF!</v>
      </c>
      <c r="D4" s="27" t="e">
        <f>+#REF!</f>
        <v>#REF!</v>
      </c>
      <c r="E4" s="30" t="e">
        <f>+#REF!</f>
        <v>#REF!</v>
      </c>
      <c r="F4" s="27" t="e">
        <f>+#REF!</f>
        <v>#REF!</v>
      </c>
      <c r="G4" s="30" t="e">
        <f>+#REF!</f>
        <v>#REF!</v>
      </c>
      <c r="H4" s="27" t="e">
        <f>+#REF!</f>
        <v>#REF!</v>
      </c>
      <c r="I4" s="30" t="e">
        <f>+#REF!</f>
        <v>#REF!</v>
      </c>
      <c r="J4" s="27" t="e">
        <f>+#REF!</f>
        <v>#REF!</v>
      </c>
      <c r="K4" s="30" t="e">
        <f>+#REF!</f>
        <v>#REF!</v>
      </c>
      <c r="L4" s="27" t="e">
        <f>+#REF!</f>
        <v>#REF!</v>
      </c>
      <c r="M4" s="30" t="e">
        <f>+#REF!</f>
        <v>#REF!</v>
      </c>
    </row>
    <row r="5" spans="1:13" x14ac:dyDescent="0.45">
      <c r="A5" s="17" t="s">
        <v>1</v>
      </c>
      <c r="B5" s="18" t="e">
        <f t="shared" ref="B5:G5" si="0">+B4/B3/1000</f>
        <v>#REF!</v>
      </c>
      <c r="C5" s="19" t="e">
        <f t="shared" si="0"/>
        <v>#REF!</v>
      </c>
      <c r="D5" s="18" t="e">
        <f t="shared" si="0"/>
        <v>#REF!</v>
      </c>
      <c r="E5" s="19" t="e">
        <f t="shared" si="0"/>
        <v>#REF!</v>
      </c>
      <c r="F5" s="18" t="e">
        <f t="shared" si="0"/>
        <v>#REF!</v>
      </c>
      <c r="G5" s="19" t="e">
        <f t="shared" si="0"/>
        <v>#REF!</v>
      </c>
      <c r="H5" s="18" t="e">
        <f t="shared" ref="H5:I5" si="1">+H4/H3/1000</f>
        <v>#REF!</v>
      </c>
      <c r="I5" s="19" t="e">
        <f t="shared" si="1"/>
        <v>#REF!</v>
      </c>
      <c r="J5" s="18" t="e">
        <f t="shared" ref="J5:K5" si="2">+J4/J3/1000</f>
        <v>#REF!</v>
      </c>
      <c r="K5" s="19" t="e">
        <f t="shared" si="2"/>
        <v>#REF!</v>
      </c>
      <c r="L5" s="18" t="e">
        <f t="shared" ref="L5:M5" si="3">+L4/L3/1000</f>
        <v>#REF!</v>
      </c>
      <c r="M5" s="19" t="e">
        <f t="shared" si="3"/>
        <v>#REF!</v>
      </c>
    </row>
    <row r="6" spans="1:13" x14ac:dyDescent="0.45">
      <c r="A6" s="32" t="s">
        <v>30</v>
      </c>
      <c r="B6" s="40"/>
      <c r="C6" s="40"/>
      <c r="D6" s="40"/>
      <c r="E6" s="34" t="e">
        <f>(#REF!+#REF!)/E3</f>
        <v>#REF!</v>
      </c>
      <c r="F6" s="33" t="e">
        <f>(#REF!+#REF!)/F3</f>
        <v>#REF!</v>
      </c>
      <c r="G6" s="34" t="e">
        <f>(#REF!+#REF!)/G3</f>
        <v>#REF!</v>
      </c>
      <c r="H6" s="33" t="e">
        <f>(#REF!+#REF!)/H3</f>
        <v>#REF!</v>
      </c>
      <c r="I6" s="34" t="e">
        <f>(#REF!+#REF!)/I3</f>
        <v>#REF!</v>
      </c>
      <c r="J6" s="33" t="e">
        <f>(#REF!+#REF!)/J3</f>
        <v>#REF!</v>
      </c>
      <c r="K6" s="34" t="e">
        <f>(#REF!+#REF!)/K3</f>
        <v>#REF!</v>
      </c>
      <c r="L6" s="33" t="e">
        <f>(#REF!+#REF!)/L3</f>
        <v>#REF!</v>
      </c>
      <c r="M6" s="34" t="e">
        <f>(#REF!+#REF!)/M3</f>
        <v>#REF!</v>
      </c>
    </row>
    <row r="7" spans="1:13" x14ac:dyDescent="0.45">
      <c r="A7" s="32" t="s">
        <v>31</v>
      </c>
      <c r="B7" s="33" t="e">
        <f>#REF!/(B2-B3)</f>
        <v>#REF!</v>
      </c>
      <c r="C7" s="34" t="e">
        <f>#REF!/(C2-C3)</f>
        <v>#REF!</v>
      </c>
      <c r="D7" s="33" t="e">
        <f>#REF!/(D2-D3)</f>
        <v>#REF!</v>
      </c>
      <c r="E7" s="34" t="e">
        <f>#REF!/(E2-E3)</f>
        <v>#REF!</v>
      </c>
      <c r="F7" s="40"/>
      <c r="G7" s="40"/>
      <c r="H7" s="40"/>
      <c r="I7" s="47"/>
      <c r="J7" s="47"/>
      <c r="K7" s="47"/>
      <c r="L7" s="40"/>
      <c r="M7" s="40"/>
    </row>
    <row r="8" spans="1:13" x14ac:dyDescent="0.45">
      <c r="A8" s="26" t="s">
        <v>28</v>
      </c>
      <c r="B8" s="29" t="e">
        <f>+B7+B6</f>
        <v>#REF!</v>
      </c>
      <c r="C8" s="30" t="e">
        <f t="shared" ref="C8" si="4">+C7+C6</f>
        <v>#REF!</v>
      </c>
      <c r="D8" s="29" t="e">
        <f>+D7+D6</f>
        <v>#REF!</v>
      </c>
      <c r="E8" s="30" t="e">
        <f t="shared" ref="E8:K8" si="5">+E7+E6</f>
        <v>#REF!</v>
      </c>
      <c r="F8" s="29" t="e">
        <f>+F7+F6</f>
        <v>#REF!</v>
      </c>
      <c r="G8" s="30" t="e">
        <f t="shared" si="5"/>
        <v>#REF!</v>
      </c>
      <c r="H8" s="29" t="e">
        <f>+H7+H6</f>
        <v>#REF!</v>
      </c>
      <c r="I8" s="30" t="e">
        <f t="shared" si="5"/>
        <v>#REF!</v>
      </c>
      <c r="J8" s="29" t="e">
        <f>+J7+J6</f>
        <v>#REF!</v>
      </c>
      <c r="K8" s="30" t="e">
        <f t="shared" si="5"/>
        <v>#REF!</v>
      </c>
      <c r="L8" s="29" t="e">
        <f>+L7+L6</f>
        <v>#REF!</v>
      </c>
      <c r="M8" s="30" t="e">
        <f t="shared" ref="M8" si="6">+M7+M6</f>
        <v>#REF!</v>
      </c>
    </row>
    <row r="9" spans="1:13" x14ac:dyDescent="0.45">
      <c r="A9" s="32" t="s">
        <v>2</v>
      </c>
      <c r="B9" s="33" t="e">
        <f>#REF!/B2</f>
        <v>#REF!</v>
      </c>
      <c r="C9" s="34" t="e">
        <f>#REF!/C2</f>
        <v>#REF!</v>
      </c>
      <c r="D9" s="33" t="e">
        <f>#REF!/D2</f>
        <v>#REF!</v>
      </c>
      <c r="E9" s="34" t="e">
        <f>#REF!/E2</f>
        <v>#REF!</v>
      </c>
      <c r="F9" s="33" t="e">
        <f>#REF!/F2</f>
        <v>#REF!</v>
      </c>
      <c r="G9" s="34" t="e">
        <f>#REF!/G2</f>
        <v>#REF!</v>
      </c>
      <c r="H9" s="33" t="e">
        <f>#REF!/H2</f>
        <v>#REF!</v>
      </c>
      <c r="I9" s="34" t="e">
        <f>#REF!/I2</f>
        <v>#REF!</v>
      </c>
      <c r="J9" s="33" t="e">
        <f>#REF!/J2</f>
        <v>#REF!</v>
      </c>
      <c r="K9" s="34" t="e">
        <f>#REF!/K2</f>
        <v>#REF!</v>
      </c>
      <c r="L9" s="33" t="e">
        <f>#REF!/L2</f>
        <v>#REF!</v>
      </c>
      <c r="M9" s="34" t="e">
        <f>#REF!/M2</f>
        <v>#REF!</v>
      </c>
    </row>
    <row r="10" spans="1:13" x14ac:dyDescent="0.45">
      <c r="A10" s="32" t="s">
        <v>3</v>
      </c>
      <c r="B10" s="33" t="e">
        <f>#REF!/B2</f>
        <v>#REF!</v>
      </c>
      <c r="C10" s="34" t="e">
        <f>#REF!/C2</f>
        <v>#REF!</v>
      </c>
      <c r="D10" s="33" t="e">
        <f>#REF!/D2</f>
        <v>#REF!</v>
      </c>
      <c r="E10" s="34" t="e">
        <f>#REF!/E2</f>
        <v>#REF!</v>
      </c>
      <c r="F10" s="33" t="e">
        <f>#REF!/F2</f>
        <v>#REF!</v>
      </c>
      <c r="G10" s="34" t="e">
        <f>#REF!/G2</f>
        <v>#REF!</v>
      </c>
      <c r="H10" s="33" t="e">
        <f>#REF!/H2</f>
        <v>#REF!</v>
      </c>
      <c r="I10" s="34" t="e">
        <f>#REF!/I2</f>
        <v>#REF!</v>
      </c>
      <c r="J10" s="33" t="e">
        <f>#REF!/J2</f>
        <v>#REF!</v>
      </c>
      <c r="K10" s="34" t="e">
        <f>#REF!/K2</f>
        <v>#REF!</v>
      </c>
      <c r="L10" s="33" t="e">
        <f>#REF!/L2</f>
        <v>#REF!</v>
      </c>
      <c r="M10" s="34" t="e">
        <f>#REF!/M2</f>
        <v>#REF!</v>
      </c>
    </row>
    <row r="11" spans="1:13" x14ac:dyDescent="0.45">
      <c r="A11" s="32" t="s">
        <v>4</v>
      </c>
      <c r="B11" s="33" t="e">
        <f>#REF!/B2</f>
        <v>#REF!</v>
      </c>
      <c r="C11" s="34" t="e">
        <f>#REF!/C2</f>
        <v>#REF!</v>
      </c>
      <c r="D11" s="33" t="e">
        <f>#REF!/D2</f>
        <v>#REF!</v>
      </c>
      <c r="E11" s="34" t="e">
        <f>#REF!/E2</f>
        <v>#REF!</v>
      </c>
      <c r="F11" s="33" t="e">
        <f>#REF!/F2</f>
        <v>#REF!</v>
      </c>
      <c r="G11" s="34" t="e">
        <f>#REF!/G2</f>
        <v>#REF!</v>
      </c>
      <c r="H11" s="33" t="e">
        <f>#REF!/H2</f>
        <v>#REF!</v>
      </c>
      <c r="I11" s="34" t="e">
        <f>#REF!/I2</f>
        <v>#REF!</v>
      </c>
      <c r="J11" s="33" t="e">
        <f>#REF!/J2</f>
        <v>#REF!</v>
      </c>
      <c r="K11" s="34" t="e">
        <f>#REF!/K2</f>
        <v>#REF!</v>
      </c>
      <c r="L11" s="33" t="e">
        <f>#REF!/L2</f>
        <v>#REF!</v>
      </c>
      <c r="M11" s="34" t="e">
        <f>#REF!/M2</f>
        <v>#REF!</v>
      </c>
    </row>
    <row r="12" spans="1:13" x14ac:dyDescent="0.45">
      <c r="A12" s="32" t="s">
        <v>5</v>
      </c>
      <c r="B12" s="33" t="e">
        <f>#REF!/B2</f>
        <v>#REF!</v>
      </c>
      <c r="C12" s="34" t="e">
        <f>#REF!/C2</f>
        <v>#REF!</v>
      </c>
      <c r="D12" s="33" t="e">
        <f>#REF!/D2</f>
        <v>#REF!</v>
      </c>
      <c r="E12" s="34" t="e">
        <f>#REF!/E2</f>
        <v>#REF!</v>
      </c>
      <c r="F12" s="33" t="e">
        <f>#REF!/F2</f>
        <v>#REF!</v>
      </c>
      <c r="G12" s="34" t="e">
        <f>#REF!/G2</f>
        <v>#REF!</v>
      </c>
      <c r="H12" s="33" t="e">
        <f>#REF!/H2</f>
        <v>#REF!</v>
      </c>
      <c r="I12" s="34" t="e">
        <f>#REF!/I2</f>
        <v>#REF!</v>
      </c>
      <c r="J12" s="33" t="e">
        <f>#REF!/J2</f>
        <v>#REF!</v>
      </c>
      <c r="K12" s="34" t="e">
        <f>#REF!/K2</f>
        <v>#REF!</v>
      </c>
      <c r="L12" s="33" t="e">
        <f>#REF!/L2</f>
        <v>#REF!</v>
      </c>
      <c r="M12" s="34" t="e">
        <f>#REF!/M2</f>
        <v>#REF!</v>
      </c>
    </row>
    <row r="13" spans="1:13" x14ac:dyDescent="0.45">
      <c r="A13" s="32" t="s">
        <v>6</v>
      </c>
      <c r="B13" s="33" t="e">
        <f>#REF!/B2</f>
        <v>#REF!</v>
      </c>
      <c r="C13" s="34" t="e">
        <f>#REF!/C2</f>
        <v>#REF!</v>
      </c>
      <c r="D13" s="33" t="e">
        <f>#REF!/D2</f>
        <v>#REF!</v>
      </c>
      <c r="E13" s="34" t="e">
        <f>#REF!/E2</f>
        <v>#REF!</v>
      </c>
      <c r="F13" s="33" t="e">
        <f>#REF!/F2</f>
        <v>#REF!</v>
      </c>
      <c r="G13" s="34" t="e">
        <f>#REF!/G2</f>
        <v>#REF!</v>
      </c>
      <c r="H13" s="33" t="e">
        <f>#REF!/H2</f>
        <v>#REF!</v>
      </c>
      <c r="I13" s="34" t="e">
        <f>#REF!/I2</f>
        <v>#REF!</v>
      </c>
      <c r="J13" s="33" t="e">
        <f>#REF!/J2</f>
        <v>#REF!</v>
      </c>
      <c r="K13" s="34" t="e">
        <f>#REF!/K2</f>
        <v>#REF!</v>
      </c>
      <c r="L13" s="33" t="e">
        <f>#REF!/L2</f>
        <v>#REF!</v>
      </c>
      <c r="M13" s="34" t="e">
        <f>#REF!/M2</f>
        <v>#REF!</v>
      </c>
    </row>
    <row r="14" spans="1:13" x14ac:dyDescent="0.45">
      <c r="A14" s="32" t="s">
        <v>7</v>
      </c>
      <c r="B14" s="33" t="e">
        <f>#REF!/B2</f>
        <v>#REF!</v>
      </c>
      <c r="C14" s="34" t="e">
        <f>#REF!/C2</f>
        <v>#REF!</v>
      </c>
      <c r="D14" s="33" t="e">
        <f>#REF!/D2</f>
        <v>#REF!</v>
      </c>
      <c r="E14" s="34" t="e">
        <f>#REF!/E2</f>
        <v>#REF!</v>
      </c>
      <c r="F14" s="33" t="e">
        <f>#REF!/F2</f>
        <v>#REF!</v>
      </c>
      <c r="G14" s="34" t="e">
        <f>#REF!/G2</f>
        <v>#REF!</v>
      </c>
      <c r="H14" s="33" t="e">
        <f>#REF!/H2</f>
        <v>#REF!</v>
      </c>
      <c r="I14" s="34" t="e">
        <f>#REF!/I2</f>
        <v>#REF!</v>
      </c>
      <c r="J14" s="33" t="e">
        <f>#REF!/J2</f>
        <v>#REF!</v>
      </c>
      <c r="K14" s="34" t="e">
        <f>#REF!/K2</f>
        <v>#REF!</v>
      </c>
      <c r="L14" s="33" t="e">
        <f>#REF!/L2</f>
        <v>#REF!</v>
      </c>
      <c r="M14" s="34" t="e">
        <f>#REF!/M2</f>
        <v>#REF!</v>
      </c>
    </row>
    <row r="15" spans="1:13" x14ac:dyDescent="0.45">
      <c r="A15" s="26" t="s">
        <v>32</v>
      </c>
      <c r="B15" s="29" t="e">
        <f>#REF!/B2</f>
        <v>#REF!</v>
      </c>
      <c r="C15" s="30" t="e">
        <f>#REF!/C2</f>
        <v>#REF!</v>
      </c>
      <c r="D15" s="29" t="e">
        <f>#REF!/D2</f>
        <v>#REF!</v>
      </c>
      <c r="E15" s="30" t="e">
        <f>#REF!/E2</f>
        <v>#REF!</v>
      </c>
      <c r="F15" s="29" t="e">
        <f>#REF!/F2</f>
        <v>#REF!</v>
      </c>
      <c r="G15" s="30" t="e">
        <f>#REF!/G2</f>
        <v>#REF!</v>
      </c>
      <c r="H15" s="29" t="e">
        <f>#REF!/H2</f>
        <v>#REF!</v>
      </c>
      <c r="I15" s="30" t="e">
        <f>#REF!/I2</f>
        <v>#REF!</v>
      </c>
      <c r="J15" s="29" t="e">
        <f>#REF!/J2</f>
        <v>#REF!</v>
      </c>
      <c r="K15" s="30" t="e">
        <f>#REF!/K2</f>
        <v>#REF!</v>
      </c>
      <c r="L15" s="29" t="e">
        <f>#REF!/L2</f>
        <v>#REF!</v>
      </c>
      <c r="M15" s="30" t="e">
        <f>#REF!/M2</f>
        <v>#REF!</v>
      </c>
    </row>
    <row r="16" spans="1:13" x14ac:dyDescent="0.45">
      <c r="A16" s="32" t="s">
        <v>33</v>
      </c>
      <c r="B16" s="33" t="e">
        <f>#REF!/B2</f>
        <v>#REF!</v>
      </c>
      <c r="C16" s="34" t="e">
        <f>#REF!/C2</f>
        <v>#REF!</v>
      </c>
      <c r="D16" s="33" t="e">
        <f>#REF!/D2</f>
        <v>#REF!</v>
      </c>
      <c r="E16" s="34" t="e">
        <f>#REF!/E2</f>
        <v>#REF!</v>
      </c>
      <c r="F16" s="33" t="e">
        <f>#REF!/F2</f>
        <v>#REF!</v>
      </c>
      <c r="G16" s="34" t="e">
        <f>#REF!/G2</f>
        <v>#REF!</v>
      </c>
      <c r="H16" s="33" t="e">
        <f>#REF!/H2</f>
        <v>#REF!</v>
      </c>
      <c r="I16" s="34" t="e">
        <f>#REF!/I2</f>
        <v>#REF!</v>
      </c>
      <c r="J16" s="33" t="e">
        <f>#REF!/J2</f>
        <v>#REF!</v>
      </c>
      <c r="K16" s="34" t="e">
        <f>#REF!/K2</f>
        <v>#REF!</v>
      </c>
      <c r="L16" s="33" t="e">
        <f>#REF!/L2</f>
        <v>#REF!</v>
      </c>
      <c r="M16" s="34" t="e">
        <f>#REF!/M2</f>
        <v>#REF!</v>
      </c>
    </row>
    <row r="17" spans="1:13" x14ac:dyDescent="0.45">
      <c r="A17" s="32" t="s">
        <v>34</v>
      </c>
      <c r="B17" s="33" t="e">
        <f>#REF!/B2</f>
        <v>#REF!</v>
      </c>
      <c r="C17" s="34" t="e">
        <f>#REF!/C2</f>
        <v>#REF!</v>
      </c>
      <c r="D17" s="33" t="e">
        <f>#REF!/D2</f>
        <v>#REF!</v>
      </c>
      <c r="E17" s="34" t="e">
        <f>#REF!/E2</f>
        <v>#REF!</v>
      </c>
      <c r="F17" s="33" t="e">
        <f>#REF!/F2</f>
        <v>#REF!</v>
      </c>
      <c r="G17" s="34" t="e">
        <f>#REF!/G2</f>
        <v>#REF!</v>
      </c>
      <c r="H17" s="33" t="e">
        <f>#REF!/H2</f>
        <v>#REF!</v>
      </c>
      <c r="I17" s="34" t="e">
        <f>#REF!/I2</f>
        <v>#REF!</v>
      </c>
      <c r="J17" s="33" t="e">
        <f>#REF!/J2</f>
        <v>#REF!</v>
      </c>
      <c r="K17" s="34" t="e">
        <f>#REF!/K2</f>
        <v>#REF!</v>
      </c>
      <c r="L17" s="33" t="e">
        <f>#REF!/L2</f>
        <v>#REF!</v>
      </c>
      <c r="M17" s="34" t="e">
        <f>#REF!/M2</f>
        <v>#REF!</v>
      </c>
    </row>
    <row r="18" spans="1:13" x14ac:dyDescent="0.45">
      <c r="A18" s="26" t="s">
        <v>35</v>
      </c>
      <c r="B18" s="29" t="e">
        <f>#REF!/'8038_à l''ha'!B2</f>
        <v>#REF!</v>
      </c>
      <c r="C18" s="30" t="e">
        <f>#REF!/'8038_à l''ha'!C2</f>
        <v>#REF!</v>
      </c>
      <c r="D18" s="29" t="e">
        <f>#REF!/'8038_à l''ha'!D2</f>
        <v>#REF!</v>
      </c>
      <c r="E18" s="30" t="e">
        <f>#REF!/'8038_à l''ha'!E2</f>
        <v>#REF!</v>
      </c>
      <c r="F18" s="29" t="e">
        <f>#REF!/'8038_à l''ha'!F2</f>
        <v>#REF!</v>
      </c>
      <c r="G18" s="30" t="e">
        <f>#REF!/'8038_à l''ha'!G2</f>
        <v>#REF!</v>
      </c>
      <c r="H18" s="29" t="e">
        <f>#REF!/'8038_à l''ha'!H2</f>
        <v>#REF!</v>
      </c>
      <c r="I18" s="30" t="e">
        <f>#REF!/'8038_à l''ha'!I2</f>
        <v>#REF!</v>
      </c>
      <c r="J18" s="29" t="e">
        <f>#REF!/'8038_à l''ha'!J2</f>
        <v>#REF!</v>
      </c>
      <c r="K18" s="30" t="e">
        <f>#REF!/'8038_à l''ha'!K2</f>
        <v>#REF!</v>
      </c>
      <c r="L18" s="29" t="e">
        <f>#REF!/'8038_à l''ha'!L2</f>
        <v>#REF!</v>
      </c>
      <c r="M18" s="30" t="e">
        <f>#REF!/'8038_à l''ha'!M2</f>
        <v>#REF!</v>
      </c>
    </row>
    <row r="19" spans="1:13" x14ac:dyDescent="0.45">
      <c r="A19" s="32" t="s">
        <v>36</v>
      </c>
      <c r="B19" s="33" t="e">
        <f>#REF!/B2</f>
        <v>#REF!</v>
      </c>
      <c r="C19" s="34" t="e">
        <f>#REF!/C2</f>
        <v>#REF!</v>
      </c>
      <c r="D19" s="33" t="e">
        <f>#REF!/D2</f>
        <v>#REF!</v>
      </c>
      <c r="E19" s="34" t="e">
        <f>#REF!/E2</f>
        <v>#REF!</v>
      </c>
      <c r="F19" s="33" t="e">
        <f>#REF!/F2</f>
        <v>#REF!</v>
      </c>
      <c r="G19" s="34" t="e">
        <f>#REF!/G2</f>
        <v>#REF!</v>
      </c>
      <c r="H19" s="33" t="e">
        <f>#REF!/H2</f>
        <v>#REF!</v>
      </c>
      <c r="I19" s="34" t="e">
        <f>#REF!/I2</f>
        <v>#REF!</v>
      </c>
      <c r="J19" s="33" t="e">
        <f>#REF!/J2</f>
        <v>#REF!</v>
      </c>
      <c r="K19" s="34" t="e">
        <f>#REF!/K2</f>
        <v>#REF!</v>
      </c>
      <c r="L19" s="33" t="e">
        <f>#REF!/L2</f>
        <v>#REF!</v>
      </c>
      <c r="M19" s="34" t="e">
        <f>#REF!/M2</f>
        <v>#REF!</v>
      </c>
    </row>
    <row r="20" spans="1:13" x14ac:dyDescent="0.45">
      <c r="A20" s="32" t="s">
        <v>37</v>
      </c>
      <c r="B20" s="33" t="e">
        <f>#REF!/B2</f>
        <v>#REF!</v>
      </c>
      <c r="C20" s="34" t="e">
        <f>#REF!/C2</f>
        <v>#REF!</v>
      </c>
      <c r="D20" s="33" t="e">
        <f>#REF!/D2</f>
        <v>#REF!</v>
      </c>
      <c r="E20" s="34" t="e">
        <f>#REF!/E2</f>
        <v>#REF!</v>
      </c>
      <c r="F20" s="33" t="e">
        <f>#REF!/F2</f>
        <v>#REF!</v>
      </c>
      <c r="G20" s="34" t="e">
        <f>#REF!/G2</f>
        <v>#REF!</v>
      </c>
      <c r="H20" s="33" t="e">
        <f>#REF!/H2</f>
        <v>#REF!</v>
      </c>
      <c r="I20" s="34" t="e">
        <f>#REF!/I2</f>
        <v>#REF!</v>
      </c>
      <c r="J20" s="33" t="e">
        <f>#REF!/J2</f>
        <v>#REF!</v>
      </c>
      <c r="K20" s="34" t="e">
        <f>#REF!/K2</f>
        <v>#REF!</v>
      </c>
      <c r="L20" s="33" t="e">
        <f>#REF!/L2</f>
        <v>#REF!</v>
      </c>
      <c r="M20" s="34" t="e">
        <f>#REF!/M2</f>
        <v>#REF!</v>
      </c>
    </row>
    <row r="21" spans="1:13" x14ac:dyDescent="0.45">
      <c r="A21" s="32" t="s">
        <v>38</v>
      </c>
      <c r="B21" s="33" t="e">
        <f>#REF!/B2</f>
        <v>#REF!</v>
      </c>
      <c r="C21" s="34" t="e">
        <f>#REF!/C2</f>
        <v>#REF!</v>
      </c>
      <c r="D21" s="33" t="e">
        <f>#REF!/D2</f>
        <v>#REF!</v>
      </c>
      <c r="E21" s="34" t="e">
        <f>#REF!/E2</f>
        <v>#REF!</v>
      </c>
      <c r="F21" s="33" t="e">
        <f>#REF!/F2</f>
        <v>#REF!</v>
      </c>
      <c r="G21" s="34" t="e">
        <f>#REF!/G2</f>
        <v>#REF!</v>
      </c>
      <c r="H21" s="33" t="e">
        <f>#REF!/H2</f>
        <v>#REF!</v>
      </c>
      <c r="I21" s="34" t="e">
        <f>#REF!/I2</f>
        <v>#REF!</v>
      </c>
      <c r="J21" s="33" t="e">
        <f>#REF!/J2</f>
        <v>#REF!</v>
      </c>
      <c r="K21" s="34" t="e">
        <f>#REF!/K2</f>
        <v>#REF!</v>
      </c>
      <c r="L21" s="33" t="e">
        <f>#REF!/L2</f>
        <v>#REF!</v>
      </c>
      <c r="M21" s="34" t="e">
        <f>#REF!/M2</f>
        <v>#REF!</v>
      </c>
    </row>
    <row r="22" spans="1:13" x14ac:dyDescent="0.45">
      <c r="A22" s="32" t="s">
        <v>39</v>
      </c>
      <c r="B22" s="33" t="e">
        <f>#REF!/B2</f>
        <v>#REF!</v>
      </c>
      <c r="C22" s="34" t="e">
        <f>#REF!/C2</f>
        <v>#REF!</v>
      </c>
      <c r="D22" s="33" t="e">
        <f>#REF!/D2</f>
        <v>#REF!</v>
      </c>
      <c r="E22" s="34" t="e">
        <f>#REF!/E2</f>
        <v>#REF!</v>
      </c>
      <c r="F22" s="33" t="e">
        <f>#REF!/F2</f>
        <v>#REF!</v>
      </c>
      <c r="G22" s="34" t="e">
        <f>#REF!/G2</f>
        <v>#REF!</v>
      </c>
      <c r="H22" s="33" t="e">
        <f>#REF!/H2</f>
        <v>#REF!</v>
      </c>
      <c r="I22" s="34" t="e">
        <f>#REF!/I2</f>
        <v>#REF!</v>
      </c>
      <c r="J22" s="33" t="e">
        <f>#REF!/J2</f>
        <v>#REF!</v>
      </c>
      <c r="K22" s="34" t="e">
        <f>#REF!/K2</f>
        <v>#REF!</v>
      </c>
      <c r="L22" s="33" t="e">
        <f>#REF!/L2</f>
        <v>#REF!</v>
      </c>
      <c r="M22" s="34" t="e">
        <f>#REF!/M2</f>
        <v>#REF!</v>
      </c>
    </row>
    <row r="23" spans="1:13" x14ac:dyDescent="0.45">
      <c r="A23" s="32" t="s">
        <v>40</v>
      </c>
      <c r="B23" s="33" t="e">
        <f>#REF!/B2</f>
        <v>#REF!</v>
      </c>
      <c r="C23" s="34" t="e">
        <f>#REF!/C2</f>
        <v>#REF!</v>
      </c>
      <c r="D23" s="33" t="e">
        <f>#REF!/D2</f>
        <v>#REF!</v>
      </c>
      <c r="E23" s="34" t="e">
        <f>#REF!/E2</f>
        <v>#REF!</v>
      </c>
      <c r="F23" s="33" t="e">
        <f>#REF!/F2</f>
        <v>#REF!</v>
      </c>
      <c r="G23" s="34" t="e">
        <f>#REF!/G2</f>
        <v>#REF!</v>
      </c>
      <c r="H23" s="33" t="e">
        <f>#REF!/H2</f>
        <v>#REF!</v>
      </c>
      <c r="I23" s="34" t="e">
        <f>#REF!/I2</f>
        <v>#REF!</v>
      </c>
      <c r="J23" s="33" t="e">
        <f>#REF!/J2</f>
        <v>#REF!</v>
      </c>
      <c r="K23" s="34" t="e">
        <f>#REF!/K2</f>
        <v>#REF!</v>
      </c>
      <c r="L23" s="33" t="e">
        <f>#REF!/L2</f>
        <v>#REF!</v>
      </c>
      <c r="M23" s="34" t="e">
        <f>#REF!/M2</f>
        <v>#REF!</v>
      </c>
    </row>
    <row r="24" spans="1:13" x14ac:dyDescent="0.45">
      <c r="A24" s="32" t="s">
        <v>41</v>
      </c>
      <c r="B24" s="33" t="e">
        <f>#REF!/B2</f>
        <v>#REF!</v>
      </c>
      <c r="C24" s="34" t="e">
        <f>#REF!/C2</f>
        <v>#REF!</v>
      </c>
      <c r="D24" s="33" t="e">
        <f>#REF!/D2</f>
        <v>#REF!</v>
      </c>
      <c r="E24" s="34" t="e">
        <f>#REF!/E2</f>
        <v>#REF!</v>
      </c>
      <c r="F24" s="33" t="e">
        <f>#REF!/F2</f>
        <v>#REF!</v>
      </c>
      <c r="G24" s="34" t="e">
        <f>#REF!/G2</f>
        <v>#REF!</v>
      </c>
      <c r="H24" s="33" t="e">
        <f>#REF!/H2</f>
        <v>#REF!</v>
      </c>
      <c r="I24" s="34" t="e">
        <f>#REF!/I2</f>
        <v>#REF!</v>
      </c>
      <c r="J24" s="33" t="e">
        <f>#REF!/J2</f>
        <v>#REF!</v>
      </c>
      <c r="K24" s="34" t="e">
        <f>#REF!/K2</f>
        <v>#REF!</v>
      </c>
      <c r="L24" s="33" t="e">
        <f>#REF!/L2</f>
        <v>#REF!</v>
      </c>
      <c r="M24" s="34" t="e">
        <f>#REF!/M2</f>
        <v>#REF!</v>
      </c>
    </row>
    <row r="25" spans="1:13" x14ac:dyDescent="0.45">
      <c r="A25" s="26" t="s">
        <v>42</v>
      </c>
      <c r="B25" s="29" t="e">
        <f>#REF!/B2</f>
        <v>#REF!</v>
      </c>
      <c r="C25" s="30" t="e">
        <f>#REF!/C2</f>
        <v>#REF!</v>
      </c>
      <c r="D25" s="29" t="e">
        <f>#REF!/D2</f>
        <v>#REF!</v>
      </c>
      <c r="E25" s="30" t="e">
        <f>#REF!/E2</f>
        <v>#REF!</v>
      </c>
      <c r="F25" s="29" t="e">
        <f>#REF!/F2</f>
        <v>#REF!</v>
      </c>
      <c r="G25" s="30" t="e">
        <f>#REF!/G2</f>
        <v>#REF!</v>
      </c>
      <c r="H25" s="29" t="e">
        <f>#REF!/H2</f>
        <v>#REF!</v>
      </c>
      <c r="I25" s="30" t="e">
        <f>#REF!/I2</f>
        <v>#REF!</v>
      </c>
      <c r="J25" s="29" t="e">
        <f>#REF!/J2</f>
        <v>#REF!</v>
      </c>
      <c r="K25" s="30" t="e">
        <f>#REF!/K2</f>
        <v>#REF!</v>
      </c>
      <c r="L25" s="29" t="e">
        <f>#REF!/L2</f>
        <v>#REF!</v>
      </c>
      <c r="M25" s="30" t="e">
        <f>#REF!/M2</f>
        <v>#REF!</v>
      </c>
    </row>
    <row r="26" spans="1:13" x14ac:dyDescent="0.45">
      <c r="A26" s="26" t="s">
        <v>43</v>
      </c>
      <c r="B26" s="29" t="e">
        <f>#REF!/B2</f>
        <v>#REF!</v>
      </c>
      <c r="C26" s="30" t="e">
        <f>#REF!/C2</f>
        <v>#REF!</v>
      </c>
      <c r="D26" s="29" t="e">
        <f>#REF!/D2</f>
        <v>#REF!</v>
      </c>
      <c r="E26" s="30" t="e">
        <f>#REF!/E2</f>
        <v>#REF!</v>
      </c>
      <c r="F26" s="29" t="e">
        <f>#REF!/F2</f>
        <v>#REF!</v>
      </c>
      <c r="G26" s="30" t="e">
        <f>#REF!/G2</f>
        <v>#REF!</v>
      </c>
      <c r="H26" s="29" t="e">
        <f>#REF!/H2</f>
        <v>#REF!</v>
      </c>
      <c r="I26" s="30" t="e">
        <f>#REF!/I2</f>
        <v>#REF!</v>
      </c>
      <c r="J26" s="29" t="e">
        <f>#REF!/J2</f>
        <v>#REF!</v>
      </c>
      <c r="K26" s="30" t="e">
        <f>#REF!/K2</f>
        <v>#REF!</v>
      </c>
      <c r="L26" s="29" t="e">
        <f>#REF!/L2</f>
        <v>#REF!</v>
      </c>
      <c r="M26" s="30" t="e">
        <f>#REF!/M2</f>
        <v>#REF!</v>
      </c>
    </row>
    <row r="27" spans="1:13" x14ac:dyDescent="0.45">
      <c r="A27" s="32" t="s">
        <v>44</v>
      </c>
      <c r="B27" s="33" t="e">
        <f>#REF!/B2</f>
        <v>#REF!</v>
      </c>
      <c r="C27" s="34" t="e">
        <f>#REF!/C2</f>
        <v>#REF!</v>
      </c>
      <c r="D27" s="33" t="e">
        <f>#REF!/D2</f>
        <v>#REF!</v>
      </c>
      <c r="E27" s="34" t="e">
        <f>#REF!/E2</f>
        <v>#REF!</v>
      </c>
      <c r="F27" s="33" t="e">
        <f>#REF!/F2</f>
        <v>#REF!</v>
      </c>
      <c r="G27" s="34" t="e">
        <f>#REF!/G2</f>
        <v>#REF!</v>
      </c>
      <c r="H27" s="33" t="e">
        <f>#REF!/H2</f>
        <v>#REF!</v>
      </c>
      <c r="I27" s="34" t="e">
        <f>#REF!/I2</f>
        <v>#REF!</v>
      </c>
      <c r="J27" s="33" t="e">
        <f>#REF!/J2</f>
        <v>#REF!</v>
      </c>
      <c r="K27" s="34" t="e">
        <f>#REF!/K2</f>
        <v>#REF!</v>
      </c>
      <c r="L27" s="33" t="e">
        <f>#REF!/L2</f>
        <v>#REF!</v>
      </c>
      <c r="M27" s="34" t="e">
        <f>#REF!/M2</f>
        <v>#REF!</v>
      </c>
    </row>
    <row r="28" spans="1:13" x14ac:dyDescent="0.45">
      <c r="A28" s="26" t="s">
        <v>45</v>
      </c>
      <c r="B28" s="29" t="e">
        <f>#REF!/B3</f>
        <v>#REF!</v>
      </c>
      <c r="C28" s="30" t="e">
        <f>#REF!/C3</f>
        <v>#REF!</v>
      </c>
      <c r="D28" s="29" t="e">
        <f>#REF!/D3</f>
        <v>#REF!</v>
      </c>
      <c r="E28" s="30" t="e">
        <f>#REF!/E3</f>
        <v>#REF!</v>
      </c>
      <c r="F28" s="29" t="e">
        <f>#REF!/F3</f>
        <v>#REF!</v>
      </c>
      <c r="G28" s="30" t="e">
        <f>#REF!/G3</f>
        <v>#REF!</v>
      </c>
      <c r="H28" s="29" t="e">
        <f>#REF!/H3</f>
        <v>#REF!</v>
      </c>
      <c r="I28" s="30" t="e">
        <f>#REF!/I3</f>
        <v>#REF!</v>
      </c>
      <c r="J28" s="29" t="e">
        <f>#REF!/J3</f>
        <v>#REF!</v>
      </c>
      <c r="K28" s="30" t="e">
        <f>#REF!/K3</f>
        <v>#REF!</v>
      </c>
      <c r="L28" s="29" t="e">
        <f>#REF!/L3</f>
        <v>#REF!</v>
      </c>
      <c r="M28" s="30" t="e">
        <f>#REF!/M3</f>
        <v>#REF!</v>
      </c>
    </row>
    <row r="29" spans="1:13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3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idden="1" x14ac:dyDescent="0.45">
      <c r="A31" s="17" t="s">
        <v>21</v>
      </c>
      <c r="B31" s="18" t="e">
        <f t="shared" ref="B31:G31" si="7">+B27+B25</f>
        <v>#REF!</v>
      </c>
      <c r="C31" s="19" t="e">
        <f t="shared" si="7"/>
        <v>#REF!</v>
      </c>
      <c r="D31" s="18" t="e">
        <f t="shared" si="7"/>
        <v>#REF!</v>
      </c>
      <c r="E31" s="19" t="e">
        <f t="shared" si="7"/>
        <v>#REF!</v>
      </c>
      <c r="F31" s="18" t="e">
        <f t="shared" si="7"/>
        <v>#REF!</v>
      </c>
      <c r="G31" s="19" t="e">
        <f t="shared" si="7"/>
        <v>#REF!</v>
      </c>
      <c r="H31" s="18" t="e">
        <f t="shared" ref="H31:I31" si="8">+H27+H25</f>
        <v>#REF!</v>
      </c>
      <c r="I31" s="19" t="e">
        <f t="shared" si="8"/>
        <v>#REF!</v>
      </c>
      <c r="J31" s="18" t="e">
        <f t="shared" ref="J31:K31" si="9">+J27+J25</f>
        <v>#REF!</v>
      </c>
      <c r="K31" s="19" t="e">
        <f t="shared" si="9"/>
        <v>#REF!</v>
      </c>
      <c r="L31" s="18" t="e">
        <f t="shared" ref="L31:M31" si="10">+L27+L25</f>
        <v>#REF!</v>
      </c>
      <c r="M31" s="19" t="e">
        <f t="shared" si="10"/>
        <v>#REF!</v>
      </c>
    </row>
    <row r="32" spans="1:13" hidden="1" x14ac:dyDescent="0.45">
      <c r="A32" s="17" t="s">
        <v>22</v>
      </c>
      <c r="B32" s="18" t="e">
        <f t="shared" ref="B32:G32" si="11">+B24+B23+B21+B20+B19</f>
        <v>#REF!</v>
      </c>
      <c r="C32" s="19" t="e">
        <f t="shared" si="11"/>
        <v>#REF!</v>
      </c>
      <c r="D32" s="18" t="e">
        <f t="shared" si="11"/>
        <v>#REF!</v>
      </c>
      <c r="E32" s="19" t="e">
        <f t="shared" si="11"/>
        <v>#REF!</v>
      </c>
      <c r="F32" s="18" t="e">
        <f t="shared" si="11"/>
        <v>#REF!</v>
      </c>
      <c r="G32" s="19" t="e">
        <f t="shared" si="11"/>
        <v>#REF!</v>
      </c>
      <c r="H32" s="18" t="e">
        <f t="shared" ref="H32:I32" si="12">+H24+H23+H21+H20+H19</f>
        <v>#REF!</v>
      </c>
      <c r="I32" s="19" t="e">
        <f t="shared" si="12"/>
        <v>#REF!</v>
      </c>
      <c r="J32" s="18" t="e">
        <f t="shared" ref="J32:K32" si="13">+J24+J23+J21+J20+J19</f>
        <v>#REF!</v>
      </c>
      <c r="K32" s="19" t="e">
        <f t="shared" si="13"/>
        <v>#REF!</v>
      </c>
      <c r="L32" s="18" t="e">
        <f t="shared" ref="L32:M32" si="14">+L24+L23+L21+L20+L19</f>
        <v>#REF!</v>
      </c>
      <c r="M32" s="19" t="e">
        <f t="shared" si="14"/>
        <v>#REF!</v>
      </c>
    </row>
    <row r="33" spans="1:13" x14ac:dyDescent="0.45">
      <c r="B33" s="35"/>
      <c r="C33" s="36"/>
      <c r="D33" s="35"/>
      <c r="E33" s="36"/>
      <c r="F33" s="35"/>
      <c r="G33" s="36"/>
      <c r="H33" s="35"/>
      <c r="I33" s="36"/>
      <c r="J33" s="35"/>
      <c r="K33" s="36"/>
      <c r="L33" s="35"/>
      <c r="M33" s="36"/>
    </row>
    <row r="34" spans="1:13" x14ac:dyDescent="0.45">
      <c r="A34" s="4" t="s">
        <v>46</v>
      </c>
      <c r="B34" s="15" t="s">
        <v>26</v>
      </c>
      <c r="C34" s="16" t="s">
        <v>26</v>
      </c>
      <c r="D34" s="15" t="s">
        <v>26</v>
      </c>
      <c r="E34" s="16" t="e">
        <f>(E6*E3)-#REF!-#REF!</f>
        <v>#REF!</v>
      </c>
      <c r="F34" s="15" t="e">
        <f>(F6*F3)-#REF!-#REF!</f>
        <v>#REF!</v>
      </c>
      <c r="G34" s="16" t="e">
        <f>(G6*G3)-#REF!-#REF!</f>
        <v>#REF!</v>
      </c>
      <c r="H34" s="15" t="e">
        <f>(H6*H3)-#REF!-#REF!</f>
        <v>#REF!</v>
      </c>
      <c r="I34" s="16" t="e">
        <f>(I6*I3)-#REF!-#REF!</f>
        <v>#REF!</v>
      </c>
      <c r="J34" s="15" t="e">
        <f>(J6*J3)-#REF!-#REF!</f>
        <v>#REF!</v>
      </c>
      <c r="K34" s="16" t="e">
        <f>(K6*K3)-#REF!-#REF!</f>
        <v>#REF!</v>
      </c>
      <c r="L34" s="15" t="e">
        <f>(L6*L3)-#REF!-#REF!</f>
        <v>#REF!</v>
      </c>
      <c r="M34" s="16" t="e">
        <f>(M6*M3)-#REF!-#REF!</f>
        <v>#REF!</v>
      </c>
    </row>
    <row r="35" spans="1:13" x14ac:dyDescent="0.45">
      <c r="A35" s="4" t="s">
        <v>47</v>
      </c>
      <c r="B35" s="15" t="e">
        <f>(B7*(B2-B3))-#REF!</f>
        <v>#REF!</v>
      </c>
      <c r="C35" s="16" t="e">
        <f>(C7*(C2-C3))-#REF!</f>
        <v>#REF!</v>
      </c>
      <c r="D35" s="15" t="e">
        <f>(D7*(D2-D3))-#REF!</f>
        <v>#REF!</v>
      </c>
      <c r="E35" s="16" t="e">
        <f>(E7*(E2-E3))-#REF!</f>
        <v>#REF!</v>
      </c>
      <c r="F35" s="15" t="s">
        <v>26</v>
      </c>
      <c r="G35" s="16" t="s">
        <v>26</v>
      </c>
      <c r="H35" s="15" t="s">
        <v>26</v>
      </c>
      <c r="I35" s="16" t="s">
        <v>26</v>
      </c>
      <c r="J35" s="15" t="s">
        <v>26</v>
      </c>
      <c r="K35" s="16" t="s">
        <v>26</v>
      </c>
      <c r="L35" s="15" t="s">
        <v>26</v>
      </c>
      <c r="M35" s="16" t="s">
        <v>26</v>
      </c>
    </row>
    <row r="36" spans="1:13" x14ac:dyDescent="0.45">
      <c r="A36" s="4" t="s">
        <v>48</v>
      </c>
      <c r="B36" s="15" t="e">
        <f>(B15*B2)-#REF!</f>
        <v>#REF!</v>
      </c>
      <c r="C36" s="16" t="e">
        <f>(C15*C2)-#REF!</f>
        <v>#REF!</v>
      </c>
      <c r="D36" s="15" t="e">
        <f>(D15*D2)-#REF!</f>
        <v>#REF!</v>
      </c>
      <c r="E36" s="16" t="e">
        <f>(E15*E2)-#REF!</f>
        <v>#REF!</v>
      </c>
      <c r="F36" s="15" t="e">
        <f>(F15*F2)-#REF!</f>
        <v>#REF!</v>
      </c>
      <c r="G36" s="16" t="e">
        <f>(G15*G2)-#REF!</f>
        <v>#REF!</v>
      </c>
      <c r="H36" s="15" t="e">
        <f>(H15*H2)-#REF!</f>
        <v>#REF!</v>
      </c>
      <c r="I36" s="16" t="e">
        <f>(I15*I2)-#REF!</f>
        <v>#REF!</v>
      </c>
      <c r="J36" s="15" t="e">
        <f>(J15*J2)-#REF!</f>
        <v>#REF!</v>
      </c>
      <c r="K36" s="16" t="e">
        <f>(K15*K2)-#REF!</f>
        <v>#REF!</v>
      </c>
      <c r="L36" s="15" t="e">
        <f>(L15*L2)-#REF!</f>
        <v>#REF!</v>
      </c>
      <c r="M36" s="16" t="e">
        <f>(M15*M2)-#REF!</f>
        <v>#REF!</v>
      </c>
    </row>
    <row r="37" spans="1:13" x14ac:dyDescent="0.45">
      <c r="A37" s="4" t="s">
        <v>49</v>
      </c>
      <c r="B37" s="15" t="e">
        <f>(B18*B2)-#REF!</f>
        <v>#REF!</v>
      </c>
      <c r="C37" s="16" t="e">
        <f>(C18*C2)-#REF!</f>
        <v>#REF!</v>
      </c>
      <c r="D37" s="15" t="e">
        <f>(D18*D2)-#REF!</f>
        <v>#REF!</v>
      </c>
      <c r="E37" s="16" t="e">
        <f>(E18*E2)-#REF!</f>
        <v>#REF!</v>
      </c>
      <c r="F37" s="15" t="e">
        <f>(F18*F2)-#REF!</f>
        <v>#REF!</v>
      </c>
      <c r="G37" s="16" t="e">
        <f>(G18*G2)-#REF!</f>
        <v>#REF!</v>
      </c>
      <c r="H37" s="15" t="e">
        <f>(H18*H2)-#REF!</f>
        <v>#REF!</v>
      </c>
      <c r="I37" s="16" t="e">
        <f>(I18*I2)-#REF!</f>
        <v>#REF!</v>
      </c>
      <c r="J37" s="15" t="e">
        <f>(J18*J2)-#REF!</f>
        <v>#REF!</v>
      </c>
      <c r="K37" s="16" t="e">
        <f>(K18*K2)-#REF!</f>
        <v>#REF!</v>
      </c>
      <c r="L37" s="15" t="e">
        <f>(L18*L2)-#REF!</f>
        <v>#REF!</v>
      </c>
      <c r="M37" s="16" t="e">
        <f>(M18*M2)-#REF!</f>
        <v>#REF!</v>
      </c>
    </row>
    <row r="38" spans="1:13" x14ac:dyDescent="0.45">
      <c r="A38" s="4" t="s">
        <v>50</v>
      </c>
      <c r="B38" s="15" t="e">
        <f>(B25*B2)-#REF!</f>
        <v>#REF!</v>
      </c>
      <c r="C38" s="16" t="e">
        <f>(C25*C2)-#REF!</f>
        <v>#REF!</v>
      </c>
      <c r="D38" s="15" t="e">
        <f>(D25*D2)-#REF!</f>
        <v>#REF!</v>
      </c>
      <c r="E38" s="16" t="e">
        <f>(E25*E2)-#REF!</f>
        <v>#REF!</v>
      </c>
      <c r="F38" s="15" t="e">
        <f>(F25*F2)-#REF!</f>
        <v>#REF!</v>
      </c>
      <c r="G38" s="16" t="e">
        <f>(G25*G2)-#REF!</f>
        <v>#REF!</v>
      </c>
      <c r="H38" s="15" t="e">
        <f>(H25*H2)-#REF!</f>
        <v>#REF!</v>
      </c>
      <c r="I38" s="16" t="e">
        <f>(I25*I2)-#REF!</f>
        <v>#REF!</v>
      </c>
      <c r="J38" s="15" t="e">
        <f>(J25*J2)-#REF!</f>
        <v>#REF!</v>
      </c>
      <c r="K38" s="16" t="e">
        <f>(K25*K2)-#REF!</f>
        <v>#REF!</v>
      </c>
      <c r="L38" s="15" t="e">
        <f>(L25*L2)-#REF!</f>
        <v>#REF!</v>
      </c>
      <c r="M38" s="16" t="e">
        <f>(M25*M2)-#REF!</f>
        <v>#REF!</v>
      </c>
    </row>
    <row r="39" spans="1:13" x14ac:dyDescent="0.45">
      <c r="A39" s="4" t="s">
        <v>51</v>
      </c>
      <c r="B39" s="15" t="e">
        <f>(B26*B2)-#REF!</f>
        <v>#REF!</v>
      </c>
      <c r="C39" s="16" t="e">
        <f>(C26*C2)-#REF!</f>
        <v>#REF!</v>
      </c>
      <c r="D39" s="15" t="e">
        <f>(D26*D2)-#REF!</f>
        <v>#REF!</v>
      </c>
      <c r="E39" s="16" t="e">
        <f>(E26*E2)-#REF!</f>
        <v>#REF!</v>
      </c>
      <c r="F39" s="15" t="e">
        <f>(F26*F2)-#REF!</f>
        <v>#REF!</v>
      </c>
      <c r="G39" s="16" t="e">
        <f>(G26*G2)-#REF!</f>
        <v>#REF!</v>
      </c>
      <c r="H39" s="15" t="e">
        <f>(H26*H2)-#REF!</f>
        <v>#REF!</v>
      </c>
      <c r="I39" s="16" t="e">
        <f>(I26*I2)-#REF!</f>
        <v>#REF!</v>
      </c>
      <c r="J39" s="15" t="e">
        <f>(J26*J2)-#REF!</f>
        <v>#REF!</v>
      </c>
      <c r="K39" s="16" t="e">
        <f>(K26*K2)-#REF!</f>
        <v>#REF!</v>
      </c>
      <c r="L39" s="15" t="e">
        <f>(L26*L2)-#REF!</f>
        <v>#REF!</v>
      </c>
      <c r="M39" s="16" t="e">
        <f>(M26*M2)-#REF!</f>
        <v>#REF!</v>
      </c>
    </row>
    <row r="40" spans="1:13" x14ac:dyDescent="0.45">
      <c r="A40" s="4" t="s">
        <v>52</v>
      </c>
      <c r="B40" s="15" t="e">
        <f>(B27*B2)-#REF!</f>
        <v>#REF!</v>
      </c>
      <c r="C40" s="16" t="e">
        <f>(C27*C2)-#REF!</f>
        <v>#REF!</v>
      </c>
      <c r="D40" s="15" t="e">
        <f>(D27*D2)-#REF!</f>
        <v>#REF!</v>
      </c>
      <c r="E40" s="16" t="e">
        <f>(E27*E2)-#REF!</f>
        <v>#REF!</v>
      </c>
      <c r="F40" s="15" t="e">
        <f>(F27*F2)-#REF!</f>
        <v>#REF!</v>
      </c>
      <c r="G40" s="16" t="e">
        <f>(G27*G2)-#REF!</f>
        <v>#REF!</v>
      </c>
      <c r="H40" s="15" t="e">
        <f>(H27*H2)-#REF!</f>
        <v>#REF!</v>
      </c>
      <c r="I40" s="16" t="e">
        <f>(I27*I2)-#REF!</f>
        <v>#REF!</v>
      </c>
      <c r="J40" s="15" t="e">
        <f>(J27*J2)-#REF!</f>
        <v>#REF!</v>
      </c>
      <c r="K40" s="16" t="e">
        <f>(K27*K2)-#REF!</f>
        <v>#REF!</v>
      </c>
      <c r="L40" s="15" t="e">
        <f>(L27*L2)-#REF!</f>
        <v>#REF!</v>
      </c>
      <c r="M40" s="16" t="e">
        <f>(M27*M2)-#REF!</f>
        <v>#REF!</v>
      </c>
    </row>
    <row r="41" spans="1:13" x14ac:dyDescent="0.45">
      <c r="A41" s="4" t="s">
        <v>53</v>
      </c>
      <c r="B41" s="15" t="s">
        <v>26</v>
      </c>
      <c r="C41" s="16" t="s">
        <v>26</v>
      </c>
      <c r="D41" s="15" t="s">
        <v>26</v>
      </c>
      <c r="E41" s="16" t="e">
        <f>(E28*E3)-#REF!</f>
        <v>#REF!</v>
      </c>
      <c r="F41" s="15" t="e">
        <f>(F28*F3)-#REF!</f>
        <v>#REF!</v>
      </c>
      <c r="G41" s="16" t="e">
        <f>(G28*G3)-#REF!</f>
        <v>#REF!</v>
      </c>
      <c r="H41" s="15" t="e">
        <f>(H28*H3)-#REF!</f>
        <v>#REF!</v>
      </c>
      <c r="I41" s="16" t="e">
        <f>(I28*I3)-#REF!</f>
        <v>#REF!</v>
      </c>
      <c r="J41" s="15" t="e">
        <f>(J28*J3)-#REF!</f>
        <v>#REF!</v>
      </c>
      <c r="K41" s="16" t="e">
        <f>(K28*K3)-#REF!</f>
        <v>#REF!</v>
      </c>
      <c r="L41" s="15" t="e">
        <f>(L28*L3)-#REF!</f>
        <v>#REF!</v>
      </c>
      <c r="M41" s="16" t="e">
        <f>(M28*M3)-#REF!</f>
        <v>#REF!</v>
      </c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x14ac:dyDescent="0.45">
      <c r="A43" s="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x14ac:dyDescent="0.45">
      <c r="A44" s="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5" tint="0.59999389629810485"/>
  </sheetPr>
  <dimension ref="A1:O42"/>
  <sheetViews>
    <sheetView topLeftCell="A22" zoomScaleNormal="100" workbookViewId="0">
      <selection activeCell="A35" sqref="A35"/>
    </sheetView>
  </sheetViews>
  <sheetFormatPr baseColWidth="10" defaultColWidth="11.46484375" defaultRowHeight="14.25" x14ac:dyDescent="0.45"/>
  <cols>
    <col min="1" max="1" width="28.46484375" style="32" bestFit="1" customWidth="1"/>
    <col min="2" max="2" width="6.73046875" style="2" bestFit="1" customWidth="1"/>
    <col min="3" max="3" width="6.73046875" style="3" bestFit="1" customWidth="1"/>
    <col min="4" max="4" width="6.73046875" style="2" bestFit="1" customWidth="1"/>
    <col min="5" max="5" width="6.53125" style="3" bestFit="1" customWidth="1"/>
    <col min="6" max="6" width="7.796875" style="2" bestFit="1" customWidth="1"/>
    <col min="7" max="7" width="6.53125" style="3" bestFit="1" customWidth="1"/>
    <col min="8" max="8" width="7" style="2" bestFit="1" customWidth="1"/>
    <col min="9" max="9" width="6.53125" style="3" bestFit="1" customWidth="1"/>
    <col min="10" max="10" width="7" style="2" bestFit="1" customWidth="1"/>
    <col min="11" max="11" width="6.73046875" style="3" bestFit="1" customWidth="1"/>
    <col min="12" max="12" width="7" style="2" bestFit="1" customWidth="1"/>
    <col min="13" max="13" width="5.796875" style="3" bestFit="1" customWidth="1"/>
    <col min="14" max="14" width="0.796875" style="14" customWidth="1"/>
    <col min="15" max="17" width="11.46484375" style="1"/>
    <col min="18" max="18" width="1.796875" style="1" customWidth="1"/>
    <col min="19" max="16384" width="11.46484375" style="1"/>
  </cols>
  <sheetData>
    <row r="1" spans="1:13" ht="14.65" thickBot="1" x14ac:dyDescent="0.5">
      <c r="A1" s="5" t="s">
        <v>55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 t="e">
        <f>+#REF!</f>
        <v>#REF!</v>
      </c>
      <c r="C2" s="28" t="e">
        <f>+#REF!</f>
        <v>#REF!</v>
      </c>
      <c r="D2" s="27" t="e">
        <f>+#REF!</f>
        <v>#REF!</v>
      </c>
      <c r="E2" s="28" t="e">
        <f>+#REF!</f>
        <v>#REF!</v>
      </c>
      <c r="F2" s="27" t="e">
        <f>+#REF!</f>
        <v>#REF!</v>
      </c>
      <c r="G2" s="28" t="e">
        <f>+#REF!</f>
        <v>#REF!</v>
      </c>
      <c r="H2" s="27" t="e">
        <f>+#REF!</f>
        <v>#REF!</v>
      </c>
      <c r="I2" s="28" t="e">
        <f>+#REF!</f>
        <v>#REF!</v>
      </c>
      <c r="J2" s="27" t="e">
        <f>+#REF!</f>
        <v>#REF!</v>
      </c>
      <c r="K2" s="28" t="e">
        <f>+#REF!</f>
        <v>#REF!</v>
      </c>
      <c r="L2" s="27" t="e">
        <f>+#REF!</f>
        <v>#REF!</v>
      </c>
      <c r="M2" s="28" t="e">
        <f>+#REF!</f>
        <v>#REF!</v>
      </c>
    </row>
    <row r="3" spans="1:13" x14ac:dyDescent="0.45">
      <c r="A3" s="26" t="s">
        <v>23</v>
      </c>
      <c r="B3" s="27" t="e">
        <f>+#REF!</f>
        <v>#REF!</v>
      </c>
      <c r="C3" s="28" t="e">
        <f>+#REF!</f>
        <v>#REF!</v>
      </c>
      <c r="D3" s="27" t="e">
        <f>+#REF!</f>
        <v>#REF!</v>
      </c>
      <c r="E3" s="28" t="e">
        <f>+#REF!</f>
        <v>#REF!</v>
      </c>
      <c r="F3" s="27" t="e">
        <f>+#REF!</f>
        <v>#REF!</v>
      </c>
      <c r="G3" s="28" t="e">
        <f>+#REF!</f>
        <v>#REF!</v>
      </c>
      <c r="H3" s="27" t="e">
        <f>+#REF!</f>
        <v>#REF!</v>
      </c>
      <c r="I3" s="28" t="e">
        <f>+#REF!</f>
        <v>#REF!</v>
      </c>
      <c r="J3" s="27" t="e">
        <f>+#REF!</f>
        <v>#REF!</v>
      </c>
      <c r="K3" s="28" t="e">
        <f>+#REF!</f>
        <v>#REF!</v>
      </c>
      <c r="L3" s="27" t="e">
        <f>+#REF!</f>
        <v>#REF!</v>
      </c>
      <c r="M3" s="28" t="e">
        <f>+#REF!</f>
        <v>#REF!</v>
      </c>
    </row>
    <row r="4" spans="1:13" x14ac:dyDescent="0.45">
      <c r="A4" s="26" t="s">
        <v>0</v>
      </c>
      <c r="B4" s="27" t="e">
        <f>+#REF!</f>
        <v>#REF!</v>
      </c>
      <c r="C4" s="30" t="e">
        <f>+#REF!</f>
        <v>#REF!</v>
      </c>
      <c r="D4" s="27" t="e">
        <f>+#REF!</f>
        <v>#REF!</v>
      </c>
      <c r="E4" s="30" t="e">
        <f>+#REF!</f>
        <v>#REF!</v>
      </c>
      <c r="F4" s="27" t="e">
        <f>+#REF!</f>
        <v>#REF!</v>
      </c>
      <c r="G4" s="30" t="e">
        <f>+#REF!</f>
        <v>#REF!</v>
      </c>
      <c r="H4" s="27" t="e">
        <f>+#REF!</f>
        <v>#REF!</v>
      </c>
      <c r="I4" s="30" t="e">
        <f>+#REF!</f>
        <v>#REF!</v>
      </c>
      <c r="J4" s="27" t="e">
        <f>+#REF!</f>
        <v>#REF!</v>
      </c>
      <c r="K4" s="30" t="e">
        <f>+#REF!</f>
        <v>#REF!</v>
      </c>
      <c r="L4" s="27" t="e">
        <f>+#REF!</f>
        <v>#REF!</v>
      </c>
      <c r="M4" s="30" t="e">
        <f>+#REF!</f>
        <v>#REF!</v>
      </c>
    </row>
    <row r="5" spans="1:13" x14ac:dyDescent="0.45">
      <c r="A5" s="17" t="s">
        <v>1</v>
      </c>
      <c r="B5" s="18" t="e">
        <f t="shared" ref="B5" si="0">+B4/B3/1000</f>
        <v>#REF!</v>
      </c>
      <c r="C5" s="19" t="e">
        <f t="shared" ref="C5:G5" si="1">+C4/C3/1000</f>
        <v>#REF!</v>
      </c>
      <c r="D5" s="18" t="e">
        <f t="shared" si="1"/>
        <v>#REF!</v>
      </c>
      <c r="E5" s="19" t="e">
        <f t="shared" si="1"/>
        <v>#REF!</v>
      </c>
      <c r="F5" s="18" t="e">
        <f t="shared" si="1"/>
        <v>#REF!</v>
      </c>
      <c r="G5" s="19" t="e">
        <f t="shared" si="1"/>
        <v>#REF!</v>
      </c>
      <c r="H5" s="18" t="e">
        <f t="shared" ref="H5:I5" si="2">+H4/H3/1000</f>
        <v>#REF!</v>
      </c>
      <c r="I5" s="19" t="e">
        <f t="shared" si="2"/>
        <v>#REF!</v>
      </c>
      <c r="J5" s="18" t="e">
        <f t="shared" ref="J5:K5" si="3">+J4/J3/1000</f>
        <v>#REF!</v>
      </c>
      <c r="K5" s="19" t="e">
        <f t="shared" si="3"/>
        <v>#REF!</v>
      </c>
      <c r="L5" s="18" t="e">
        <f t="shared" ref="L5:M5" si="4">+L4/L3/1000</f>
        <v>#REF!</v>
      </c>
      <c r="M5" s="19" t="e">
        <f t="shared" si="4"/>
        <v>#REF!</v>
      </c>
    </row>
    <row r="6" spans="1:13" x14ac:dyDescent="0.45">
      <c r="A6" s="32" t="s">
        <v>58</v>
      </c>
      <c r="B6" s="38" t="e">
        <f>(#REF!+#REF!)/B4</f>
        <v>#REF!</v>
      </c>
      <c r="C6" s="39" t="e">
        <f>(#REF!+#REF!)/C4</f>
        <v>#REF!</v>
      </c>
      <c r="D6" s="38" t="e">
        <f>(#REF!+#REF!)/D4</f>
        <v>#REF!</v>
      </c>
      <c r="E6" s="39" t="e">
        <f>(#REF!+#REF!)/E4</f>
        <v>#REF!</v>
      </c>
      <c r="F6" s="38" t="e">
        <f>(#REF!+#REF!)/F4</f>
        <v>#REF!</v>
      </c>
      <c r="G6" s="39" t="e">
        <f>(#REF!+#REF!)/G4</f>
        <v>#REF!</v>
      </c>
      <c r="H6" s="38" t="e">
        <f>(#REF!+#REF!)/H4</f>
        <v>#REF!</v>
      </c>
      <c r="I6" s="39" t="e">
        <f>(#REF!+#REF!)/I4</f>
        <v>#REF!</v>
      </c>
      <c r="J6" s="38" t="e">
        <f>(#REF!+#REF!)/J4</f>
        <v>#REF!</v>
      </c>
      <c r="K6" s="39" t="e">
        <f>(#REF!+#REF!)/K4</f>
        <v>#REF!</v>
      </c>
      <c r="L6" s="38" t="e">
        <f>(#REF!+#REF!)/L4</f>
        <v>#REF!</v>
      </c>
      <c r="M6" s="39" t="e">
        <f>(#REF!+#REF!)/M4</f>
        <v>#REF!</v>
      </c>
    </row>
    <row r="7" spans="1:13" x14ac:dyDescent="0.45">
      <c r="A7" s="32" t="s">
        <v>59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3" x14ac:dyDescent="0.45">
      <c r="A8" s="26" t="s">
        <v>58</v>
      </c>
      <c r="B8" s="41" t="e">
        <f>+B7+B6</f>
        <v>#REF!</v>
      </c>
      <c r="C8" s="42" t="e">
        <f>+C7+C6</f>
        <v>#REF!</v>
      </c>
      <c r="D8" s="41" t="e">
        <f t="shared" ref="D8:G8" si="5">+D7+D6</f>
        <v>#REF!</v>
      </c>
      <c r="E8" s="42" t="e">
        <f t="shared" si="5"/>
        <v>#REF!</v>
      </c>
      <c r="F8" s="41" t="e">
        <f t="shared" si="5"/>
        <v>#REF!</v>
      </c>
      <c r="G8" s="42" t="e">
        <f t="shared" si="5"/>
        <v>#REF!</v>
      </c>
      <c r="H8" s="41" t="e">
        <f t="shared" ref="H8:I8" si="6">+H7+H6</f>
        <v>#REF!</v>
      </c>
      <c r="I8" s="42" t="e">
        <f t="shared" si="6"/>
        <v>#REF!</v>
      </c>
      <c r="J8" s="41" t="e">
        <f t="shared" ref="J8:K8" si="7">+J7+J6</f>
        <v>#REF!</v>
      </c>
      <c r="K8" s="42" t="e">
        <f t="shared" si="7"/>
        <v>#REF!</v>
      </c>
      <c r="L8" s="41" t="e">
        <f t="shared" ref="L8:M8" si="8">+L7+L6</f>
        <v>#REF!</v>
      </c>
      <c r="M8" s="42" t="e">
        <f t="shared" si="8"/>
        <v>#REF!</v>
      </c>
    </row>
    <row r="9" spans="1:13" x14ac:dyDescent="0.45">
      <c r="A9" s="32" t="s">
        <v>2</v>
      </c>
      <c r="B9" s="38" t="e">
        <f>#REF!/$B$4</f>
        <v>#REF!</v>
      </c>
      <c r="C9" s="39" t="e">
        <f>#REF!/C4</f>
        <v>#REF!</v>
      </c>
      <c r="D9" s="38" t="e">
        <f>#REF!/$D$4</f>
        <v>#REF!</v>
      </c>
      <c r="E9" s="39" t="e">
        <f>#REF!/$E$4</f>
        <v>#REF!</v>
      </c>
      <c r="F9" s="38" t="e">
        <f>#REF!/$F$4</f>
        <v>#REF!</v>
      </c>
      <c r="G9" s="39" t="e">
        <f>#REF!/$G$4</f>
        <v>#REF!</v>
      </c>
      <c r="H9" s="43" t="e">
        <f>#REF!/$H$4</f>
        <v>#REF!</v>
      </c>
      <c r="I9" s="39" t="e">
        <f>#REF!/$I$4</f>
        <v>#REF!</v>
      </c>
      <c r="J9" s="38" t="e">
        <f>#REF!/$J$4</f>
        <v>#REF!</v>
      </c>
      <c r="K9" s="39" t="e">
        <f>#REF!/$K$4</f>
        <v>#REF!</v>
      </c>
      <c r="L9" s="38" t="e">
        <f>#REF!/$L$4</f>
        <v>#REF!</v>
      </c>
      <c r="M9" s="39" t="e">
        <f>#REF!/$M$4</f>
        <v>#REF!</v>
      </c>
    </row>
    <row r="10" spans="1:13" x14ac:dyDescent="0.45">
      <c r="A10" s="32" t="s">
        <v>3</v>
      </c>
      <c r="B10" s="38" t="e">
        <f>#REF!/$B$4</f>
        <v>#REF!</v>
      </c>
      <c r="C10" s="39" t="e">
        <f>#REF!/$C$4</f>
        <v>#REF!</v>
      </c>
      <c r="D10" s="38" t="e">
        <f>#REF!/$D$4</f>
        <v>#REF!</v>
      </c>
      <c r="E10" s="39" t="e">
        <f>#REF!/$E$4</f>
        <v>#REF!</v>
      </c>
      <c r="F10" s="38" t="e">
        <f>#REF!/$F$4</f>
        <v>#REF!</v>
      </c>
      <c r="G10" s="39" t="e">
        <f>#REF!/$G$4</f>
        <v>#REF!</v>
      </c>
      <c r="H10" s="43" t="e">
        <f>#REF!/$H$4</f>
        <v>#REF!</v>
      </c>
      <c r="I10" s="39" t="e">
        <f>#REF!/$I$4</f>
        <v>#REF!</v>
      </c>
      <c r="J10" s="38" t="e">
        <f>#REF!/$J$4</f>
        <v>#REF!</v>
      </c>
      <c r="K10" s="39" t="e">
        <f>#REF!/$G$4</f>
        <v>#REF!</v>
      </c>
      <c r="L10" s="38" t="e">
        <f>#REF!/$L$4</f>
        <v>#REF!</v>
      </c>
      <c r="M10" s="39" t="e">
        <f>#REF!/$M$4</f>
        <v>#REF!</v>
      </c>
    </row>
    <row r="11" spans="1:13" x14ac:dyDescent="0.45">
      <c r="A11" s="32" t="s">
        <v>4</v>
      </c>
      <c r="B11" s="38" t="e">
        <f>#REF!/$B$4</f>
        <v>#REF!</v>
      </c>
      <c r="C11" s="39" t="e">
        <f>#REF!/$C$4</f>
        <v>#REF!</v>
      </c>
      <c r="D11" s="38" t="e">
        <f>#REF!/$D$4</f>
        <v>#REF!</v>
      </c>
      <c r="E11" s="39" t="e">
        <f>#REF!/$E$4</f>
        <v>#REF!</v>
      </c>
      <c r="F11" s="38" t="e">
        <f>#REF!/$F$4</f>
        <v>#REF!</v>
      </c>
      <c r="G11" s="39" t="e">
        <f>#REF!/$G$4</f>
        <v>#REF!</v>
      </c>
      <c r="H11" s="43" t="e">
        <f>#REF!/$H$4</f>
        <v>#REF!</v>
      </c>
      <c r="I11" s="39" t="e">
        <f>#REF!/$I$4</f>
        <v>#REF!</v>
      </c>
      <c r="J11" s="38" t="e">
        <f>#REF!/$J$4</f>
        <v>#REF!</v>
      </c>
      <c r="K11" s="39" t="e">
        <f>#REF!/$FW4</f>
        <v>#REF!</v>
      </c>
      <c r="L11" s="38" t="e">
        <f>#REF!/$L$4</f>
        <v>#REF!</v>
      </c>
      <c r="M11" s="39" t="e">
        <f>#REF!/$M$4</f>
        <v>#REF!</v>
      </c>
    </row>
    <row r="12" spans="1:13" x14ac:dyDescent="0.45">
      <c r="A12" s="32" t="s">
        <v>5</v>
      </c>
      <c r="B12" s="38" t="e">
        <f>#REF!/$B$4</f>
        <v>#REF!</v>
      </c>
      <c r="C12" s="39" t="e">
        <f>#REF!/$C$4</f>
        <v>#REF!</v>
      </c>
      <c r="D12" s="38" t="e">
        <f>#REF!/$D$4</f>
        <v>#REF!</v>
      </c>
      <c r="E12" s="39" t="e">
        <f>#REF!/$E$4</f>
        <v>#REF!</v>
      </c>
      <c r="F12" s="38" t="e">
        <f>#REF!/$F$4</f>
        <v>#REF!</v>
      </c>
      <c r="G12" s="39" t="e">
        <f>#REF!/$G$4</f>
        <v>#REF!</v>
      </c>
      <c r="H12" s="43" t="e">
        <f>#REF!/$H$4</f>
        <v>#REF!</v>
      </c>
      <c r="I12" s="39" t="e">
        <f>#REF!/$I$4</f>
        <v>#REF!</v>
      </c>
      <c r="J12" s="38" t="e">
        <f>#REF!/$J$4</f>
        <v>#REF!</v>
      </c>
      <c r="K12" s="39" t="e">
        <f>#REF!/$K$4</f>
        <v>#REF!</v>
      </c>
      <c r="L12" s="38" t="e">
        <f>#REF!/$L$4</f>
        <v>#REF!</v>
      </c>
      <c r="M12" s="39" t="e">
        <f>#REF!/$M$4</f>
        <v>#REF!</v>
      </c>
    </row>
    <row r="13" spans="1:13" x14ac:dyDescent="0.45">
      <c r="A13" s="32" t="s">
        <v>6</v>
      </c>
      <c r="B13" s="38" t="e">
        <f>#REF!/$B$4</f>
        <v>#REF!</v>
      </c>
      <c r="C13" s="39" t="e">
        <f>#REF!/$C$4</f>
        <v>#REF!</v>
      </c>
      <c r="D13" s="38" t="e">
        <f>#REF!/$D$4</f>
        <v>#REF!</v>
      </c>
      <c r="E13" s="39" t="e">
        <f>#REF!/$E$4</f>
        <v>#REF!</v>
      </c>
      <c r="F13" s="38" t="e">
        <f>#REF!/$F$4</f>
        <v>#REF!</v>
      </c>
      <c r="G13" s="39" t="e">
        <f>#REF!/$G$4</f>
        <v>#REF!</v>
      </c>
      <c r="H13" s="43" t="e">
        <f>#REF!/$H$4</f>
        <v>#REF!</v>
      </c>
      <c r="I13" s="39" t="e">
        <f>#REF!/$I$4</f>
        <v>#REF!</v>
      </c>
      <c r="J13" s="38" t="e">
        <f>#REF!/$J$4</f>
        <v>#REF!</v>
      </c>
      <c r="K13" s="39" t="e">
        <f>#REF!/$K$4</f>
        <v>#REF!</v>
      </c>
      <c r="L13" s="38" t="e">
        <f>#REF!/$L$4</f>
        <v>#REF!</v>
      </c>
      <c r="M13" s="39" t="e">
        <f>#REF!/$M$4</f>
        <v>#REF!</v>
      </c>
    </row>
    <row r="14" spans="1:13" x14ac:dyDescent="0.45">
      <c r="A14" s="32" t="s">
        <v>7</v>
      </c>
      <c r="B14" s="38" t="e">
        <f>#REF!/$B$4</f>
        <v>#REF!</v>
      </c>
      <c r="C14" s="39" t="e">
        <f>#REF!/$C$4</f>
        <v>#REF!</v>
      </c>
      <c r="D14" s="38" t="e">
        <f>#REF!/$D$4</f>
        <v>#REF!</v>
      </c>
      <c r="E14" s="39" t="e">
        <f>#REF!/$E$4</f>
        <v>#REF!</v>
      </c>
      <c r="F14" s="38" t="e">
        <f>#REF!/$F$4</f>
        <v>#REF!</v>
      </c>
      <c r="G14" s="39" t="e">
        <f>#REF!/$G$4</f>
        <v>#REF!</v>
      </c>
      <c r="H14" s="43" t="e">
        <f>#REF!/$H$4</f>
        <v>#REF!</v>
      </c>
      <c r="I14" s="39" t="e">
        <f>#REF!/$I$4</f>
        <v>#REF!</v>
      </c>
      <c r="J14" s="38" t="e">
        <f>#REF!/$J$4</f>
        <v>#REF!</v>
      </c>
      <c r="K14" s="39" t="e">
        <f>#REF!/$K$4</f>
        <v>#REF!</v>
      </c>
      <c r="L14" s="38" t="e">
        <f>#REF!/$L$4</f>
        <v>#REF!</v>
      </c>
      <c r="M14" s="39" t="e">
        <f>#REF!/$M$4</f>
        <v>#REF!</v>
      </c>
    </row>
    <row r="15" spans="1:13" x14ac:dyDescent="0.45">
      <c r="A15" s="26" t="s">
        <v>60</v>
      </c>
      <c r="B15" s="41" t="e">
        <f>(#REF!-#REF!)/$B$4</f>
        <v>#REF!</v>
      </c>
      <c r="C15" s="42" t="e">
        <f>(#REF!-#REF!)/$C$4</f>
        <v>#REF!</v>
      </c>
      <c r="D15" s="41" t="e">
        <f>(#REF!-#REF!)/$D$4</f>
        <v>#REF!</v>
      </c>
      <c r="E15" s="42" t="e">
        <f>(#REF!-#REF!)/$E$4</f>
        <v>#REF!</v>
      </c>
      <c r="F15" s="41" t="e">
        <f>(#REF!-#REF!)/$F$4</f>
        <v>#REF!</v>
      </c>
      <c r="G15" s="42" t="e">
        <f>(#REF!-#REF!)/$G$4</f>
        <v>#REF!</v>
      </c>
      <c r="H15" s="41" t="e">
        <f>(#REF!-#REF!)/$H$4</f>
        <v>#REF!</v>
      </c>
      <c r="I15" s="42" t="e">
        <f>(#REF!-#REF!)/$I$4</f>
        <v>#REF!</v>
      </c>
      <c r="J15" s="41" t="e">
        <f>(#REF!-#REF!)/$J$4</f>
        <v>#REF!</v>
      </c>
      <c r="K15" s="42" t="e">
        <f>(#REF!-#REF!)/$K$4</f>
        <v>#REF!</v>
      </c>
      <c r="L15" s="41" t="e">
        <f>(#REF!-#REF!)/$L$4</f>
        <v>#REF!</v>
      </c>
      <c r="M15" s="42" t="e">
        <f>(#REF!-#REF!)/$M$4</f>
        <v>#REF!</v>
      </c>
    </row>
    <row r="16" spans="1:13" x14ac:dyDescent="0.45">
      <c r="A16" s="32" t="s">
        <v>63</v>
      </c>
      <c r="B16" s="38" t="e">
        <f>#REF!/$B$4</f>
        <v>#REF!</v>
      </c>
      <c r="C16" s="39" t="e">
        <f>#REF!/$C$4</f>
        <v>#REF!</v>
      </c>
      <c r="D16" s="38" t="e">
        <f>#REF!/$D$4</f>
        <v>#REF!</v>
      </c>
      <c r="E16" s="39" t="e">
        <f>#REF!/$E$4</f>
        <v>#REF!</v>
      </c>
      <c r="F16" s="38" t="e">
        <f>#REF!/$F$4</f>
        <v>#REF!</v>
      </c>
      <c r="G16" s="39" t="e">
        <f>#REF!/$G$4</f>
        <v>#REF!</v>
      </c>
      <c r="H16" s="43" t="e">
        <f>#REF!/$H$4</f>
        <v>#REF!</v>
      </c>
      <c r="I16" s="39" t="e">
        <f>#REF!/$I$4</f>
        <v>#REF!</v>
      </c>
      <c r="J16" s="38" t="e">
        <f>#REF!/$J$4</f>
        <v>#REF!</v>
      </c>
      <c r="K16" s="39" t="e">
        <f>#REF!/$K$4</f>
        <v>#REF!</v>
      </c>
      <c r="L16" s="38" t="e">
        <f>#REF!/$L$4</f>
        <v>#REF!</v>
      </c>
      <c r="M16" s="39" t="e">
        <f>#REF!/$M$4</f>
        <v>#REF!</v>
      </c>
    </row>
    <row r="17" spans="1:15" x14ac:dyDescent="0.45">
      <c r="A17" s="32" t="s">
        <v>64</v>
      </c>
      <c r="B17" s="38" t="e">
        <f>#REF!/$B$4</f>
        <v>#REF!</v>
      </c>
      <c r="C17" s="39" t="e">
        <f>#REF!/$C$4</f>
        <v>#REF!</v>
      </c>
      <c r="D17" s="38" t="e">
        <f>#REF!/$D$4</f>
        <v>#REF!</v>
      </c>
      <c r="E17" s="39" t="e">
        <f>#REF!/$E$4</f>
        <v>#REF!</v>
      </c>
      <c r="F17" s="38" t="e">
        <f>#REF!/$F$4</f>
        <v>#REF!</v>
      </c>
      <c r="G17" s="39" t="e">
        <f>#REF!/$G$4</f>
        <v>#REF!</v>
      </c>
      <c r="H17" s="43" t="e">
        <f>#REF!/$H$4</f>
        <v>#REF!</v>
      </c>
      <c r="I17" s="39" t="e">
        <f>#REF!/$I$4</f>
        <v>#REF!</v>
      </c>
      <c r="J17" s="38" t="e">
        <f>#REF!/$J$4</f>
        <v>#REF!</v>
      </c>
      <c r="K17" s="39" t="e">
        <f>#REF!/$K$4</f>
        <v>#REF!</v>
      </c>
      <c r="L17" s="38" t="e">
        <f>#REF!/$L$4</f>
        <v>#REF!</v>
      </c>
      <c r="M17" s="39" t="e">
        <f>#REF!/$M$4</f>
        <v>#REF!</v>
      </c>
    </row>
    <row r="18" spans="1:15" x14ac:dyDescent="0.45">
      <c r="A18" s="26" t="s">
        <v>65</v>
      </c>
      <c r="B18" s="41" t="e">
        <f>#REF!/$B$4</f>
        <v>#REF!</v>
      </c>
      <c r="C18" s="42" t="e">
        <f>#REF!/$C$4</f>
        <v>#REF!</v>
      </c>
      <c r="D18" s="41" t="e">
        <f>#REF!/$D$4</f>
        <v>#REF!</v>
      </c>
      <c r="E18" s="42" t="e">
        <f>#REF!/$E$4</f>
        <v>#REF!</v>
      </c>
      <c r="F18" s="41" t="e">
        <f>#REF!/$F$4</f>
        <v>#REF!</v>
      </c>
      <c r="G18" s="42" t="e">
        <f>#REF!/$G$4</f>
        <v>#REF!</v>
      </c>
      <c r="H18" s="41" t="e">
        <f>#REF!/$H$4</f>
        <v>#REF!</v>
      </c>
      <c r="I18" s="42" t="e">
        <f>#REF!/$I$4</f>
        <v>#REF!</v>
      </c>
      <c r="J18" s="41" t="e">
        <f>#REF!/$J$4</f>
        <v>#REF!</v>
      </c>
      <c r="K18" s="42" t="e">
        <f>#REF!/$K$4</f>
        <v>#REF!</v>
      </c>
      <c r="L18" s="41" t="e">
        <f>#REF!/$L$4</f>
        <v>#REF!</v>
      </c>
      <c r="M18" s="42" t="e">
        <f>#REF!/$M$4</f>
        <v>#REF!</v>
      </c>
    </row>
    <row r="19" spans="1:15" x14ac:dyDescent="0.45">
      <c r="A19" s="32" t="s">
        <v>66</v>
      </c>
      <c r="B19" s="38" t="e">
        <f>#REF!/$B$4</f>
        <v>#REF!</v>
      </c>
      <c r="C19" s="39" t="e">
        <f>#REF!/$C$4</f>
        <v>#REF!</v>
      </c>
      <c r="D19" s="38" t="e">
        <f>#REF!/$D$4</f>
        <v>#REF!</v>
      </c>
      <c r="E19" s="39" t="e">
        <f>#REF!/$E$4</f>
        <v>#REF!</v>
      </c>
      <c r="F19" s="38" t="e">
        <f>#REF!/$F$4</f>
        <v>#REF!</v>
      </c>
      <c r="G19" s="39" t="e">
        <f>#REF!/$G$4</f>
        <v>#REF!</v>
      </c>
      <c r="H19" s="43" t="e">
        <f>#REF!/$H$4</f>
        <v>#REF!</v>
      </c>
      <c r="I19" s="39" t="e">
        <f>#REF!/$I$4</f>
        <v>#REF!</v>
      </c>
      <c r="J19" s="38" t="e">
        <f>#REF!/$J$4</f>
        <v>#REF!</v>
      </c>
      <c r="K19" s="39" t="e">
        <f>#REF!/$K$4</f>
        <v>#REF!</v>
      </c>
      <c r="L19" s="38" t="e">
        <f>#REF!/$L$4</f>
        <v>#REF!</v>
      </c>
      <c r="M19" s="39" t="e">
        <f>#REF!/$M$4</f>
        <v>#REF!</v>
      </c>
    </row>
    <row r="20" spans="1:15" x14ac:dyDescent="0.45">
      <c r="A20" s="32" t="s">
        <v>69</v>
      </c>
      <c r="B20" s="38" t="e">
        <f>#REF!/$B$4</f>
        <v>#REF!</v>
      </c>
      <c r="C20" s="39" t="e">
        <f>#REF!/$C$4</f>
        <v>#REF!</v>
      </c>
      <c r="D20" s="38" t="e">
        <f>#REF!/$D$4</f>
        <v>#REF!</v>
      </c>
      <c r="E20" s="39" t="e">
        <f>#REF!/$E$4</f>
        <v>#REF!</v>
      </c>
      <c r="F20" s="38" t="e">
        <f>#REF!/$F$4</f>
        <v>#REF!</v>
      </c>
      <c r="G20" s="39" t="e">
        <f>#REF!/$G$4</f>
        <v>#REF!</v>
      </c>
      <c r="H20" s="43" t="e">
        <f>#REF!/$H$4</f>
        <v>#REF!</v>
      </c>
      <c r="I20" s="39" t="e">
        <f>#REF!/$I$4</f>
        <v>#REF!</v>
      </c>
      <c r="J20" s="38" t="e">
        <f>#REF!/$J$4</f>
        <v>#REF!</v>
      </c>
      <c r="K20" s="39" t="e">
        <f>#REF!/$K$4</f>
        <v>#REF!</v>
      </c>
      <c r="L20" s="38" t="e">
        <f>#REF!/$L$4</f>
        <v>#REF!</v>
      </c>
      <c r="M20" s="39" t="e">
        <f>#REF!/$M$4</f>
        <v>#REF!</v>
      </c>
    </row>
    <row r="21" spans="1:15" x14ac:dyDescent="0.45">
      <c r="A21" s="32" t="s">
        <v>67</v>
      </c>
      <c r="B21" s="38" t="e">
        <f>#REF!/$B$4</f>
        <v>#REF!</v>
      </c>
      <c r="C21" s="39" t="e">
        <f>#REF!/$C$4</f>
        <v>#REF!</v>
      </c>
      <c r="D21" s="38" t="e">
        <f>#REF!/$D$4</f>
        <v>#REF!</v>
      </c>
      <c r="E21" s="39" t="e">
        <f>#REF!/$E$4</f>
        <v>#REF!</v>
      </c>
      <c r="F21" s="38" t="e">
        <f>#REF!/$F$4</f>
        <v>#REF!</v>
      </c>
      <c r="G21" s="39" t="e">
        <f>#REF!/$G$4</f>
        <v>#REF!</v>
      </c>
      <c r="H21" s="43" t="e">
        <f>#REF!/$H$4</f>
        <v>#REF!</v>
      </c>
      <c r="I21" s="39" t="e">
        <f>#REF!/$I$4</f>
        <v>#REF!</v>
      </c>
      <c r="J21" s="38" t="e">
        <f>#REF!/$J$4</f>
        <v>#REF!</v>
      </c>
      <c r="K21" s="39" t="e">
        <f>#REF!/$K$4</f>
        <v>#REF!</v>
      </c>
      <c r="L21" s="38" t="e">
        <f>#REF!/$L$4</f>
        <v>#REF!</v>
      </c>
      <c r="M21" s="39" t="e">
        <f>#REF!/$M$4</f>
        <v>#REF!</v>
      </c>
    </row>
    <row r="22" spans="1:15" x14ac:dyDescent="0.45">
      <c r="A22" s="32" t="s">
        <v>68</v>
      </c>
      <c r="B22" s="38" t="e">
        <f>#REF!/$B$4</f>
        <v>#REF!</v>
      </c>
      <c r="C22" s="39" t="e">
        <f>#REF!/$C$4</f>
        <v>#REF!</v>
      </c>
      <c r="D22" s="38" t="e">
        <f>#REF!/$D$4</f>
        <v>#REF!</v>
      </c>
      <c r="E22" s="39" t="e">
        <f>#REF!/$E$4</f>
        <v>#REF!</v>
      </c>
      <c r="F22" s="38" t="e">
        <f>#REF!/$F$4</f>
        <v>#REF!</v>
      </c>
      <c r="G22" s="39" t="e">
        <f>#REF!/$G$4</f>
        <v>#REF!</v>
      </c>
      <c r="H22" s="43" t="e">
        <f>#REF!/$H$4</f>
        <v>#REF!</v>
      </c>
      <c r="I22" s="39" t="e">
        <f>#REF!/$I$4</f>
        <v>#REF!</v>
      </c>
      <c r="J22" s="38" t="e">
        <f>#REF!/$J$4</f>
        <v>#REF!</v>
      </c>
      <c r="K22" s="39" t="e">
        <f>#REF!/$K$4</f>
        <v>#REF!</v>
      </c>
      <c r="L22" s="38" t="e">
        <f>#REF!/$L$4</f>
        <v>#REF!</v>
      </c>
      <c r="M22" s="39" t="e">
        <f>#REF!/$M$4</f>
        <v>#REF!</v>
      </c>
    </row>
    <row r="23" spans="1:15" x14ac:dyDescent="0.45">
      <c r="A23" s="32" t="s">
        <v>70</v>
      </c>
      <c r="B23" s="38" t="e">
        <f>#REF!/$B$4</f>
        <v>#REF!</v>
      </c>
      <c r="C23" s="39" t="e">
        <f>#REF!/$C$4</f>
        <v>#REF!</v>
      </c>
      <c r="D23" s="38" t="e">
        <f>#REF!/$D$4</f>
        <v>#REF!</v>
      </c>
      <c r="E23" s="39" t="e">
        <f>#REF!/$E$4</f>
        <v>#REF!</v>
      </c>
      <c r="F23" s="38" t="e">
        <f>#REF!/$F$4</f>
        <v>#REF!</v>
      </c>
      <c r="G23" s="39" t="e">
        <f>#REF!/$G$4</f>
        <v>#REF!</v>
      </c>
      <c r="H23" s="43" t="e">
        <f>#REF!/$H$4</f>
        <v>#REF!</v>
      </c>
      <c r="I23" s="39" t="e">
        <f>#REF!/$I$4</f>
        <v>#REF!</v>
      </c>
      <c r="J23" s="38" t="e">
        <f>#REF!/$J$4</f>
        <v>#REF!</v>
      </c>
      <c r="K23" s="39" t="e">
        <f>#REF!/$K$4</f>
        <v>#REF!</v>
      </c>
      <c r="L23" s="38" t="e">
        <f>#REF!/$L$4</f>
        <v>#REF!</v>
      </c>
      <c r="M23" s="39" t="e">
        <f>#REF!/$M$4</f>
        <v>#REF!</v>
      </c>
      <c r="O23" s="37"/>
    </row>
    <row r="24" spans="1:15" x14ac:dyDescent="0.45">
      <c r="A24" s="32" t="s">
        <v>71</v>
      </c>
      <c r="B24" s="38" t="e">
        <f>#REF!/$B$4</f>
        <v>#REF!</v>
      </c>
      <c r="C24" s="39" t="e">
        <f>#REF!/$C$4</f>
        <v>#REF!</v>
      </c>
      <c r="D24" s="38" t="e">
        <f>#REF!/$D$4</f>
        <v>#REF!</v>
      </c>
      <c r="E24" s="39" t="e">
        <f>#REF!/$E$4</f>
        <v>#REF!</v>
      </c>
      <c r="F24" s="38" t="e">
        <f>#REF!/$F$4</f>
        <v>#REF!</v>
      </c>
      <c r="G24" s="39" t="e">
        <f>#REF!/$G$4</f>
        <v>#REF!</v>
      </c>
      <c r="H24" s="43" t="e">
        <f>#REF!/$H$4</f>
        <v>#REF!</v>
      </c>
      <c r="I24" s="39" t="e">
        <f>#REF!/$I$4</f>
        <v>#REF!</v>
      </c>
      <c r="J24" s="38" t="e">
        <f>#REF!/$J$4</f>
        <v>#REF!</v>
      </c>
      <c r="K24" s="39" t="e">
        <f>#REF!/$K$4</f>
        <v>#REF!</v>
      </c>
      <c r="L24" s="38" t="e">
        <f>#REF!/$L$4</f>
        <v>#REF!</v>
      </c>
      <c r="M24" s="39" t="e">
        <f>#REF!/$M$4</f>
        <v>#REF!</v>
      </c>
    </row>
    <row r="25" spans="1:15" x14ac:dyDescent="0.45">
      <c r="A25" s="26" t="s">
        <v>61</v>
      </c>
      <c r="B25" s="41" t="e">
        <f>#REF!/$B$4</f>
        <v>#REF!</v>
      </c>
      <c r="C25" s="42" t="e">
        <f>#REF!/$C$4</f>
        <v>#REF!</v>
      </c>
      <c r="D25" s="41" t="e">
        <f>#REF!/$D$4</f>
        <v>#REF!</v>
      </c>
      <c r="E25" s="42" t="e">
        <f>#REF!/$E$4</f>
        <v>#REF!</v>
      </c>
      <c r="F25" s="41" t="e">
        <f>#REF!/$F$4</f>
        <v>#REF!</v>
      </c>
      <c r="G25" s="42" t="e">
        <f>#REF!/$G$4</f>
        <v>#REF!</v>
      </c>
      <c r="H25" s="41" t="e">
        <f>#REF!/$H$4</f>
        <v>#REF!</v>
      </c>
      <c r="I25" s="42" t="e">
        <f>#REF!/$I$4</f>
        <v>#REF!</v>
      </c>
      <c r="J25" s="41" t="e">
        <f>#REF!/$J$4</f>
        <v>#REF!</v>
      </c>
      <c r="K25" s="42" t="e">
        <f>#REF!/$K$4</f>
        <v>#REF!</v>
      </c>
      <c r="L25" s="41" t="e">
        <f>#REF!/$L$4</f>
        <v>#REF!</v>
      </c>
      <c r="M25" s="42" t="e">
        <f>#REF!/$M$4</f>
        <v>#REF!</v>
      </c>
    </row>
    <row r="26" spans="1:15" x14ac:dyDescent="0.45">
      <c r="A26" s="26" t="s">
        <v>62</v>
      </c>
      <c r="B26" s="41" t="e">
        <f>#REF!/$B$4</f>
        <v>#REF!</v>
      </c>
      <c r="C26" s="42" t="e">
        <f>#REF!/$C$4</f>
        <v>#REF!</v>
      </c>
      <c r="D26" s="41" t="e">
        <f>#REF!/$D$4</f>
        <v>#REF!</v>
      </c>
      <c r="E26" s="42" t="e">
        <f>#REF!/$E$4</f>
        <v>#REF!</v>
      </c>
      <c r="F26" s="41" t="e">
        <f>#REF!/$F$4</f>
        <v>#REF!</v>
      </c>
      <c r="G26" s="42" t="e">
        <f>#REF!/$G$4</f>
        <v>#REF!</v>
      </c>
      <c r="H26" s="41" t="e">
        <f>#REF!/$H$4</f>
        <v>#REF!</v>
      </c>
      <c r="I26" s="42" t="e">
        <f>#REF!/$I$4</f>
        <v>#REF!</v>
      </c>
      <c r="J26" s="41" t="e">
        <f>#REF!/$J$4</f>
        <v>#REF!</v>
      </c>
      <c r="K26" s="42" t="e">
        <f>#REF!/$K$4</f>
        <v>#REF!</v>
      </c>
      <c r="L26" s="41" t="e">
        <f>#REF!/$L$4</f>
        <v>#REF!</v>
      </c>
      <c r="M26" s="42" t="e">
        <f>#REF!/$M$4</f>
        <v>#REF!</v>
      </c>
    </row>
    <row r="27" spans="1:15" x14ac:dyDescent="0.45">
      <c r="A27" s="32" t="s">
        <v>72</v>
      </c>
      <c r="B27" s="38" t="e">
        <f>#REF!/$B$4</f>
        <v>#REF!</v>
      </c>
      <c r="C27" s="39" t="e">
        <f>#REF!/$C$4</f>
        <v>#REF!</v>
      </c>
      <c r="D27" s="38" t="e">
        <f>#REF!/$D$4</f>
        <v>#REF!</v>
      </c>
      <c r="E27" s="39" t="e">
        <f>#REF!/$E$4</f>
        <v>#REF!</v>
      </c>
      <c r="F27" s="38" t="e">
        <f>#REF!/$F$4</f>
        <v>#REF!</v>
      </c>
      <c r="G27" s="39" t="e">
        <f>#REF!/$G$4</f>
        <v>#REF!</v>
      </c>
      <c r="H27" s="43" t="e">
        <f>#REF!/$H$4</f>
        <v>#REF!</v>
      </c>
      <c r="I27" s="39" t="e">
        <f>#REF!/$I$4</f>
        <v>#REF!</v>
      </c>
      <c r="J27" s="38" t="e">
        <f>#REF!/$J$4</f>
        <v>#REF!</v>
      </c>
      <c r="K27" s="39" t="e">
        <f>#REF!/$K$4</f>
        <v>#REF!</v>
      </c>
      <c r="L27" s="38" t="e">
        <f>#REF!/$L$4</f>
        <v>#REF!</v>
      </c>
      <c r="M27" s="39" t="e">
        <f>#REF!/$M$4</f>
        <v>#REF!</v>
      </c>
    </row>
    <row r="28" spans="1:15" x14ac:dyDescent="0.45">
      <c r="A28" s="26" t="s">
        <v>45</v>
      </c>
      <c r="B28" s="41" t="e">
        <f>#REF!/$B$4</f>
        <v>#REF!</v>
      </c>
      <c r="C28" s="42" t="e">
        <f>#REF!/$C$4</f>
        <v>#REF!</v>
      </c>
      <c r="D28" s="41" t="e">
        <f>#REF!/$D$4</f>
        <v>#REF!</v>
      </c>
      <c r="E28" s="42" t="e">
        <f>#REF!/$E$4</f>
        <v>#REF!</v>
      </c>
      <c r="F28" s="41" t="e">
        <f>#REF!/$F$4</f>
        <v>#REF!</v>
      </c>
      <c r="G28" s="42" t="e">
        <f>#REF!/$G$4</f>
        <v>#REF!</v>
      </c>
      <c r="H28" s="41" t="e">
        <f>#REF!/$H$4</f>
        <v>#REF!</v>
      </c>
      <c r="I28" s="42" t="e">
        <f>#REF!/$I$4</f>
        <v>#REF!</v>
      </c>
      <c r="J28" s="41" t="e">
        <f>#REF!/$J$4</f>
        <v>#REF!</v>
      </c>
      <c r="K28" s="42" t="e">
        <f>#REF!/$K$4</f>
        <v>#REF!</v>
      </c>
      <c r="L28" s="41" t="e">
        <f>#REF!/$L$4</f>
        <v>#REF!</v>
      </c>
      <c r="M28" s="42" t="e">
        <f>#REF!/$M$4</f>
        <v>#REF!</v>
      </c>
    </row>
    <row r="29" spans="1:15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5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5" x14ac:dyDescent="0.45">
      <c r="B31" s="35"/>
      <c r="C31" s="36"/>
      <c r="D31" s="35"/>
      <c r="E31" s="36"/>
      <c r="F31" s="35"/>
      <c r="G31" s="36"/>
      <c r="H31" s="35"/>
      <c r="I31" s="36"/>
      <c r="J31" s="35"/>
      <c r="K31" s="36"/>
      <c r="L31" s="35"/>
      <c r="M31" s="36"/>
    </row>
    <row r="32" spans="1:15" x14ac:dyDescent="0.45">
      <c r="A32" s="4" t="s">
        <v>46</v>
      </c>
      <c r="B32" s="15" t="s">
        <v>26</v>
      </c>
      <c r="C32" s="16" t="s">
        <v>26</v>
      </c>
      <c r="D32" s="15" t="s">
        <v>26</v>
      </c>
      <c r="E32" s="16" t="e">
        <f>(E6*E4)-#REF!-#REF!</f>
        <v>#REF!</v>
      </c>
      <c r="F32" s="15" t="e">
        <f>(F6*F4)-#REF!-#REF!</f>
        <v>#REF!</v>
      </c>
      <c r="G32" s="16" t="e">
        <f>(G6*G4)-#REF!-#REF!</f>
        <v>#REF!</v>
      </c>
      <c r="H32" s="15" t="e">
        <f>(H6*H4)-#REF!-#REF!</f>
        <v>#REF!</v>
      </c>
      <c r="I32" s="16" t="e">
        <f>(I6*I4)-#REF!-#REF!</f>
        <v>#REF!</v>
      </c>
      <c r="J32" s="15" t="e">
        <f>(J6*J4)-#REF!-#REF!</f>
        <v>#REF!</v>
      </c>
      <c r="K32" s="16" t="e">
        <f>(K6*K4)-#REF!-#REF!</f>
        <v>#REF!</v>
      </c>
      <c r="L32" s="15" t="e">
        <f>(L6*L4)-#REF!-#REF!</f>
        <v>#REF!</v>
      </c>
      <c r="M32" s="16" t="e">
        <f>(M6*M4)-#REF!-#REF!</f>
        <v>#REF!</v>
      </c>
    </row>
    <row r="33" spans="1:13" x14ac:dyDescent="0.45">
      <c r="A33" s="4" t="s">
        <v>47</v>
      </c>
      <c r="B33" s="15" t="e">
        <f>(B7*(B4))-#REF!+#REF!</f>
        <v>#REF!</v>
      </c>
      <c r="C33" s="16" t="e">
        <f>(C7*(C4))-#REF!+#REF!</f>
        <v>#REF!</v>
      </c>
      <c r="D33" s="15" t="e">
        <f>(D7*(D4))-#REF!+#REF!</f>
        <v>#REF!</v>
      </c>
      <c r="E33" s="16" t="e">
        <f>(E7*(E4))-#REF!+#REF!</f>
        <v>#REF!</v>
      </c>
      <c r="F33" s="15" t="e">
        <f>(F7*(F4))-#REF!+#REF!</f>
        <v>#REF!</v>
      </c>
      <c r="G33" s="16" t="e">
        <f>(G7*(G4))-#REF!+#REF!</f>
        <v>#REF!</v>
      </c>
      <c r="H33" s="15" t="e">
        <f>(H7*(H4))-#REF!+#REF!</f>
        <v>#REF!</v>
      </c>
      <c r="I33" s="16" t="e">
        <f>(I7*(I4))-#REF!+#REF!</f>
        <v>#REF!</v>
      </c>
      <c r="J33" s="15" t="e">
        <f>(J7*(J4))-#REF!+#REF!</f>
        <v>#REF!</v>
      </c>
      <c r="K33" s="16" t="e">
        <f>(K7*(K4))-#REF!+#REF!</f>
        <v>#REF!</v>
      </c>
      <c r="L33" s="15" t="e">
        <f>(L7*(L4))-#REF!+#REF!</f>
        <v>#REF!</v>
      </c>
      <c r="M33" s="16" t="e">
        <f>(M7*(M4))-#REF!+#REF!</f>
        <v>#REF!</v>
      </c>
    </row>
    <row r="34" spans="1:13" x14ac:dyDescent="0.45">
      <c r="A34" s="4" t="s">
        <v>48</v>
      </c>
      <c r="B34" s="15" t="s">
        <v>26</v>
      </c>
      <c r="C34" s="16" t="s">
        <v>26</v>
      </c>
      <c r="D34" s="15" t="s">
        <v>26</v>
      </c>
      <c r="E34" s="16" t="e">
        <f>(E15*E4)-#REF!+#REF!</f>
        <v>#REF!</v>
      </c>
      <c r="F34" s="15" t="e">
        <f>(F15*F4)-#REF!+#REF!</f>
        <v>#REF!</v>
      </c>
      <c r="G34" s="16" t="e">
        <f>(G15*G4)-#REF!+#REF!</f>
        <v>#REF!</v>
      </c>
      <c r="H34" s="15" t="e">
        <f>(H15*H4)-#REF!+#REF!</f>
        <v>#REF!</v>
      </c>
      <c r="I34" s="16" t="e">
        <f>(I15*I4)-#REF!+#REF!</f>
        <v>#REF!</v>
      </c>
      <c r="J34" s="15" t="e">
        <f>(J15*J4)-#REF!+#REF!</f>
        <v>#REF!</v>
      </c>
      <c r="K34" s="16" t="e">
        <f>(K15*K4)-#REF!+#REF!</f>
        <v>#REF!</v>
      </c>
      <c r="L34" s="15" t="e">
        <f>(L15*L4)-#REF!+#REF!</f>
        <v>#REF!</v>
      </c>
      <c r="M34" s="16" t="e">
        <f>(M15*M4)-#REF!+#REF!</f>
        <v>#REF!</v>
      </c>
    </row>
    <row r="35" spans="1:13" x14ac:dyDescent="0.45">
      <c r="A35" s="4" t="s">
        <v>49</v>
      </c>
      <c r="B35" s="15" t="s">
        <v>26</v>
      </c>
      <c r="C35" s="16" t="s">
        <v>26</v>
      </c>
      <c r="D35" s="15" t="s">
        <v>26</v>
      </c>
      <c r="E35" s="16" t="e">
        <f>(E18*E4)-#REF!</f>
        <v>#REF!</v>
      </c>
      <c r="F35" s="15" t="e">
        <f>(F18*F4)-#REF!</f>
        <v>#REF!</v>
      </c>
      <c r="G35" s="16" t="e">
        <f>(G18*G4)-#REF!</f>
        <v>#REF!</v>
      </c>
      <c r="H35" s="15" t="e">
        <f>(H18*H4)-#REF!</f>
        <v>#REF!</v>
      </c>
      <c r="I35" s="16" t="e">
        <f>(I18*I4)-#REF!</f>
        <v>#REF!</v>
      </c>
      <c r="J35" s="15" t="e">
        <f>(J18*J4)-#REF!</f>
        <v>#REF!</v>
      </c>
      <c r="K35" s="16" t="e">
        <f>(K18*K4)-#REF!</f>
        <v>#REF!</v>
      </c>
      <c r="L35" s="15" t="e">
        <f>(L18*L4)-#REF!</f>
        <v>#REF!</v>
      </c>
      <c r="M35" s="16" t="e">
        <f>(M18*M4)-#REF!</f>
        <v>#REF!</v>
      </c>
    </row>
    <row r="36" spans="1:13" x14ac:dyDescent="0.45">
      <c r="A36" s="4" t="s">
        <v>50</v>
      </c>
      <c r="B36" s="15" t="s">
        <v>26</v>
      </c>
      <c r="C36" s="16" t="s">
        <v>26</v>
      </c>
      <c r="D36" s="15" t="s">
        <v>26</v>
      </c>
      <c r="E36" s="16" t="e">
        <f>(E25*E4)-#REF!</f>
        <v>#REF!</v>
      </c>
      <c r="F36" s="15" t="e">
        <f>(F25*F4)-#REF!</f>
        <v>#REF!</v>
      </c>
      <c r="G36" s="16" t="e">
        <f>(G25*G4)-#REF!</f>
        <v>#REF!</v>
      </c>
      <c r="H36" s="15" t="e">
        <f>(H25*H4)-#REF!</f>
        <v>#REF!</v>
      </c>
      <c r="I36" s="16" t="e">
        <f>(I25*I4)-#REF!</f>
        <v>#REF!</v>
      </c>
      <c r="J36" s="15" t="e">
        <f>(J25*J4)-#REF!</f>
        <v>#REF!</v>
      </c>
      <c r="K36" s="16" t="e">
        <f>(K25*K4)-#REF!</f>
        <v>#REF!</v>
      </c>
      <c r="L36" s="15" t="e">
        <f>(L25*L4)-#REF!</f>
        <v>#REF!</v>
      </c>
      <c r="M36" s="16" t="e">
        <f>(M25*M4)-#REF!</f>
        <v>#REF!</v>
      </c>
    </row>
    <row r="37" spans="1:13" x14ac:dyDescent="0.45">
      <c r="A37" s="4" t="s">
        <v>51</v>
      </c>
      <c r="B37" s="15" t="s">
        <v>26</v>
      </c>
      <c r="C37" s="16" t="s">
        <v>26</v>
      </c>
      <c r="D37" s="15" t="s">
        <v>26</v>
      </c>
      <c r="E37" s="16" t="e">
        <f>(E26*E4)-#REF!</f>
        <v>#REF!</v>
      </c>
      <c r="F37" s="15" t="e">
        <f>(F26*F4)-#REF!</f>
        <v>#REF!</v>
      </c>
      <c r="G37" s="16" t="e">
        <f>(G26*G4)-#REF!</f>
        <v>#REF!</v>
      </c>
      <c r="H37" s="15" t="e">
        <f>(H26*H4)-#REF!</f>
        <v>#REF!</v>
      </c>
      <c r="I37" s="16" t="e">
        <f>(I26*I4)-#REF!</f>
        <v>#REF!</v>
      </c>
      <c r="J37" s="15" t="e">
        <f>(J26*J4)-#REF!</f>
        <v>#REF!</v>
      </c>
      <c r="K37" s="16" t="e">
        <f>(K26*K4)-#REF!</f>
        <v>#REF!</v>
      </c>
      <c r="L37" s="15" t="e">
        <f>(L26*L4)-#REF!</f>
        <v>#REF!</v>
      </c>
      <c r="M37" s="16" t="e">
        <f>(M26*M4)-#REF!</f>
        <v>#REF!</v>
      </c>
    </row>
    <row r="38" spans="1:13" x14ac:dyDescent="0.45">
      <c r="A38" s="4" t="s">
        <v>52</v>
      </c>
      <c r="B38" s="15" t="s">
        <v>26</v>
      </c>
      <c r="C38" s="16" t="s">
        <v>26</v>
      </c>
      <c r="D38" s="15" t="s">
        <v>26</v>
      </c>
      <c r="E38" s="16" t="e">
        <f>(E27*E4)-#REF!</f>
        <v>#REF!</v>
      </c>
      <c r="F38" s="15" t="e">
        <f>(F27*F4)-#REF!</f>
        <v>#REF!</v>
      </c>
      <c r="G38" s="16" t="e">
        <f>(G27*G4)-#REF!</f>
        <v>#REF!</v>
      </c>
      <c r="H38" s="15" t="e">
        <f>(H27*H4)-#REF!</f>
        <v>#REF!</v>
      </c>
      <c r="I38" s="16" t="e">
        <f>(I27*I4)-#REF!</f>
        <v>#REF!</v>
      </c>
      <c r="J38" s="15" t="e">
        <f>(J27*J4)-#REF!</f>
        <v>#REF!</v>
      </c>
      <c r="K38" s="16" t="e">
        <f>(K27*K4)-#REF!</f>
        <v>#REF!</v>
      </c>
      <c r="L38" s="15" t="e">
        <f>(L27*L4)-#REF!</f>
        <v>#REF!</v>
      </c>
      <c r="M38" s="16" t="e">
        <f>(M27*M4)-#REF!</f>
        <v>#REF!</v>
      </c>
    </row>
    <row r="39" spans="1:13" x14ac:dyDescent="0.45">
      <c r="A39" s="4" t="s">
        <v>53</v>
      </c>
      <c r="B39" s="15" t="s">
        <v>26</v>
      </c>
      <c r="C39" s="16" t="s">
        <v>26</v>
      </c>
      <c r="D39" s="15" t="s">
        <v>26</v>
      </c>
      <c r="E39" s="16" t="e">
        <f>(E28*E4)-#REF!</f>
        <v>#REF!</v>
      </c>
      <c r="F39" s="15" t="e">
        <f>(F28*F4)-#REF!</f>
        <v>#REF!</v>
      </c>
      <c r="G39" s="16" t="e">
        <f>(G28*G4)-#REF!</f>
        <v>#REF!</v>
      </c>
      <c r="H39" s="15" t="e">
        <f>(H28*H4)-#REF!</f>
        <v>#REF!</v>
      </c>
      <c r="I39" s="16" t="e">
        <f>(I28*I4)-#REF!</f>
        <v>#REF!</v>
      </c>
      <c r="J39" s="15" t="e">
        <f>(J28*J4)-#REF!</f>
        <v>#REF!</v>
      </c>
      <c r="K39" s="16" t="e">
        <f>(K28*K4)-#REF!</f>
        <v>#REF!</v>
      </c>
      <c r="L39" s="15" t="e">
        <f>(L28*L4)-#REF!</f>
        <v>#REF!</v>
      </c>
      <c r="M39" s="16" t="e">
        <f>(M28*M4)-#REF!</f>
        <v>#REF!</v>
      </c>
    </row>
    <row r="40" spans="1:13" x14ac:dyDescent="0.45">
      <c r="A40" s="4"/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</row>
    <row r="41" spans="1:13" x14ac:dyDescent="0.45">
      <c r="A41" s="4"/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</sheetData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 tint="0.59999389629810485"/>
  </sheetPr>
  <dimension ref="A1:N44"/>
  <sheetViews>
    <sheetView topLeftCell="F19" zoomScaleNormal="100" workbookViewId="0">
      <selection activeCell="F31" sqref="A31:XFD32"/>
    </sheetView>
  </sheetViews>
  <sheetFormatPr baseColWidth="10" defaultColWidth="11.46484375" defaultRowHeight="14.25" x14ac:dyDescent="0.45"/>
  <cols>
    <col min="1" max="1" width="32.46484375" style="32" bestFit="1" customWidth="1"/>
    <col min="2" max="2" width="7" style="2" bestFit="1" customWidth="1"/>
    <col min="3" max="3" width="6.73046875" style="3" bestFit="1" customWidth="1"/>
    <col min="4" max="4" width="7" style="2" bestFit="1" customWidth="1"/>
    <col min="5" max="5" width="6.73046875" style="3" customWidth="1"/>
    <col min="6" max="6" width="6.73046875" style="2" bestFit="1" customWidth="1"/>
    <col min="7" max="7" width="6.73046875" style="3" bestFit="1" customWidth="1"/>
    <col min="8" max="8" width="7" style="2" bestFit="1" customWidth="1"/>
    <col min="9" max="9" width="6.53125" style="3" bestFit="1" customWidth="1"/>
    <col min="10" max="10" width="7" style="2" bestFit="1" customWidth="1"/>
    <col min="11" max="11" width="6.53125" style="3" bestFit="1" customWidth="1"/>
    <col min="12" max="12" width="7" style="2" bestFit="1" customWidth="1"/>
    <col min="13" max="13" width="6.53125" style="3" bestFit="1" customWidth="1"/>
    <col min="14" max="14" width="0.796875" style="14" customWidth="1"/>
    <col min="15" max="19" width="11.46484375" style="1"/>
    <col min="20" max="20" width="1.796875" style="1" customWidth="1"/>
    <col min="21" max="16384" width="11.46484375" style="1"/>
  </cols>
  <sheetData>
    <row r="1" spans="1:13" ht="14.65" thickBot="1" x14ac:dyDescent="0.5">
      <c r="A1" s="5" t="s">
        <v>56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 t="e">
        <f>+#REF!</f>
        <v>#REF!</v>
      </c>
      <c r="C2" s="28" t="e">
        <f>+#REF!</f>
        <v>#REF!</v>
      </c>
      <c r="D2" s="27" t="e">
        <f>+#REF!</f>
        <v>#REF!</v>
      </c>
      <c r="E2" s="28" t="e">
        <f>+#REF!</f>
        <v>#REF!</v>
      </c>
      <c r="F2" s="27" t="e">
        <f>+#REF!</f>
        <v>#REF!</v>
      </c>
      <c r="G2" s="28" t="e">
        <f>+#REF!</f>
        <v>#REF!</v>
      </c>
      <c r="H2" s="27" t="e">
        <f>+#REF!</f>
        <v>#REF!</v>
      </c>
      <c r="I2" s="28" t="e">
        <f>+#REF!</f>
        <v>#REF!</v>
      </c>
      <c r="J2" s="27" t="e">
        <f>+#REF!</f>
        <v>#REF!</v>
      </c>
      <c r="K2" s="28" t="e">
        <f>+#REF!</f>
        <v>#REF!</v>
      </c>
      <c r="L2" s="27" t="e">
        <f>+#REF!</f>
        <v>#REF!</v>
      </c>
      <c r="M2" s="28" t="e">
        <f>+#REF!</f>
        <v>#REF!</v>
      </c>
    </row>
    <row r="3" spans="1:13" x14ac:dyDescent="0.45">
      <c r="A3" s="26" t="s">
        <v>23</v>
      </c>
      <c r="B3" s="27" t="e">
        <f>+#REF!</f>
        <v>#REF!</v>
      </c>
      <c r="C3" s="28" t="e">
        <f>+#REF!</f>
        <v>#REF!</v>
      </c>
      <c r="D3" s="27" t="e">
        <f>+#REF!</f>
        <v>#REF!</v>
      </c>
      <c r="E3" s="28" t="e">
        <f>+#REF!</f>
        <v>#REF!</v>
      </c>
      <c r="F3" s="27" t="e">
        <f>+#REF!</f>
        <v>#REF!</v>
      </c>
      <c r="G3" s="28" t="e">
        <f>+#REF!</f>
        <v>#REF!</v>
      </c>
      <c r="H3" s="27" t="e">
        <f>+#REF!</f>
        <v>#REF!</v>
      </c>
      <c r="I3" s="28" t="e">
        <f>+#REF!</f>
        <v>#REF!</v>
      </c>
      <c r="J3" s="27" t="e">
        <f>+#REF!</f>
        <v>#REF!</v>
      </c>
      <c r="K3" s="28" t="e">
        <f>+#REF!</f>
        <v>#REF!</v>
      </c>
      <c r="L3" s="27" t="e">
        <f>+#REF!</f>
        <v>#REF!</v>
      </c>
      <c r="M3" s="28" t="e">
        <f>+#REF!</f>
        <v>#REF!</v>
      </c>
    </row>
    <row r="4" spans="1:13" x14ac:dyDescent="0.45">
      <c r="A4" s="26" t="s">
        <v>0</v>
      </c>
      <c r="B4" s="27" t="e">
        <f>+#REF!</f>
        <v>#REF!</v>
      </c>
      <c r="C4" s="30" t="e">
        <f>+#REF!</f>
        <v>#REF!</v>
      </c>
      <c r="D4" s="27" t="e">
        <f>+#REF!</f>
        <v>#REF!</v>
      </c>
      <c r="E4" s="30" t="e">
        <f>+#REF!</f>
        <v>#REF!</v>
      </c>
      <c r="F4" s="27" t="e">
        <f>+#REF!</f>
        <v>#REF!</v>
      </c>
      <c r="G4" s="30" t="e">
        <f>+#REF!</f>
        <v>#REF!</v>
      </c>
      <c r="H4" s="27" t="e">
        <f>+#REF!</f>
        <v>#REF!</v>
      </c>
      <c r="I4" s="30" t="e">
        <f>+#REF!</f>
        <v>#REF!</v>
      </c>
      <c r="J4" s="27" t="e">
        <f>+#REF!</f>
        <v>#REF!</v>
      </c>
      <c r="K4" s="30" t="e">
        <f>+#REF!</f>
        <v>#REF!</v>
      </c>
      <c r="L4" s="27" t="e">
        <f>+#REF!</f>
        <v>#REF!</v>
      </c>
      <c r="M4" s="30" t="e">
        <f>+#REF!</f>
        <v>#REF!</v>
      </c>
    </row>
    <row r="5" spans="1:13" x14ac:dyDescent="0.45">
      <c r="A5" s="17" t="s">
        <v>1</v>
      </c>
      <c r="B5" s="18" t="e">
        <f t="shared" ref="B5:G5" si="0">+B4/B3/1000</f>
        <v>#REF!</v>
      </c>
      <c r="C5" s="19" t="e">
        <f t="shared" si="0"/>
        <v>#REF!</v>
      </c>
      <c r="D5" s="18" t="e">
        <f t="shared" si="0"/>
        <v>#REF!</v>
      </c>
      <c r="E5" s="19" t="e">
        <f t="shared" si="0"/>
        <v>#REF!</v>
      </c>
      <c r="F5" s="18" t="e">
        <f t="shared" si="0"/>
        <v>#REF!</v>
      </c>
      <c r="G5" s="19" t="e">
        <f t="shared" si="0"/>
        <v>#REF!</v>
      </c>
      <c r="H5" s="18" t="e">
        <f t="shared" ref="H5:I5" si="1">+H4/H3/1000</f>
        <v>#REF!</v>
      </c>
      <c r="I5" s="19" t="e">
        <f t="shared" si="1"/>
        <v>#REF!</v>
      </c>
      <c r="J5" s="18" t="e">
        <f t="shared" ref="J5:K5" si="2">+J4/J3/1000</f>
        <v>#REF!</v>
      </c>
      <c r="K5" s="19" t="e">
        <f t="shared" si="2"/>
        <v>#REF!</v>
      </c>
      <c r="L5" s="18" t="e">
        <f t="shared" ref="L5:M5" si="3">+L4/L3/1000</f>
        <v>#REF!</v>
      </c>
      <c r="M5" s="19" t="e">
        <f t="shared" si="3"/>
        <v>#REF!</v>
      </c>
    </row>
    <row r="6" spans="1:13" x14ac:dyDescent="0.45">
      <c r="A6" s="32" t="s">
        <v>30</v>
      </c>
      <c r="B6" s="33" t="e">
        <f>#REF!/B3</f>
        <v>#REF!</v>
      </c>
      <c r="C6" s="34" t="e">
        <f>#REF!/C3</f>
        <v>#REF!</v>
      </c>
      <c r="D6" s="33" t="e">
        <f>#REF!/D3</f>
        <v>#REF!</v>
      </c>
      <c r="E6" s="34" t="e">
        <f>#REF!/E3</f>
        <v>#REF!</v>
      </c>
      <c r="F6" s="33" t="e">
        <f>#REF!/F3</f>
        <v>#REF!</v>
      </c>
      <c r="G6" s="34" t="e">
        <f>#REF!/G3</f>
        <v>#REF!</v>
      </c>
      <c r="H6" s="33" t="e">
        <f>#REF!/H3</f>
        <v>#REF!</v>
      </c>
      <c r="I6" s="34" t="e">
        <f>#REF!/I3</f>
        <v>#REF!</v>
      </c>
      <c r="J6" s="33" t="e">
        <f>#REF!/J3</f>
        <v>#REF!</v>
      </c>
      <c r="K6" s="34" t="e">
        <f>#REF!/K3</f>
        <v>#REF!</v>
      </c>
      <c r="L6" s="33" t="e">
        <f>#REF!/L3</f>
        <v>#REF!</v>
      </c>
      <c r="M6" s="34" t="e">
        <f>#REF!/M3</f>
        <v>#REF!</v>
      </c>
    </row>
    <row r="7" spans="1:13" x14ac:dyDescent="0.45">
      <c r="A7" s="32" t="s">
        <v>31</v>
      </c>
      <c r="B7" s="33" t="e">
        <f>#REF!/(B2-B3)</f>
        <v>#REF!</v>
      </c>
      <c r="C7" s="34" t="e">
        <f>#REF!/(C2-C3)</f>
        <v>#REF!</v>
      </c>
      <c r="D7" s="33" t="e">
        <f>#REF!/(D2-D3)</f>
        <v>#REF!</v>
      </c>
      <c r="E7" s="34" t="e">
        <f>#REF!/(E3)</f>
        <v>#REF!</v>
      </c>
      <c r="F7" s="33" t="e">
        <f>#REF!/(F3)</f>
        <v>#REF!</v>
      </c>
      <c r="G7" s="34" t="e">
        <f>#REF!/(G3)</f>
        <v>#REF!</v>
      </c>
      <c r="H7" s="33" t="e">
        <f>#REF!/(H3)</f>
        <v>#REF!</v>
      </c>
      <c r="I7" s="34" t="e">
        <f>#REF!/(I3)</f>
        <v>#REF!</v>
      </c>
      <c r="J7" s="33" t="e">
        <f>#REF!/(J3)</f>
        <v>#REF!</v>
      </c>
      <c r="K7" s="34" t="e">
        <f>#REF!/(K3)</f>
        <v>#REF!</v>
      </c>
      <c r="L7" s="33" t="e">
        <f>#REF!/(L3)</f>
        <v>#REF!</v>
      </c>
      <c r="M7" s="34" t="e">
        <f>#REF!/(M3)</f>
        <v>#REF!</v>
      </c>
    </row>
    <row r="8" spans="1:13" x14ac:dyDescent="0.45">
      <c r="A8" s="26" t="s">
        <v>28</v>
      </c>
      <c r="B8" s="29" t="e">
        <f>+#REF!/'8039_à l''ha'!B2</f>
        <v>#REF!</v>
      </c>
      <c r="C8" s="30" t="e">
        <f>+#REF!/'8039_à l''ha'!C2</f>
        <v>#REF!</v>
      </c>
      <c r="D8" s="29" t="e">
        <f>+#REF!/'8039_à l''ha'!D2</f>
        <v>#REF!</v>
      </c>
      <c r="E8" s="30" t="e">
        <f>+#REF!/'8039_à l''ha'!E2</f>
        <v>#REF!</v>
      </c>
      <c r="F8" s="29" t="e">
        <f>+#REF!/'8039_à l''ha'!F2</f>
        <v>#REF!</v>
      </c>
      <c r="G8" s="30" t="e">
        <f>+#REF!/'8039_à l''ha'!G2</f>
        <v>#REF!</v>
      </c>
      <c r="H8" s="29" t="e">
        <f>+#REF!/'8039_à l''ha'!H2</f>
        <v>#REF!</v>
      </c>
      <c r="I8" s="30" t="e">
        <f>+#REF!/'8039_à l''ha'!I2</f>
        <v>#REF!</v>
      </c>
      <c r="J8" s="29" t="e">
        <f>+#REF!/'8039_à l''ha'!J2</f>
        <v>#REF!</v>
      </c>
      <c r="K8" s="30" t="e">
        <f>+#REF!/'8039_à l''ha'!K2</f>
        <v>#REF!</v>
      </c>
      <c r="L8" s="29" t="e">
        <f>+#REF!/'8039_à l''ha'!L2</f>
        <v>#REF!</v>
      </c>
      <c r="M8" s="30" t="e">
        <f>+#REF!/'8039_à l''ha'!M2</f>
        <v>#REF!</v>
      </c>
    </row>
    <row r="9" spans="1:13" x14ac:dyDescent="0.45">
      <c r="A9" s="32" t="s">
        <v>2</v>
      </c>
      <c r="B9" s="33" t="e">
        <f>#REF!/$B$2</f>
        <v>#REF!</v>
      </c>
      <c r="C9" s="34" t="e">
        <f>#REF!/$C$2</f>
        <v>#REF!</v>
      </c>
      <c r="D9" s="33" t="e">
        <f>#REF!/$B$2</f>
        <v>#REF!</v>
      </c>
      <c r="E9" s="34" t="e">
        <f>#REF!/$C$2</f>
        <v>#REF!</v>
      </c>
      <c r="F9" s="33" t="e">
        <f>#REF!/$B$2</f>
        <v>#REF!</v>
      </c>
      <c r="G9" s="34" t="e">
        <f>#REF!/$C$2</f>
        <v>#REF!</v>
      </c>
      <c r="H9" s="33" t="e">
        <f>#REF!/$B$2</f>
        <v>#REF!</v>
      </c>
      <c r="I9" s="34" t="e">
        <f>#REF!/$C$2</f>
        <v>#REF!</v>
      </c>
      <c r="J9" s="33" t="e">
        <f>#REF!/$B$2</f>
        <v>#REF!</v>
      </c>
      <c r="K9" s="34" t="e">
        <f>#REF!/$C$2</f>
        <v>#REF!</v>
      </c>
      <c r="L9" s="33" t="e">
        <f>#REF!/$B$2</f>
        <v>#REF!</v>
      </c>
      <c r="M9" s="34" t="e">
        <f>#REF!/$C$2</f>
        <v>#REF!</v>
      </c>
    </row>
    <row r="10" spans="1:13" x14ac:dyDescent="0.45">
      <c r="A10" s="32" t="s">
        <v>3</v>
      </c>
      <c r="B10" s="33" t="e">
        <f>#REF!/$B$2</f>
        <v>#REF!</v>
      </c>
      <c r="C10" s="34" t="e">
        <f>#REF!/$C$2</f>
        <v>#REF!</v>
      </c>
      <c r="D10" s="33" t="e">
        <f>#REF!/$B$2</f>
        <v>#REF!</v>
      </c>
      <c r="E10" s="34" t="e">
        <f>#REF!/$C$2</f>
        <v>#REF!</v>
      </c>
      <c r="F10" s="33" t="e">
        <f>#REF!/$B$2</f>
        <v>#REF!</v>
      </c>
      <c r="G10" s="34" t="e">
        <f>#REF!/$C$2</f>
        <v>#REF!</v>
      </c>
      <c r="H10" s="33" t="e">
        <f>#REF!/$B$2</f>
        <v>#REF!</v>
      </c>
      <c r="I10" s="34" t="e">
        <f>#REF!/$C$2</f>
        <v>#REF!</v>
      </c>
      <c r="J10" s="33" t="e">
        <f>#REF!/$B$2</f>
        <v>#REF!</v>
      </c>
      <c r="K10" s="34" t="e">
        <f>#REF!/$C$2</f>
        <v>#REF!</v>
      </c>
      <c r="L10" s="33" t="e">
        <f>#REF!/$B$2</f>
        <v>#REF!</v>
      </c>
      <c r="M10" s="34" t="e">
        <f>#REF!/$C$2</f>
        <v>#REF!</v>
      </c>
    </row>
    <row r="11" spans="1:13" x14ac:dyDescent="0.45">
      <c r="A11" s="32" t="s">
        <v>4</v>
      </c>
      <c r="B11" s="33" t="e">
        <f>#REF!/$B$2</f>
        <v>#REF!</v>
      </c>
      <c r="C11" s="34" t="e">
        <f>#REF!/$C$2</f>
        <v>#REF!</v>
      </c>
      <c r="D11" s="33" t="e">
        <f>#REF!/$B$2</f>
        <v>#REF!</v>
      </c>
      <c r="E11" s="34" t="e">
        <f>#REF!/$C$2</f>
        <v>#REF!</v>
      </c>
      <c r="F11" s="33" t="e">
        <f>#REF!/$B$2</f>
        <v>#REF!</v>
      </c>
      <c r="G11" s="34" t="e">
        <f>#REF!/$C$2</f>
        <v>#REF!</v>
      </c>
      <c r="H11" s="33" t="e">
        <f>#REF!/$B$2</f>
        <v>#REF!</v>
      </c>
      <c r="I11" s="34" t="e">
        <f>#REF!/$C$2</f>
        <v>#REF!</v>
      </c>
      <c r="J11" s="33" t="e">
        <f>#REF!/$B$2</f>
        <v>#REF!</v>
      </c>
      <c r="K11" s="34" t="e">
        <f>#REF!/$C$2</f>
        <v>#REF!</v>
      </c>
      <c r="L11" s="33" t="e">
        <f>#REF!/$B$2</f>
        <v>#REF!</v>
      </c>
      <c r="M11" s="34" t="e">
        <f>#REF!/$C$2</f>
        <v>#REF!</v>
      </c>
    </row>
    <row r="12" spans="1:13" x14ac:dyDescent="0.45">
      <c r="A12" s="32" t="s">
        <v>5</v>
      </c>
      <c r="B12" s="33" t="e">
        <f>#REF!/$B$2</f>
        <v>#REF!</v>
      </c>
      <c r="C12" s="34" t="e">
        <f>#REF!/$C$2</f>
        <v>#REF!</v>
      </c>
      <c r="D12" s="33" t="e">
        <f>#REF!/$B$2</f>
        <v>#REF!</v>
      </c>
      <c r="E12" s="34" t="e">
        <f>#REF!/$C$2</f>
        <v>#REF!</v>
      </c>
      <c r="F12" s="33" t="e">
        <f>#REF!/$B$2</f>
        <v>#REF!</v>
      </c>
      <c r="G12" s="34" t="e">
        <f>#REF!/$C$2</f>
        <v>#REF!</v>
      </c>
      <c r="H12" s="33" t="e">
        <f>#REF!/$B$2</f>
        <v>#REF!</v>
      </c>
      <c r="I12" s="34" t="e">
        <f>#REF!/$C$2</f>
        <v>#REF!</v>
      </c>
      <c r="J12" s="33" t="e">
        <f>#REF!/$B$2</f>
        <v>#REF!</v>
      </c>
      <c r="K12" s="34" t="e">
        <f>#REF!/$C$2</f>
        <v>#REF!</v>
      </c>
      <c r="L12" s="33" t="e">
        <f>#REF!/$B$2</f>
        <v>#REF!</v>
      </c>
      <c r="M12" s="34" t="e">
        <f>#REF!/$C$2</f>
        <v>#REF!</v>
      </c>
    </row>
    <row r="13" spans="1:13" x14ac:dyDescent="0.45">
      <c r="A13" s="32" t="s">
        <v>6</v>
      </c>
      <c r="B13" s="33" t="e">
        <f>#REF!/$B$2</f>
        <v>#REF!</v>
      </c>
      <c r="C13" s="34" t="e">
        <f>#REF!/$C$2</f>
        <v>#REF!</v>
      </c>
      <c r="D13" s="33" t="e">
        <f>#REF!/$B$2</f>
        <v>#REF!</v>
      </c>
      <c r="E13" s="34" t="e">
        <f>#REF!/$C$2</f>
        <v>#REF!</v>
      </c>
      <c r="F13" s="33" t="e">
        <f>#REF!/$B$2</f>
        <v>#REF!</v>
      </c>
      <c r="G13" s="34" t="e">
        <f>#REF!/$C$2</f>
        <v>#REF!</v>
      </c>
      <c r="H13" s="33" t="e">
        <f>#REF!/$B$2</f>
        <v>#REF!</v>
      </c>
      <c r="I13" s="34" t="e">
        <f>#REF!/$C$2</f>
        <v>#REF!</v>
      </c>
      <c r="J13" s="33" t="e">
        <f>#REF!/$B$2</f>
        <v>#REF!</v>
      </c>
      <c r="K13" s="34" t="e">
        <f>#REF!/$C$2</f>
        <v>#REF!</v>
      </c>
      <c r="L13" s="33" t="e">
        <f>#REF!/$B$2</f>
        <v>#REF!</v>
      </c>
      <c r="M13" s="34" t="e">
        <f>#REF!/$C$2</f>
        <v>#REF!</v>
      </c>
    </row>
    <row r="14" spans="1:13" x14ac:dyDescent="0.45">
      <c r="A14" s="32" t="s">
        <v>7</v>
      </c>
      <c r="B14" s="33" t="e">
        <f>#REF!/$B$2</f>
        <v>#REF!</v>
      </c>
      <c r="C14" s="34" t="e">
        <f>#REF!/$C$2</f>
        <v>#REF!</v>
      </c>
      <c r="D14" s="33" t="e">
        <f>#REF!/$B$2</f>
        <v>#REF!</v>
      </c>
      <c r="E14" s="34" t="e">
        <f>#REF!/$C$2</f>
        <v>#REF!</v>
      </c>
      <c r="F14" s="33" t="e">
        <f>#REF!/$B$2</f>
        <v>#REF!</v>
      </c>
      <c r="G14" s="34" t="e">
        <f>#REF!/$C$2</f>
        <v>#REF!</v>
      </c>
      <c r="H14" s="33" t="e">
        <f>#REF!/$B$2</f>
        <v>#REF!</v>
      </c>
      <c r="I14" s="34" t="e">
        <f>#REF!/$C$2</f>
        <v>#REF!</v>
      </c>
      <c r="J14" s="33" t="e">
        <f>#REF!/$B$2</f>
        <v>#REF!</v>
      </c>
      <c r="K14" s="34" t="e">
        <f>#REF!/$C$2</f>
        <v>#REF!</v>
      </c>
      <c r="L14" s="33" t="e">
        <f>#REF!/$B$2</f>
        <v>#REF!</v>
      </c>
      <c r="M14" s="34" t="e">
        <f>#REF!/$C$2</f>
        <v>#REF!</v>
      </c>
    </row>
    <row r="15" spans="1:13" x14ac:dyDescent="0.45">
      <c r="A15" s="26" t="s">
        <v>32</v>
      </c>
      <c r="B15" s="29" t="e">
        <f>#REF!/'8039_à l''ha'!B2</f>
        <v>#REF!</v>
      </c>
      <c r="C15" s="30" t="e">
        <f>#REF!/'8039_à l''ha'!C2</f>
        <v>#REF!</v>
      </c>
      <c r="D15" s="29" t="e">
        <f>#REF!/'8039_à l''ha'!D2</f>
        <v>#REF!</v>
      </c>
      <c r="E15" s="30" t="e">
        <f>#REF!/'8039_à l''ha'!E2</f>
        <v>#REF!</v>
      </c>
      <c r="F15" s="29" t="e">
        <f>#REF!/'8039_à l''ha'!F2</f>
        <v>#REF!</v>
      </c>
      <c r="G15" s="30" t="e">
        <f>#REF!/'8039_à l''ha'!G2</f>
        <v>#REF!</v>
      </c>
      <c r="H15" s="29" t="e">
        <f>#REF!/'8039_à l''ha'!H2</f>
        <v>#REF!</v>
      </c>
      <c r="I15" s="30" t="e">
        <f>#REF!/'8039_à l''ha'!I2</f>
        <v>#REF!</v>
      </c>
      <c r="J15" s="29" t="e">
        <f>#REF!/'8039_à l''ha'!J2</f>
        <v>#REF!</v>
      </c>
      <c r="K15" s="30" t="e">
        <f>#REF!/'8039_à l''ha'!K2</f>
        <v>#REF!</v>
      </c>
      <c r="L15" s="29" t="e">
        <f>#REF!/'8039_à l''ha'!L2</f>
        <v>#REF!</v>
      </c>
      <c r="M15" s="30" t="e">
        <f>#REF!/'8039_à l''ha'!M2</f>
        <v>#REF!</v>
      </c>
    </row>
    <row r="16" spans="1:13" x14ac:dyDescent="0.45">
      <c r="A16" s="32" t="s">
        <v>33</v>
      </c>
      <c r="B16" s="33" t="e">
        <f>#REF!/B2</f>
        <v>#REF!</v>
      </c>
      <c r="C16" s="34" t="e">
        <f>#REF!/C2</f>
        <v>#REF!</v>
      </c>
      <c r="D16" s="33" t="e">
        <f>#REF!/D2</f>
        <v>#REF!</v>
      </c>
      <c r="E16" s="34" t="e">
        <f>#REF!/E2</f>
        <v>#REF!</v>
      </c>
      <c r="F16" s="33" t="e">
        <f>#REF!/F2</f>
        <v>#REF!</v>
      </c>
      <c r="G16" s="34" t="e">
        <f>#REF!/G2</f>
        <v>#REF!</v>
      </c>
      <c r="H16" s="33" t="e">
        <f>#REF!/H2</f>
        <v>#REF!</v>
      </c>
      <c r="I16" s="34" t="e">
        <f>#REF!/I2</f>
        <v>#REF!</v>
      </c>
      <c r="J16" s="33" t="e">
        <f>#REF!/J2</f>
        <v>#REF!</v>
      </c>
      <c r="K16" s="34" t="e">
        <f>#REF!/K2</f>
        <v>#REF!</v>
      </c>
      <c r="L16" s="33" t="e">
        <f>#REF!/L2</f>
        <v>#REF!</v>
      </c>
      <c r="M16" s="34" t="e">
        <f>#REF!/M2</f>
        <v>#REF!</v>
      </c>
    </row>
    <row r="17" spans="1:13" x14ac:dyDescent="0.45">
      <c r="A17" s="32" t="s">
        <v>34</v>
      </c>
      <c r="B17" s="33" t="e">
        <f>#REF!/'8039_à l''ha'!B2</f>
        <v>#REF!</v>
      </c>
      <c r="C17" s="34" t="e">
        <f>#REF!/'8039_à l''ha'!C2</f>
        <v>#REF!</v>
      </c>
      <c r="D17" s="33" t="e">
        <f>#REF!/'8039_à l''ha'!D2</f>
        <v>#REF!</v>
      </c>
      <c r="E17" s="34" t="e">
        <f>#REF!/'8039_à l''ha'!E2</f>
        <v>#REF!</v>
      </c>
      <c r="F17" s="33" t="e">
        <f>#REF!/'8039_à l''ha'!F2</f>
        <v>#REF!</v>
      </c>
      <c r="G17" s="34" t="e">
        <f>#REF!/'8039_à l''ha'!G2</f>
        <v>#REF!</v>
      </c>
      <c r="H17" s="33" t="e">
        <f>#REF!/'8039_à l''ha'!H2</f>
        <v>#REF!</v>
      </c>
      <c r="I17" s="34" t="e">
        <f>#REF!/'8039_à l''ha'!I2</f>
        <v>#REF!</v>
      </c>
      <c r="J17" s="33" t="e">
        <f>#REF!/'8039_à l''ha'!J2</f>
        <v>#REF!</v>
      </c>
      <c r="K17" s="34" t="e">
        <f>#REF!/'8039_à l''ha'!K2</f>
        <v>#REF!</v>
      </c>
      <c r="L17" s="33" t="e">
        <f>#REF!/'8039_à l''ha'!L2</f>
        <v>#REF!</v>
      </c>
      <c r="M17" s="34" t="e">
        <f>#REF!/'8039_à l''ha'!M2</f>
        <v>#REF!</v>
      </c>
    </row>
    <row r="18" spans="1:13" x14ac:dyDescent="0.45">
      <c r="A18" s="26" t="s">
        <v>35</v>
      </c>
      <c r="B18" s="29" t="e">
        <f>SUM(B16:B17)</f>
        <v>#REF!</v>
      </c>
      <c r="C18" s="30" t="e">
        <f t="shared" ref="C18" si="4">SUM(C16:C17)</f>
        <v>#REF!</v>
      </c>
      <c r="D18" s="29" t="e">
        <f>SUM(D16:D17)</f>
        <v>#REF!</v>
      </c>
      <c r="E18" s="30" t="e">
        <f t="shared" ref="E18:G18" si="5">SUM(E16:E17)</f>
        <v>#REF!</v>
      </c>
      <c r="F18" s="29" t="e">
        <f>SUM(F16:F17)</f>
        <v>#REF!</v>
      </c>
      <c r="G18" s="30" t="e">
        <f t="shared" si="5"/>
        <v>#REF!</v>
      </c>
      <c r="H18" s="29" t="e">
        <f>SUM(H16:H17)</f>
        <v>#REF!</v>
      </c>
      <c r="I18" s="30" t="e">
        <f t="shared" ref="I18:K18" si="6">SUM(I16:I17)</f>
        <v>#REF!</v>
      </c>
      <c r="J18" s="29" t="e">
        <f>SUM(J16:J17)</f>
        <v>#REF!</v>
      </c>
      <c r="K18" s="30" t="e">
        <f t="shared" si="6"/>
        <v>#REF!</v>
      </c>
      <c r="L18" s="29" t="e">
        <f>SUM(L16:L17)</f>
        <v>#REF!</v>
      </c>
      <c r="M18" s="30" t="e">
        <f t="shared" ref="M18" si="7">SUM(M16:M17)</f>
        <v>#REF!</v>
      </c>
    </row>
    <row r="19" spans="1:13" x14ac:dyDescent="0.45">
      <c r="A19" s="32" t="s">
        <v>36</v>
      </c>
      <c r="B19" s="33" t="e">
        <f>#REF!/$B$2</f>
        <v>#REF!</v>
      </c>
      <c r="C19" s="34" t="e">
        <f>#REF!/$C$2</f>
        <v>#REF!</v>
      </c>
      <c r="D19" s="33" t="e">
        <f>#REF!/$B$2</f>
        <v>#REF!</v>
      </c>
      <c r="E19" s="34" t="e">
        <f>#REF!/$C$2</f>
        <v>#REF!</v>
      </c>
      <c r="F19" s="33" t="e">
        <f>#REF!/$B$2</f>
        <v>#REF!</v>
      </c>
      <c r="G19" s="34" t="e">
        <f>#REF!/$C$2</f>
        <v>#REF!</v>
      </c>
      <c r="H19" s="33" t="e">
        <f>#REF!/$B$2</f>
        <v>#REF!</v>
      </c>
      <c r="I19" s="34" t="e">
        <f>#REF!/$C$2</f>
        <v>#REF!</v>
      </c>
      <c r="J19" s="33" t="e">
        <f>#REF!/$B$2</f>
        <v>#REF!</v>
      </c>
      <c r="K19" s="34" t="e">
        <f>#REF!/$C$2</f>
        <v>#REF!</v>
      </c>
      <c r="L19" s="33" t="e">
        <f>#REF!/$B$2</f>
        <v>#REF!</v>
      </c>
      <c r="M19" s="34" t="e">
        <f>#REF!/$C$2</f>
        <v>#REF!</v>
      </c>
    </row>
    <row r="20" spans="1:13" x14ac:dyDescent="0.45">
      <c r="A20" s="32" t="s">
        <v>37</v>
      </c>
      <c r="B20" s="33" t="e">
        <f>#REF!/$B$2</f>
        <v>#REF!</v>
      </c>
      <c r="C20" s="34" t="e">
        <f>#REF!/$C$2</f>
        <v>#REF!</v>
      </c>
      <c r="D20" s="33" t="e">
        <f>#REF!/$B$2</f>
        <v>#REF!</v>
      </c>
      <c r="E20" s="34" t="e">
        <f>#REF!/$C$2</f>
        <v>#REF!</v>
      </c>
      <c r="F20" s="33" t="e">
        <f>#REF!/$B$2</f>
        <v>#REF!</v>
      </c>
      <c r="G20" s="34" t="e">
        <f>#REF!/$C$2</f>
        <v>#REF!</v>
      </c>
      <c r="H20" s="33" t="e">
        <f>#REF!/$B$2</f>
        <v>#REF!</v>
      </c>
      <c r="I20" s="34" t="e">
        <f>#REF!/$C$2</f>
        <v>#REF!</v>
      </c>
      <c r="J20" s="33" t="e">
        <f>#REF!/$B$2</f>
        <v>#REF!</v>
      </c>
      <c r="K20" s="34" t="e">
        <f>#REF!/$C$2</f>
        <v>#REF!</v>
      </c>
      <c r="L20" s="33" t="e">
        <f>#REF!/$B$2</f>
        <v>#REF!</v>
      </c>
      <c r="M20" s="34" t="e">
        <f>#REF!/$C$2</f>
        <v>#REF!</v>
      </c>
    </row>
    <row r="21" spans="1:13" x14ac:dyDescent="0.45">
      <c r="A21" s="32" t="s">
        <v>38</v>
      </c>
      <c r="B21" s="33" t="e">
        <f>#REF!/$B$2</f>
        <v>#REF!</v>
      </c>
      <c r="C21" s="34" t="e">
        <f>#REF!/$C$2</f>
        <v>#REF!</v>
      </c>
      <c r="D21" s="33" t="e">
        <f>#REF!/$B$2</f>
        <v>#REF!</v>
      </c>
      <c r="E21" s="34" t="e">
        <f>#REF!/$C$2</f>
        <v>#REF!</v>
      </c>
      <c r="F21" s="33" t="e">
        <f>#REF!/$B$2</f>
        <v>#REF!</v>
      </c>
      <c r="G21" s="34" t="e">
        <f>#REF!/$C$2</f>
        <v>#REF!</v>
      </c>
      <c r="H21" s="33" t="e">
        <f>#REF!/$B$2</f>
        <v>#REF!</v>
      </c>
      <c r="I21" s="34" t="e">
        <f>#REF!/$C$2</f>
        <v>#REF!</v>
      </c>
      <c r="J21" s="33" t="e">
        <f>#REF!/$B$2</f>
        <v>#REF!</v>
      </c>
      <c r="K21" s="34" t="e">
        <f>#REF!/$C$2</f>
        <v>#REF!</v>
      </c>
      <c r="L21" s="33" t="e">
        <f>#REF!/$B$2</f>
        <v>#REF!</v>
      </c>
      <c r="M21" s="34" t="e">
        <f>#REF!/$C$2</f>
        <v>#REF!</v>
      </c>
    </row>
    <row r="22" spans="1:13" x14ac:dyDescent="0.45">
      <c r="A22" s="32" t="s">
        <v>39</v>
      </c>
      <c r="B22" s="33" t="e">
        <f>#REF!/$B$2</f>
        <v>#REF!</v>
      </c>
      <c r="C22" s="34" t="e">
        <f>#REF!/$C$2</f>
        <v>#REF!</v>
      </c>
      <c r="D22" s="33" t="e">
        <f>#REF!/$B$2</f>
        <v>#REF!</v>
      </c>
      <c r="E22" s="34" t="e">
        <f>#REF!/$C$2</f>
        <v>#REF!</v>
      </c>
      <c r="F22" s="33" t="e">
        <f>#REF!/$B$2</f>
        <v>#REF!</v>
      </c>
      <c r="G22" s="34" t="e">
        <f>#REF!/$C$2</f>
        <v>#REF!</v>
      </c>
      <c r="H22" s="33" t="e">
        <f>#REF!/$B$2</f>
        <v>#REF!</v>
      </c>
      <c r="I22" s="34" t="e">
        <f>#REF!/$C$2</f>
        <v>#REF!</v>
      </c>
      <c r="J22" s="33" t="e">
        <f>#REF!/$B$2</f>
        <v>#REF!</v>
      </c>
      <c r="K22" s="34" t="e">
        <f>#REF!/$C$2</f>
        <v>#REF!</v>
      </c>
      <c r="L22" s="33" t="e">
        <f>#REF!/$B$2</f>
        <v>#REF!</v>
      </c>
      <c r="M22" s="34" t="e">
        <f>#REF!/$C$2</f>
        <v>#REF!</v>
      </c>
    </row>
    <row r="23" spans="1:13" x14ac:dyDescent="0.45">
      <c r="A23" s="32" t="s">
        <v>40</v>
      </c>
      <c r="B23" s="33" t="e">
        <f>#REF!/$B$2</f>
        <v>#REF!</v>
      </c>
      <c r="C23" s="34" t="e">
        <f>#REF!/$C$2</f>
        <v>#REF!</v>
      </c>
      <c r="D23" s="33" t="e">
        <f>#REF!/$B$2</f>
        <v>#REF!</v>
      </c>
      <c r="E23" s="34" t="e">
        <f>#REF!/$C$2</f>
        <v>#REF!</v>
      </c>
      <c r="F23" s="33" t="e">
        <f>#REF!/$B$2</f>
        <v>#REF!</v>
      </c>
      <c r="G23" s="34" t="e">
        <f>#REF!/$C$2</f>
        <v>#REF!</v>
      </c>
      <c r="H23" s="33" t="e">
        <f>#REF!/$B$2</f>
        <v>#REF!</v>
      </c>
      <c r="I23" s="34" t="e">
        <f>#REF!/$C$2</f>
        <v>#REF!</v>
      </c>
      <c r="J23" s="33" t="e">
        <f>#REF!/$B$2</f>
        <v>#REF!</v>
      </c>
      <c r="K23" s="34" t="e">
        <f>#REF!/$C$2</f>
        <v>#REF!</v>
      </c>
      <c r="L23" s="33" t="e">
        <f>#REF!/$B$2</f>
        <v>#REF!</v>
      </c>
      <c r="M23" s="34" t="e">
        <f>#REF!/$C$2</f>
        <v>#REF!</v>
      </c>
    </row>
    <row r="24" spans="1:13" x14ac:dyDescent="0.45">
      <c r="A24" s="32" t="s">
        <v>41</v>
      </c>
      <c r="B24" s="33" t="e">
        <f>#REF!/$B$2</f>
        <v>#REF!</v>
      </c>
      <c r="C24" s="34" t="e">
        <f>#REF!/$C$2</f>
        <v>#REF!</v>
      </c>
      <c r="D24" s="33" t="e">
        <f>#REF!/$B$2</f>
        <v>#REF!</v>
      </c>
      <c r="E24" s="34" t="e">
        <f>#REF!/$C$2</f>
        <v>#REF!</v>
      </c>
      <c r="F24" s="33" t="e">
        <f>#REF!/$B$2</f>
        <v>#REF!</v>
      </c>
      <c r="G24" s="34" t="e">
        <f>#REF!/$C$2</f>
        <v>#REF!</v>
      </c>
      <c r="H24" s="33" t="e">
        <f>#REF!/$B$2</f>
        <v>#REF!</v>
      </c>
      <c r="I24" s="34" t="e">
        <f>#REF!/$C$2</f>
        <v>#REF!</v>
      </c>
      <c r="J24" s="33" t="e">
        <f>#REF!/$B$2</f>
        <v>#REF!</v>
      </c>
      <c r="K24" s="34" t="e">
        <f>#REF!/$C$2</f>
        <v>#REF!</v>
      </c>
      <c r="L24" s="33" t="e">
        <f>#REF!/$B$2</f>
        <v>#REF!</v>
      </c>
      <c r="M24" s="34" t="e">
        <f>#REF!/$C$2</f>
        <v>#REF!</v>
      </c>
    </row>
    <row r="25" spans="1:13" x14ac:dyDescent="0.45">
      <c r="A25" s="26" t="s">
        <v>42</v>
      </c>
      <c r="B25" s="29" t="e">
        <f>#REF!/B2</f>
        <v>#REF!</v>
      </c>
      <c r="C25" s="30" t="e">
        <f>#REF!/C2</f>
        <v>#REF!</v>
      </c>
      <c r="D25" s="29" t="e">
        <f>#REF!/D2</f>
        <v>#REF!</v>
      </c>
      <c r="E25" s="30" t="e">
        <f>#REF!/E2</f>
        <v>#REF!</v>
      </c>
      <c r="F25" s="29" t="e">
        <f>#REF!/F2</f>
        <v>#REF!</v>
      </c>
      <c r="G25" s="30" t="e">
        <f>#REF!/G2</f>
        <v>#REF!</v>
      </c>
      <c r="H25" s="29" t="e">
        <f>#REF!/H2</f>
        <v>#REF!</v>
      </c>
      <c r="I25" s="30" t="e">
        <f>#REF!/I2</f>
        <v>#REF!</v>
      </c>
      <c r="J25" s="29" t="e">
        <f>#REF!/J2</f>
        <v>#REF!</v>
      </c>
      <c r="K25" s="30" t="e">
        <f>#REF!/K2</f>
        <v>#REF!</v>
      </c>
      <c r="L25" s="29" t="e">
        <f>#REF!/L2</f>
        <v>#REF!</v>
      </c>
      <c r="M25" s="30" t="e">
        <f>#REF!/M2</f>
        <v>#REF!</v>
      </c>
    </row>
    <row r="26" spans="1:13" x14ac:dyDescent="0.45">
      <c r="A26" s="26" t="s">
        <v>43</v>
      </c>
      <c r="B26" s="29" t="e">
        <f>#REF!/B3</f>
        <v>#REF!</v>
      </c>
      <c r="C26" s="30" t="e">
        <f>#REF!/C3</f>
        <v>#REF!</v>
      </c>
      <c r="D26" s="29" t="e">
        <f>#REF!/D3</f>
        <v>#REF!</v>
      </c>
      <c r="E26" s="30" t="e">
        <f>#REF!/E3</f>
        <v>#REF!</v>
      </c>
      <c r="F26" s="29" t="e">
        <f>#REF!/F3</f>
        <v>#REF!</v>
      </c>
      <c r="G26" s="30" t="e">
        <f>#REF!/G3</f>
        <v>#REF!</v>
      </c>
      <c r="H26" s="29" t="e">
        <f>#REF!/H3</f>
        <v>#REF!</v>
      </c>
      <c r="I26" s="30" t="e">
        <f>#REF!/I3</f>
        <v>#REF!</v>
      </c>
      <c r="J26" s="29" t="e">
        <f>#REF!/J3</f>
        <v>#REF!</v>
      </c>
      <c r="K26" s="30" t="e">
        <f>#REF!/K3</f>
        <v>#REF!</v>
      </c>
      <c r="L26" s="29" t="e">
        <f>#REF!/L3</f>
        <v>#REF!</v>
      </c>
      <c r="M26" s="30" t="e">
        <f>#REF!/M3</f>
        <v>#REF!</v>
      </c>
    </row>
    <row r="27" spans="1:13" x14ac:dyDescent="0.45">
      <c r="A27" s="32" t="s">
        <v>44</v>
      </c>
      <c r="B27" s="33" t="e">
        <f>#REF!/B2</f>
        <v>#REF!</v>
      </c>
      <c r="C27" s="34" t="e">
        <f>#REF!/C2</f>
        <v>#REF!</v>
      </c>
      <c r="D27" s="33" t="e">
        <f>#REF!/D2</f>
        <v>#REF!</v>
      </c>
      <c r="E27" s="34" t="e">
        <f>#REF!/E2</f>
        <v>#REF!</v>
      </c>
      <c r="F27" s="33" t="e">
        <f>#REF!/F2</f>
        <v>#REF!</v>
      </c>
      <c r="G27" s="34" t="e">
        <f>#REF!/G2</f>
        <v>#REF!</v>
      </c>
      <c r="H27" s="33" t="e">
        <f>#REF!/H2</f>
        <v>#REF!</v>
      </c>
      <c r="I27" s="34" t="e">
        <f>#REF!/I2</f>
        <v>#REF!</v>
      </c>
      <c r="J27" s="33" t="e">
        <f>#REF!/J2</f>
        <v>#REF!</v>
      </c>
      <c r="K27" s="34" t="e">
        <f>#REF!/K2</f>
        <v>#REF!</v>
      </c>
      <c r="L27" s="33" t="e">
        <f>#REF!/L2</f>
        <v>#REF!</v>
      </c>
      <c r="M27" s="34" t="e">
        <f>#REF!/M2</f>
        <v>#REF!</v>
      </c>
    </row>
    <row r="28" spans="1:13" x14ac:dyDescent="0.45">
      <c r="A28" s="26" t="s">
        <v>45</v>
      </c>
      <c r="B28" s="29" t="e">
        <f>#REF!/B3</f>
        <v>#REF!</v>
      </c>
      <c r="C28" s="30" t="e">
        <f>#REF!/C3</f>
        <v>#REF!</v>
      </c>
      <c r="D28" s="29" t="e">
        <f>#REF!/D3</f>
        <v>#REF!</v>
      </c>
      <c r="E28" s="30" t="e">
        <f>#REF!/E3</f>
        <v>#REF!</v>
      </c>
      <c r="F28" s="29" t="e">
        <f>#REF!/F3</f>
        <v>#REF!</v>
      </c>
      <c r="G28" s="30" t="e">
        <f>#REF!/G3</f>
        <v>#REF!</v>
      </c>
      <c r="H28" s="29" t="e">
        <f>#REF!/H3</f>
        <v>#REF!</v>
      </c>
      <c r="I28" s="30" t="e">
        <f>#REF!/I3</f>
        <v>#REF!</v>
      </c>
      <c r="J28" s="29" t="e">
        <f>#REF!/J3</f>
        <v>#REF!</v>
      </c>
      <c r="K28" s="30" t="e">
        <f>#REF!/K3</f>
        <v>#REF!</v>
      </c>
      <c r="L28" s="29" t="e">
        <f>#REF!/L3</f>
        <v>#REF!</v>
      </c>
      <c r="M28" s="30" t="e">
        <f>#REF!/M3</f>
        <v>#REF!</v>
      </c>
    </row>
    <row r="29" spans="1:13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3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idden="1" x14ac:dyDescent="0.45">
      <c r="A31" s="17" t="s">
        <v>21</v>
      </c>
      <c r="B31" s="18" t="e">
        <f t="shared" ref="B31:G31" si="8">+B27+B25</f>
        <v>#REF!</v>
      </c>
      <c r="C31" s="19" t="e">
        <f t="shared" si="8"/>
        <v>#REF!</v>
      </c>
      <c r="D31" s="18" t="e">
        <f t="shared" si="8"/>
        <v>#REF!</v>
      </c>
      <c r="E31" s="19" t="e">
        <f t="shared" si="8"/>
        <v>#REF!</v>
      </c>
      <c r="F31" s="18" t="e">
        <f t="shared" si="8"/>
        <v>#REF!</v>
      </c>
      <c r="G31" s="19" t="e">
        <f t="shared" si="8"/>
        <v>#REF!</v>
      </c>
      <c r="H31" s="18" t="e">
        <f t="shared" ref="H31:I31" si="9">+H27+H25</f>
        <v>#REF!</v>
      </c>
      <c r="I31" s="19" t="e">
        <f t="shared" si="9"/>
        <v>#REF!</v>
      </c>
      <c r="J31" s="18" t="e">
        <f t="shared" ref="J31:K31" si="10">+J27+J25</f>
        <v>#REF!</v>
      </c>
      <c r="K31" s="19" t="e">
        <f t="shared" si="10"/>
        <v>#REF!</v>
      </c>
      <c r="L31" s="18" t="e">
        <f t="shared" ref="L31:M31" si="11">+L27+L25</f>
        <v>#REF!</v>
      </c>
      <c r="M31" s="19" t="e">
        <f t="shared" si="11"/>
        <v>#REF!</v>
      </c>
    </row>
    <row r="32" spans="1:13" hidden="1" x14ac:dyDescent="0.45">
      <c r="A32" s="17" t="s">
        <v>22</v>
      </c>
      <c r="B32" s="18" t="e">
        <f t="shared" ref="B32:G32" si="12">+B24+B23+B21+B20+B19</f>
        <v>#REF!</v>
      </c>
      <c r="C32" s="19" t="e">
        <f t="shared" si="12"/>
        <v>#REF!</v>
      </c>
      <c r="D32" s="18" t="e">
        <f t="shared" si="12"/>
        <v>#REF!</v>
      </c>
      <c r="E32" s="19" t="e">
        <f t="shared" si="12"/>
        <v>#REF!</v>
      </c>
      <c r="F32" s="18" t="e">
        <f t="shared" si="12"/>
        <v>#REF!</v>
      </c>
      <c r="G32" s="19" t="e">
        <f t="shared" si="12"/>
        <v>#REF!</v>
      </c>
      <c r="H32" s="18" t="e">
        <f t="shared" ref="H32:I32" si="13">+H24+H23+H21+H20+H19</f>
        <v>#REF!</v>
      </c>
      <c r="I32" s="19" t="e">
        <f t="shared" si="13"/>
        <v>#REF!</v>
      </c>
      <c r="J32" s="18" t="e">
        <f t="shared" ref="J32:K32" si="14">+J24+J23+J21+J20+J19</f>
        <v>#REF!</v>
      </c>
      <c r="K32" s="19" t="e">
        <f t="shared" si="14"/>
        <v>#REF!</v>
      </c>
      <c r="L32" s="18" t="e">
        <f t="shared" ref="L32:M32" si="15">+L24+L23+L21+L20+L19</f>
        <v>#REF!</v>
      </c>
      <c r="M32" s="19" t="e">
        <f t="shared" si="15"/>
        <v>#REF!</v>
      </c>
    </row>
    <row r="33" spans="1:13" x14ac:dyDescent="0.45">
      <c r="B33" s="35"/>
      <c r="C33" s="36"/>
      <c r="D33" s="35"/>
      <c r="E33" s="36"/>
      <c r="F33" s="35"/>
      <c r="G33" s="36"/>
      <c r="H33" s="35"/>
      <c r="I33" s="36"/>
      <c r="J33" s="35"/>
      <c r="K33" s="36"/>
      <c r="L33" s="35"/>
      <c r="M33" s="36"/>
    </row>
    <row r="34" spans="1:13" x14ac:dyDescent="0.45">
      <c r="A34" s="4" t="s">
        <v>46</v>
      </c>
      <c r="B34" s="15" t="s">
        <v>26</v>
      </c>
      <c r="C34" s="16" t="s">
        <v>26</v>
      </c>
      <c r="D34" s="15" t="s">
        <v>26</v>
      </c>
      <c r="E34" s="16" t="s">
        <v>26</v>
      </c>
      <c r="F34" s="15" t="e">
        <f>(F3*F6)-#REF!</f>
        <v>#REF!</v>
      </c>
      <c r="G34" s="16" t="e">
        <f>(G3*G6)-#REF!</f>
        <v>#REF!</v>
      </c>
      <c r="H34" s="15" t="e">
        <f>(H3*H6)-#REF!</f>
        <v>#REF!</v>
      </c>
      <c r="I34" s="16" t="e">
        <f>(I3*I6)-#REF!</f>
        <v>#REF!</v>
      </c>
      <c r="J34" s="15" t="e">
        <f>(J3*J6)-#REF!</f>
        <v>#REF!</v>
      </c>
      <c r="K34" s="16" t="e">
        <f>(K3*K6)-#REF!</f>
        <v>#REF!</v>
      </c>
      <c r="L34" s="15" t="e">
        <f>(L3*L6)-#REF!</f>
        <v>#REF!</v>
      </c>
      <c r="M34" s="16" t="e">
        <f>(M3*M6)-#REF!</f>
        <v>#REF!</v>
      </c>
    </row>
    <row r="35" spans="1:13" x14ac:dyDescent="0.45">
      <c r="A35" s="4" t="s">
        <v>47</v>
      </c>
      <c r="B35" s="15" t="s">
        <v>26</v>
      </c>
      <c r="C35" s="16" t="s">
        <v>26</v>
      </c>
      <c r="D35" s="15" t="s">
        <v>26</v>
      </c>
      <c r="E35" s="16" t="s">
        <v>26</v>
      </c>
      <c r="F35" s="15" t="e">
        <f>(F7*(F3))-#REF!</f>
        <v>#REF!</v>
      </c>
      <c r="G35" s="16" t="e">
        <f>(G7*(G3))-#REF!</f>
        <v>#REF!</v>
      </c>
      <c r="H35" s="15" t="e">
        <f>(H7*(H3))-#REF!</f>
        <v>#REF!</v>
      </c>
      <c r="I35" s="16" t="e">
        <f>(I7*(I3))-#REF!</f>
        <v>#REF!</v>
      </c>
      <c r="J35" s="15" t="e">
        <f>(J7*(J3))-#REF!</f>
        <v>#REF!</v>
      </c>
      <c r="K35" s="16" t="e">
        <f>(K7*(K3))-#REF!</f>
        <v>#REF!</v>
      </c>
      <c r="L35" s="15" t="e">
        <f>(L7*(L3))-#REF!</f>
        <v>#REF!</v>
      </c>
      <c r="M35" s="16" t="e">
        <f>(M7*(M3))-#REF!</f>
        <v>#REF!</v>
      </c>
    </row>
    <row r="36" spans="1:13" x14ac:dyDescent="0.45">
      <c r="A36" s="4" t="s">
        <v>48</v>
      </c>
      <c r="B36" s="15" t="e">
        <f>(B15*B2)-#REF!</f>
        <v>#REF!</v>
      </c>
      <c r="C36" s="16" t="e">
        <f>(C15*C2)-#REF!</f>
        <v>#REF!</v>
      </c>
      <c r="D36" s="15" t="e">
        <f>(D15*D2)-#REF!</f>
        <v>#REF!</v>
      </c>
      <c r="E36" s="16" t="e">
        <f>(E15*E2)-#REF!</f>
        <v>#REF!</v>
      </c>
      <c r="F36" s="15" t="e">
        <f>(F15*F2)-#REF!</f>
        <v>#REF!</v>
      </c>
      <c r="G36" s="16" t="e">
        <f>(G15*G2)-#REF!</f>
        <v>#REF!</v>
      </c>
      <c r="H36" s="15" t="e">
        <f>(H15*H2)-#REF!</f>
        <v>#REF!</v>
      </c>
      <c r="I36" s="16" t="e">
        <f>(I15*I2)-#REF!</f>
        <v>#REF!</v>
      </c>
      <c r="J36" s="15" t="e">
        <f>(J15*J2)-#REF!</f>
        <v>#REF!</v>
      </c>
      <c r="K36" s="16" t="e">
        <f>(K15*K2)-#REF!</f>
        <v>#REF!</v>
      </c>
      <c r="L36" s="15" t="e">
        <f>(L15*L2)-#REF!</f>
        <v>#REF!</v>
      </c>
      <c r="M36" s="16" t="e">
        <f>(M15*M2)-#REF!</f>
        <v>#REF!</v>
      </c>
    </row>
    <row r="37" spans="1:13" x14ac:dyDescent="0.45">
      <c r="A37" s="4" t="s">
        <v>49</v>
      </c>
      <c r="B37" s="15" t="e">
        <f>(B18*B2)-#REF!</f>
        <v>#REF!</v>
      </c>
      <c r="C37" s="16" t="e">
        <f>(C18*C2)-#REF!</f>
        <v>#REF!</v>
      </c>
      <c r="D37" s="15" t="e">
        <f>(D18*D2)-#REF!</f>
        <v>#REF!</v>
      </c>
      <c r="E37" s="16" t="e">
        <f>(E18*E2)-#REF!</f>
        <v>#REF!</v>
      </c>
      <c r="F37" s="15" t="e">
        <f>(F18*F2)-#REF!</f>
        <v>#REF!</v>
      </c>
      <c r="G37" s="16" t="e">
        <f>(G18*G2)-#REF!</f>
        <v>#REF!</v>
      </c>
      <c r="H37" s="15" t="e">
        <f>(H18*H2)-#REF!</f>
        <v>#REF!</v>
      </c>
      <c r="I37" s="16" t="e">
        <f>(I18*I2)-#REF!</f>
        <v>#REF!</v>
      </c>
      <c r="J37" s="15" t="e">
        <f>(J18*J2)-#REF!</f>
        <v>#REF!</v>
      </c>
      <c r="K37" s="16" t="e">
        <f>(K18*K2)-#REF!</f>
        <v>#REF!</v>
      </c>
      <c r="L37" s="15" t="e">
        <f>(L18*L2)-#REF!</f>
        <v>#REF!</v>
      </c>
      <c r="M37" s="16" t="e">
        <f>(M18*M2)-#REF!</f>
        <v>#REF!</v>
      </c>
    </row>
    <row r="38" spans="1:13" x14ac:dyDescent="0.45">
      <c r="A38" s="4" t="s">
        <v>50</v>
      </c>
      <c r="B38" s="15" t="e">
        <f>(B25*B2)-#REF!</f>
        <v>#REF!</v>
      </c>
      <c r="C38" s="16" t="e">
        <f>(C25*C2)-#REF!</f>
        <v>#REF!</v>
      </c>
      <c r="D38" s="15" t="e">
        <f>(D25*D2)-#REF!</f>
        <v>#REF!</v>
      </c>
      <c r="E38" s="16" t="e">
        <f>(E25*E2)-#REF!</f>
        <v>#REF!</v>
      </c>
      <c r="F38" s="15" t="e">
        <f>(F25*F2)-#REF!</f>
        <v>#REF!</v>
      </c>
      <c r="G38" s="16" t="e">
        <f>(G25*G2)-#REF!</f>
        <v>#REF!</v>
      </c>
      <c r="H38" s="15" t="e">
        <f>(H25*H2)-#REF!</f>
        <v>#REF!</v>
      </c>
      <c r="I38" s="16" t="e">
        <f>(I25*I2)-#REF!</f>
        <v>#REF!</v>
      </c>
      <c r="J38" s="15" t="e">
        <f>(J25*J2)-#REF!</f>
        <v>#REF!</v>
      </c>
      <c r="K38" s="16" t="e">
        <f>(K25*K2)-#REF!</f>
        <v>#REF!</v>
      </c>
      <c r="L38" s="15" t="e">
        <f>(L25*L2)-#REF!</f>
        <v>#REF!</v>
      </c>
      <c r="M38" s="16" t="e">
        <f>(M25*M2)-#REF!</f>
        <v>#REF!</v>
      </c>
    </row>
    <row r="39" spans="1:13" x14ac:dyDescent="0.45">
      <c r="A39" s="4" t="s">
        <v>51</v>
      </c>
      <c r="B39" s="15" t="e">
        <f>(B26*B3)-#REF!</f>
        <v>#REF!</v>
      </c>
      <c r="C39" s="16" t="e">
        <f>(C26*C3)-#REF!</f>
        <v>#REF!</v>
      </c>
      <c r="D39" s="15" t="e">
        <f>(D26*D3)-#REF!</f>
        <v>#REF!</v>
      </c>
      <c r="E39" s="16" t="s">
        <v>26</v>
      </c>
      <c r="F39" s="15" t="e">
        <f>(F26*F3)-#REF!</f>
        <v>#REF!</v>
      </c>
      <c r="G39" s="16" t="e">
        <f>(G26*G3)-#REF!</f>
        <v>#REF!</v>
      </c>
      <c r="H39" s="15" t="e">
        <f>(H26*H3)-#REF!</f>
        <v>#REF!</v>
      </c>
      <c r="I39" s="16" t="e">
        <f>(I26*I3)-#REF!</f>
        <v>#REF!</v>
      </c>
      <c r="J39" s="15" t="e">
        <f>(J26*J3)-#REF!</f>
        <v>#REF!</v>
      </c>
      <c r="K39" s="16" t="e">
        <f>(K26*K3)-#REF!</f>
        <v>#REF!</v>
      </c>
      <c r="L39" s="15" t="e">
        <f>(L26*L3)-#REF!</f>
        <v>#REF!</v>
      </c>
      <c r="M39" s="16" t="e">
        <f>(M26*M3)-#REF!</f>
        <v>#REF!</v>
      </c>
    </row>
    <row r="40" spans="1:13" x14ac:dyDescent="0.45">
      <c r="A40" s="4" t="s">
        <v>52</v>
      </c>
      <c r="B40" s="15" t="e">
        <f>(B27*B2)-#REF!</f>
        <v>#REF!</v>
      </c>
      <c r="C40" s="16" t="e">
        <f>(C27*C2)-#REF!</f>
        <v>#REF!</v>
      </c>
      <c r="D40" s="15" t="e">
        <f>(D27*D2)-#REF!</f>
        <v>#REF!</v>
      </c>
      <c r="E40" s="16" t="e">
        <f>(E27*E2)-#REF!</f>
        <v>#REF!</v>
      </c>
      <c r="F40" s="15" t="e">
        <f>(F27*F2)-#REF!</f>
        <v>#REF!</v>
      </c>
      <c r="G40" s="16" t="e">
        <f>(G27*G2)-#REF!</f>
        <v>#REF!</v>
      </c>
      <c r="H40" s="15" t="e">
        <f>(H27*H2)-#REF!</f>
        <v>#REF!</v>
      </c>
      <c r="I40" s="16" t="e">
        <f>(I27*I2)-#REF!</f>
        <v>#REF!</v>
      </c>
      <c r="J40" s="15" t="e">
        <f>(J27*J2)-#REF!</f>
        <v>#REF!</v>
      </c>
      <c r="K40" s="16" t="e">
        <f>(K27*K2)-#REF!</f>
        <v>#REF!</v>
      </c>
      <c r="L40" s="15" t="e">
        <f>(L27*L2)-#REF!</f>
        <v>#REF!</v>
      </c>
      <c r="M40" s="16" t="e">
        <f>(M27*M2)-#REF!</f>
        <v>#REF!</v>
      </c>
    </row>
    <row r="41" spans="1:13" x14ac:dyDescent="0.45">
      <c r="A41" s="4" t="s">
        <v>53</v>
      </c>
      <c r="B41" s="15" t="e">
        <f>(B28*B3)-#REF!</f>
        <v>#REF!</v>
      </c>
      <c r="C41" s="16" t="e">
        <f>(C28*C3)-#REF!</f>
        <v>#REF!</v>
      </c>
      <c r="D41" s="15" t="e">
        <f>(D28*D3)-#REF!</f>
        <v>#REF!</v>
      </c>
      <c r="E41" s="16" t="s">
        <v>26</v>
      </c>
      <c r="F41" s="15" t="e">
        <f>(F28*F3)-#REF!</f>
        <v>#REF!</v>
      </c>
      <c r="G41" s="16" t="e">
        <f>(G28*G3)-#REF!</f>
        <v>#REF!</v>
      </c>
      <c r="H41" s="15" t="e">
        <f>(H28*H3)-#REF!</f>
        <v>#REF!</v>
      </c>
      <c r="I41" s="16" t="e">
        <f>(I28*I3)-#REF!</f>
        <v>#REF!</v>
      </c>
      <c r="J41" s="15" t="e">
        <f>(J28*J3)-#REF!</f>
        <v>#REF!</v>
      </c>
      <c r="K41" s="16" t="e">
        <f>(K28*K3)-#REF!</f>
        <v>#REF!</v>
      </c>
      <c r="L41" s="15" t="e">
        <f>(L28*L3)-#REF!</f>
        <v>#REF!</v>
      </c>
      <c r="M41" s="16" t="e">
        <f>(M28*M3)-#REF!</f>
        <v>#REF!</v>
      </c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x14ac:dyDescent="0.45">
      <c r="A43" s="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x14ac:dyDescent="0.45">
      <c r="A44" s="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</row>
  </sheetData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 tint="0.59999389629810485"/>
  </sheetPr>
  <dimension ref="A1:N44"/>
  <sheetViews>
    <sheetView topLeftCell="A19" zoomScaleNormal="100" workbookViewId="0">
      <selection activeCell="A31" sqref="A31:XFD32"/>
    </sheetView>
  </sheetViews>
  <sheetFormatPr baseColWidth="10" defaultColWidth="11.46484375" defaultRowHeight="14.25" x14ac:dyDescent="0.45"/>
  <cols>
    <col min="1" max="1" width="28.46484375" style="32" bestFit="1" customWidth="1"/>
    <col min="2" max="2" width="7" style="2" bestFit="1" customWidth="1"/>
    <col min="3" max="3" width="6.46484375" style="3" bestFit="1" customWidth="1"/>
    <col min="4" max="4" width="7" style="2" bestFit="1" customWidth="1"/>
    <col min="5" max="5" width="8.19921875" style="3" bestFit="1" customWidth="1"/>
    <col min="6" max="6" width="6.73046875" style="2" bestFit="1" customWidth="1"/>
    <col min="7" max="7" width="6.53125" style="3" bestFit="1" customWidth="1"/>
    <col min="8" max="8" width="7" style="2" bestFit="1" customWidth="1"/>
    <col min="9" max="9" width="6.53125" style="3" bestFit="1" customWidth="1"/>
    <col min="10" max="10" width="8.19921875" style="2" bestFit="1" customWidth="1"/>
    <col min="11" max="11" width="8.19921875" style="3" bestFit="1" customWidth="1"/>
    <col min="12" max="12" width="8.19921875" style="2" bestFit="1" customWidth="1"/>
    <col min="13" max="13" width="5.796875" style="3" bestFit="1" customWidth="1"/>
    <col min="14" max="14" width="0.796875" style="14" customWidth="1"/>
    <col min="15" max="16" width="11.46484375" style="1"/>
    <col min="17" max="17" width="1.796875" style="1" customWidth="1"/>
    <col min="18" max="16384" width="11.46484375" style="1"/>
  </cols>
  <sheetData>
    <row r="1" spans="1:13" ht="14.65" thickBot="1" x14ac:dyDescent="0.5">
      <c r="A1" s="5" t="s">
        <v>55</v>
      </c>
      <c r="B1" s="23">
        <v>42552</v>
      </c>
      <c r="C1" s="24">
        <v>42583</v>
      </c>
      <c r="D1" s="23">
        <v>42614</v>
      </c>
      <c r="E1" s="24">
        <v>42644</v>
      </c>
      <c r="F1" s="23">
        <v>42675</v>
      </c>
      <c r="G1" s="24">
        <v>42705</v>
      </c>
      <c r="H1" s="23">
        <v>42736</v>
      </c>
      <c r="I1" s="24">
        <v>42767</v>
      </c>
      <c r="J1" s="23">
        <v>42795</v>
      </c>
      <c r="K1" s="24">
        <v>42826</v>
      </c>
      <c r="L1" s="23">
        <v>42856</v>
      </c>
      <c r="M1" s="24">
        <v>42887</v>
      </c>
    </row>
    <row r="2" spans="1:13" x14ac:dyDescent="0.45">
      <c r="A2" s="26" t="s">
        <v>27</v>
      </c>
      <c r="B2" s="27" t="e">
        <f>+#REF!</f>
        <v>#REF!</v>
      </c>
      <c r="C2" s="28" t="e">
        <f>+#REF!</f>
        <v>#REF!</v>
      </c>
      <c r="D2" s="27" t="e">
        <f>+#REF!</f>
        <v>#REF!</v>
      </c>
      <c r="E2" s="28" t="e">
        <f>+#REF!</f>
        <v>#REF!</v>
      </c>
      <c r="F2" s="27" t="e">
        <f>+#REF!</f>
        <v>#REF!</v>
      </c>
      <c r="G2" s="28" t="e">
        <f>+#REF!</f>
        <v>#REF!</v>
      </c>
      <c r="H2" s="27" t="e">
        <f>+#REF!</f>
        <v>#REF!</v>
      </c>
      <c r="I2" s="28" t="e">
        <f>+#REF!</f>
        <v>#REF!</v>
      </c>
      <c r="J2" s="27" t="e">
        <f>+#REF!</f>
        <v>#REF!</v>
      </c>
      <c r="K2" s="28" t="e">
        <f>+#REF!</f>
        <v>#REF!</v>
      </c>
      <c r="L2" s="27" t="e">
        <f>+#REF!</f>
        <v>#REF!</v>
      </c>
      <c r="M2" s="28" t="e">
        <f>+#REF!</f>
        <v>#REF!</v>
      </c>
    </row>
    <row r="3" spans="1:13" x14ac:dyDescent="0.45">
      <c r="A3" s="26" t="s">
        <v>23</v>
      </c>
      <c r="B3" s="27" t="e">
        <f>+#REF!</f>
        <v>#REF!</v>
      </c>
      <c r="C3" s="28" t="e">
        <f>+#REF!</f>
        <v>#REF!</v>
      </c>
      <c r="D3" s="27" t="e">
        <f>+#REF!</f>
        <v>#REF!</v>
      </c>
      <c r="E3" s="28" t="e">
        <f>+#REF!</f>
        <v>#REF!</v>
      </c>
      <c r="F3" s="27" t="e">
        <f>+#REF!</f>
        <v>#REF!</v>
      </c>
      <c r="G3" s="28" t="e">
        <f>+#REF!</f>
        <v>#REF!</v>
      </c>
      <c r="H3" s="27" t="e">
        <f>+#REF!</f>
        <v>#REF!</v>
      </c>
      <c r="I3" s="28" t="e">
        <f>+#REF!</f>
        <v>#REF!</v>
      </c>
      <c r="J3" s="27" t="e">
        <f>+#REF!</f>
        <v>#REF!</v>
      </c>
      <c r="K3" s="28" t="e">
        <f>+#REF!</f>
        <v>#REF!</v>
      </c>
      <c r="L3" s="27" t="e">
        <f>+#REF!</f>
        <v>#REF!</v>
      </c>
      <c r="M3" s="28" t="e">
        <f>+#REF!</f>
        <v>#REF!</v>
      </c>
    </row>
    <row r="4" spans="1:13" x14ac:dyDescent="0.45">
      <c r="A4" s="26" t="s">
        <v>0</v>
      </c>
      <c r="B4" s="27" t="e">
        <f>+#REF!</f>
        <v>#REF!</v>
      </c>
      <c r="C4" s="30" t="e">
        <f>+#REF!</f>
        <v>#REF!</v>
      </c>
      <c r="D4" s="27" t="e">
        <f>+#REF!</f>
        <v>#REF!</v>
      </c>
      <c r="E4" s="30" t="e">
        <f>+#REF!</f>
        <v>#REF!</v>
      </c>
      <c r="F4" s="27" t="e">
        <f>+#REF!</f>
        <v>#REF!</v>
      </c>
      <c r="G4" s="30" t="e">
        <f>+#REF!</f>
        <v>#REF!</v>
      </c>
      <c r="H4" s="27" t="e">
        <f>+#REF!</f>
        <v>#REF!</v>
      </c>
      <c r="I4" s="30" t="e">
        <f>+#REF!</f>
        <v>#REF!</v>
      </c>
      <c r="J4" s="27" t="e">
        <f>+#REF!</f>
        <v>#REF!</v>
      </c>
      <c r="K4" s="30" t="e">
        <f>+#REF!</f>
        <v>#REF!</v>
      </c>
      <c r="L4" s="27" t="e">
        <f>+#REF!</f>
        <v>#REF!</v>
      </c>
      <c r="M4" s="30" t="e">
        <f>+#REF!</f>
        <v>#REF!</v>
      </c>
    </row>
    <row r="5" spans="1:13" x14ac:dyDescent="0.45">
      <c r="A5" s="17" t="s">
        <v>1</v>
      </c>
      <c r="B5" s="18" t="e">
        <f t="shared" ref="B5:C5" si="0">+B4/B3/1000</f>
        <v>#REF!</v>
      </c>
      <c r="C5" s="19" t="e">
        <f t="shared" si="0"/>
        <v>#REF!</v>
      </c>
      <c r="D5" s="18" t="e">
        <f t="shared" ref="D5" si="1">+D4/D3/1000</f>
        <v>#REF!</v>
      </c>
      <c r="E5" s="19" t="s">
        <v>26</v>
      </c>
      <c r="F5" s="18" t="e">
        <f t="shared" ref="F5:G5" si="2">+F4/F3/1000</f>
        <v>#REF!</v>
      </c>
      <c r="G5" s="19" t="e">
        <f t="shared" si="2"/>
        <v>#REF!</v>
      </c>
      <c r="H5" s="18" t="e">
        <f t="shared" ref="H5:I5" si="3">+H4/H3/1000</f>
        <v>#REF!</v>
      </c>
      <c r="I5" s="19" t="e">
        <f t="shared" si="3"/>
        <v>#REF!</v>
      </c>
      <c r="J5" s="18" t="e">
        <f t="shared" ref="J5:K5" si="4">+J4/J3/1000</f>
        <v>#REF!</v>
      </c>
      <c r="K5" s="19" t="e">
        <f t="shared" si="4"/>
        <v>#REF!</v>
      </c>
      <c r="L5" s="18" t="e">
        <f t="shared" ref="L5:M5" si="5">+L4/L3/1000</f>
        <v>#REF!</v>
      </c>
      <c r="M5" s="19" t="e">
        <f t="shared" si="5"/>
        <v>#REF!</v>
      </c>
    </row>
    <row r="6" spans="1:13" x14ac:dyDescent="0.45">
      <c r="A6" s="32" t="s">
        <v>58</v>
      </c>
      <c r="B6" s="38" t="e">
        <f>+(#REF!+#REF!)/'8039_au kg '!B4</f>
        <v>#REF!</v>
      </c>
      <c r="C6" s="39" t="e">
        <f>+(#REF!+#REF!)/'8039_au kg '!C4</f>
        <v>#REF!</v>
      </c>
      <c r="D6" s="38" t="e">
        <f>+(#REF!+#REF!)/'8039_au kg '!D4</f>
        <v>#REF!</v>
      </c>
      <c r="E6" s="39" t="s">
        <v>26</v>
      </c>
      <c r="F6" s="38" t="e">
        <f>+(#REF!+#REF!)/'8039_au kg '!F4</f>
        <v>#REF!</v>
      </c>
      <c r="G6" s="39" t="e">
        <f>+(#REF!+#REF!)/'8039_au kg '!G4</f>
        <v>#REF!</v>
      </c>
      <c r="H6" s="38" t="e">
        <f>+(#REF!+#REF!)/'8039_au kg '!H4</f>
        <v>#REF!</v>
      </c>
      <c r="I6" s="39" t="e">
        <f>+(#REF!+#REF!)/'8039_au kg '!I4</f>
        <v>#REF!</v>
      </c>
      <c r="J6" s="38" t="e">
        <f>+(#REF!+#REF!)/'8039_au kg '!J4</f>
        <v>#REF!</v>
      </c>
      <c r="K6" s="39" t="e">
        <f>+(#REF!+#REF!)/'8039_au kg '!K4</f>
        <v>#REF!</v>
      </c>
      <c r="L6" s="38" t="e">
        <f>+(#REF!+#REF!)/'8039_au kg '!L4</f>
        <v>#REF!</v>
      </c>
      <c r="M6" s="39" t="e">
        <f>+(#REF!+#REF!)/'8039_au kg '!M4</f>
        <v>#REF!</v>
      </c>
    </row>
    <row r="7" spans="1:13" x14ac:dyDescent="0.45">
      <c r="A7" s="32" t="s">
        <v>59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3" x14ac:dyDescent="0.45">
      <c r="A8" s="26" t="s">
        <v>58</v>
      </c>
      <c r="B8" s="41" t="e">
        <f t="shared" ref="B8:C8" si="6">+B7+B6</f>
        <v>#REF!</v>
      </c>
      <c r="C8" s="42" t="e">
        <f t="shared" si="6"/>
        <v>#REF!</v>
      </c>
      <c r="D8" s="41" t="e">
        <f t="shared" ref="D8" si="7">+D7+D6</f>
        <v>#REF!</v>
      </c>
      <c r="E8" s="42" t="s">
        <v>26</v>
      </c>
      <c r="F8" s="41" t="e">
        <f t="shared" ref="F8:H8" si="8">+F7+F6</f>
        <v>#REF!</v>
      </c>
      <c r="G8" s="42" t="e">
        <f t="shared" si="8"/>
        <v>#REF!</v>
      </c>
      <c r="H8" s="41" t="e">
        <f t="shared" si="8"/>
        <v>#REF!</v>
      </c>
      <c r="I8" s="42" t="e">
        <f t="shared" ref="I8:J8" si="9">+I7+I6</f>
        <v>#REF!</v>
      </c>
      <c r="J8" s="41" t="e">
        <f t="shared" si="9"/>
        <v>#REF!</v>
      </c>
      <c r="K8" s="42" t="e">
        <f t="shared" ref="K8:L8" si="10">+K7+K6</f>
        <v>#REF!</v>
      </c>
      <c r="L8" s="41" t="e">
        <f t="shared" si="10"/>
        <v>#REF!</v>
      </c>
      <c r="M8" s="42" t="e">
        <f t="shared" ref="M8" si="11">+M7+M6</f>
        <v>#REF!</v>
      </c>
    </row>
    <row r="9" spans="1:13" x14ac:dyDescent="0.45">
      <c r="A9" s="32" t="s">
        <v>2</v>
      </c>
      <c r="B9" s="38" t="e">
        <f>+#REF!/'8039_au kg '!B4</f>
        <v>#REF!</v>
      </c>
      <c r="C9" s="39" t="e">
        <f>+#REF!/'8039_au kg '!C4</f>
        <v>#REF!</v>
      </c>
      <c r="D9" s="38" t="e">
        <f>+#REF!/'8039_au kg '!D4</f>
        <v>#REF!</v>
      </c>
      <c r="E9" s="39" t="s">
        <v>26</v>
      </c>
      <c r="F9" s="38" t="e">
        <f>+#REF!/'8039_au kg '!F4</f>
        <v>#REF!</v>
      </c>
      <c r="G9" s="39" t="e">
        <f>+#REF!/'8039_au kg '!G4</f>
        <v>#REF!</v>
      </c>
      <c r="H9" s="38" t="e">
        <f>+#REF!/'8039_au kg '!H4</f>
        <v>#REF!</v>
      </c>
      <c r="I9" s="39" t="e">
        <f>+#REF!/'8039_au kg '!I4</f>
        <v>#REF!</v>
      </c>
      <c r="J9" s="38" t="e">
        <f>+#REF!/'8039_au kg '!J4</f>
        <v>#REF!</v>
      </c>
      <c r="K9" s="39" t="e">
        <f>+#REF!/'8039_au kg '!K4</f>
        <v>#REF!</v>
      </c>
      <c r="L9" s="38" t="e">
        <f>+#REF!/'8039_au kg '!L4</f>
        <v>#REF!</v>
      </c>
      <c r="M9" s="39" t="e">
        <f>+#REF!/'8039_au kg '!M4</f>
        <v>#REF!</v>
      </c>
    </row>
    <row r="10" spans="1:13" x14ac:dyDescent="0.45">
      <c r="A10" s="32" t="s">
        <v>3</v>
      </c>
      <c r="B10" s="38" t="e">
        <f>+#REF!/'8039_au kg '!B4</f>
        <v>#REF!</v>
      </c>
      <c r="C10" s="39" t="e">
        <f>+#REF!/'8039_au kg '!C4</f>
        <v>#REF!</v>
      </c>
      <c r="D10" s="38" t="e">
        <f>+#REF!/'8039_au kg '!D4</f>
        <v>#REF!</v>
      </c>
      <c r="E10" s="39" t="s">
        <v>26</v>
      </c>
      <c r="F10" s="38" t="e">
        <f>+#REF!/'8039_au kg '!F4</f>
        <v>#REF!</v>
      </c>
      <c r="G10" s="39" t="e">
        <f>+#REF!/'8039_au kg '!G4</f>
        <v>#REF!</v>
      </c>
      <c r="H10" s="38" t="e">
        <f>+#REF!/'8039_au kg '!H4</f>
        <v>#REF!</v>
      </c>
      <c r="I10" s="39" t="e">
        <f>+#REF!/'8039_au kg '!I4</f>
        <v>#REF!</v>
      </c>
      <c r="J10" s="38" t="e">
        <f>+#REF!/'8039_au kg '!J4</f>
        <v>#REF!</v>
      </c>
      <c r="K10" s="39" t="e">
        <f>+#REF!/'8039_au kg '!K4</f>
        <v>#REF!</v>
      </c>
      <c r="L10" s="38" t="e">
        <f>+#REF!/'8039_au kg '!L4</f>
        <v>#REF!</v>
      </c>
      <c r="M10" s="39" t="e">
        <f>+#REF!/'8039_au kg '!M4</f>
        <v>#REF!</v>
      </c>
    </row>
    <row r="11" spans="1:13" x14ac:dyDescent="0.45">
      <c r="A11" s="32" t="s">
        <v>4</v>
      </c>
      <c r="B11" s="38" t="e">
        <f>+#REF!/'8039_au kg '!B4</f>
        <v>#REF!</v>
      </c>
      <c r="C11" s="39" t="e">
        <f>+#REF!/'8039_au kg '!C4</f>
        <v>#REF!</v>
      </c>
      <c r="D11" s="38" t="e">
        <f>+#REF!/'8039_au kg '!D4</f>
        <v>#REF!</v>
      </c>
      <c r="E11" s="39" t="s">
        <v>26</v>
      </c>
      <c r="F11" s="38" t="e">
        <f>+#REF!/'8039_au kg '!F4</f>
        <v>#REF!</v>
      </c>
      <c r="G11" s="39" t="e">
        <f>+#REF!/'8039_au kg '!G4</f>
        <v>#REF!</v>
      </c>
      <c r="H11" s="38" t="e">
        <f>+#REF!/'8039_au kg '!H4</f>
        <v>#REF!</v>
      </c>
      <c r="I11" s="39" t="e">
        <f>+#REF!/'8039_au kg '!I4</f>
        <v>#REF!</v>
      </c>
      <c r="J11" s="38" t="e">
        <f>+#REF!/'8039_au kg '!J4</f>
        <v>#REF!</v>
      </c>
      <c r="K11" s="39" t="e">
        <f>+#REF!/'8039_au kg '!K4</f>
        <v>#REF!</v>
      </c>
      <c r="L11" s="38" t="e">
        <f>+#REF!/'8039_au kg '!L4</f>
        <v>#REF!</v>
      </c>
      <c r="M11" s="39" t="e">
        <f>+#REF!/'8039_au kg '!M4</f>
        <v>#REF!</v>
      </c>
    </row>
    <row r="12" spans="1:13" x14ac:dyDescent="0.45">
      <c r="A12" s="32" t="s">
        <v>5</v>
      </c>
      <c r="B12" s="38" t="e">
        <f>+#REF!/'8039_au kg '!B4</f>
        <v>#REF!</v>
      </c>
      <c r="C12" s="39" t="e">
        <f>+#REF!/'8039_au kg '!C4</f>
        <v>#REF!</v>
      </c>
      <c r="D12" s="38" t="e">
        <f>+#REF!/'8039_au kg '!D4</f>
        <v>#REF!</v>
      </c>
      <c r="E12" s="39" t="s">
        <v>26</v>
      </c>
      <c r="F12" s="38" t="e">
        <f>+#REF!/'8039_au kg '!F4</f>
        <v>#REF!</v>
      </c>
      <c r="G12" s="39" t="e">
        <f>+#REF!/'8039_au kg '!G4</f>
        <v>#REF!</v>
      </c>
      <c r="H12" s="38" t="e">
        <f>+#REF!/'8039_au kg '!H4</f>
        <v>#REF!</v>
      </c>
      <c r="I12" s="39" t="e">
        <f>+#REF!/'8039_au kg '!I4</f>
        <v>#REF!</v>
      </c>
      <c r="J12" s="38" t="e">
        <f>+#REF!/'8039_au kg '!J4</f>
        <v>#REF!</v>
      </c>
      <c r="K12" s="39" t="e">
        <f>+#REF!/'8039_au kg '!K4</f>
        <v>#REF!</v>
      </c>
      <c r="L12" s="38" t="e">
        <f>+#REF!/'8039_au kg '!L4</f>
        <v>#REF!</v>
      </c>
      <c r="M12" s="39" t="e">
        <f>+#REF!/'8039_au kg '!M4</f>
        <v>#REF!</v>
      </c>
    </row>
    <row r="13" spans="1:13" x14ac:dyDescent="0.45">
      <c r="A13" s="32" t="s">
        <v>6</v>
      </c>
      <c r="B13" s="38" t="e">
        <f>+#REF!/'8039_au kg '!B4</f>
        <v>#REF!</v>
      </c>
      <c r="C13" s="39" t="e">
        <f>+#REF!/'8039_au kg '!C4</f>
        <v>#REF!</v>
      </c>
      <c r="D13" s="38" t="e">
        <f>+#REF!/'8039_au kg '!D4</f>
        <v>#REF!</v>
      </c>
      <c r="E13" s="39" t="s">
        <v>26</v>
      </c>
      <c r="F13" s="38" t="e">
        <f>+#REF!/'8039_au kg '!F4</f>
        <v>#REF!</v>
      </c>
      <c r="G13" s="39" t="e">
        <f>+#REF!/'8039_au kg '!G4</f>
        <v>#REF!</v>
      </c>
      <c r="H13" s="38" t="e">
        <f>+#REF!/'8039_au kg '!H4</f>
        <v>#REF!</v>
      </c>
      <c r="I13" s="39" t="e">
        <f>+#REF!/'8039_au kg '!I4</f>
        <v>#REF!</v>
      </c>
      <c r="J13" s="38" t="e">
        <f>+#REF!/'8039_au kg '!J4</f>
        <v>#REF!</v>
      </c>
      <c r="K13" s="39" t="e">
        <f>+#REF!/'8039_au kg '!K4</f>
        <v>#REF!</v>
      </c>
      <c r="L13" s="38" t="e">
        <f>+#REF!/'8039_au kg '!L4</f>
        <v>#REF!</v>
      </c>
      <c r="M13" s="39" t="e">
        <f>+#REF!/'8039_au kg '!M4</f>
        <v>#REF!</v>
      </c>
    </row>
    <row r="14" spans="1:13" x14ac:dyDescent="0.45">
      <c r="A14" s="32" t="s">
        <v>7</v>
      </c>
      <c r="B14" s="38" t="e">
        <f>+#REF!/'8039_au kg '!B4</f>
        <v>#REF!</v>
      </c>
      <c r="C14" s="39" t="e">
        <f>+#REF!/'8039_au kg '!C4</f>
        <v>#REF!</v>
      </c>
      <c r="D14" s="38" t="e">
        <f>+#REF!/'8039_au kg '!D4</f>
        <v>#REF!</v>
      </c>
      <c r="E14" s="39" t="s">
        <v>26</v>
      </c>
      <c r="F14" s="38" t="e">
        <f>+#REF!/'8039_au kg '!F4</f>
        <v>#REF!</v>
      </c>
      <c r="G14" s="39" t="e">
        <f>+#REF!/'8039_au kg '!G4</f>
        <v>#REF!</v>
      </c>
      <c r="H14" s="38" t="e">
        <f>+#REF!/'8039_au kg '!H4</f>
        <v>#REF!</v>
      </c>
      <c r="I14" s="39" t="e">
        <f>+#REF!/'8039_au kg '!I4</f>
        <v>#REF!</v>
      </c>
      <c r="J14" s="38" t="e">
        <f>+#REF!/'8039_au kg '!J4</f>
        <v>#REF!</v>
      </c>
      <c r="K14" s="39" t="e">
        <f>+#REF!/'8039_au kg '!K4</f>
        <v>#REF!</v>
      </c>
      <c r="L14" s="38" t="e">
        <f>+#REF!/'8039_au kg '!L4</f>
        <v>#REF!</v>
      </c>
      <c r="M14" s="39" t="e">
        <f>+#REF!/'8039_au kg '!M4</f>
        <v>#REF!</v>
      </c>
    </row>
    <row r="15" spans="1:13" x14ac:dyDescent="0.45">
      <c r="A15" s="26" t="s">
        <v>60</v>
      </c>
      <c r="B15" s="41" t="e">
        <f>(+#REF!-#REF!)/'8039_au kg '!B4</f>
        <v>#REF!</v>
      </c>
      <c r="C15" s="42" t="e">
        <f>(+#REF!-#REF!)/'8039_au kg '!C4</f>
        <v>#REF!</v>
      </c>
      <c r="D15" s="41" t="e">
        <f>(+#REF!-#REF!)/'8039_au kg '!D4</f>
        <v>#REF!</v>
      </c>
      <c r="E15" s="42" t="s">
        <v>26</v>
      </c>
      <c r="F15" s="41" t="e">
        <f>(+#REF!-#REF!)/'8039_au kg '!F4</f>
        <v>#REF!</v>
      </c>
      <c r="G15" s="42" t="e">
        <f>(+#REF!-#REF!)/'8039_au kg '!G4</f>
        <v>#REF!</v>
      </c>
      <c r="H15" s="41" t="e">
        <f>(+#REF!-#REF!)/'8039_au kg '!H4</f>
        <v>#REF!</v>
      </c>
      <c r="I15" s="42" t="e">
        <f>(+#REF!-#REF!)/'8039_au kg '!I4</f>
        <v>#REF!</v>
      </c>
      <c r="J15" s="41" t="e">
        <f>(+#REF!-#REF!)/'8039_au kg '!J4</f>
        <v>#REF!</v>
      </c>
      <c r="K15" s="42" t="e">
        <f>(+#REF!-#REF!)/'8039_au kg '!K4</f>
        <v>#REF!</v>
      </c>
      <c r="L15" s="41" t="e">
        <f>(+#REF!-#REF!)/'8039_au kg '!L4</f>
        <v>#REF!</v>
      </c>
      <c r="M15" s="42" t="e">
        <f>(+#REF!-#REF!)/'8039_au kg '!M4</f>
        <v>#REF!</v>
      </c>
    </row>
    <row r="16" spans="1:13" x14ac:dyDescent="0.45">
      <c r="A16" s="32" t="s">
        <v>63</v>
      </c>
      <c r="B16" s="38" t="e">
        <f>+#REF!/'8039_au kg '!B4</f>
        <v>#REF!</v>
      </c>
      <c r="C16" s="39" t="e">
        <f>+#REF!/'8039_au kg '!C4</f>
        <v>#REF!</v>
      </c>
      <c r="D16" s="38" t="e">
        <f>+#REF!/'8039_au kg '!D4</f>
        <v>#REF!</v>
      </c>
      <c r="E16" s="39" t="s">
        <v>26</v>
      </c>
      <c r="F16" s="38" t="e">
        <f>+#REF!/'8039_au kg '!F4</f>
        <v>#REF!</v>
      </c>
      <c r="G16" s="39" t="e">
        <f>+#REF!/'8039_au kg '!G4</f>
        <v>#REF!</v>
      </c>
      <c r="H16" s="38" t="e">
        <f>+#REF!/'8039_au kg '!H4</f>
        <v>#REF!</v>
      </c>
      <c r="I16" s="39" t="e">
        <f>+#REF!/'8039_au kg '!I4</f>
        <v>#REF!</v>
      </c>
      <c r="J16" s="38" t="e">
        <f>+#REF!/'8039_au kg '!J4</f>
        <v>#REF!</v>
      </c>
      <c r="K16" s="39" t="e">
        <f>+#REF!/'8039_au kg '!K4</f>
        <v>#REF!</v>
      </c>
      <c r="L16" s="38" t="e">
        <f>+#REF!/'8039_au kg '!L4</f>
        <v>#REF!</v>
      </c>
      <c r="M16" s="39" t="e">
        <f>+#REF!/'8039_au kg '!M4</f>
        <v>#REF!</v>
      </c>
    </row>
    <row r="17" spans="1:13" x14ac:dyDescent="0.45">
      <c r="A17" s="32" t="s">
        <v>64</v>
      </c>
      <c r="B17" s="38" t="e">
        <f>+#REF!/'8039_au kg '!B4</f>
        <v>#REF!</v>
      </c>
      <c r="C17" s="39" t="e">
        <f>+#REF!/'8039_au kg '!C4</f>
        <v>#REF!</v>
      </c>
      <c r="D17" s="38" t="e">
        <f>+#REF!/'8039_au kg '!D4</f>
        <v>#REF!</v>
      </c>
      <c r="E17" s="39" t="s">
        <v>26</v>
      </c>
      <c r="F17" s="38" t="e">
        <f>+#REF!/'8039_au kg '!F4</f>
        <v>#REF!</v>
      </c>
      <c r="G17" s="39" t="e">
        <f>+#REF!/'8039_au kg '!G4</f>
        <v>#REF!</v>
      </c>
      <c r="H17" s="38" t="e">
        <f>+#REF!/'8039_au kg '!H4</f>
        <v>#REF!</v>
      </c>
      <c r="I17" s="39" t="e">
        <f>+#REF!/'8039_au kg '!I4</f>
        <v>#REF!</v>
      </c>
      <c r="J17" s="38" t="e">
        <f>+#REF!/'8039_au kg '!J4</f>
        <v>#REF!</v>
      </c>
      <c r="K17" s="39" t="e">
        <f>+#REF!/'8039_au kg '!K4</f>
        <v>#REF!</v>
      </c>
      <c r="L17" s="38" t="e">
        <f>+#REF!/'8039_au kg '!L4</f>
        <v>#REF!</v>
      </c>
      <c r="M17" s="39" t="e">
        <f>+#REF!/'8039_au kg '!M4</f>
        <v>#REF!</v>
      </c>
    </row>
    <row r="18" spans="1:13" x14ac:dyDescent="0.45">
      <c r="A18" s="26" t="s">
        <v>65</v>
      </c>
      <c r="B18" s="41" t="e">
        <f>+#REF!/'8039_au kg '!B4</f>
        <v>#REF!</v>
      </c>
      <c r="C18" s="42" t="e">
        <f>+#REF!/'8039_au kg '!C4</f>
        <v>#REF!</v>
      </c>
      <c r="D18" s="41" t="e">
        <f>+#REF!/'8039_au kg '!D4</f>
        <v>#REF!</v>
      </c>
      <c r="E18" s="42" t="s">
        <v>26</v>
      </c>
      <c r="F18" s="41" t="e">
        <f>+#REF!/'8039_au kg '!F4</f>
        <v>#REF!</v>
      </c>
      <c r="G18" s="42" t="e">
        <f>+#REF!/'8039_au kg '!G4</f>
        <v>#REF!</v>
      </c>
      <c r="H18" s="41" t="e">
        <f>+#REF!/'8039_au kg '!H4</f>
        <v>#REF!</v>
      </c>
      <c r="I18" s="42" t="e">
        <f>+#REF!/'8039_au kg '!I4</f>
        <v>#REF!</v>
      </c>
      <c r="J18" s="41" t="e">
        <f>+#REF!/'8039_au kg '!J4</f>
        <v>#REF!</v>
      </c>
      <c r="K18" s="42" t="e">
        <f>+#REF!/'8039_au kg '!K4</f>
        <v>#REF!</v>
      </c>
      <c r="L18" s="41" t="e">
        <f>+#REF!/'8039_au kg '!L4</f>
        <v>#REF!</v>
      </c>
      <c r="M18" s="42" t="e">
        <f>+#REF!/'8039_au kg '!M4</f>
        <v>#REF!</v>
      </c>
    </row>
    <row r="19" spans="1:13" x14ac:dyDescent="0.45">
      <c r="A19" s="32" t="s">
        <v>66</v>
      </c>
      <c r="B19" s="38" t="e">
        <f>+#REF!/'8039_au kg '!B4</f>
        <v>#REF!</v>
      </c>
      <c r="C19" s="39" t="e">
        <f>+#REF!/'8039_au kg '!C4</f>
        <v>#REF!</v>
      </c>
      <c r="D19" s="38" t="e">
        <f>+#REF!/'8039_au kg '!D4</f>
        <v>#REF!</v>
      </c>
      <c r="E19" s="39" t="s">
        <v>26</v>
      </c>
      <c r="F19" s="38" t="e">
        <f>+#REF!/'8039_au kg '!F4</f>
        <v>#REF!</v>
      </c>
      <c r="G19" s="39" t="e">
        <f>+#REF!/'8039_au kg '!G4</f>
        <v>#REF!</v>
      </c>
      <c r="H19" s="38" t="e">
        <f>+#REF!/'8039_au kg '!H4</f>
        <v>#REF!</v>
      </c>
      <c r="I19" s="39" t="e">
        <f>+#REF!/'8039_au kg '!I4</f>
        <v>#REF!</v>
      </c>
      <c r="J19" s="38" t="e">
        <f>+#REF!/'8039_au kg '!J4</f>
        <v>#REF!</v>
      </c>
      <c r="K19" s="39" t="e">
        <f>+#REF!/'8039_au kg '!K4</f>
        <v>#REF!</v>
      </c>
      <c r="L19" s="38" t="e">
        <f>+#REF!/'8039_au kg '!L4</f>
        <v>#REF!</v>
      </c>
      <c r="M19" s="39" t="e">
        <f>+#REF!/'8039_au kg '!M4</f>
        <v>#REF!</v>
      </c>
    </row>
    <row r="20" spans="1:13" x14ac:dyDescent="0.45">
      <c r="A20" s="32" t="s">
        <v>69</v>
      </c>
      <c r="B20" s="38" t="e">
        <f>+#REF!/'8039_au kg '!B4</f>
        <v>#REF!</v>
      </c>
      <c r="C20" s="39" t="e">
        <f>+#REF!/'8039_au kg '!C4</f>
        <v>#REF!</v>
      </c>
      <c r="D20" s="38" t="e">
        <f>+#REF!/'8039_au kg '!D4</f>
        <v>#REF!</v>
      </c>
      <c r="E20" s="39" t="s">
        <v>26</v>
      </c>
      <c r="F20" s="38" t="e">
        <f>+#REF!/'8039_au kg '!F4</f>
        <v>#REF!</v>
      </c>
      <c r="G20" s="39" t="e">
        <f>+#REF!/'8039_au kg '!G4</f>
        <v>#REF!</v>
      </c>
      <c r="H20" s="38" t="e">
        <f>+#REF!/'8039_au kg '!H4</f>
        <v>#REF!</v>
      </c>
      <c r="I20" s="39" t="e">
        <f>+#REF!/'8039_au kg '!I4</f>
        <v>#REF!</v>
      </c>
      <c r="J20" s="38" t="e">
        <f>+#REF!/'8039_au kg '!J4</f>
        <v>#REF!</v>
      </c>
      <c r="K20" s="39" t="e">
        <f>+#REF!/'8039_au kg '!K4</f>
        <v>#REF!</v>
      </c>
      <c r="L20" s="38" t="e">
        <f>+#REF!/'8039_au kg '!L4</f>
        <v>#REF!</v>
      </c>
      <c r="M20" s="39" t="e">
        <f>+#REF!/'8039_au kg '!M4</f>
        <v>#REF!</v>
      </c>
    </row>
    <row r="21" spans="1:13" x14ac:dyDescent="0.45">
      <c r="A21" s="32" t="s">
        <v>67</v>
      </c>
      <c r="B21" s="38" t="e">
        <f>+#REF!/'8039_au kg '!B4</f>
        <v>#REF!</v>
      </c>
      <c r="C21" s="39" t="e">
        <f>+#REF!/'8039_au kg '!C4</f>
        <v>#REF!</v>
      </c>
      <c r="D21" s="38" t="e">
        <f>+#REF!/'8039_au kg '!D4</f>
        <v>#REF!</v>
      </c>
      <c r="E21" s="39" t="s">
        <v>26</v>
      </c>
      <c r="F21" s="38" t="e">
        <f>+#REF!/'8039_au kg '!F4</f>
        <v>#REF!</v>
      </c>
      <c r="G21" s="39" t="e">
        <f>+#REF!/'8039_au kg '!G4</f>
        <v>#REF!</v>
      </c>
      <c r="H21" s="38" t="e">
        <f>+#REF!/'8039_au kg '!H4</f>
        <v>#REF!</v>
      </c>
      <c r="I21" s="39" t="e">
        <f>+#REF!/'8039_au kg '!I4</f>
        <v>#REF!</v>
      </c>
      <c r="J21" s="38" t="e">
        <f>+#REF!/'8039_au kg '!J4</f>
        <v>#REF!</v>
      </c>
      <c r="K21" s="39" t="e">
        <f>+#REF!/'8039_au kg '!K4</f>
        <v>#REF!</v>
      </c>
      <c r="L21" s="38" t="e">
        <f>+#REF!/'8039_au kg '!L4</f>
        <v>#REF!</v>
      </c>
      <c r="M21" s="39" t="e">
        <f>+#REF!/'8039_au kg '!M4</f>
        <v>#REF!</v>
      </c>
    </row>
    <row r="22" spans="1:13" x14ac:dyDescent="0.45">
      <c r="A22" s="32" t="s">
        <v>68</v>
      </c>
      <c r="B22" s="38" t="e">
        <f>+#REF!/'8039_au kg '!B4</f>
        <v>#REF!</v>
      </c>
      <c r="C22" s="39" t="e">
        <f>+#REF!/'8039_au kg '!C4</f>
        <v>#REF!</v>
      </c>
      <c r="D22" s="38" t="e">
        <f>+#REF!/'8039_au kg '!D4</f>
        <v>#REF!</v>
      </c>
      <c r="E22" s="39" t="s">
        <v>26</v>
      </c>
      <c r="F22" s="38" t="e">
        <f>+#REF!/'8039_au kg '!F4</f>
        <v>#REF!</v>
      </c>
      <c r="G22" s="39" t="e">
        <f>+#REF!/'8039_au kg '!G4</f>
        <v>#REF!</v>
      </c>
      <c r="H22" s="38" t="e">
        <f>+#REF!/'8039_au kg '!H4</f>
        <v>#REF!</v>
      </c>
      <c r="I22" s="39" t="e">
        <f>+#REF!/'8039_au kg '!I4</f>
        <v>#REF!</v>
      </c>
      <c r="J22" s="38" t="e">
        <f>+#REF!/'8039_au kg '!J4</f>
        <v>#REF!</v>
      </c>
      <c r="K22" s="39" t="e">
        <f>+#REF!/'8039_au kg '!K4</f>
        <v>#REF!</v>
      </c>
      <c r="L22" s="38" t="e">
        <f>+#REF!/'8039_au kg '!L4</f>
        <v>#REF!</v>
      </c>
      <c r="M22" s="39" t="e">
        <f>+#REF!/'8039_au kg '!M4</f>
        <v>#REF!</v>
      </c>
    </row>
    <row r="23" spans="1:13" x14ac:dyDescent="0.45">
      <c r="A23" s="32" t="s">
        <v>70</v>
      </c>
      <c r="B23" s="38" t="e">
        <f>+#REF!/'8039_au kg '!B4</f>
        <v>#REF!</v>
      </c>
      <c r="C23" s="39" t="e">
        <f>+#REF!/'8039_au kg '!C4</f>
        <v>#REF!</v>
      </c>
      <c r="D23" s="38" t="e">
        <f>+#REF!/'8039_au kg '!D4</f>
        <v>#REF!</v>
      </c>
      <c r="E23" s="39" t="s">
        <v>26</v>
      </c>
      <c r="F23" s="38" t="e">
        <f>+#REF!/'8039_au kg '!F4</f>
        <v>#REF!</v>
      </c>
      <c r="G23" s="39" t="e">
        <f>+#REF!/'8039_au kg '!G4</f>
        <v>#REF!</v>
      </c>
      <c r="H23" s="38" t="e">
        <f>+#REF!/'8039_au kg '!H4</f>
        <v>#REF!</v>
      </c>
      <c r="I23" s="39" t="e">
        <f>+#REF!/'8039_au kg '!I4</f>
        <v>#REF!</v>
      </c>
      <c r="J23" s="38" t="e">
        <f>+#REF!/'8039_au kg '!J4</f>
        <v>#REF!</v>
      </c>
      <c r="K23" s="39" t="e">
        <f>+#REF!/'8039_au kg '!K4</f>
        <v>#REF!</v>
      </c>
      <c r="L23" s="38" t="e">
        <f>+#REF!/'8039_au kg '!L4</f>
        <v>#REF!</v>
      </c>
      <c r="M23" s="39" t="e">
        <f>+#REF!/'8039_au kg '!M4</f>
        <v>#REF!</v>
      </c>
    </row>
    <row r="24" spans="1:13" x14ac:dyDescent="0.45">
      <c r="A24" s="32" t="s">
        <v>71</v>
      </c>
      <c r="B24" s="38" t="e">
        <f>+#REF!/'8039_au kg '!B4</f>
        <v>#REF!</v>
      </c>
      <c r="C24" s="39" t="e">
        <f>+#REF!/'8039_au kg '!C4</f>
        <v>#REF!</v>
      </c>
      <c r="D24" s="38" t="e">
        <f>+#REF!/'8039_au kg '!D4</f>
        <v>#REF!</v>
      </c>
      <c r="E24" s="39" t="s">
        <v>26</v>
      </c>
      <c r="F24" s="38" t="e">
        <f>+#REF!/'8039_au kg '!F4</f>
        <v>#REF!</v>
      </c>
      <c r="G24" s="39" t="e">
        <f>+#REF!/'8039_au kg '!G4</f>
        <v>#REF!</v>
      </c>
      <c r="H24" s="38" t="e">
        <f>+#REF!/'8039_au kg '!H4</f>
        <v>#REF!</v>
      </c>
      <c r="I24" s="39" t="e">
        <f>+#REF!/'8039_au kg '!I4</f>
        <v>#REF!</v>
      </c>
      <c r="J24" s="38" t="e">
        <f>+#REF!/'8039_au kg '!J4</f>
        <v>#REF!</v>
      </c>
      <c r="K24" s="39" t="e">
        <f>+#REF!/'8039_au kg '!K4</f>
        <v>#REF!</v>
      </c>
      <c r="L24" s="38" t="e">
        <f>+#REF!/'8039_au kg '!L4</f>
        <v>#REF!</v>
      </c>
      <c r="M24" s="39" t="e">
        <f>+#REF!/'8039_au kg '!M4</f>
        <v>#REF!</v>
      </c>
    </row>
    <row r="25" spans="1:13" x14ac:dyDescent="0.45">
      <c r="A25" s="26" t="s">
        <v>61</v>
      </c>
      <c r="B25" s="41" t="e">
        <f>+#REF!/'8039_au kg '!B4</f>
        <v>#REF!</v>
      </c>
      <c r="C25" s="42" t="e">
        <f>+#REF!/'8039_au kg '!C4</f>
        <v>#REF!</v>
      </c>
      <c r="D25" s="41" t="e">
        <f>+#REF!/'8039_au kg '!D4</f>
        <v>#REF!</v>
      </c>
      <c r="E25" s="42" t="s">
        <v>26</v>
      </c>
      <c r="F25" s="41" t="e">
        <f>+#REF!/'8039_au kg '!F4</f>
        <v>#REF!</v>
      </c>
      <c r="G25" s="42" t="e">
        <f>+#REF!/'8039_au kg '!G4</f>
        <v>#REF!</v>
      </c>
      <c r="H25" s="41" t="e">
        <f>+#REF!/'8039_au kg '!H4</f>
        <v>#REF!</v>
      </c>
      <c r="I25" s="42" t="e">
        <f>+#REF!/'8039_au kg '!I4</f>
        <v>#REF!</v>
      </c>
      <c r="J25" s="41" t="e">
        <f>+#REF!/'8039_au kg '!J4</f>
        <v>#REF!</v>
      </c>
      <c r="K25" s="42" t="e">
        <f>+#REF!/'8039_au kg '!K4</f>
        <v>#REF!</v>
      </c>
      <c r="L25" s="41" t="e">
        <f>+#REF!/'8039_au kg '!L4</f>
        <v>#REF!</v>
      </c>
      <c r="M25" s="42" t="e">
        <f>+#REF!/'8039_au kg '!M4</f>
        <v>#REF!</v>
      </c>
    </row>
    <row r="26" spans="1:13" x14ac:dyDescent="0.45">
      <c r="A26" s="26" t="s">
        <v>62</v>
      </c>
      <c r="B26" s="41" t="e">
        <f>+#REF!/'8039_au kg '!B4</f>
        <v>#REF!</v>
      </c>
      <c r="C26" s="42" t="e">
        <f>+#REF!/'8039_au kg '!C4</f>
        <v>#REF!</v>
      </c>
      <c r="D26" s="41" t="e">
        <f>+#REF!/'8039_au kg '!D4</f>
        <v>#REF!</v>
      </c>
      <c r="E26" s="42" t="s">
        <v>26</v>
      </c>
      <c r="F26" s="41" t="e">
        <f>+#REF!/'8039_au kg '!F4</f>
        <v>#REF!</v>
      </c>
      <c r="G26" s="42" t="e">
        <f>+#REF!/'8039_au kg '!G4</f>
        <v>#REF!</v>
      </c>
      <c r="H26" s="41" t="e">
        <f>+#REF!/'8039_au kg '!H4</f>
        <v>#REF!</v>
      </c>
      <c r="I26" s="42" t="e">
        <f>+#REF!/'8039_au kg '!I4</f>
        <v>#REF!</v>
      </c>
      <c r="J26" s="41" t="e">
        <f>+#REF!/'8039_au kg '!J4</f>
        <v>#REF!</v>
      </c>
      <c r="K26" s="42" t="e">
        <f>+#REF!/'8039_au kg '!K4</f>
        <v>#REF!</v>
      </c>
      <c r="L26" s="41" t="e">
        <f>+#REF!/'8039_au kg '!L4</f>
        <v>#REF!</v>
      </c>
      <c r="M26" s="42" t="e">
        <f>+#REF!/'8039_au kg '!M4</f>
        <v>#REF!</v>
      </c>
    </row>
    <row r="27" spans="1:13" x14ac:dyDescent="0.45">
      <c r="A27" s="32" t="s">
        <v>72</v>
      </c>
      <c r="B27" s="38" t="e">
        <f>+#REF!/'8039_au kg '!B4</f>
        <v>#REF!</v>
      </c>
      <c r="C27" s="39" t="e">
        <f>+#REF!/'8039_au kg '!C4</f>
        <v>#REF!</v>
      </c>
      <c r="D27" s="38" t="e">
        <f>+#REF!/'8039_au kg '!D4</f>
        <v>#REF!</v>
      </c>
      <c r="E27" s="39" t="s">
        <v>26</v>
      </c>
      <c r="F27" s="38" t="e">
        <f>+#REF!/'8039_au kg '!F4</f>
        <v>#REF!</v>
      </c>
      <c r="G27" s="39" t="e">
        <f>+#REF!/'8039_au kg '!G4</f>
        <v>#REF!</v>
      </c>
      <c r="H27" s="38" t="e">
        <f>+#REF!/'8039_au kg '!H4</f>
        <v>#REF!</v>
      </c>
      <c r="I27" s="39" t="e">
        <f>+#REF!/'8039_au kg '!I4</f>
        <v>#REF!</v>
      </c>
      <c r="J27" s="38" t="e">
        <f>+#REF!/'8039_au kg '!J4</f>
        <v>#REF!</v>
      </c>
      <c r="K27" s="39" t="e">
        <f>+#REF!/'8039_au kg '!K4</f>
        <v>#REF!</v>
      </c>
      <c r="L27" s="38" t="e">
        <f>+#REF!/'8039_au kg '!L4</f>
        <v>#REF!</v>
      </c>
      <c r="M27" s="39" t="e">
        <f>+#REF!/'8039_au kg '!M4</f>
        <v>#REF!</v>
      </c>
    </row>
    <row r="28" spans="1:13" x14ac:dyDescent="0.45">
      <c r="A28" s="26" t="s">
        <v>74</v>
      </c>
      <c r="B28" s="41" t="e">
        <f>+#REF!/'8039_au kg '!B4</f>
        <v>#REF!</v>
      </c>
      <c r="C28" s="42" t="e">
        <f>+#REF!/'8039_au kg '!C4</f>
        <v>#REF!</v>
      </c>
      <c r="D28" s="41" t="e">
        <f>+#REF!/'8039_au kg '!D4</f>
        <v>#REF!</v>
      </c>
      <c r="E28" s="42" t="s">
        <v>26</v>
      </c>
      <c r="F28" s="41" t="e">
        <f>+#REF!/'8039_au kg '!F4</f>
        <v>#REF!</v>
      </c>
      <c r="G28" s="42" t="e">
        <f>+#REF!/'8039_au kg '!G4</f>
        <v>#REF!</v>
      </c>
      <c r="H28" s="41" t="e">
        <f>+#REF!/'8039_au kg '!H4</f>
        <v>#REF!</v>
      </c>
      <c r="I28" s="42" t="e">
        <f>+#REF!/'8039_au kg '!I4</f>
        <v>#REF!</v>
      </c>
      <c r="J28" s="41" t="e">
        <f>+#REF!/'8039_au kg '!J4</f>
        <v>#REF!</v>
      </c>
      <c r="K28" s="42" t="e">
        <f>+#REF!/'8039_au kg '!K4</f>
        <v>#REF!</v>
      </c>
      <c r="L28" s="41" t="e">
        <f>+#REF!/'8039_au kg '!L4</f>
        <v>#REF!</v>
      </c>
      <c r="M28" s="42" t="e">
        <f>+#REF!/'8039_au kg '!M4</f>
        <v>#REF!</v>
      </c>
    </row>
    <row r="29" spans="1:13" x14ac:dyDescent="0.45">
      <c r="B29" s="35"/>
      <c r="C29" s="36"/>
      <c r="D29" s="35"/>
      <c r="E29" s="36"/>
      <c r="F29" s="35"/>
      <c r="G29" s="36"/>
      <c r="H29" s="35"/>
      <c r="I29" s="36"/>
      <c r="J29" s="35"/>
      <c r="K29" s="36"/>
      <c r="L29" s="35"/>
      <c r="M29" s="36"/>
    </row>
    <row r="30" spans="1:13" x14ac:dyDescent="0.45">
      <c r="A30" s="4"/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idden="1" x14ac:dyDescent="0.45">
      <c r="A31" s="17" t="s">
        <v>21</v>
      </c>
      <c r="B31" s="18" t="e">
        <f t="shared" ref="B31:C31" si="12">+B27+B25</f>
        <v>#REF!</v>
      </c>
      <c r="C31" s="19" t="e">
        <f t="shared" si="12"/>
        <v>#REF!</v>
      </c>
      <c r="D31" s="18" t="e">
        <f t="shared" ref="D31" si="13">+D27+D25</f>
        <v>#REF!</v>
      </c>
      <c r="E31" s="19" t="s">
        <v>26</v>
      </c>
      <c r="F31" s="18" t="e">
        <f t="shared" ref="F31:G31" si="14">+F27+F25</f>
        <v>#REF!</v>
      </c>
      <c r="G31" s="19" t="e">
        <f t="shared" si="14"/>
        <v>#REF!</v>
      </c>
      <c r="H31" s="18" t="e">
        <f t="shared" ref="H31:I31" si="15">+H27+H25</f>
        <v>#REF!</v>
      </c>
      <c r="I31" s="19" t="e">
        <f t="shared" si="15"/>
        <v>#REF!</v>
      </c>
      <c r="J31" s="18" t="e">
        <f t="shared" ref="J31:K31" si="16">+J27+J25</f>
        <v>#REF!</v>
      </c>
      <c r="K31" s="19" t="e">
        <f t="shared" si="16"/>
        <v>#REF!</v>
      </c>
      <c r="L31" s="18" t="e">
        <f t="shared" ref="L31:M31" si="17">+L27+L25</f>
        <v>#REF!</v>
      </c>
      <c r="M31" s="19" t="e">
        <f t="shared" si="17"/>
        <v>#REF!</v>
      </c>
    </row>
    <row r="32" spans="1:13" hidden="1" x14ac:dyDescent="0.45">
      <c r="A32" s="17" t="s">
        <v>22</v>
      </c>
      <c r="B32" s="18" t="e">
        <f t="shared" ref="B32:C32" si="18">+B24+B23+B21+B20+B19</f>
        <v>#REF!</v>
      </c>
      <c r="C32" s="19" t="e">
        <f t="shared" si="18"/>
        <v>#REF!</v>
      </c>
      <c r="D32" s="18" t="e">
        <f t="shared" ref="D32" si="19">+D24+D23+D21+D20+D19</f>
        <v>#REF!</v>
      </c>
      <c r="E32" s="19" t="s">
        <v>26</v>
      </c>
      <c r="F32" s="18" t="e">
        <f t="shared" ref="F32:G32" si="20">+F24+F23+F21+F20+F19</f>
        <v>#REF!</v>
      </c>
      <c r="G32" s="19" t="e">
        <f t="shared" si="20"/>
        <v>#REF!</v>
      </c>
      <c r="H32" s="18" t="e">
        <f t="shared" ref="H32:I32" si="21">+H24+H23+H21+H20+H19</f>
        <v>#REF!</v>
      </c>
      <c r="I32" s="19" t="e">
        <f t="shared" si="21"/>
        <v>#REF!</v>
      </c>
      <c r="J32" s="18" t="e">
        <f t="shared" ref="J32:K32" si="22">+J24+J23+J21+J20+J19</f>
        <v>#REF!</v>
      </c>
      <c r="K32" s="19" t="e">
        <f t="shared" si="22"/>
        <v>#REF!</v>
      </c>
      <c r="L32" s="18" t="e">
        <f t="shared" ref="L32:M32" si="23">+L24+L23+L21+L20+L19</f>
        <v>#REF!</v>
      </c>
      <c r="M32" s="19" t="e">
        <f t="shared" si="23"/>
        <v>#REF!</v>
      </c>
    </row>
    <row r="33" spans="1:13" x14ac:dyDescent="0.45">
      <c r="B33" s="35"/>
      <c r="C33" s="36"/>
      <c r="D33" s="35"/>
      <c r="E33" s="36"/>
      <c r="F33" s="35"/>
      <c r="G33" s="36"/>
      <c r="H33" s="35"/>
      <c r="I33" s="36"/>
      <c r="J33" s="35"/>
      <c r="K33" s="36"/>
      <c r="L33" s="35"/>
      <c r="M33" s="36"/>
    </row>
    <row r="34" spans="1:13" x14ac:dyDescent="0.45">
      <c r="A34" s="4" t="s">
        <v>46</v>
      </c>
      <c r="B34" s="15" t="e">
        <f>(B6*B4)-#REF!-#REF!</f>
        <v>#REF!</v>
      </c>
      <c r="C34" s="16" t="e">
        <f>(C6*C4)-#REF!-#REF!</f>
        <v>#REF!</v>
      </c>
      <c r="D34" s="15" t="e">
        <f>(D6*D4)-#REF!-#REF!</f>
        <v>#REF!</v>
      </c>
      <c r="E34" s="16" t="s">
        <v>26</v>
      </c>
      <c r="F34" s="15" t="e">
        <f>(F6*F4)-#REF!-#REF!</f>
        <v>#REF!</v>
      </c>
      <c r="G34" s="16" t="e">
        <f>(G6*G4)-#REF!-#REF!</f>
        <v>#REF!</v>
      </c>
      <c r="H34" s="15" t="e">
        <f>(H6*H4)-#REF!-#REF!</f>
        <v>#REF!</v>
      </c>
      <c r="I34" s="16" t="e">
        <f>(I6*I4)-#REF!-#REF!</f>
        <v>#REF!</v>
      </c>
      <c r="J34" s="15" t="e">
        <f>(J6*J4)-#REF!-#REF!</f>
        <v>#REF!</v>
      </c>
      <c r="K34" s="16" t="e">
        <f>(K6*K4)-#REF!-#REF!</f>
        <v>#REF!</v>
      </c>
      <c r="L34" s="15" t="e">
        <f>(L6*L4)-#REF!-#REF!</f>
        <v>#REF!</v>
      </c>
      <c r="M34" s="16" t="e">
        <f>(M6*M4)-#REF!-#REF!</f>
        <v>#REF!</v>
      </c>
    </row>
    <row r="35" spans="1:13" x14ac:dyDescent="0.45">
      <c r="A35" s="4" t="s">
        <v>47</v>
      </c>
      <c r="B35" s="15" t="e">
        <f>(B7*(B4))-'104_Synthèse'!B10+'104_Synthèse'!B10</f>
        <v>#REF!</v>
      </c>
      <c r="C35" s="16" t="e">
        <f>(C7*(C4))-'104_Synthèse'!C10+'104_Synthèse'!C10</f>
        <v>#REF!</v>
      </c>
      <c r="D35" s="15" t="e">
        <f>(D7*(D4))-'104_Synthèse'!D10+'104_Synthèse'!D10</f>
        <v>#REF!</v>
      </c>
      <c r="E35" s="16" t="e">
        <f>(E7*(E4))-'104_Synthèse'!E10+'104_Synthèse'!E10</f>
        <v>#REF!</v>
      </c>
      <c r="F35" s="15" t="e">
        <f>(F7*(F4))-'104_Synthèse'!F10+'104_Synthèse'!F10</f>
        <v>#REF!</v>
      </c>
      <c r="G35" s="16" t="e">
        <f>(G7*(G4))-'104_Synthèse'!G10+'104_Synthèse'!G10</f>
        <v>#REF!</v>
      </c>
      <c r="H35" s="15" t="e">
        <f>(H7*(H4))-'104_Synthèse'!H10+'104_Synthèse'!H10</f>
        <v>#REF!</v>
      </c>
      <c r="I35" s="16" t="e">
        <f>(I7*(I4))-'104_Synthèse'!I10+'104_Synthèse'!I10</f>
        <v>#REF!</v>
      </c>
      <c r="J35" s="15" t="e">
        <f>(J7*(J4))-'104_Synthèse'!J10+'104_Synthèse'!J10</f>
        <v>#REF!</v>
      </c>
      <c r="K35" s="16" t="e">
        <f>(K7*(K4))-'104_Synthèse'!K10+'104_Synthèse'!K10</f>
        <v>#REF!</v>
      </c>
      <c r="L35" s="15" t="e">
        <f>(L7*(L4))-'104_Synthèse'!L10+'104_Synthèse'!L10</f>
        <v>#REF!</v>
      </c>
      <c r="M35" s="16" t="e">
        <f>(M7*(M4))-'104_Synthèse'!M10+'104_Synthèse'!M10</f>
        <v>#REF!</v>
      </c>
    </row>
    <row r="36" spans="1:13" x14ac:dyDescent="0.45">
      <c r="A36" s="4" t="s">
        <v>48</v>
      </c>
      <c r="B36" s="15" t="e">
        <f>(B15*B4)-#REF!+#REF!</f>
        <v>#REF!</v>
      </c>
      <c r="C36" s="16" t="e">
        <f>(C15*C4)-#REF!+#REF!</f>
        <v>#REF!</v>
      </c>
      <c r="D36" s="15" t="e">
        <f>(D15*D4)-#REF!+#REF!</f>
        <v>#REF!</v>
      </c>
      <c r="E36" s="16" t="s">
        <v>26</v>
      </c>
      <c r="F36" s="15" t="e">
        <f>(F15*F4)-#REF!+#REF!</f>
        <v>#REF!</v>
      </c>
      <c r="G36" s="16" t="e">
        <f>(G15*G4)-#REF!+#REF!</f>
        <v>#REF!</v>
      </c>
      <c r="H36" s="15" t="e">
        <f>(H15*H4)-#REF!+#REF!</f>
        <v>#REF!</v>
      </c>
      <c r="I36" s="16" t="e">
        <f>(I15*I4)-#REF!+#REF!</f>
        <v>#REF!</v>
      </c>
      <c r="J36" s="15" t="e">
        <f>(J15*J4)-#REF!+#REF!</f>
        <v>#REF!</v>
      </c>
      <c r="K36" s="16" t="e">
        <f>(K15*K4)-#REF!+#REF!</f>
        <v>#REF!</v>
      </c>
      <c r="L36" s="15" t="e">
        <f>(L15*L4)-#REF!+#REF!</f>
        <v>#REF!</v>
      </c>
      <c r="M36" s="16" t="e">
        <f>(M15*M4)-#REF!+#REF!</f>
        <v>#REF!</v>
      </c>
    </row>
    <row r="37" spans="1:13" x14ac:dyDescent="0.45">
      <c r="A37" s="4" t="s">
        <v>49</v>
      </c>
      <c r="B37" s="15" t="e">
        <f>(B18*B4)-#REF!</f>
        <v>#REF!</v>
      </c>
      <c r="C37" s="16" t="e">
        <f>(C18*C4)-#REF!</f>
        <v>#REF!</v>
      </c>
      <c r="D37" s="15" t="e">
        <f>(D18*D4)-#REF!</f>
        <v>#REF!</v>
      </c>
      <c r="E37" s="16" t="s">
        <v>26</v>
      </c>
      <c r="F37" s="15" t="e">
        <f>(F18*F4)-#REF!</f>
        <v>#REF!</v>
      </c>
      <c r="G37" s="16" t="e">
        <f>(G18*G4)-#REF!</f>
        <v>#REF!</v>
      </c>
      <c r="H37" s="15" t="e">
        <f>(H18*H4)-#REF!</f>
        <v>#REF!</v>
      </c>
      <c r="I37" s="16" t="e">
        <f>(I18*I4)-#REF!</f>
        <v>#REF!</v>
      </c>
      <c r="J37" s="15" t="e">
        <f>(J18*J4)-#REF!</f>
        <v>#REF!</v>
      </c>
      <c r="K37" s="16" t="e">
        <f>(K18*K4)-#REF!</f>
        <v>#REF!</v>
      </c>
      <c r="L37" s="15" t="e">
        <f>(L18*L4)-#REF!</f>
        <v>#REF!</v>
      </c>
      <c r="M37" s="16" t="e">
        <f>(M18*M4)-#REF!</f>
        <v>#REF!</v>
      </c>
    </row>
    <row r="38" spans="1:13" x14ac:dyDescent="0.45">
      <c r="A38" s="4" t="s">
        <v>50</v>
      </c>
      <c r="B38" s="15" t="e">
        <f>(B25*B4)-#REF!</f>
        <v>#REF!</v>
      </c>
      <c r="C38" s="16" t="e">
        <f>(C25*C4)-#REF!</f>
        <v>#REF!</v>
      </c>
      <c r="D38" s="15" t="e">
        <f>(D25*D4)-#REF!</f>
        <v>#REF!</v>
      </c>
      <c r="E38" s="16" t="s">
        <v>26</v>
      </c>
      <c r="F38" s="15" t="e">
        <f>(F25*F4)-#REF!</f>
        <v>#REF!</v>
      </c>
      <c r="G38" s="16" t="e">
        <f>(G25*G4)-#REF!</f>
        <v>#REF!</v>
      </c>
      <c r="H38" s="15" t="e">
        <f>(H25*H4)-#REF!</f>
        <v>#REF!</v>
      </c>
      <c r="I38" s="16" t="e">
        <f>(I25*I4)-#REF!</f>
        <v>#REF!</v>
      </c>
      <c r="J38" s="15" t="e">
        <f>(J25*J4)-#REF!</f>
        <v>#REF!</v>
      </c>
      <c r="K38" s="16" t="e">
        <f>(K25*K4)-#REF!</f>
        <v>#REF!</v>
      </c>
      <c r="L38" s="15" t="e">
        <f>(L25*L4)-#REF!</f>
        <v>#REF!</v>
      </c>
      <c r="M38" s="16" t="e">
        <f>(M25*M4)-#REF!</f>
        <v>#REF!</v>
      </c>
    </row>
    <row r="39" spans="1:13" x14ac:dyDescent="0.45">
      <c r="A39" s="4" t="s">
        <v>51</v>
      </c>
      <c r="B39" s="15" t="e">
        <f>(B26*B4)-#REF!</f>
        <v>#REF!</v>
      </c>
      <c r="C39" s="16" t="e">
        <f>(C26*C4)-#REF!</f>
        <v>#REF!</v>
      </c>
      <c r="D39" s="15" t="e">
        <f>(D26*D4)-#REF!</f>
        <v>#REF!</v>
      </c>
      <c r="E39" s="16" t="s">
        <v>26</v>
      </c>
      <c r="F39" s="15" t="e">
        <f>(F26*F4)-#REF!</f>
        <v>#REF!</v>
      </c>
      <c r="G39" s="16" t="e">
        <f>(G26*G4)-#REF!</f>
        <v>#REF!</v>
      </c>
      <c r="H39" s="15" t="e">
        <f>(H26*H4)-#REF!</f>
        <v>#REF!</v>
      </c>
      <c r="I39" s="16" t="e">
        <f>(I26*I4)-#REF!</f>
        <v>#REF!</v>
      </c>
      <c r="J39" s="15" t="e">
        <f>(J26*J4)-#REF!</f>
        <v>#REF!</v>
      </c>
      <c r="K39" s="16" t="e">
        <f>(K26*K4)-#REF!</f>
        <v>#REF!</v>
      </c>
      <c r="L39" s="15" t="e">
        <f>(L26*L4)-#REF!</f>
        <v>#REF!</v>
      </c>
      <c r="M39" s="16" t="e">
        <f>(M26*M4)-#REF!</f>
        <v>#REF!</v>
      </c>
    </row>
    <row r="40" spans="1:13" x14ac:dyDescent="0.45">
      <c r="A40" s="4" t="s">
        <v>52</v>
      </c>
      <c r="B40" s="15" t="e">
        <f>(B27*B4)-#REF!</f>
        <v>#REF!</v>
      </c>
      <c r="C40" s="16" t="e">
        <f>(C27*C4)-#REF!</f>
        <v>#REF!</v>
      </c>
      <c r="D40" s="15" t="e">
        <f>(D27*D4)-#REF!</f>
        <v>#REF!</v>
      </c>
      <c r="E40" s="16" t="s">
        <v>26</v>
      </c>
      <c r="F40" s="15" t="e">
        <f>(F27*F4)-#REF!</f>
        <v>#REF!</v>
      </c>
      <c r="G40" s="16" t="e">
        <f>(G27*G4)-#REF!</f>
        <v>#REF!</v>
      </c>
      <c r="H40" s="15" t="e">
        <f>(H27*H4)-#REF!</f>
        <v>#REF!</v>
      </c>
      <c r="I40" s="16" t="e">
        <f>(I27*I4)-#REF!</f>
        <v>#REF!</v>
      </c>
      <c r="J40" s="15" t="e">
        <f>(J27*J4)-#REF!</f>
        <v>#REF!</v>
      </c>
      <c r="K40" s="16" t="e">
        <f>(K27*K4)-#REF!</f>
        <v>#REF!</v>
      </c>
      <c r="L40" s="15" t="e">
        <f>(L27*L4)-#REF!</f>
        <v>#REF!</v>
      </c>
      <c r="M40" s="16" t="e">
        <f>(M27*M4)-#REF!</f>
        <v>#REF!</v>
      </c>
    </row>
    <row r="41" spans="1:13" x14ac:dyDescent="0.45">
      <c r="A41" s="4" t="s">
        <v>53</v>
      </c>
      <c r="B41" s="15" t="e">
        <f>(B28*B4)-#REF!</f>
        <v>#REF!</v>
      </c>
      <c r="C41" s="16" t="e">
        <f>(C28*C4)-#REF!</f>
        <v>#REF!</v>
      </c>
      <c r="D41" s="15" t="e">
        <f>(D28*D4)-#REF!</f>
        <v>#REF!</v>
      </c>
      <c r="E41" s="16" t="s">
        <v>26</v>
      </c>
      <c r="F41" s="15" t="e">
        <f>(F28*F4)-#REF!</f>
        <v>#REF!</v>
      </c>
      <c r="G41" s="16" t="e">
        <f>(G28*G4)-#REF!</f>
        <v>#REF!</v>
      </c>
      <c r="H41" s="15" t="e">
        <f>(H28*H4)-#REF!</f>
        <v>#REF!</v>
      </c>
      <c r="I41" s="16" t="e">
        <f>(I28*I4)-#REF!</f>
        <v>#REF!</v>
      </c>
      <c r="J41" s="15" t="e">
        <f>(J28*J4)-#REF!</f>
        <v>#REF!</v>
      </c>
      <c r="K41" s="16" t="e">
        <f>(K28*K4)-#REF!</f>
        <v>#REF!</v>
      </c>
      <c r="L41" s="15" t="e">
        <f>(L28*L4)-#REF!</f>
        <v>#REF!</v>
      </c>
      <c r="M41" s="16" t="e">
        <f>(M28*M4)-#REF!</f>
        <v>#REF!</v>
      </c>
    </row>
    <row r="42" spans="1:13" x14ac:dyDescent="0.45">
      <c r="A42" s="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x14ac:dyDescent="0.45">
      <c r="A43" s="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x14ac:dyDescent="0.45">
      <c r="A44" s="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51</vt:i4>
      </vt:variant>
      <vt:variant>
        <vt:lpstr>Plages nommées</vt:lpstr>
      </vt:variant>
      <vt:variant>
        <vt:i4>1</vt:i4>
      </vt:variant>
    </vt:vector>
  </HeadingPairs>
  <TitlesOfParts>
    <vt:vector size="52" baseType="lpstr">
      <vt:lpstr>CPC prévisionnel</vt:lpstr>
      <vt:lpstr>Synthèse</vt:lpstr>
      <vt:lpstr>Feuil1</vt:lpstr>
      <vt:lpstr>104_Synthèse</vt:lpstr>
      <vt:lpstr>105_Synthèse</vt:lpstr>
      <vt:lpstr>106_Synthèse</vt:lpstr>
      <vt:lpstr>107_Synthèse</vt:lpstr>
      <vt:lpstr>114_Synthèse</vt:lpstr>
      <vt:lpstr>Plan de culture 104 </vt:lpstr>
      <vt:lpstr>Plan de culture 105</vt:lpstr>
      <vt:lpstr>Plan de culture 106</vt:lpstr>
      <vt:lpstr>Plan de culture 107</vt:lpstr>
      <vt:lpstr>Plan de culture 114</vt:lpstr>
      <vt:lpstr>Budget Volumes Export</vt:lpstr>
      <vt:lpstr>Budget Volumes ML</vt:lpstr>
      <vt:lpstr>Budget Commercial Export</vt:lpstr>
      <vt:lpstr>Budget Commercial ML</vt:lpstr>
      <vt:lpstr>Budget Semences</vt:lpstr>
      <vt:lpstr>Budget Plants</vt:lpstr>
      <vt:lpstr>Budget Engrais</vt:lpstr>
      <vt:lpstr>Budget Phytos</vt:lpstr>
      <vt:lpstr>Budget Insectes aux</vt:lpstr>
      <vt:lpstr>Budget Ruches</vt:lpstr>
      <vt:lpstr>Budget Fres Agri</vt:lpstr>
      <vt:lpstr>Budget Energie</vt:lpstr>
      <vt:lpstr>Budget Ent &amp; Analyses</vt:lpstr>
      <vt:lpstr>Budget Loyers Fermes</vt:lpstr>
      <vt:lpstr>Budget MOD</vt:lpstr>
      <vt:lpstr>Budget Transp Ventes</vt:lpstr>
      <vt:lpstr>Feuil3</vt:lpstr>
      <vt:lpstr>Budget Commun</vt:lpstr>
      <vt:lpstr>Budget Invest&amp; Amort</vt:lpstr>
      <vt:lpstr>Budget Constructions</vt:lpstr>
      <vt:lpstr>Budget Electrification</vt:lpstr>
      <vt:lpstr>Budget Serres</vt:lpstr>
      <vt:lpstr>Budget Irrigation</vt:lpstr>
      <vt:lpstr>Budget Plastique</vt:lpstr>
      <vt:lpstr>Budget Fibre de coco</vt:lpstr>
      <vt:lpstr>Budget Filet</vt:lpstr>
      <vt:lpstr>Budget Mel agricole</vt:lpstr>
      <vt:lpstr>Budget MMB</vt:lpstr>
      <vt:lpstr>TCD Amort initiaux</vt:lpstr>
      <vt:lpstr>Budget Amortissements</vt:lpstr>
      <vt:lpstr>TOM NATURE_ à l'ha</vt:lpstr>
      <vt:lpstr>TOM NATURE_au kg</vt:lpstr>
      <vt:lpstr>8036_à l'ha</vt:lpstr>
      <vt:lpstr>8036_au kg</vt:lpstr>
      <vt:lpstr>8038_à l'ha</vt:lpstr>
      <vt:lpstr>8038_au kg</vt:lpstr>
      <vt:lpstr>8039_à l'ha</vt:lpstr>
      <vt:lpstr>8039_au kg </vt:lpstr>
      <vt:lpstr>'Budget Amortissements'!Zone_d_impression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SDE1</dc:creator>
  <cp:lastModifiedBy>Ali Ajana</cp:lastModifiedBy>
  <cp:lastPrinted>2016-09-20T15:35:48Z</cp:lastPrinted>
  <dcterms:created xsi:type="dcterms:W3CDTF">2015-11-22T23:38:11Z</dcterms:created>
  <dcterms:modified xsi:type="dcterms:W3CDTF">2026-03-09T15:26:10Z</dcterms:modified>
</cp:coreProperties>
</file>